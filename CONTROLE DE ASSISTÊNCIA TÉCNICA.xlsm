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updateLinks="always" codeName="EstaPastaDeTrabalho"/>
  <mc:AlternateContent xmlns:mc="http://schemas.openxmlformats.org/markup-compatibility/2006">
    <mc:Choice Requires="x15">
      <x15ac:absPath xmlns:x15ac="http://schemas.microsoft.com/office/spreadsheetml/2010/11/ac" url="C:\Users\samuc\Desktop\PTI\Projetos\CAS\"/>
    </mc:Choice>
  </mc:AlternateContent>
  <xr:revisionPtr revIDLastSave="0" documentId="13_ncr:1_{1D499358-6189-42FF-B287-16B3683F9930}" xr6:coauthVersionLast="47" xr6:coauthVersionMax="47" xr10:uidLastSave="{00000000-0000-0000-0000-000000000000}"/>
  <bookViews>
    <workbookView xWindow="-120" yWindow="-120" windowWidth="20730" windowHeight="11760" activeTab="1" xr2:uid="{00000000-000D-0000-FFFF-FFFF00000000}"/>
  </bookViews>
  <sheets>
    <sheet name="INTERFACE" sheetId="44" r:id="rId1"/>
    <sheet name="GERAL" sheetId="42" r:id="rId2"/>
    <sheet name="GARANTIA" sheetId="49" state="hidden" r:id="rId3"/>
    <sheet name="PEÇAS GARANTIA" sheetId="48" state="hidden" r:id="rId4"/>
    <sheet name="VALIDAÇÃO" sheetId="43" state="hidden" r:id="rId5"/>
  </sheets>
  <externalReferences>
    <externalReference r:id="rId6"/>
    <externalReference r:id="rId7"/>
    <externalReference r:id="rId8"/>
  </externalReferences>
  <definedNames>
    <definedName name="_xlnm._FilterDatabase" localSheetId="1" hidden="1">GERAL!$A$2:$AD$441</definedName>
    <definedName name="DadosExternos_1" localSheetId="3" hidden="1">'PEÇAS GARANTIA'!$A$1:$V$562</definedName>
    <definedName name="DadosExternos_2" localSheetId="2" hidden="1">GARANTIA!$A$1:$N$424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41" i="42" l="1"/>
  <c r="W441" i="42"/>
  <c r="V441" i="42"/>
  <c r="X440" i="42"/>
  <c r="W440" i="42"/>
  <c r="V440" i="42"/>
  <c r="X439" i="42"/>
  <c r="W439" i="42"/>
  <c r="V439" i="42"/>
  <c r="X438" i="42"/>
  <c r="W438" i="42"/>
  <c r="V438" i="42"/>
  <c r="X437" i="42"/>
  <c r="W437" i="42"/>
  <c r="V437" i="42"/>
  <c r="X436" i="42"/>
  <c r="W436" i="42"/>
  <c r="V436" i="42"/>
  <c r="X435" i="42"/>
  <c r="W435" i="42"/>
  <c r="V435" i="42"/>
  <c r="X434" i="42"/>
  <c r="W434" i="42"/>
  <c r="V434" i="42"/>
  <c r="X433" i="42"/>
  <c r="W433" i="42"/>
  <c r="V433" i="42"/>
  <c r="X432" i="42"/>
  <c r="W432" i="42"/>
  <c r="V432" i="42"/>
  <c r="X431" i="42"/>
  <c r="W431" i="42"/>
  <c r="V431" i="42"/>
  <c r="X430" i="42"/>
  <c r="W430" i="42"/>
  <c r="V430" i="42"/>
  <c r="X429" i="42"/>
  <c r="W429" i="42"/>
  <c r="V429" i="42"/>
  <c r="X428" i="42"/>
  <c r="W428" i="42"/>
  <c r="V428" i="42"/>
  <c r="X427" i="42"/>
  <c r="W427" i="42"/>
  <c r="V427" i="42"/>
  <c r="X426" i="42"/>
  <c r="W426" i="42"/>
  <c r="V426" i="42"/>
  <c r="X425" i="42"/>
  <c r="W425" i="42"/>
  <c r="V425" i="42"/>
  <c r="X424" i="42"/>
  <c r="W424" i="42"/>
  <c r="V424" i="42"/>
  <c r="X423" i="42"/>
  <c r="W423" i="42"/>
  <c r="V423" i="42"/>
  <c r="X422" i="42"/>
  <c r="W422" i="42"/>
  <c r="V422" i="42"/>
  <c r="X421" i="42"/>
  <c r="W421" i="42"/>
  <c r="V421" i="42"/>
  <c r="X420" i="42"/>
  <c r="W420" i="42"/>
  <c r="V420" i="42"/>
  <c r="X419" i="42"/>
  <c r="W419" i="42"/>
  <c r="V419" i="42"/>
  <c r="X418" i="42"/>
  <c r="W418" i="42"/>
  <c r="V418" i="42"/>
  <c r="X417" i="42"/>
  <c r="W417" i="42"/>
  <c r="V417" i="42"/>
  <c r="X416" i="42"/>
  <c r="W416" i="42"/>
  <c r="V416" i="42"/>
  <c r="X415" i="42"/>
  <c r="W415" i="42"/>
  <c r="V415" i="42"/>
  <c r="X414" i="42"/>
  <c r="W414" i="42"/>
  <c r="V414" i="42"/>
  <c r="X413" i="42"/>
  <c r="W413" i="42"/>
  <c r="V413" i="42"/>
  <c r="X412" i="42"/>
  <c r="W412" i="42"/>
  <c r="V412" i="42"/>
  <c r="X411" i="42"/>
  <c r="W411" i="42"/>
  <c r="V411" i="42"/>
  <c r="X410" i="42"/>
  <c r="W410" i="42"/>
  <c r="V410" i="42"/>
  <c r="X409" i="42"/>
  <c r="W409" i="42"/>
  <c r="V409" i="42"/>
  <c r="X408" i="42"/>
  <c r="W408" i="42"/>
  <c r="V408" i="42"/>
  <c r="X407" i="42"/>
  <c r="W407" i="42"/>
  <c r="V407" i="42"/>
  <c r="X406" i="42"/>
  <c r="W406" i="42"/>
  <c r="V406" i="42"/>
  <c r="X405" i="42"/>
  <c r="W405" i="42"/>
  <c r="V405" i="42"/>
  <c r="X404" i="42"/>
  <c r="W404" i="42"/>
  <c r="V404" i="42"/>
  <c r="X403" i="42"/>
  <c r="W403" i="42"/>
  <c r="V403" i="42"/>
  <c r="X402" i="42"/>
  <c r="W402" i="42"/>
  <c r="V402" i="42"/>
  <c r="X401" i="42"/>
  <c r="W401" i="42"/>
  <c r="V401" i="42"/>
  <c r="X400" i="42"/>
  <c r="W400" i="42"/>
  <c r="V400" i="42"/>
  <c r="X399" i="42"/>
  <c r="W399" i="42"/>
  <c r="V399" i="42"/>
  <c r="X398" i="42"/>
  <c r="W398" i="42"/>
  <c r="V398" i="42"/>
  <c r="X397" i="42"/>
  <c r="W397" i="42"/>
  <c r="V397" i="42"/>
  <c r="X396" i="42"/>
  <c r="W396" i="42"/>
  <c r="V396" i="42"/>
  <c r="X395" i="42"/>
  <c r="W395" i="42"/>
  <c r="V395" i="42"/>
  <c r="X394" i="42"/>
  <c r="W394" i="42"/>
  <c r="V394" i="42"/>
  <c r="X393" i="42"/>
  <c r="W393" i="42"/>
  <c r="V393" i="42"/>
  <c r="X392" i="42"/>
  <c r="W392" i="42"/>
  <c r="V392" i="42"/>
  <c r="X391" i="42"/>
  <c r="W391" i="42"/>
  <c r="V391" i="42"/>
  <c r="X390" i="42"/>
  <c r="W390" i="42"/>
  <c r="V390" i="42"/>
  <c r="X389" i="42"/>
  <c r="W389" i="42"/>
  <c r="V389" i="42"/>
  <c r="X388" i="42"/>
  <c r="W388" i="42"/>
  <c r="V388" i="42"/>
  <c r="X387" i="42"/>
  <c r="W387" i="42"/>
  <c r="V387" i="42"/>
  <c r="X386" i="42"/>
  <c r="W386" i="42"/>
  <c r="V386" i="42"/>
  <c r="X385" i="42"/>
  <c r="W385" i="42"/>
  <c r="V385" i="42"/>
  <c r="X384" i="42"/>
  <c r="W384" i="42"/>
  <c r="V384" i="42"/>
  <c r="X383" i="42"/>
  <c r="W383" i="42"/>
  <c r="V383" i="42"/>
  <c r="X382" i="42"/>
  <c r="W382" i="42"/>
  <c r="V382" i="42"/>
  <c r="X381" i="42"/>
  <c r="W381" i="42"/>
  <c r="V381" i="42"/>
  <c r="X380" i="42"/>
  <c r="W380" i="42"/>
  <c r="V380" i="42"/>
  <c r="X379" i="42"/>
  <c r="W379" i="42"/>
  <c r="V379" i="42"/>
  <c r="X378" i="42"/>
  <c r="W378" i="42"/>
  <c r="V378" i="42"/>
  <c r="X377" i="42"/>
  <c r="W377" i="42"/>
  <c r="V377" i="42"/>
  <c r="X376" i="42"/>
  <c r="W376" i="42"/>
  <c r="V376" i="42"/>
  <c r="X375" i="42"/>
  <c r="W375" i="42"/>
  <c r="V375" i="42"/>
  <c r="X374" i="42"/>
  <c r="W374" i="42"/>
  <c r="V374" i="42"/>
  <c r="X373" i="42"/>
  <c r="W373" i="42"/>
  <c r="V373" i="42"/>
  <c r="X372" i="42"/>
  <c r="W372" i="42"/>
  <c r="V372" i="42"/>
  <c r="X371" i="42"/>
  <c r="W371" i="42"/>
  <c r="V371" i="42"/>
  <c r="X370" i="42"/>
  <c r="W370" i="42"/>
  <c r="V370" i="42"/>
  <c r="X369" i="42"/>
  <c r="W369" i="42"/>
  <c r="V369" i="42"/>
  <c r="X368" i="42"/>
  <c r="W368" i="42"/>
  <c r="V368" i="42"/>
  <c r="X367" i="42"/>
  <c r="W367" i="42"/>
  <c r="V367" i="42"/>
  <c r="X366" i="42"/>
  <c r="W366" i="42"/>
  <c r="V366" i="42"/>
  <c r="X365" i="42"/>
  <c r="W365" i="42"/>
  <c r="V365" i="42"/>
  <c r="X364" i="42"/>
  <c r="W364" i="42"/>
  <c r="V364" i="42"/>
  <c r="X363" i="42"/>
  <c r="W363" i="42"/>
  <c r="V363" i="42"/>
  <c r="X362" i="42"/>
  <c r="W362" i="42"/>
  <c r="V362" i="42"/>
  <c r="X361" i="42"/>
  <c r="W361" i="42"/>
  <c r="V361" i="42"/>
  <c r="X360" i="42"/>
  <c r="W360" i="42"/>
  <c r="V360" i="42"/>
  <c r="X359" i="42"/>
  <c r="W359" i="42"/>
  <c r="V359" i="42"/>
  <c r="X358" i="42"/>
  <c r="W358" i="42"/>
  <c r="V358" i="42"/>
  <c r="X357" i="42"/>
  <c r="W357" i="42"/>
  <c r="V357" i="42"/>
  <c r="X356" i="42"/>
  <c r="W356" i="42"/>
  <c r="V356" i="42"/>
  <c r="X355" i="42"/>
  <c r="W355" i="42"/>
  <c r="V355" i="42"/>
  <c r="X354" i="42"/>
  <c r="W354" i="42"/>
  <c r="V354" i="42"/>
  <c r="X353" i="42"/>
  <c r="W353" i="42"/>
  <c r="V353" i="42"/>
  <c r="X352" i="42"/>
  <c r="W352" i="42"/>
  <c r="V352" i="42"/>
  <c r="X351" i="42"/>
  <c r="W351" i="42"/>
  <c r="V351" i="42"/>
  <c r="X350" i="42"/>
  <c r="W350" i="42"/>
  <c r="V350" i="42"/>
  <c r="X349" i="42"/>
  <c r="W349" i="42"/>
  <c r="V349" i="42"/>
  <c r="X348" i="42"/>
  <c r="W348" i="42"/>
  <c r="V348" i="42"/>
  <c r="X347" i="42"/>
  <c r="W347" i="42"/>
  <c r="V347" i="42"/>
  <c r="X346" i="42"/>
  <c r="W346" i="42"/>
  <c r="V346" i="42"/>
  <c r="X345" i="42"/>
  <c r="W345" i="42"/>
  <c r="V345" i="42"/>
  <c r="X344" i="42"/>
  <c r="W344" i="42"/>
  <c r="V344" i="42"/>
  <c r="X343" i="42"/>
  <c r="W343" i="42"/>
  <c r="V343" i="42"/>
  <c r="X342" i="42"/>
  <c r="W342" i="42"/>
  <c r="V342" i="42"/>
  <c r="X341" i="42"/>
  <c r="W341" i="42"/>
  <c r="V341" i="42"/>
  <c r="X340" i="42"/>
  <c r="W340" i="42"/>
  <c r="V340" i="42"/>
  <c r="X339" i="42"/>
  <c r="W339" i="42"/>
  <c r="V339" i="42"/>
  <c r="X338" i="42"/>
  <c r="W338" i="42"/>
  <c r="V338" i="42"/>
  <c r="X337" i="42"/>
  <c r="W337" i="42"/>
  <c r="V337" i="42"/>
  <c r="X336" i="42"/>
  <c r="W336" i="42"/>
  <c r="V336" i="42"/>
  <c r="X335" i="42"/>
  <c r="W335" i="42"/>
  <c r="V335" i="42"/>
  <c r="X334" i="42"/>
  <c r="W334" i="42"/>
  <c r="V334" i="42"/>
  <c r="X333" i="42"/>
  <c r="W333" i="42"/>
  <c r="V333" i="42"/>
  <c r="X332" i="42"/>
  <c r="W332" i="42"/>
  <c r="V332" i="42"/>
  <c r="X331" i="42"/>
  <c r="W331" i="42"/>
  <c r="V331" i="42"/>
  <c r="X330" i="42"/>
  <c r="W330" i="42"/>
  <c r="V330" i="42"/>
  <c r="X329" i="42"/>
  <c r="W329" i="42"/>
  <c r="V329" i="42"/>
  <c r="X328" i="42"/>
  <c r="W328" i="42"/>
  <c r="V328" i="42"/>
  <c r="X327" i="42"/>
  <c r="W327" i="42"/>
  <c r="V327" i="42"/>
  <c r="X326" i="42"/>
  <c r="W326" i="42"/>
  <c r="V326" i="42"/>
  <c r="X325" i="42"/>
  <c r="W325" i="42"/>
  <c r="V325" i="42"/>
  <c r="X324" i="42"/>
  <c r="W324" i="42"/>
  <c r="V324" i="42"/>
  <c r="X323" i="42"/>
  <c r="W323" i="42"/>
  <c r="V323" i="42"/>
  <c r="X322" i="42"/>
  <c r="W322" i="42"/>
  <c r="V322" i="42"/>
  <c r="X321" i="42"/>
  <c r="W321" i="42"/>
  <c r="V321" i="42"/>
  <c r="X320" i="42"/>
  <c r="W320" i="42"/>
  <c r="V320" i="42"/>
  <c r="X319" i="42"/>
  <c r="W319" i="42"/>
  <c r="V319" i="42"/>
  <c r="X318" i="42"/>
  <c r="W318" i="42"/>
  <c r="V318" i="42"/>
  <c r="X317" i="42"/>
  <c r="W317" i="42"/>
  <c r="V317" i="42"/>
  <c r="X316" i="42"/>
  <c r="W316" i="42"/>
  <c r="V316" i="42"/>
  <c r="X315" i="42"/>
  <c r="W315" i="42"/>
  <c r="V315" i="42"/>
  <c r="X314" i="42"/>
  <c r="W314" i="42"/>
  <c r="V314" i="42"/>
  <c r="X313" i="42"/>
  <c r="W313" i="42"/>
  <c r="V313" i="42"/>
  <c r="X312" i="42"/>
  <c r="W312" i="42"/>
  <c r="V312" i="42"/>
  <c r="X311" i="42"/>
  <c r="W311" i="42"/>
  <c r="V311" i="42"/>
  <c r="X310" i="42"/>
  <c r="W310" i="42"/>
  <c r="V310" i="42"/>
  <c r="X309" i="42"/>
  <c r="W309" i="42"/>
  <c r="V309" i="42"/>
  <c r="X308" i="42"/>
  <c r="W308" i="42"/>
  <c r="V308" i="42"/>
  <c r="X307" i="42"/>
  <c r="W307" i="42"/>
  <c r="V307" i="42"/>
  <c r="X306" i="42"/>
  <c r="W306" i="42"/>
  <c r="V306" i="42"/>
  <c r="X305" i="42"/>
  <c r="W305" i="42"/>
  <c r="V305" i="42"/>
  <c r="X304" i="42"/>
  <c r="W304" i="42"/>
  <c r="V304" i="42"/>
  <c r="X303" i="42"/>
  <c r="W303" i="42"/>
  <c r="V303" i="42"/>
  <c r="X302" i="42"/>
  <c r="W302" i="42"/>
  <c r="V302" i="42"/>
  <c r="X301" i="42"/>
  <c r="W301" i="42"/>
  <c r="V301" i="42"/>
  <c r="W300" i="42"/>
  <c r="V300" i="42"/>
  <c r="X299" i="42"/>
  <c r="W299" i="42"/>
  <c r="V299" i="42"/>
  <c r="X298" i="42"/>
  <c r="W298" i="42"/>
  <c r="V298" i="42"/>
  <c r="X297" i="42"/>
  <c r="W297" i="42"/>
  <c r="V297" i="42"/>
  <c r="X296" i="42"/>
  <c r="W296" i="42"/>
  <c r="V296" i="42"/>
  <c r="X295" i="42"/>
  <c r="W295" i="42"/>
  <c r="V295" i="42"/>
  <c r="X294" i="42"/>
  <c r="W294" i="42"/>
  <c r="V294" i="42"/>
  <c r="X293" i="42"/>
  <c r="W293" i="42"/>
  <c r="V293" i="42"/>
  <c r="X292" i="42"/>
  <c r="W292" i="42"/>
  <c r="V292" i="42"/>
  <c r="X291" i="42"/>
  <c r="W291" i="42"/>
  <c r="V291" i="42"/>
  <c r="X290" i="42"/>
  <c r="W290" i="42"/>
  <c r="V290" i="42"/>
  <c r="X289" i="42"/>
  <c r="W289" i="42"/>
  <c r="V289" i="42"/>
  <c r="X288" i="42"/>
  <c r="W288" i="42"/>
  <c r="V288" i="42"/>
  <c r="X287" i="42"/>
  <c r="W287" i="42"/>
  <c r="V287" i="42"/>
  <c r="X286" i="42"/>
  <c r="W286" i="42"/>
  <c r="V286" i="42"/>
  <c r="X285" i="42"/>
  <c r="W285" i="42"/>
  <c r="V285" i="42"/>
  <c r="X284" i="42"/>
  <c r="W284" i="42"/>
  <c r="V284" i="42"/>
  <c r="X283" i="42"/>
  <c r="W283" i="42"/>
  <c r="V283" i="42"/>
  <c r="X282" i="42"/>
  <c r="W282" i="42"/>
  <c r="V282" i="42"/>
  <c r="X281" i="42"/>
  <c r="W281" i="42"/>
  <c r="V281" i="42"/>
  <c r="X280" i="42"/>
  <c r="W280" i="42"/>
  <c r="V280" i="42"/>
  <c r="X279" i="42"/>
  <c r="W279" i="42"/>
  <c r="V279" i="42"/>
  <c r="X278" i="42"/>
  <c r="W278" i="42"/>
  <c r="V278" i="42"/>
  <c r="X277" i="42"/>
  <c r="W277" i="42"/>
  <c r="V277" i="42"/>
  <c r="X276" i="42"/>
  <c r="W276" i="42"/>
  <c r="V276" i="42"/>
  <c r="X275" i="42"/>
  <c r="W275" i="42"/>
  <c r="V275" i="42"/>
  <c r="X274" i="42"/>
  <c r="W274" i="42"/>
  <c r="V274" i="42"/>
  <c r="X273" i="42"/>
  <c r="W273" i="42"/>
  <c r="V273" i="42"/>
  <c r="X272" i="42"/>
  <c r="W272" i="42"/>
  <c r="V272" i="42"/>
  <c r="X271" i="42"/>
  <c r="W271" i="42"/>
  <c r="V271" i="42"/>
  <c r="X270" i="42"/>
  <c r="W270" i="42"/>
  <c r="V270" i="42"/>
  <c r="X269" i="42"/>
  <c r="W269" i="42"/>
  <c r="V269" i="42"/>
  <c r="X268" i="42"/>
  <c r="W268" i="42"/>
  <c r="V268" i="42"/>
  <c r="X267" i="42"/>
  <c r="W267" i="42"/>
  <c r="V267" i="42"/>
  <c r="X266" i="42"/>
  <c r="W266" i="42"/>
  <c r="V266" i="42"/>
  <c r="X265" i="42"/>
  <c r="W265" i="42"/>
  <c r="V265" i="42"/>
  <c r="X264" i="42"/>
  <c r="W264" i="42"/>
  <c r="V264" i="42"/>
  <c r="X263" i="42"/>
  <c r="W263" i="42"/>
  <c r="V263" i="42"/>
  <c r="X262" i="42"/>
  <c r="W262" i="42"/>
  <c r="V262" i="42"/>
  <c r="X261" i="42"/>
  <c r="W261" i="42"/>
  <c r="V261" i="42"/>
  <c r="X260" i="42"/>
  <c r="W260" i="42"/>
  <c r="V260" i="42"/>
  <c r="X259" i="42"/>
  <c r="W259" i="42"/>
  <c r="V259" i="42"/>
  <c r="X258" i="42"/>
  <c r="W258" i="42"/>
  <c r="V258" i="42"/>
  <c r="X257" i="42"/>
  <c r="W257" i="42"/>
  <c r="V257" i="42"/>
  <c r="X256" i="42"/>
  <c r="W256" i="42"/>
  <c r="V256" i="42"/>
  <c r="X255" i="42"/>
  <c r="W255" i="42"/>
  <c r="V255" i="42"/>
  <c r="X254" i="42"/>
  <c r="W254" i="42"/>
  <c r="V254" i="42"/>
  <c r="X253" i="42"/>
  <c r="W253" i="42"/>
  <c r="V253" i="42"/>
  <c r="X252" i="42"/>
  <c r="W252" i="42"/>
  <c r="V252" i="42"/>
  <c r="X251" i="42"/>
  <c r="W251" i="42"/>
  <c r="V251" i="42"/>
  <c r="X250" i="42"/>
  <c r="W250" i="42"/>
  <c r="V250" i="42"/>
  <c r="X249" i="42"/>
  <c r="W249" i="42"/>
  <c r="V249" i="42"/>
  <c r="X248" i="42"/>
  <c r="W248" i="42"/>
  <c r="V248" i="42"/>
  <c r="X247" i="42"/>
  <c r="W247" i="42"/>
  <c r="V247" i="42"/>
  <c r="X246" i="42"/>
  <c r="W246" i="42"/>
  <c r="V246" i="42"/>
  <c r="X245" i="42"/>
  <c r="W245" i="42"/>
  <c r="V245" i="42"/>
  <c r="X244" i="42"/>
  <c r="W244" i="42"/>
  <c r="V244" i="42"/>
  <c r="X243" i="42"/>
  <c r="W243" i="42"/>
  <c r="V243" i="42"/>
  <c r="X242" i="42"/>
  <c r="W242" i="42"/>
  <c r="V242" i="42"/>
  <c r="X241" i="42"/>
  <c r="W241" i="42"/>
  <c r="V241" i="42"/>
  <c r="X240" i="42"/>
  <c r="W240" i="42"/>
  <c r="V240" i="42"/>
  <c r="X239" i="42"/>
  <c r="W239" i="42"/>
  <c r="V239" i="42"/>
  <c r="X238" i="42"/>
  <c r="W238" i="42"/>
  <c r="V238" i="42"/>
  <c r="X237" i="42"/>
  <c r="W237" i="42"/>
  <c r="V237" i="42"/>
  <c r="X236" i="42"/>
  <c r="W236" i="42"/>
  <c r="V236" i="42"/>
  <c r="X235" i="42"/>
  <c r="W235" i="42"/>
  <c r="V235" i="42"/>
  <c r="X234" i="42"/>
  <c r="W234" i="42"/>
  <c r="V234" i="42"/>
  <c r="X233" i="42"/>
  <c r="W233" i="42"/>
  <c r="V233" i="42"/>
  <c r="X232" i="42"/>
  <c r="W232" i="42"/>
  <c r="V232" i="42"/>
  <c r="X231" i="42"/>
  <c r="W231" i="42"/>
  <c r="V231" i="42"/>
  <c r="X230" i="42"/>
  <c r="W230" i="42"/>
  <c r="V230" i="42"/>
  <c r="X229" i="42"/>
  <c r="W229" i="42"/>
  <c r="V229" i="42"/>
  <c r="X228" i="42"/>
  <c r="W228" i="42"/>
  <c r="V228" i="42"/>
  <c r="X227" i="42"/>
  <c r="W227" i="42"/>
  <c r="V227" i="42"/>
  <c r="X226" i="42"/>
  <c r="W226" i="42"/>
  <c r="V226" i="42"/>
  <c r="X225" i="42"/>
  <c r="W225" i="42"/>
  <c r="V225" i="42"/>
  <c r="X224" i="42"/>
  <c r="W224" i="42"/>
  <c r="V224" i="42"/>
  <c r="X223" i="42"/>
  <c r="W223" i="42"/>
  <c r="V223" i="42"/>
  <c r="X222" i="42"/>
  <c r="W222" i="42"/>
  <c r="V222" i="42"/>
  <c r="X221" i="42"/>
  <c r="W221" i="42"/>
  <c r="V221" i="42"/>
  <c r="X220" i="42"/>
  <c r="W220" i="42"/>
  <c r="V220" i="42"/>
  <c r="X219" i="42"/>
  <c r="W219" i="42"/>
  <c r="V219" i="42"/>
  <c r="X218" i="42"/>
  <c r="W218" i="42"/>
  <c r="V218" i="42"/>
  <c r="X217" i="42"/>
  <c r="W217" i="42"/>
  <c r="V217" i="42"/>
  <c r="X216" i="42"/>
  <c r="W216" i="42"/>
  <c r="V216" i="42"/>
  <c r="X215" i="42"/>
  <c r="W215" i="42"/>
  <c r="V215" i="42"/>
  <c r="X214" i="42"/>
  <c r="W214" i="42"/>
  <c r="V214" i="42"/>
  <c r="X213" i="42"/>
  <c r="W213" i="42"/>
  <c r="V213" i="42"/>
  <c r="X212" i="42"/>
  <c r="W212" i="42"/>
  <c r="V212" i="42"/>
  <c r="X211" i="42"/>
  <c r="W211" i="42"/>
  <c r="V211" i="42"/>
  <c r="X210" i="42"/>
  <c r="W210" i="42"/>
  <c r="V210" i="42"/>
  <c r="X209" i="42"/>
  <c r="W209" i="42"/>
  <c r="V209" i="42"/>
  <c r="X208" i="42"/>
  <c r="W208" i="42"/>
  <c r="V208" i="42"/>
  <c r="X207" i="42"/>
  <c r="W207" i="42"/>
  <c r="V207" i="42"/>
  <c r="X206" i="42"/>
  <c r="W206" i="42"/>
  <c r="V206" i="42"/>
  <c r="X205" i="42"/>
  <c r="W205" i="42"/>
  <c r="V205" i="42"/>
  <c r="X204" i="42"/>
  <c r="W204" i="42"/>
  <c r="V204" i="42"/>
  <c r="X203" i="42"/>
  <c r="W203" i="42"/>
  <c r="V203" i="42"/>
  <c r="X202" i="42"/>
  <c r="W202" i="42"/>
  <c r="V202" i="42"/>
  <c r="X201" i="42"/>
  <c r="W201" i="42"/>
  <c r="V201" i="42"/>
  <c r="X200" i="42"/>
  <c r="W200" i="42"/>
  <c r="V200" i="42"/>
  <c r="X199" i="42"/>
  <c r="W199" i="42"/>
  <c r="V199" i="42"/>
  <c r="X198" i="42"/>
  <c r="W198" i="42"/>
  <c r="V198" i="42"/>
  <c r="X197" i="42"/>
  <c r="W197" i="42"/>
  <c r="V197" i="42"/>
  <c r="X196" i="42"/>
  <c r="W196" i="42"/>
  <c r="V196" i="42"/>
  <c r="X195" i="42"/>
  <c r="W195" i="42"/>
  <c r="V195" i="42"/>
  <c r="X194" i="42"/>
  <c r="W194" i="42"/>
  <c r="V194" i="42"/>
  <c r="X193" i="42"/>
  <c r="W193" i="42"/>
  <c r="V193" i="42"/>
  <c r="X192" i="42"/>
  <c r="W192" i="42"/>
  <c r="V192" i="42"/>
  <c r="X191" i="42"/>
  <c r="W191" i="42"/>
  <c r="V191" i="42"/>
  <c r="X190" i="42"/>
  <c r="W190" i="42"/>
  <c r="V190" i="42"/>
  <c r="X189" i="42"/>
  <c r="W189" i="42"/>
  <c r="V189" i="42"/>
  <c r="X188" i="42"/>
  <c r="W188" i="42"/>
  <c r="V188" i="42"/>
  <c r="X187" i="42"/>
  <c r="W187" i="42"/>
  <c r="V187" i="42"/>
  <c r="X186" i="42"/>
  <c r="W186" i="42"/>
  <c r="V186" i="42"/>
  <c r="X185" i="42"/>
  <c r="W185" i="42"/>
  <c r="V185" i="42"/>
  <c r="X184" i="42"/>
  <c r="W184" i="42"/>
  <c r="V184" i="42"/>
  <c r="X183" i="42"/>
  <c r="W183" i="42"/>
  <c r="V183" i="42"/>
  <c r="X182" i="42"/>
  <c r="W182" i="42"/>
  <c r="V182" i="42"/>
  <c r="X181" i="42"/>
  <c r="W181" i="42"/>
  <c r="V181" i="42"/>
  <c r="X180" i="42"/>
  <c r="W180" i="42"/>
  <c r="V180" i="42"/>
  <c r="X179" i="42"/>
  <c r="W179" i="42"/>
  <c r="V179" i="42"/>
  <c r="X178" i="42"/>
  <c r="W178" i="42"/>
  <c r="V178" i="42"/>
  <c r="X177" i="42"/>
  <c r="W177" i="42"/>
  <c r="V177" i="42"/>
  <c r="X176" i="42"/>
  <c r="W176" i="42"/>
  <c r="V176" i="42"/>
  <c r="X175" i="42"/>
  <c r="W175" i="42"/>
  <c r="V175" i="42"/>
  <c r="X174" i="42"/>
  <c r="W174" i="42"/>
  <c r="V174" i="42"/>
  <c r="X173" i="42"/>
  <c r="W173" i="42"/>
  <c r="V173" i="42"/>
  <c r="X172" i="42"/>
  <c r="W172" i="42"/>
  <c r="V172" i="42"/>
  <c r="X171" i="42"/>
  <c r="W171" i="42"/>
  <c r="V171" i="42"/>
  <c r="X170" i="42"/>
  <c r="W170" i="42"/>
  <c r="V170" i="42"/>
  <c r="X169" i="42"/>
  <c r="W169" i="42"/>
  <c r="V169" i="42"/>
  <c r="X168" i="42"/>
  <c r="W168" i="42"/>
  <c r="V168" i="42"/>
  <c r="X167" i="42"/>
  <c r="W167" i="42"/>
  <c r="V167" i="42"/>
  <c r="X166" i="42"/>
  <c r="W166" i="42"/>
  <c r="V166" i="42"/>
  <c r="X165" i="42"/>
  <c r="W165" i="42"/>
  <c r="V165" i="42"/>
  <c r="X164" i="42"/>
  <c r="W164" i="42"/>
  <c r="V164" i="42"/>
  <c r="X163" i="42"/>
  <c r="W163" i="42"/>
  <c r="V163" i="42"/>
  <c r="X162" i="42"/>
  <c r="W162" i="42"/>
  <c r="V162" i="42"/>
  <c r="X161" i="42"/>
  <c r="W161" i="42"/>
  <c r="V161" i="42"/>
  <c r="X160" i="42"/>
  <c r="W160" i="42"/>
  <c r="V160" i="42"/>
  <c r="X159" i="42"/>
  <c r="W159" i="42"/>
  <c r="V159" i="42"/>
  <c r="X158" i="42"/>
  <c r="W158" i="42"/>
  <c r="V158" i="42"/>
  <c r="X157" i="42"/>
  <c r="W157" i="42"/>
  <c r="V157" i="42"/>
  <c r="X156" i="42"/>
  <c r="W156" i="42"/>
  <c r="V156" i="42"/>
  <c r="X155" i="42"/>
  <c r="W155" i="42"/>
  <c r="V155" i="42"/>
  <c r="X154" i="42"/>
  <c r="W154" i="42"/>
  <c r="V154" i="42"/>
  <c r="X153" i="42"/>
  <c r="W153" i="42"/>
  <c r="V153" i="42"/>
  <c r="X152" i="42"/>
  <c r="W152" i="42"/>
  <c r="V152" i="42"/>
  <c r="X151" i="42"/>
  <c r="W151" i="42"/>
  <c r="V151" i="42"/>
  <c r="X150" i="42"/>
  <c r="W150" i="42"/>
  <c r="V150" i="42"/>
  <c r="X149" i="42"/>
  <c r="W149" i="42"/>
  <c r="V149" i="42"/>
  <c r="X148" i="42"/>
  <c r="W148" i="42"/>
  <c r="V148" i="42"/>
  <c r="X147" i="42"/>
  <c r="W147" i="42"/>
  <c r="V147" i="42"/>
  <c r="X146" i="42"/>
  <c r="W146" i="42"/>
  <c r="V146" i="42"/>
  <c r="X145" i="42"/>
  <c r="W145" i="42"/>
  <c r="V145" i="42"/>
  <c r="X144" i="42"/>
  <c r="W144" i="42"/>
  <c r="V144" i="42"/>
  <c r="X143" i="42"/>
  <c r="W143" i="42"/>
  <c r="V143" i="42"/>
  <c r="X142" i="42"/>
  <c r="W142" i="42"/>
  <c r="V142" i="42"/>
  <c r="X141" i="42"/>
  <c r="W141" i="42"/>
  <c r="V141" i="42"/>
  <c r="X140" i="42"/>
  <c r="W140" i="42"/>
  <c r="V140" i="42"/>
  <c r="X139" i="42"/>
  <c r="W139" i="42"/>
  <c r="V139" i="42"/>
  <c r="X138" i="42"/>
  <c r="W138" i="42"/>
  <c r="V138" i="42"/>
  <c r="X137" i="42"/>
  <c r="W137" i="42"/>
  <c r="V137" i="42"/>
  <c r="X136" i="42"/>
  <c r="W136" i="42"/>
  <c r="V136" i="42"/>
  <c r="X135" i="42"/>
  <c r="W135" i="42"/>
  <c r="V135" i="42"/>
  <c r="X134" i="42"/>
  <c r="W134" i="42"/>
  <c r="V134" i="42"/>
  <c r="X133" i="42"/>
  <c r="W133" i="42"/>
  <c r="V133" i="42"/>
  <c r="X132" i="42"/>
  <c r="W132" i="42"/>
  <c r="V132" i="42"/>
  <c r="X131" i="42"/>
  <c r="W131" i="42"/>
  <c r="V131" i="42"/>
  <c r="X130" i="42"/>
  <c r="W130" i="42"/>
  <c r="V130" i="42"/>
  <c r="X129" i="42"/>
  <c r="W129" i="42"/>
  <c r="V129" i="42"/>
  <c r="X128" i="42"/>
  <c r="W128" i="42"/>
  <c r="V128" i="42"/>
  <c r="X127" i="42"/>
  <c r="W127" i="42"/>
  <c r="V127" i="42"/>
  <c r="X126" i="42"/>
  <c r="W126" i="42"/>
  <c r="V126" i="42"/>
  <c r="X125" i="42"/>
  <c r="W125" i="42"/>
  <c r="V125" i="42"/>
  <c r="X124" i="42"/>
  <c r="W124" i="42"/>
  <c r="V124" i="42"/>
  <c r="X123" i="42"/>
  <c r="W123" i="42"/>
  <c r="V123" i="42"/>
  <c r="X122" i="42"/>
  <c r="W122" i="42"/>
  <c r="V122" i="42"/>
  <c r="X121" i="42"/>
  <c r="W121" i="42"/>
  <c r="V121" i="42"/>
  <c r="X120" i="42"/>
  <c r="W120" i="42"/>
  <c r="V120" i="42"/>
  <c r="X119" i="42"/>
  <c r="W119" i="42"/>
  <c r="V119" i="42"/>
  <c r="X118" i="42"/>
  <c r="W118" i="42"/>
  <c r="V118" i="42"/>
  <c r="X117" i="42"/>
  <c r="W117" i="42"/>
  <c r="V117" i="42"/>
  <c r="X116" i="42"/>
  <c r="W116" i="42"/>
  <c r="V116" i="42"/>
  <c r="X115" i="42"/>
  <c r="W115" i="42"/>
  <c r="V115" i="42"/>
  <c r="X114" i="42"/>
  <c r="W114" i="42"/>
  <c r="V114" i="42"/>
  <c r="X113" i="42"/>
  <c r="W113" i="42"/>
  <c r="V113" i="42"/>
  <c r="X112" i="42"/>
  <c r="W112" i="42"/>
  <c r="V112" i="42"/>
  <c r="X111" i="42"/>
  <c r="W111" i="42"/>
  <c r="V111" i="42"/>
  <c r="X110" i="42"/>
  <c r="W110" i="42"/>
  <c r="V110" i="42"/>
  <c r="X109" i="42"/>
  <c r="W109" i="42"/>
  <c r="V109" i="42"/>
  <c r="X108" i="42"/>
  <c r="W108" i="42"/>
  <c r="V108" i="42"/>
  <c r="X107" i="42"/>
  <c r="W107" i="42"/>
  <c r="V107" i="42"/>
  <c r="X106" i="42"/>
  <c r="W106" i="42"/>
  <c r="V106" i="42"/>
  <c r="X105" i="42"/>
  <c r="W105" i="42"/>
  <c r="V105" i="42"/>
  <c r="X104" i="42"/>
  <c r="W104" i="42"/>
  <c r="V104" i="42"/>
  <c r="X103" i="42"/>
  <c r="W103" i="42"/>
  <c r="V103" i="42"/>
  <c r="X102" i="42"/>
  <c r="W102" i="42"/>
  <c r="V102" i="42"/>
  <c r="X101" i="42"/>
  <c r="W101" i="42"/>
  <c r="V101" i="42"/>
  <c r="X100" i="42"/>
  <c r="W100" i="42"/>
  <c r="V100" i="42"/>
  <c r="X99" i="42"/>
  <c r="W99" i="42"/>
  <c r="V99" i="42"/>
  <c r="X98" i="42"/>
  <c r="W98" i="42"/>
  <c r="V98" i="42"/>
  <c r="X97" i="42"/>
  <c r="W97" i="42"/>
  <c r="V97" i="42"/>
  <c r="X96" i="42"/>
  <c r="W96" i="42"/>
  <c r="V96" i="42"/>
  <c r="X95" i="42"/>
  <c r="W95" i="42"/>
  <c r="V95" i="42"/>
  <c r="X94" i="42"/>
  <c r="W94" i="42"/>
  <c r="V94" i="42"/>
  <c r="X93" i="42"/>
  <c r="W93" i="42"/>
  <c r="V93" i="42"/>
  <c r="X92" i="42"/>
  <c r="W92" i="42"/>
  <c r="V92" i="42"/>
  <c r="X91" i="42"/>
  <c r="W91" i="42"/>
  <c r="V91" i="42"/>
  <c r="X90" i="42"/>
  <c r="W90" i="42"/>
  <c r="V90" i="42"/>
  <c r="X89" i="42"/>
  <c r="W89" i="42"/>
  <c r="V89" i="42"/>
  <c r="X88" i="42"/>
  <c r="W88" i="42"/>
  <c r="V88" i="42"/>
  <c r="X87" i="42"/>
  <c r="W87" i="42"/>
  <c r="V87" i="42"/>
  <c r="X86" i="42"/>
  <c r="W86" i="42"/>
  <c r="V86" i="42"/>
  <c r="X85" i="42"/>
  <c r="W85" i="42"/>
  <c r="V85" i="42"/>
  <c r="X84" i="42"/>
  <c r="W84" i="42"/>
  <c r="V84" i="42"/>
  <c r="X83" i="42"/>
  <c r="W83" i="42"/>
  <c r="V83" i="42"/>
  <c r="X82" i="42"/>
  <c r="W82" i="42"/>
  <c r="V82" i="42"/>
  <c r="X81" i="42"/>
  <c r="W81" i="42"/>
  <c r="V81" i="42"/>
  <c r="X80" i="42"/>
  <c r="W80" i="42"/>
  <c r="V80" i="42"/>
  <c r="X79" i="42"/>
  <c r="W79" i="42"/>
  <c r="V79" i="42"/>
  <c r="X78" i="42"/>
  <c r="W78" i="42"/>
  <c r="V78" i="42"/>
  <c r="X77" i="42"/>
  <c r="W77" i="42"/>
  <c r="V77" i="42"/>
  <c r="X76" i="42"/>
  <c r="W76" i="42"/>
  <c r="V76" i="42"/>
  <c r="X75" i="42"/>
  <c r="W75" i="42"/>
  <c r="V75" i="42"/>
  <c r="X74" i="42"/>
  <c r="W74" i="42"/>
  <c r="V74" i="42"/>
  <c r="X73" i="42"/>
  <c r="W73" i="42"/>
  <c r="V73" i="42"/>
  <c r="X72" i="42"/>
  <c r="W72" i="42"/>
  <c r="V72" i="42"/>
  <c r="X71" i="42"/>
  <c r="W71" i="42"/>
  <c r="V71" i="42"/>
  <c r="X70" i="42"/>
  <c r="W70" i="42"/>
  <c r="V70" i="42"/>
  <c r="X69" i="42"/>
  <c r="W69" i="42"/>
  <c r="V69" i="42"/>
  <c r="X68" i="42"/>
  <c r="W68" i="42"/>
  <c r="V68" i="42"/>
  <c r="X67" i="42"/>
  <c r="W67" i="42"/>
  <c r="V67" i="42"/>
  <c r="X66" i="42"/>
  <c r="W66" i="42"/>
  <c r="V66" i="42"/>
  <c r="X65" i="42"/>
  <c r="W65" i="42"/>
  <c r="V65" i="42"/>
  <c r="X64" i="42"/>
  <c r="W64" i="42"/>
  <c r="V64" i="42"/>
  <c r="X63" i="42"/>
  <c r="W63" i="42"/>
  <c r="V63" i="42"/>
  <c r="X62" i="42"/>
  <c r="W62" i="42"/>
  <c r="V62" i="42"/>
  <c r="X61" i="42"/>
  <c r="W61" i="42"/>
  <c r="V61" i="42"/>
  <c r="X60" i="42"/>
  <c r="W60" i="42"/>
  <c r="V60" i="42"/>
  <c r="X59" i="42"/>
  <c r="W59" i="42"/>
  <c r="V59" i="42"/>
  <c r="X58" i="42"/>
  <c r="W58" i="42"/>
  <c r="V58" i="42"/>
  <c r="X57" i="42"/>
  <c r="W57" i="42"/>
  <c r="V57" i="42"/>
  <c r="X56" i="42"/>
  <c r="W56" i="42"/>
  <c r="V56" i="42"/>
  <c r="X55" i="42"/>
  <c r="W55" i="42"/>
  <c r="V55" i="42"/>
  <c r="X54" i="42"/>
  <c r="W54" i="42"/>
  <c r="V54" i="42"/>
  <c r="X53" i="42"/>
  <c r="W53" i="42"/>
  <c r="V53" i="42"/>
  <c r="X52" i="42"/>
  <c r="W52" i="42"/>
  <c r="V52" i="42"/>
  <c r="X51" i="42"/>
  <c r="W51" i="42"/>
  <c r="V51" i="42"/>
  <c r="X50" i="42"/>
  <c r="W50" i="42"/>
  <c r="V50" i="42"/>
  <c r="X49" i="42"/>
  <c r="W49" i="42"/>
  <c r="V49" i="42"/>
  <c r="X48" i="42"/>
  <c r="W48" i="42"/>
  <c r="V48" i="42"/>
  <c r="X47" i="42"/>
  <c r="W47" i="42"/>
  <c r="V47" i="42"/>
  <c r="X46" i="42"/>
  <c r="W46" i="42"/>
  <c r="V46" i="42"/>
  <c r="X45" i="42"/>
  <c r="W45" i="42"/>
  <c r="V45" i="42"/>
  <c r="X44" i="42"/>
  <c r="W44" i="42"/>
  <c r="V44" i="42"/>
  <c r="X43" i="42"/>
  <c r="W43" i="42"/>
  <c r="V43" i="42"/>
  <c r="X42" i="42"/>
  <c r="W42" i="42"/>
  <c r="V42" i="42"/>
  <c r="X41" i="42"/>
  <c r="W41" i="42"/>
  <c r="V41" i="42"/>
  <c r="X40" i="42"/>
  <c r="W40" i="42"/>
  <c r="V40" i="42"/>
  <c r="X39" i="42"/>
  <c r="W39" i="42"/>
  <c r="V39" i="42"/>
  <c r="X38" i="42"/>
  <c r="W38" i="42"/>
  <c r="V38" i="42"/>
  <c r="X37" i="42"/>
  <c r="W37" i="42"/>
  <c r="V37" i="42"/>
  <c r="X36" i="42"/>
  <c r="W36" i="42"/>
  <c r="V36" i="42"/>
  <c r="X35" i="42"/>
  <c r="W35" i="42"/>
  <c r="V35" i="42"/>
  <c r="X34" i="42"/>
  <c r="W34" i="42"/>
  <c r="V34" i="42"/>
  <c r="X33" i="42"/>
  <c r="W33" i="42"/>
  <c r="V33" i="42"/>
  <c r="X32" i="42"/>
  <c r="W32" i="42"/>
  <c r="V32" i="42"/>
  <c r="X31" i="42"/>
  <c r="W31" i="42"/>
  <c r="V31" i="42"/>
  <c r="X30" i="42"/>
  <c r="W30" i="42"/>
  <c r="V30" i="42"/>
  <c r="X29" i="42"/>
  <c r="W29" i="42"/>
  <c r="V29" i="42"/>
  <c r="X28" i="42"/>
  <c r="W28" i="42"/>
  <c r="V28" i="42"/>
  <c r="X27" i="42"/>
  <c r="W27" i="42"/>
  <c r="V27" i="42"/>
  <c r="X26" i="42"/>
  <c r="W26" i="42"/>
  <c r="V26" i="42"/>
  <c r="X25" i="42"/>
  <c r="W25" i="42"/>
  <c r="V25" i="42"/>
  <c r="X24" i="42"/>
  <c r="W24" i="42"/>
  <c r="V24" i="42"/>
  <c r="X23" i="42"/>
  <c r="W23" i="42"/>
  <c r="V23" i="42"/>
  <c r="X22" i="42"/>
  <c r="W22" i="42"/>
  <c r="V22" i="42"/>
  <c r="X21" i="42"/>
  <c r="W21" i="42"/>
  <c r="V21" i="42"/>
  <c r="X20" i="42"/>
  <c r="W20" i="42"/>
  <c r="V20" i="42"/>
  <c r="X19" i="42"/>
  <c r="W19" i="42"/>
  <c r="V19" i="42"/>
  <c r="X18" i="42"/>
  <c r="W18" i="42"/>
  <c r="V18" i="42"/>
  <c r="X17" i="42"/>
  <c r="W17" i="42"/>
  <c r="V17" i="42"/>
  <c r="X16" i="42"/>
  <c r="W16" i="42"/>
  <c r="V16" i="42"/>
  <c r="X15" i="42"/>
  <c r="W15" i="42"/>
  <c r="V15" i="42"/>
  <c r="X14" i="42"/>
  <c r="W14" i="42"/>
  <c r="V14" i="42"/>
  <c r="X13" i="42"/>
  <c r="W13" i="42"/>
  <c r="V13" i="42"/>
  <c r="X12" i="42"/>
  <c r="W12" i="42"/>
  <c r="V12" i="42"/>
  <c r="X11" i="42"/>
  <c r="W11" i="42"/>
  <c r="V11" i="42"/>
  <c r="X10" i="42"/>
  <c r="W10" i="42"/>
  <c r="V10" i="42"/>
  <c r="X9" i="42"/>
  <c r="W9" i="42"/>
  <c r="V9" i="42"/>
  <c r="X8" i="42"/>
  <c r="W8" i="42"/>
  <c r="V8" i="42"/>
  <c r="X7" i="42"/>
  <c r="W7" i="42"/>
  <c r="V7" i="42"/>
  <c r="X6" i="42"/>
  <c r="W6" i="42"/>
  <c r="V6" i="42"/>
  <c r="X5" i="42"/>
  <c r="W5" i="42"/>
  <c r="V5" i="42"/>
  <c r="X4" i="42"/>
  <c r="W4" i="42"/>
  <c r="V4" i="42"/>
  <c r="X3" i="42"/>
  <c r="W3" i="42"/>
  <c r="V3" i="42"/>
  <c r="O441" i="42"/>
  <c r="O440" i="42"/>
  <c r="O439" i="42"/>
  <c r="O438" i="42"/>
  <c r="O437" i="42"/>
  <c r="O436" i="42"/>
  <c r="O435" i="42"/>
  <c r="O434" i="42"/>
  <c r="O433" i="42"/>
  <c r="O432" i="42"/>
  <c r="O431" i="42"/>
  <c r="O430" i="42"/>
  <c r="O429" i="42"/>
  <c r="O428" i="42"/>
  <c r="O427" i="42"/>
  <c r="O426" i="42"/>
  <c r="O425" i="42"/>
  <c r="O424" i="42"/>
  <c r="O423" i="42"/>
  <c r="O422" i="42"/>
  <c r="O421" i="42"/>
  <c r="O420" i="42"/>
  <c r="O419" i="42"/>
  <c r="O418" i="42"/>
  <c r="O417" i="42"/>
  <c r="O416" i="42"/>
  <c r="O415" i="42"/>
  <c r="O414" i="42"/>
  <c r="O413" i="42"/>
  <c r="O412" i="42"/>
  <c r="O411" i="42"/>
  <c r="O410" i="42"/>
  <c r="O409" i="42"/>
  <c r="O408" i="42"/>
  <c r="O407" i="42"/>
  <c r="O406" i="42"/>
  <c r="O405" i="42"/>
  <c r="O404" i="42"/>
  <c r="O403" i="42"/>
  <c r="O402" i="42"/>
  <c r="O401" i="42"/>
  <c r="O400" i="42"/>
  <c r="O399" i="42"/>
  <c r="O398" i="42"/>
  <c r="O397" i="42"/>
  <c r="O396" i="42"/>
  <c r="O395" i="42"/>
  <c r="O394" i="42"/>
  <c r="O393" i="42"/>
  <c r="O392" i="42"/>
  <c r="O391" i="42"/>
  <c r="O390" i="42"/>
  <c r="O389" i="42"/>
  <c r="O388" i="42"/>
  <c r="O387" i="42"/>
  <c r="O386" i="42"/>
  <c r="O385" i="42"/>
  <c r="O384" i="42"/>
  <c r="O383" i="42"/>
  <c r="O382" i="42"/>
  <c r="O381" i="42"/>
  <c r="O380" i="42"/>
  <c r="O379" i="42"/>
  <c r="O378" i="42"/>
  <c r="O377" i="42"/>
  <c r="O376" i="42"/>
  <c r="O375" i="42"/>
  <c r="O374" i="42"/>
  <c r="O373" i="42"/>
  <c r="O372" i="42"/>
  <c r="O371" i="42"/>
  <c r="O370" i="42"/>
  <c r="O369" i="42"/>
  <c r="O368" i="42"/>
  <c r="O367" i="42"/>
  <c r="O366" i="42"/>
  <c r="O365" i="42"/>
  <c r="O364" i="42"/>
  <c r="O363" i="42"/>
  <c r="O362" i="42"/>
  <c r="O361" i="42"/>
  <c r="O360" i="42"/>
  <c r="O359" i="42"/>
  <c r="O358" i="42"/>
  <c r="O357" i="42"/>
  <c r="O356" i="42"/>
  <c r="O355" i="42"/>
  <c r="O354" i="42"/>
  <c r="O353" i="42"/>
  <c r="O352" i="42"/>
  <c r="O351" i="42"/>
  <c r="O350" i="42"/>
  <c r="O349" i="42"/>
  <c r="O348" i="42"/>
  <c r="O347" i="42"/>
  <c r="O346" i="42"/>
  <c r="O345" i="42"/>
  <c r="O344" i="42"/>
  <c r="O343" i="42"/>
  <c r="O342" i="42"/>
  <c r="O341" i="42"/>
  <c r="O340" i="42"/>
  <c r="O339" i="42"/>
  <c r="O338" i="42"/>
  <c r="O337" i="42"/>
  <c r="O336" i="42"/>
  <c r="O335" i="42"/>
  <c r="O334" i="42"/>
  <c r="O333" i="42"/>
  <c r="O332" i="42"/>
  <c r="O331" i="42"/>
  <c r="O330" i="42"/>
  <c r="O329" i="42"/>
  <c r="O328" i="42"/>
  <c r="O327" i="42"/>
  <c r="O326" i="42"/>
  <c r="O325" i="42"/>
  <c r="O324" i="42"/>
  <c r="O323" i="42"/>
  <c r="O322" i="42"/>
  <c r="O321" i="42"/>
  <c r="O320" i="42"/>
  <c r="O319" i="42"/>
  <c r="O318" i="42"/>
  <c r="O317" i="42"/>
  <c r="O316" i="42"/>
  <c r="O315" i="42"/>
  <c r="O314" i="42"/>
  <c r="O313" i="42"/>
  <c r="O312" i="42"/>
  <c r="O311" i="42"/>
  <c r="O310" i="42"/>
  <c r="O309" i="42"/>
  <c r="O308" i="42"/>
  <c r="O307" i="42"/>
  <c r="O306" i="42"/>
  <c r="O305" i="42"/>
  <c r="O304" i="42"/>
  <c r="O303" i="42"/>
  <c r="O302" i="42"/>
  <c r="O301" i="42"/>
  <c r="O300" i="42"/>
  <c r="O299" i="42"/>
  <c r="O298" i="42"/>
  <c r="O297" i="42"/>
  <c r="O296" i="42"/>
  <c r="O295" i="42"/>
  <c r="O294" i="42"/>
  <c r="O293" i="42"/>
  <c r="O292" i="42"/>
  <c r="O291" i="42"/>
  <c r="O290" i="42"/>
  <c r="O289" i="42"/>
  <c r="O288" i="42"/>
  <c r="O287" i="42"/>
  <c r="O286" i="42"/>
  <c r="O285" i="42"/>
  <c r="O284" i="42"/>
  <c r="O283" i="42"/>
  <c r="O282" i="42"/>
  <c r="O281" i="42"/>
  <c r="O280" i="42"/>
  <c r="O279" i="42"/>
  <c r="O278" i="42"/>
  <c r="O277" i="42"/>
  <c r="O276" i="42"/>
  <c r="O275" i="42"/>
  <c r="O274" i="42"/>
  <c r="O273" i="42"/>
  <c r="O272" i="42"/>
  <c r="O271" i="42"/>
  <c r="O270" i="42"/>
  <c r="O269" i="42"/>
  <c r="O268" i="42"/>
  <c r="O267" i="42"/>
  <c r="O266" i="42"/>
  <c r="O265" i="42"/>
  <c r="O264" i="42"/>
  <c r="O263" i="42"/>
  <c r="O262" i="42"/>
  <c r="O261" i="42"/>
  <c r="O260" i="42"/>
  <c r="O259" i="42"/>
  <c r="O258" i="42"/>
  <c r="O257" i="42"/>
  <c r="O256" i="42"/>
  <c r="O255" i="42"/>
  <c r="O254" i="42"/>
  <c r="O253" i="42"/>
  <c r="O252" i="42"/>
  <c r="O251" i="42"/>
  <c r="O250" i="42"/>
  <c r="O249" i="42"/>
  <c r="O248" i="42"/>
  <c r="O247" i="42"/>
  <c r="O246" i="42"/>
  <c r="O245" i="42"/>
  <c r="O244" i="42"/>
  <c r="O243" i="42"/>
  <c r="O242" i="42"/>
  <c r="O241" i="42"/>
  <c r="O240" i="42"/>
  <c r="O239" i="42"/>
  <c r="O238" i="42"/>
  <c r="O237" i="42"/>
  <c r="O236" i="42"/>
  <c r="O235" i="42"/>
  <c r="O234" i="42"/>
  <c r="O233" i="42"/>
  <c r="O232" i="42"/>
  <c r="O231" i="42"/>
  <c r="O230" i="42"/>
  <c r="O229" i="42"/>
  <c r="O228" i="42"/>
  <c r="O227" i="42"/>
  <c r="O226" i="42"/>
  <c r="O225" i="42"/>
  <c r="O224" i="42"/>
  <c r="O223" i="42"/>
  <c r="O222" i="42"/>
  <c r="O221" i="42"/>
  <c r="O220" i="42"/>
  <c r="O219" i="42"/>
  <c r="O218" i="42"/>
  <c r="O217" i="42"/>
  <c r="O216" i="42"/>
  <c r="O215" i="42"/>
  <c r="O214" i="42"/>
  <c r="O213" i="42"/>
  <c r="O212" i="42"/>
  <c r="O211" i="42"/>
  <c r="O210" i="42"/>
  <c r="O209" i="42"/>
  <c r="O208" i="42"/>
  <c r="O207" i="42"/>
  <c r="O206" i="42"/>
  <c r="O205" i="42"/>
  <c r="O204" i="42"/>
  <c r="O203" i="42"/>
  <c r="O202" i="42"/>
  <c r="O201" i="42"/>
  <c r="O200" i="42"/>
  <c r="O199" i="42"/>
  <c r="O198" i="42"/>
  <c r="O197" i="42"/>
  <c r="O196" i="42"/>
  <c r="O195" i="42"/>
  <c r="O194" i="42"/>
  <c r="O193" i="42"/>
  <c r="O192" i="42"/>
  <c r="O191" i="42"/>
  <c r="O190" i="42"/>
  <c r="O189" i="42"/>
  <c r="O188" i="42"/>
  <c r="O187" i="42"/>
  <c r="O186" i="42"/>
  <c r="O184" i="42"/>
  <c r="O183" i="42"/>
  <c r="O182" i="42"/>
  <c r="O181" i="42"/>
  <c r="O180" i="42"/>
  <c r="O179" i="42"/>
  <c r="O178" i="42"/>
  <c r="O177" i="42"/>
  <c r="O176" i="42"/>
  <c r="O175" i="42"/>
  <c r="O174" i="42"/>
  <c r="O173" i="42"/>
  <c r="O172" i="42"/>
  <c r="O171" i="42"/>
  <c r="O170" i="42"/>
  <c r="O169" i="42"/>
  <c r="O168" i="42"/>
  <c r="O167" i="42"/>
  <c r="O166" i="42"/>
  <c r="O165" i="42"/>
  <c r="O164" i="42"/>
  <c r="O163" i="42"/>
  <c r="O162" i="42"/>
  <c r="O161" i="42"/>
  <c r="O160" i="42"/>
  <c r="O159" i="42"/>
  <c r="O158" i="42"/>
  <c r="O157" i="42"/>
  <c r="O156" i="42"/>
  <c r="O155" i="42"/>
  <c r="O154" i="42"/>
  <c r="O153" i="42"/>
  <c r="O152" i="42"/>
  <c r="O151" i="42"/>
  <c r="O150" i="42"/>
  <c r="O149" i="42"/>
  <c r="O148" i="42"/>
  <c r="O147" i="42"/>
  <c r="O146" i="42"/>
  <c r="O145" i="42"/>
  <c r="O144" i="42"/>
  <c r="O143" i="42"/>
  <c r="O142" i="42"/>
  <c r="O141" i="42"/>
  <c r="O140" i="42"/>
  <c r="O139" i="42"/>
  <c r="O138" i="42"/>
  <c r="O137" i="42"/>
  <c r="O136" i="42"/>
  <c r="O135" i="42"/>
  <c r="O134" i="42"/>
  <c r="O133" i="42"/>
  <c r="O132" i="42"/>
  <c r="O131" i="42"/>
  <c r="O130" i="42"/>
  <c r="O129" i="42"/>
  <c r="O128" i="42"/>
  <c r="O127" i="42"/>
  <c r="O126" i="42"/>
  <c r="O125" i="42"/>
  <c r="O124" i="42"/>
  <c r="O123" i="42"/>
  <c r="O122" i="42"/>
  <c r="O121" i="42"/>
  <c r="O120" i="42"/>
  <c r="O119" i="42"/>
  <c r="O118" i="42"/>
  <c r="O117" i="42"/>
  <c r="O116" i="42"/>
  <c r="O115" i="42"/>
  <c r="O114" i="42"/>
  <c r="O113" i="42"/>
  <c r="O112" i="42"/>
  <c r="O111" i="42"/>
  <c r="O110" i="42"/>
  <c r="O109" i="42"/>
  <c r="O108" i="42"/>
  <c r="O107" i="42"/>
  <c r="O106" i="42"/>
  <c r="O105" i="42"/>
  <c r="O104" i="42"/>
  <c r="O103" i="42"/>
  <c r="O102" i="42"/>
  <c r="O101" i="42"/>
  <c r="O100" i="42"/>
  <c r="O99" i="42"/>
  <c r="O98" i="42"/>
  <c r="O97" i="42"/>
  <c r="O96" i="42"/>
  <c r="O95" i="42"/>
  <c r="O94" i="42"/>
  <c r="O93" i="42"/>
  <c r="O92" i="42"/>
  <c r="O91" i="42"/>
  <c r="O90" i="42"/>
  <c r="O89" i="42"/>
  <c r="O88" i="42"/>
  <c r="O87" i="42"/>
  <c r="O86" i="42"/>
  <c r="O85" i="42"/>
  <c r="O84" i="42"/>
  <c r="O83" i="42"/>
  <c r="O82" i="42"/>
  <c r="O81" i="42"/>
  <c r="O80" i="42"/>
  <c r="O79" i="42"/>
  <c r="O78" i="42"/>
  <c r="O77" i="42"/>
  <c r="O76" i="42"/>
  <c r="O75" i="42"/>
  <c r="O74" i="42"/>
  <c r="O73" i="42"/>
  <c r="O72" i="42"/>
  <c r="O71" i="42"/>
  <c r="O70" i="42"/>
  <c r="O69" i="42"/>
  <c r="O68" i="42"/>
  <c r="O67" i="42"/>
  <c r="O66" i="42"/>
  <c r="O65" i="42"/>
  <c r="O64" i="42"/>
  <c r="O63" i="42"/>
  <c r="O62" i="42"/>
  <c r="O61" i="42"/>
  <c r="O60" i="42"/>
  <c r="O59" i="42"/>
  <c r="O58" i="42"/>
  <c r="O57" i="42"/>
  <c r="O56" i="42"/>
  <c r="O55" i="42"/>
  <c r="O54" i="42"/>
  <c r="O53" i="42"/>
  <c r="O52" i="42"/>
  <c r="O51" i="42"/>
  <c r="O50" i="42"/>
  <c r="O49" i="42"/>
  <c r="O48" i="42"/>
  <c r="O47" i="42"/>
  <c r="O46" i="42"/>
  <c r="O45" i="42"/>
  <c r="O44" i="42"/>
  <c r="O43" i="42"/>
  <c r="O42" i="42"/>
  <c r="O41" i="42"/>
  <c r="O40" i="42"/>
  <c r="O39" i="42"/>
  <c r="O38" i="42"/>
  <c r="O37" i="42"/>
  <c r="O36" i="42"/>
  <c r="O35" i="42"/>
  <c r="O34" i="42"/>
  <c r="O33" i="42"/>
  <c r="O32" i="42"/>
  <c r="O31" i="42"/>
  <c r="O30" i="42"/>
  <c r="O29" i="42"/>
  <c r="O28" i="42"/>
  <c r="O27" i="42"/>
  <c r="O26" i="42"/>
  <c r="O25" i="42"/>
  <c r="O24" i="42"/>
  <c r="O23" i="42"/>
  <c r="O22" i="42"/>
  <c r="O21" i="42"/>
  <c r="O20" i="42"/>
  <c r="O19" i="42"/>
  <c r="O18" i="42"/>
  <c r="O17" i="42"/>
  <c r="O16" i="42"/>
  <c r="O14" i="42"/>
  <c r="O13" i="42"/>
  <c r="O12" i="42"/>
  <c r="O11" i="42"/>
  <c r="O10" i="42"/>
  <c r="O7" i="42"/>
  <c r="O6" i="42"/>
  <c r="O5" i="42"/>
  <c r="O4" i="42"/>
  <c r="O3" i="42"/>
  <c r="F441" i="42"/>
  <c r="D441" i="42"/>
  <c r="C441" i="42"/>
  <c r="B441" i="42"/>
  <c r="F440" i="42"/>
  <c r="D440" i="42"/>
  <c r="C440" i="42"/>
  <c r="B440" i="42"/>
  <c r="F439" i="42"/>
  <c r="D439" i="42"/>
  <c r="C439" i="42"/>
  <c r="B439" i="42"/>
  <c r="F438" i="42"/>
  <c r="D438" i="42"/>
  <c r="C438" i="42"/>
  <c r="B438" i="42"/>
  <c r="F437" i="42"/>
  <c r="D437" i="42"/>
  <c r="C437" i="42"/>
  <c r="B437" i="42"/>
  <c r="F436" i="42"/>
  <c r="D436" i="42"/>
  <c r="C436" i="42"/>
  <c r="B436" i="42"/>
  <c r="F435" i="42"/>
  <c r="D435" i="42"/>
  <c r="C435" i="42"/>
  <c r="B435" i="42"/>
  <c r="F434" i="42"/>
  <c r="D434" i="42"/>
  <c r="C434" i="42"/>
  <c r="B434" i="42"/>
  <c r="F433" i="42"/>
  <c r="D433" i="42"/>
  <c r="C433" i="42"/>
  <c r="B433" i="42"/>
  <c r="F432" i="42"/>
  <c r="D432" i="42"/>
  <c r="C432" i="42"/>
  <c r="B432" i="42"/>
  <c r="F431" i="42"/>
  <c r="D431" i="42"/>
  <c r="C431" i="42"/>
  <c r="B431" i="42"/>
  <c r="F430" i="42"/>
  <c r="D430" i="42"/>
  <c r="C430" i="42"/>
  <c r="B430" i="42"/>
  <c r="F429" i="42"/>
  <c r="D429" i="42"/>
  <c r="C429" i="42"/>
  <c r="B429" i="42"/>
  <c r="F428" i="42"/>
  <c r="D428" i="42"/>
  <c r="C428" i="42"/>
  <c r="B428" i="42"/>
  <c r="F427" i="42"/>
  <c r="D427" i="42"/>
  <c r="C427" i="42"/>
  <c r="B427" i="42"/>
  <c r="F426" i="42"/>
  <c r="D426" i="42"/>
  <c r="C426" i="42"/>
  <c r="B426" i="42"/>
  <c r="F425" i="42"/>
  <c r="D425" i="42"/>
  <c r="C425" i="42"/>
  <c r="B425" i="42"/>
  <c r="F424" i="42"/>
  <c r="D424" i="42"/>
  <c r="C424" i="42"/>
  <c r="B424" i="42"/>
  <c r="F423" i="42"/>
  <c r="D423" i="42"/>
  <c r="C423" i="42"/>
  <c r="B423" i="42"/>
  <c r="F422" i="42"/>
  <c r="D422" i="42"/>
  <c r="C422" i="42"/>
  <c r="B422" i="42"/>
  <c r="F421" i="42"/>
  <c r="D421" i="42"/>
  <c r="C421" i="42"/>
  <c r="B421" i="42"/>
  <c r="F420" i="42"/>
  <c r="D420" i="42"/>
  <c r="C420" i="42"/>
  <c r="B420" i="42"/>
  <c r="F419" i="42"/>
  <c r="D419" i="42"/>
  <c r="C419" i="42"/>
  <c r="B419" i="42"/>
  <c r="F418" i="42"/>
  <c r="D418" i="42"/>
  <c r="C418" i="42"/>
  <c r="B418" i="42"/>
  <c r="F417" i="42"/>
  <c r="D417" i="42"/>
  <c r="C417" i="42"/>
  <c r="B417" i="42"/>
  <c r="F416" i="42"/>
  <c r="D416" i="42"/>
  <c r="C416" i="42"/>
  <c r="B416" i="42"/>
  <c r="F415" i="42"/>
  <c r="D415" i="42"/>
  <c r="C415" i="42"/>
  <c r="B415" i="42"/>
  <c r="F414" i="42"/>
  <c r="D414" i="42"/>
  <c r="C414" i="42"/>
  <c r="B414" i="42"/>
  <c r="F413" i="42"/>
  <c r="D413" i="42"/>
  <c r="C413" i="42"/>
  <c r="B413" i="42"/>
  <c r="F412" i="42"/>
  <c r="D412" i="42"/>
  <c r="C412" i="42"/>
  <c r="B412" i="42"/>
  <c r="F411" i="42"/>
  <c r="D411" i="42"/>
  <c r="C411" i="42"/>
  <c r="B411" i="42"/>
  <c r="F410" i="42"/>
  <c r="D410" i="42"/>
  <c r="C410" i="42"/>
  <c r="B410" i="42"/>
  <c r="F409" i="42"/>
  <c r="D409" i="42"/>
  <c r="C409" i="42"/>
  <c r="B409" i="42"/>
  <c r="F408" i="42"/>
  <c r="D408" i="42"/>
  <c r="C408" i="42"/>
  <c r="F407" i="42"/>
  <c r="D407" i="42"/>
  <c r="C407" i="42"/>
  <c r="B407" i="42"/>
  <c r="F406" i="42"/>
  <c r="D406" i="42"/>
  <c r="C406" i="42"/>
  <c r="B406" i="42"/>
  <c r="F405" i="42"/>
  <c r="D405" i="42"/>
  <c r="C405" i="42"/>
  <c r="B405" i="42"/>
  <c r="F404" i="42"/>
  <c r="D404" i="42"/>
  <c r="C404" i="42"/>
  <c r="F403" i="42"/>
  <c r="D403" i="42"/>
  <c r="C403" i="42"/>
  <c r="B403" i="42"/>
  <c r="F402" i="42"/>
  <c r="D402" i="42"/>
  <c r="C402" i="42"/>
  <c r="F401" i="42"/>
  <c r="D401" i="42"/>
  <c r="C401" i="42"/>
  <c r="B401" i="42"/>
  <c r="F400" i="42"/>
  <c r="D400" i="42"/>
  <c r="C400" i="42"/>
  <c r="B400" i="42"/>
  <c r="F399" i="42"/>
  <c r="D399" i="42"/>
  <c r="C399" i="42"/>
  <c r="B399" i="42"/>
  <c r="F398" i="42"/>
  <c r="D398" i="42"/>
  <c r="C398" i="42"/>
  <c r="B398" i="42"/>
  <c r="F397" i="42"/>
  <c r="D397" i="42"/>
  <c r="C397" i="42"/>
  <c r="B397" i="42"/>
  <c r="F396" i="42"/>
  <c r="D396" i="42"/>
  <c r="C396" i="42"/>
  <c r="B396" i="42"/>
  <c r="F395" i="42"/>
  <c r="D395" i="42"/>
  <c r="C395" i="42"/>
  <c r="B395" i="42"/>
  <c r="F394" i="42"/>
  <c r="D394" i="42"/>
  <c r="C394" i="42"/>
  <c r="B394" i="42"/>
  <c r="F393" i="42"/>
  <c r="D393" i="42"/>
  <c r="C393" i="42"/>
  <c r="B393" i="42"/>
  <c r="F392" i="42"/>
  <c r="D392" i="42"/>
  <c r="C392" i="42"/>
  <c r="B392" i="42"/>
  <c r="F391" i="42"/>
  <c r="D391" i="42"/>
  <c r="C391" i="42"/>
  <c r="B391" i="42"/>
  <c r="F390" i="42"/>
  <c r="D390" i="42"/>
  <c r="C390" i="42"/>
  <c r="B390" i="42"/>
  <c r="F389" i="42"/>
  <c r="D389" i="42"/>
  <c r="C389" i="42"/>
  <c r="B389" i="42"/>
  <c r="F388" i="42"/>
  <c r="D388" i="42"/>
  <c r="C388" i="42"/>
  <c r="B388" i="42"/>
  <c r="F387" i="42"/>
  <c r="D387" i="42"/>
  <c r="C387" i="42"/>
  <c r="B387" i="42"/>
  <c r="F386" i="42"/>
  <c r="D386" i="42"/>
  <c r="C386" i="42"/>
  <c r="B386" i="42"/>
  <c r="F385" i="42"/>
  <c r="D385" i="42"/>
  <c r="C385" i="42"/>
  <c r="B385" i="42"/>
  <c r="F384" i="42"/>
  <c r="D384" i="42"/>
  <c r="C384" i="42"/>
  <c r="B384" i="42"/>
  <c r="F383" i="42"/>
  <c r="D383" i="42"/>
  <c r="C383" i="42"/>
  <c r="B383" i="42"/>
  <c r="F382" i="42"/>
  <c r="D382" i="42"/>
  <c r="C382" i="42"/>
  <c r="B382" i="42"/>
  <c r="F381" i="42"/>
  <c r="D381" i="42"/>
  <c r="C381" i="42"/>
  <c r="B381" i="42"/>
  <c r="F380" i="42"/>
  <c r="D380" i="42"/>
  <c r="C380" i="42"/>
  <c r="B380" i="42"/>
  <c r="F379" i="42"/>
  <c r="D379" i="42"/>
  <c r="C379" i="42"/>
  <c r="B379" i="42"/>
  <c r="F378" i="42"/>
  <c r="D378" i="42"/>
  <c r="C378" i="42"/>
  <c r="B378" i="42"/>
  <c r="F377" i="42"/>
  <c r="D377" i="42"/>
  <c r="C377" i="42"/>
  <c r="B377" i="42"/>
  <c r="F376" i="42"/>
  <c r="D376" i="42"/>
  <c r="C376" i="42"/>
  <c r="B376" i="42"/>
  <c r="F375" i="42"/>
  <c r="D375" i="42"/>
  <c r="C375" i="42"/>
  <c r="B375" i="42"/>
  <c r="F374" i="42"/>
  <c r="D374" i="42"/>
  <c r="C374" i="42"/>
  <c r="B374" i="42"/>
  <c r="F373" i="42"/>
  <c r="D373" i="42"/>
  <c r="C373" i="42"/>
  <c r="B373" i="42"/>
  <c r="F372" i="42"/>
  <c r="D372" i="42"/>
  <c r="C372" i="42"/>
  <c r="B372" i="42"/>
  <c r="F371" i="42"/>
  <c r="D371" i="42"/>
  <c r="C371" i="42"/>
  <c r="B371" i="42"/>
  <c r="F370" i="42"/>
  <c r="D370" i="42"/>
  <c r="C370" i="42"/>
  <c r="B370" i="42"/>
  <c r="F369" i="42"/>
  <c r="D369" i="42"/>
  <c r="C369" i="42"/>
  <c r="B369" i="42"/>
  <c r="F368" i="42"/>
  <c r="D368" i="42"/>
  <c r="C368" i="42"/>
  <c r="B368" i="42"/>
  <c r="F367" i="42"/>
  <c r="D367" i="42"/>
  <c r="C367" i="42"/>
  <c r="B367" i="42"/>
  <c r="F366" i="42"/>
  <c r="D366" i="42"/>
  <c r="C366" i="42"/>
  <c r="B366" i="42"/>
  <c r="F365" i="42"/>
  <c r="D365" i="42"/>
  <c r="C365" i="42"/>
  <c r="B365" i="42"/>
  <c r="F364" i="42"/>
  <c r="D364" i="42"/>
  <c r="C364" i="42"/>
  <c r="B364" i="42"/>
  <c r="F363" i="42"/>
  <c r="D363" i="42"/>
  <c r="C363" i="42"/>
  <c r="B363" i="42"/>
  <c r="F362" i="42"/>
  <c r="D362" i="42"/>
  <c r="C362" i="42"/>
  <c r="B362" i="42"/>
  <c r="F361" i="42"/>
  <c r="D361" i="42"/>
  <c r="C361" i="42"/>
  <c r="B361" i="42"/>
  <c r="F360" i="42"/>
  <c r="D360" i="42"/>
  <c r="C360" i="42"/>
  <c r="B360" i="42"/>
  <c r="F359" i="42"/>
  <c r="D359" i="42"/>
  <c r="C359" i="42"/>
  <c r="B359" i="42"/>
  <c r="F358" i="42"/>
  <c r="D358" i="42"/>
  <c r="C358" i="42"/>
  <c r="B358" i="42"/>
  <c r="F357" i="42"/>
  <c r="D357" i="42"/>
  <c r="C357" i="42"/>
  <c r="B357" i="42"/>
  <c r="F356" i="42"/>
  <c r="D356" i="42"/>
  <c r="C356" i="42"/>
  <c r="B356" i="42"/>
  <c r="F355" i="42"/>
  <c r="D355" i="42"/>
  <c r="C355" i="42"/>
  <c r="B355" i="42"/>
  <c r="F354" i="42"/>
  <c r="D354" i="42"/>
  <c r="C354" i="42"/>
  <c r="B354" i="42"/>
  <c r="F353" i="42"/>
  <c r="D353" i="42"/>
  <c r="C353" i="42"/>
  <c r="B353" i="42"/>
  <c r="F352" i="42"/>
  <c r="D352" i="42"/>
  <c r="C352" i="42"/>
  <c r="B352" i="42"/>
  <c r="F351" i="42"/>
  <c r="D351" i="42"/>
  <c r="C351" i="42"/>
  <c r="B351" i="42"/>
  <c r="F350" i="42"/>
  <c r="D350" i="42"/>
  <c r="C350" i="42"/>
  <c r="B350" i="42"/>
  <c r="F349" i="42"/>
  <c r="D349" i="42"/>
  <c r="C349" i="42"/>
  <c r="B349" i="42"/>
  <c r="F348" i="42"/>
  <c r="D348" i="42"/>
  <c r="C348" i="42"/>
  <c r="B348" i="42"/>
  <c r="F347" i="42"/>
  <c r="D347" i="42"/>
  <c r="C347" i="42"/>
  <c r="B347" i="42"/>
  <c r="F346" i="42"/>
  <c r="D346" i="42"/>
  <c r="C346" i="42"/>
  <c r="B346" i="42"/>
  <c r="F345" i="42"/>
  <c r="D345" i="42"/>
  <c r="C345" i="42"/>
  <c r="B345" i="42"/>
  <c r="F344" i="42"/>
  <c r="D344" i="42"/>
  <c r="C344" i="42"/>
  <c r="B344" i="42"/>
  <c r="F343" i="42"/>
  <c r="D343" i="42"/>
  <c r="C343" i="42"/>
  <c r="B343" i="42"/>
  <c r="F342" i="42"/>
  <c r="D342" i="42"/>
  <c r="C342" i="42"/>
  <c r="B342" i="42"/>
  <c r="F341" i="42"/>
  <c r="D341" i="42"/>
  <c r="C341" i="42"/>
  <c r="B341" i="42"/>
  <c r="F340" i="42"/>
  <c r="D340" i="42"/>
  <c r="C340" i="42"/>
  <c r="B340" i="42"/>
  <c r="F339" i="42"/>
  <c r="D339" i="42"/>
  <c r="C339" i="42"/>
  <c r="B339" i="42"/>
  <c r="F338" i="42"/>
  <c r="D338" i="42"/>
  <c r="C338" i="42"/>
  <c r="B338" i="42"/>
  <c r="F337" i="42"/>
  <c r="D337" i="42"/>
  <c r="C337" i="42"/>
  <c r="B337" i="42"/>
  <c r="F336" i="42"/>
  <c r="D336" i="42"/>
  <c r="C336" i="42"/>
  <c r="B336" i="42"/>
  <c r="F335" i="42"/>
  <c r="D335" i="42"/>
  <c r="C335" i="42"/>
  <c r="B335" i="42"/>
  <c r="F334" i="42"/>
  <c r="D334" i="42"/>
  <c r="C334" i="42"/>
  <c r="B334" i="42"/>
  <c r="F333" i="42"/>
  <c r="D333" i="42"/>
  <c r="C333" i="42"/>
  <c r="B333" i="42"/>
  <c r="F332" i="42"/>
  <c r="D332" i="42"/>
  <c r="C332" i="42"/>
  <c r="B332" i="42"/>
  <c r="F331" i="42"/>
  <c r="D331" i="42"/>
  <c r="C331" i="42"/>
  <c r="B331" i="42"/>
  <c r="F330" i="42"/>
  <c r="D330" i="42"/>
  <c r="C330" i="42"/>
  <c r="B330" i="42"/>
  <c r="F328" i="42"/>
  <c r="D328" i="42"/>
  <c r="C328" i="42"/>
  <c r="B328" i="42"/>
  <c r="F327" i="42"/>
  <c r="D327" i="42"/>
  <c r="C327" i="42"/>
  <c r="B327" i="42"/>
  <c r="F326" i="42"/>
  <c r="D326" i="42"/>
  <c r="C326" i="42"/>
  <c r="B326" i="42"/>
  <c r="F325" i="42"/>
  <c r="D325" i="42"/>
  <c r="C325" i="42"/>
  <c r="B325" i="42"/>
  <c r="F324" i="42"/>
  <c r="D324" i="42"/>
  <c r="C324" i="42"/>
  <c r="B324" i="42"/>
  <c r="F323" i="42"/>
  <c r="D323" i="42"/>
  <c r="C323" i="42"/>
  <c r="B323" i="42"/>
  <c r="F322" i="42"/>
  <c r="D322" i="42"/>
  <c r="C322" i="42"/>
  <c r="B322" i="42"/>
  <c r="F321" i="42"/>
  <c r="D321" i="42"/>
  <c r="C321" i="42"/>
  <c r="B321" i="42"/>
  <c r="F320" i="42"/>
  <c r="D320" i="42"/>
  <c r="C320" i="42"/>
  <c r="B320" i="42"/>
  <c r="F319" i="42"/>
  <c r="D319" i="42"/>
  <c r="C319" i="42"/>
  <c r="B319" i="42"/>
  <c r="F318" i="42"/>
  <c r="D318" i="42"/>
  <c r="C318" i="42"/>
  <c r="B318" i="42"/>
  <c r="F317" i="42"/>
  <c r="D317" i="42"/>
  <c r="C317" i="42"/>
  <c r="B317" i="42"/>
  <c r="F316" i="42"/>
  <c r="D316" i="42"/>
  <c r="C316" i="42"/>
  <c r="B316" i="42"/>
  <c r="F315" i="42"/>
  <c r="D315" i="42"/>
  <c r="C315" i="42"/>
  <c r="B315" i="42"/>
  <c r="F314" i="42"/>
  <c r="D314" i="42"/>
  <c r="C314" i="42"/>
  <c r="B314" i="42"/>
  <c r="F313" i="42"/>
  <c r="D313" i="42"/>
  <c r="C313" i="42"/>
  <c r="B313" i="42"/>
  <c r="F312" i="42"/>
  <c r="D312" i="42"/>
  <c r="C312" i="42"/>
  <c r="B312" i="42"/>
  <c r="F311" i="42"/>
  <c r="D311" i="42"/>
  <c r="C311" i="42"/>
  <c r="B311" i="42"/>
  <c r="F310" i="42"/>
  <c r="D310" i="42"/>
  <c r="C310" i="42"/>
  <c r="B310" i="42"/>
  <c r="F309" i="42"/>
  <c r="D309" i="42"/>
  <c r="C309" i="42"/>
  <c r="B309" i="42"/>
  <c r="F308" i="42"/>
  <c r="D308" i="42"/>
  <c r="C308" i="42"/>
  <c r="B308" i="42"/>
  <c r="F307" i="42"/>
  <c r="D307" i="42"/>
  <c r="C307" i="42"/>
  <c r="B307" i="42"/>
  <c r="F306" i="42"/>
  <c r="D306" i="42"/>
  <c r="C306" i="42"/>
  <c r="B306" i="42"/>
  <c r="F305" i="42"/>
  <c r="D305" i="42"/>
  <c r="C305" i="42"/>
  <c r="B305" i="42"/>
  <c r="F304" i="42"/>
  <c r="D304" i="42"/>
  <c r="C304" i="42"/>
  <c r="B304" i="42"/>
  <c r="F303" i="42"/>
  <c r="D303" i="42"/>
  <c r="C303" i="42"/>
  <c r="B303" i="42"/>
  <c r="F302" i="42"/>
  <c r="D302" i="42"/>
  <c r="C302" i="42"/>
  <c r="B302" i="42"/>
  <c r="F301" i="42"/>
  <c r="D301" i="42"/>
  <c r="C301" i="42"/>
  <c r="B301" i="42"/>
  <c r="F300" i="42"/>
  <c r="D300" i="42"/>
  <c r="C300" i="42"/>
  <c r="B300" i="42"/>
  <c r="F299" i="42"/>
  <c r="D299" i="42"/>
  <c r="C299" i="42"/>
  <c r="B299" i="42"/>
  <c r="F298" i="42"/>
  <c r="D298" i="42"/>
  <c r="C298" i="42"/>
  <c r="B298" i="42"/>
  <c r="F297" i="42"/>
  <c r="D297" i="42"/>
  <c r="C297" i="42"/>
  <c r="B297" i="42"/>
  <c r="F296" i="42"/>
  <c r="D296" i="42"/>
  <c r="C296" i="42"/>
  <c r="B296" i="42"/>
  <c r="F295" i="42"/>
  <c r="D295" i="42"/>
  <c r="C295" i="42"/>
  <c r="B295" i="42"/>
  <c r="F294" i="42"/>
  <c r="D294" i="42"/>
  <c r="C294" i="42"/>
  <c r="B294" i="42"/>
  <c r="F293" i="42"/>
  <c r="D293" i="42"/>
  <c r="C293" i="42"/>
  <c r="B293" i="42"/>
  <c r="F292" i="42"/>
  <c r="D292" i="42"/>
  <c r="C292" i="42"/>
  <c r="B292" i="42"/>
  <c r="F291" i="42"/>
  <c r="D291" i="42"/>
  <c r="C291" i="42"/>
  <c r="B291" i="42"/>
  <c r="F290" i="42"/>
  <c r="D290" i="42"/>
  <c r="C290" i="42"/>
  <c r="B290" i="42"/>
  <c r="F289" i="42"/>
  <c r="D289" i="42"/>
  <c r="C289" i="42"/>
  <c r="B289" i="42"/>
  <c r="F288" i="42"/>
  <c r="D288" i="42"/>
  <c r="C288" i="42"/>
  <c r="B288" i="42"/>
  <c r="F287" i="42"/>
  <c r="D287" i="42"/>
  <c r="C287" i="42"/>
  <c r="B287" i="42"/>
  <c r="F286" i="42"/>
  <c r="D286" i="42"/>
  <c r="C286" i="42"/>
  <c r="B286" i="42"/>
  <c r="F285" i="42"/>
  <c r="D285" i="42"/>
  <c r="C285" i="42"/>
  <c r="B285" i="42"/>
  <c r="F284" i="42"/>
  <c r="D284" i="42"/>
  <c r="C284" i="42"/>
  <c r="B284" i="42"/>
  <c r="F283" i="42"/>
  <c r="D283" i="42"/>
  <c r="C283" i="42"/>
  <c r="B283" i="42"/>
  <c r="F282" i="42"/>
  <c r="D282" i="42"/>
  <c r="C282" i="42"/>
  <c r="B282" i="42"/>
  <c r="F281" i="42"/>
  <c r="D281" i="42"/>
  <c r="C281" i="42"/>
  <c r="B281" i="42"/>
  <c r="F280" i="42"/>
  <c r="D280" i="42"/>
  <c r="C280" i="42"/>
  <c r="B280" i="42"/>
  <c r="F279" i="42"/>
  <c r="D279" i="42"/>
  <c r="C279" i="42"/>
  <c r="B279" i="42"/>
  <c r="F278" i="42"/>
  <c r="D278" i="42"/>
  <c r="C278" i="42"/>
  <c r="B278" i="42"/>
  <c r="F277" i="42"/>
  <c r="D277" i="42"/>
  <c r="C277" i="42"/>
  <c r="B277" i="42"/>
  <c r="F276" i="42"/>
  <c r="D276" i="42"/>
  <c r="C276" i="42"/>
  <c r="B276" i="42"/>
  <c r="F275" i="42"/>
  <c r="D275" i="42"/>
  <c r="C275" i="42"/>
  <c r="B275" i="42"/>
  <c r="F274" i="42"/>
  <c r="D274" i="42"/>
  <c r="C274" i="42"/>
  <c r="B274" i="42"/>
  <c r="F273" i="42"/>
  <c r="D273" i="42"/>
  <c r="C273" i="42"/>
  <c r="B273" i="42"/>
  <c r="F272" i="42"/>
  <c r="D272" i="42"/>
  <c r="C272" i="42"/>
  <c r="B272" i="42"/>
  <c r="F271" i="42"/>
  <c r="D271" i="42"/>
  <c r="C271" i="42"/>
  <c r="B271" i="42"/>
  <c r="F270" i="42"/>
  <c r="D270" i="42"/>
  <c r="C270" i="42"/>
  <c r="B270" i="42"/>
  <c r="F269" i="42"/>
  <c r="D269" i="42"/>
  <c r="C269" i="42"/>
  <c r="B269" i="42"/>
  <c r="F268" i="42"/>
  <c r="D268" i="42"/>
  <c r="C268" i="42"/>
  <c r="B268" i="42"/>
  <c r="F267" i="42"/>
  <c r="D267" i="42"/>
  <c r="C267" i="42"/>
  <c r="B267" i="42"/>
  <c r="F266" i="42"/>
  <c r="D266" i="42"/>
  <c r="C266" i="42"/>
  <c r="B266" i="42"/>
  <c r="F265" i="42"/>
  <c r="D265" i="42"/>
  <c r="C265" i="42"/>
  <c r="B265" i="42"/>
  <c r="F264" i="42"/>
  <c r="D264" i="42"/>
  <c r="C264" i="42"/>
  <c r="B264" i="42"/>
  <c r="F263" i="42"/>
  <c r="D263" i="42"/>
  <c r="C263" i="42"/>
  <c r="B263" i="42"/>
  <c r="F262" i="42"/>
  <c r="D262" i="42"/>
  <c r="C262" i="42"/>
  <c r="B262" i="42"/>
  <c r="F261" i="42"/>
  <c r="D261" i="42"/>
  <c r="C261" i="42"/>
  <c r="B261" i="42"/>
  <c r="F260" i="42"/>
  <c r="D260" i="42"/>
  <c r="C260" i="42"/>
  <c r="B260" i="42"/>
  <c r="F259" i="42"/>
  <c r="D259" i="42"/>
  <c r="C259" i="42"/>
  <c r="B259" i="42"/>
  <c r="F258" i="42"/>
  <c r="D258" i="42"/>
  <c r="C258" i="42"/>
  <c r="B258" i="42"/>
  <c r="F257" i="42"/>
  <c r="D257" i="42"/>
  <c r="C257" i="42"/>
  <c r="B257" i="42"/>
  <c r="F256" i="42"/>
  <c r="D256" i="42"/>
  <c r="C256" i="42"/>
  <c r="B256" i="42"/>
  <c r="F255" i="42"/>
  <c r="D255" i="42"/>
  <c r="C255" i="42"/>
  <c r="B255" i="42"/>
  <c r="F254" i="42"/>
  <c r="D254" i="42"/>
  <c r="C254" i="42"/>
  <c r="B254" i="42"/>
  <c r="F253" i="42"/>
  <c r="D253" i="42"/>
  <c r="C253" i="42"/>
  <c r="B253" i="42"/>
  <c r="F252" i="42"/>
  <c r="D252" i="42"/>
  <c r="C252" i="42"/>
  <c r="B252" i="42"/>
  <c r="F251" i="42"/>
  <c r="D251" i="42"/>
  <c r="C251" i="42"/>
  <c r="B251" i="42"/>
  <c r="F250" i="42"/>
  <c r="D250" i="42"/>
  <c r="C250" i="42"/>
  <c r="B250" i="42"/>
  <c r="F249" i="42"/>
  <c r="D249" i="42"/>
  <c r="C249" i="42"/>
  <c r="B249" i="42"/>
  <c r="F248" i="42"/>
  <c r="D248" i="42"/>
  <c r="C248" i="42"/>
  <c r="B248" i="42"/>
  <c r="F247" i="42"/>
  <c r="D247" i="42"/>
  <c r="C247" i="42"/>
  <c r="B247" i="42"/>
  <c r="F246" i="42"/>
  <c r="D246" i="42"/>
  <c r="C246" i="42"/>
  <c r="B246" i="42"/>
  <c r="F245" i="42"/>
  <c r="D245" i="42"/>
  <c r="C245" i="42"/>
  <c r="B245" i="42"/>
  <c r="F244" i="42"/>
  <c r="D244" i="42"/>
  <c r="C244" i="42"/>
  <c r="B244" i="42"/>
  <c r="F243" i="42"/>
  <c r="D243" i="42"/>
  <c r="C243" i="42"/>
  <c r="B243" i="42"/>
  <c r="F242" i="42"/>
  <c r="D242" i="42"/>
  <c r="C242" i="42"/>
  <c r="B242" i="42"/>
  <c r="F241" i="42"/>
  <c r="D241" i="42"/>
  <c r="C241" i="42"/>
  <c r="B241" i="42"/>
  <c r="F240" i="42"/>
  <c r="D240" i="42"/>
  <c r="C240" i="42"/>
  <c r="B240" i="42"/>
  <c r="F239" i="42"/>
  <c r="D239" i="42"/>
  <c r="C239" i="42"/>
  <c r="B239" i="42"/>
  <c r="F238" i="42"/>
  <c r="D238" i="42"/>
  <c r="C238" i="42"/>
  <c r="B238" i="42"/>
  <c r="F237" i="42"/>
  <c r="D237" i="42"/>
  <c r="C237" i="42"/>
  <c r="B237" i="42"/>
  <c r="F236" i="42"/>
  <c r="D236" i="42"/>
  <c r="C236" i="42"/>
  <c r="B236" i="42"/>
  <c r="F235" i="42"/>
  <c r="D235" i="42"/>
  <c r="C235" i="42"/>
  <c r="B235" i="42"/>
  <c r="F234" i="42"/>
  <c r="D234" i="42"/>
  <c r="C234" i="42"/>
  <c r="B234" i="42"/>
  <c r="F233" i="42"/>
  <c r="D233" i="42"/>
  <c r="C233" i="42"/>
  <c r="B233" i="42"/>
  <c r="F232" i="42"/>
  <c r="D232" i="42"/>
  <c r="C232" i="42"/>
  <c r="B232" i="42"/>
  <c r="F231" i="42"/>
  <c r="D231" i="42"/>
  <c r="C231" i="42"/>
  <c r="B231" i="42"/>
  <c r="F230" i="42"/>
  <c r="D230" i="42"/>
  <c r="C230" i="42"/>
  <c r="B230" i="42"/>
  <c r="F229" i="42"/>
  <c r="D229" i="42"/>
  <c r="C229" i="42"/>
  <c r="B229" i="42"/>
  <c r="F228" i="42"/>
  <c r="D228" i="42"/>
  <c r="C228" i="42"/>
  <c r="B228" i="42"/>
  <c r="F227" i="42"/>
  <c r="D227" i="42"/>
  <c r="C227" i="42"/>
  <c r="B227" i="42"/>
  <c r="F226" i="42"/>
  <c r="D226" i="42"/>
  <c r="C226" i="42"/>
  <c r="B226" i="42"/>
  <c r="F225" i="42"/>
  <c r="D225" i="42"/>
  <c r="C225" i="42"/>
  <c r="B225" i="42"/>
  <c r="F224" i="42"/>
  <c r="D224" i="42"/>
  <c r="C224" i="42"/>
  <c r="B224" i="42"/>
  <c r="F223" i="42"/>
  <c r="D223" i="42"/>
  <c r="C223" i="42"/>
  <c r="B223" i="42"/>
  <c r="F222" i="42"/>
  <c r="D222" i="42"/>
  <c r="C222" i="42"/>
  <c r="B222" i="42"/>
  <c r="F221" i="42"/>
  <c r="D221" i="42"/>
  <c r="C221" i="42"/>
  <c r="B221" i="42"/>
  <c r="F220" i="42"/>
  <c r="D220" i="42"/>
  <c r="C220" i="42"/>
  <c r="B220" i="42"/>
  <c r="F219" i="42"/>
  <c r="D219" i="42"/>
  <c r="C219" i="42"/>
  <c r="B219" i="42"/>
  <c r="F218" i="42"/>
  <c r="D218" i="42"/>
  <c r="C218" i="42"/>
  <c r="B218" i="42"/>
  <c r="F217" i="42"/>
  <c r="D217" i="42"/>
  <c r="C217" i="42"/>
  <c r="B217" i="42"/>
  <c r="F216" i="42"/>
  <c r="D216" i="42"/>
  <c r="C216" i="42"/>
  <c r="B216" i="42"/>
  <c r="F215" i="42"/>
  <c r="D215" i="42"/>
  <c r="C215" i="42"/>
  <c r="B215" i="42"/>
  <c r="F214" i="42"/>
  <c r="D214" i="42"/>
  <c r="C214" i="42"/>
  <c r="B214" i="42"/>
  <c r="F213" i="42"/>
  <c r="D213" i="42"/>
  <c r="C213" i="42"/>
  <c r="B213" i="42"/>
  <c r="F212" i="42"/>
  <c r="D212" i="42"/>
  <c r="C212" i="42"/>
  <c r="B212" i="42"/>
  <c r="F211" i="42"/>
  <c r="D211" i="42"/>
  <c r="C211" i="42"/>
  <c r="B211" i="42"/>
  <c r="F210" i="42"/>
  <c r="D210" i="42"/>
  <c r="C210" i="42"/>
  <c r="B210" i="42"/>
  <c r="F209" i="42"/>
  <c r="D209" i="42"/>
  <c r="C209" i="42"/>
  <c r="B209" i="42"/>
  <c r="F208" i="42"/>
  <c r="D208" i="42"/>
  <c r="C208" i="42"/>
  <c r="B208" i="42"/>
  <c r="F207" i="42"/>
  <c r="D207" i="42"/>
  <c r="C207" i="42"/>
  <c r="B207" i="42"/>
  <c r="F206" i="42"/>
  <c r="D206" i="42"/>
  <c r="C206" i="42"/>
  <c r="B206" i="42"/>
  <c r="F205" i="42"/>
  <c r="D205" i="42"/>
  <c r="C205" i="42"/>
  <c r="B205" i="42"/>
  <c r="F204" i="42"/>
  <c r="D204" i="42"/>
  <c r="C204" i="42"/>
  <c r="B204" i="42"/>
  <c r="F203" i="42"/>
  <c r="D203" i="42"/>
  <c r="C203" i="42"/>
  <c r="B203" i="42"/>
  <c r="F202" i="42"/>
  <c r="D202" i="42"/>
  <c r="C202" i="42"/>
  <c r="B202" i="42"/>
  <c r="F201" i="42"/>
  <c r="D201" i="42"/>
  <c r="C201" i="42"/>
  <c r="B201" i="42"/>
  <c r="F200" i="42"/>
  <c r="D200" i="42"/>
  <c r="C200" i="42"/>
  <c r="B200" i="42"/>
  <c r="F199" i="42"/>
  <c r="D199" i="42"/>
  <c r="C199" i="42"/>
  <c r="B199" i="42"/>
  <c r="F198" i="42"/>
  <c r="D198" i="42"/>
  <c r="C198" i="42"/>
  <c r="B198" i="42"/>
  <c r="F197" i="42"/>
  <c r="D197" i="42"/>
  <c r="C197" i="42"/>
  <c r="B197" i="42"/>
  <c r="F196" i="42"/>
  <c r="D196" i="42"/>
  <c r="C196" i="42"/>
  <c r="B196" i="42"/>
  <c r="F195" i="42"/>
  <c r="D195" i="42"/>
  <c r="C195" i="42"/>
  <c r="B195" i="42"/>
  <c r="F194" i="42"/>
  <c r="D194" i="42"/>
  <c r="C194" i="42"/>
  <c r="B194" i="42"/>
  <c r="F193" i="42"/>
  <c r="D193" i="42"/>
  <c r="C193" i="42"/>
  <c r="B193" i="42"/>
  <c r="F192" i="42"/>
  <c r="D192" i="42"/>
  <c r="C192" i="42"/>
  <c r="B192" i="42"/>
  <c r="F191" i="42"/>
  <c r="D191" i="42"/>
  <c r="C191" i="42"/>
  <c r="B191" i="42"/>
  <c r="F190" i="42"/>
  <c r="D190" i="42"/>
  <c r="C190" i="42"/>
  <c r="B190" i="42"/>
  <c r="F189" i="42"/>
  <c r="D189" i="42"/>
  <c r="C189" i="42"/>
  <c r="B189" i="42"/>
  <c r="F188" i="42"/>
  <c r="D188" i="42"/>
  <c r="C188" i="42"/>
  <c r="B188" i="42"/>
  <c r="F187" i="42"/>
  <c r="D187" i="42"/>
  <c r="C187" i="42"/>
  <c r="B187" i="42"/>
  <c r="F186" i="42"/>
  <c r="D186" i="42"/>
  <c r="C186" i="42"/>
  <c r="B186" i="42"/>
  <c r="F185" i="42"/>
  <c r="D185" i="42"/>
  <c r="C185" i="42"/>
  <c r="B185" i="42"/>
  <c r="F184" i="42"/>
  <c r="D184" i="42"/>
  <c r="C184" i="42"/>
  <c r="B184" i="42"/>
  <c r="F183" i="42"/>
  <c r="D183" i="42"/>
  <c r="C183" i="42"/>
  <c r="B183" i="42"/>
  <c r="F182" i="42"/>
  <c r="D182" i="42"/>
  <c r="C182" i="42"/>
  <c r="B182" i="42"/>
  <c r="F181" i="42"/>
  <c r="D181" i="42"/>
  <c r="C181" i="42"/>
  <c r="B181" i="42"/>
  <c r="F180" i="42"/>
  <c r="D180" i="42"/>
  <c r="C180" i="42"/>
  <c r="B180" i="42"/>
  <c r="F179" i="42"/>
  <c r="D179" i="42"/>
  <c r="C179" i="42"/>
  <c r="B179" i="42"/>
  <c r="F178" i="42"/>
  <c r="D178" i="42"/>
  <c r="C178" i="42"/>
  <c r="B178" i="42"/>
  <c r="F177" i="42"/>
  <c r="D177" i="42"/>
  <c r="C177" i="42"/>
  <c r="B177" i="42"/>
  <c r="F176" i="42"/>
  <c r="D176" i="42"/>
  <c r="C176" i="42"/>
  <c r="B176" i="42"/>
  <c r="F175" i="42"/>
  <c r="D175" i="42"/>
  <c r="C175" i="42"/>
  <c r="B175" i="42"/>
  <c r="F174" i="42"/>
  <c r="D174" i="42"/>
  <c r="C174" i="42"/>
  <c r="B174" i="42"/>
  <c r="F173" i="42"/>
  <c r="D173" i="42"/>
  <c r="C173" i="42"/>
  <c r="B173" i="42"/>
  <c r="F172" i="42"/>
  <c r="D172" i="42"/>
  <c r="C172" i="42"/>
  <c r="B172" i="42"/>
  <c r="F171" i="42"/>
  <c r="D171" i="42"/>
  <c r="C171" i="42"/>
  <c r="B171" i="42"/>
  <c r="F170" i="42"/>
  <c r="D170" i="42"/>
  <c r="C170" i="42"/>
  <c r="B170" i="42"/>
  <c r="F169" i="42"/>
  <c r="D169" i="42"/>
  <c r="C169" i="42"/>
  <c r="B169" i="42"/>
  <c r="F168" i="42"/>
  <c r="D168" i="42"/>
  <c r="C168" i="42"/>
  <c r="B168" i="42"/>
  <c r="F167" i="42"/>
  <c r="D167" i="42"/>
  <c r="C167" i="42"/>
  <c r="B167" i="42"/>
  <c r="F166" i="42"/>
  <c r="D166" i="42"/>
  <c r="C166" i="42"/>
  <c r="B166" i="42"/>
  <c r="F165" i="42"/>
  <c r="D165" i="42"/>
  <c r="C165" i="42"/>
  <c r="B165" i="42"/>
  <c r="F164" i="42"/>
  <c r="D164" i="42"/>
  <c r="C164" i="42"/>
  <c r="B164" i="42"/>
  <c r="F163" i="42"/>
  <c r="D163" i="42"/>
  <c r="C163" i="42"/>
  <c r="B163" i="42"/>
  <c r="F162" i="42"/>
  <c r="D162" i="42"/>
  <c r="C162" i="42"/>
  <c r="B162" i="42"/>
  <c r="F161" i="42"/>
  <c r="D161" i="42"/>
  <c r="C161" i="42"/>
  <c r="B161" i="42"/>
  <c r="F160" i="42"/>
  <c r="D160" i="42"/>
  <c r="C160" i="42"/>
  <c r="B160" i="42"/>
  <c r="F159" i="42"/>
  <c r="D159" i="42"/>
  <c r="C159" i="42"/>
  <c r="B159" i="42"/>
  <c r="F158" i="42"/>
  <c r="D158" i="42"/>
  <c r="C158" i="42"/>
  <c r="B158" i="42"/>
  <c r="F157" i="42"/>
  <c r="D157" i="42"/>
  <c r="C157" i="42"/>
  <c r="B157" i="42"/>
  <c r="F156" i="42"/>
  <c r="D156" i="42"/>
  <c r="C156" i="42"/>
  <c r="B156" i="42"/>
  <c r="F155" i="42"/>
  <c r="D155" i="42"/>
  <c r="C155" i="42"/>
  <c r="B155" i="42"/>
  <c r="F154" i="42"/>
  <c r="D154" i="42"/>
  <c r="C154" i="42"/>
  <c r="B154" i="42"/>
  <c r="F153" i="42"/>
  <c r="D153" i="42"/>
  <c r="C153" i="42"/>
  <c r="B153" i="42"/>
  <c r="F152" i="42"/>
  <c r="D152" i="42"/>
  <c r="C152" i="42"/>
  <c r="B152" i="42"/>
  <c r="F151" i="42"/>
  <c r="D151" i="42"/>
  <c r="C151" i="42"/>
  <c r="B151" i="42"/>
  <c r="F150" i="42"/>
  <c r="D150" i="42"/>
  <c r="C150" i="42"/>
  <c r="B150" i="42"/>
  <c r="F149" i="42"/>
  <c r="D149" i="42"/>
  <c r="C149" i="42"/>
  <c r="B149" i="42"/>
  <c r="F148" i="42"/>
  <c r="D148" i="42"/>
  <c r="C148" i="42"/>
  <c r="B148" i="42"/>
  <c r="F147" i="42"/>
  <c r="D147" i="42"/>
  <c r="C147" i="42"/>
  <c r="B147" i="42"/>
  <c r="F146" i="42"/>
  <c r="D146" i="42"/>
  <c r="C146" i="42"/>
  <c r="B146" i="42"/>
  <c r="F145" i="42"/>
  <c r="D145" i="42"/>
  <c r="C145" i="42"/>
  <c r="B145" i="42"/>
  <c r="F144" i="42"/>
  <c r="D144" i="42"/>
  <c r="C144" i="42"/>
  <c r="B144" i="42"/>
  <c r="F143" i="42"/>
  <c r="D143" i="42"/>
  <c r="C143" i="42"/>
  <c r="B143" i="42"/>
  <c r="F142" i="42"/>
  <c r="D142" i="42"/>
  <c r="C142" i="42"/>
  <c r="B142" i="42"/>
  <c r="F141" i="42"/>
  <c r="D141" i="42"/>
  <c r="C141" i="42"/>
  <c r="B141" i="42"/>
  <c r="F140" i="42"/>
  <c r="D140" i="42"/>
  <c r="C140" i="42"/>
  <c r="B140" i="42"/>
  <c r="F139" i="42"/>
  <c r="D139" i="42"/>
  <c r="C139" i="42"/>
  <c r="B139" i="42"/>
  <c r="F138" i="42"/>
  <c r="D138" i="42"/>
  <c r="C138" i="42"/>
  <c r="B138" i="42"/>
  <c r="F137" i="42"/>
  <c r="D137" i="42"/>
  <c r="C137" i="42"/>
  <c r="B137" i="42"/>
  <c r="F136" i="42"/>
  <c r="D136" i="42"/>
  <c r="C136" i="42"/>
  <c r="B136" i="42"/>
  <c r="F135" i="42"/>
  <c r="D135" i="42"/>
  <c r="C135" i="42"/>
  <c r="B135" i="42"/>
  <c r="F134" i="42"/>
  <c r="D134" i="42"/>
  <c r="C134" i="42"/>
  <c r="B134" i="42"/>
  <c r="F133" i="42"/>
  <c r="D133" i="42"/>
  <c r="C133" i="42"/>
  <c r="B133" i="42"/>
  <c r="F132" i="42"/>
  <c r="D132" i="42"/>
  <c r="C132" i="42"/>
  <c r="B132" i="42"/>
  <c r="F131" i="42"/>
  <c r="D131" i="42"/>
  <c r="C131" i="42"/>
  <c r="B131" i="42"/>
  <c r="F130" i="42"/>
  <c r="D130" i="42"/>
  <c r="C130" i="42"/>
  <c r="B130" i="42"/>
  <c r="F129" i="42"/>
  <c r="D129" i="42"/>
  <c r="C129" i="42"/>
  <c r="B129" i="42"/>
  <c r="F128" i="42"/>
  <c r="D128" i="42"/>
  <c r="C128" i="42"/>
  <c r="B128" i="42"/>
  <c r="F127" i="42"/>
  <c r="D127" i="42"/>
  <c r="C127" i="42"/>
  <c r="B127" i="42"/>
  <c r="F126" i="42"/>
  <c r="D126" i="42"/>
  <c r="C126" i="42"/>
  <c r="B126" i="42"/>
  <c r="F125" i="42"/>
  <c r="D125" i="42"/>
  <c r="C125" i="42"/>
  <c r="B125" i="42"/>
  <c r="F124" i="42"/>
  <c r="D124" i="42"/>
  <c r="C124" i="42"/>
  <c r="B124" i="42"/>
  <c r="F123" i="42"/>
  <c r="D123" i="42"/>
  <c r="C123" i="42"/>
  <c r="B123" i="42"/>
  <c r="F122" i="42"/>
  <c r="D122" i="42"/>
  <c r="C122" i="42"/>
  <c r="B122" i="42"/>
  <c r="F121" i="42"/>
  <c r="D121" i="42"/>
  <c r="C121" i="42"/>
  <c r="B121" i="42"/>
  <c r="F120" i="42"/>
  <c r="D120" i="42"/>
  <c r="C120" i="42"/>
  <c r="B120" i="42"/>
  <c r="F119" i="42"/>
  <c r="D119" i="42"/>
  <c r="C119" i="42"/>
  <c r="B119" i="42"/>
  <c r="F118" i="42"/>
  <c r="D118" i="42"/>
  <c r="C118" i="42"/>
  <c r="B118" i="42"/>
  <c r="F117" i="42"/>
  <c r="D117" i="42"/>
  <c r="C117" i="42"/>
  <c r="B117" i="42"/>
  <c r="F116" i="42"/>
  <c r="D116" i="42"/>
  <c r="C116" i="42"/>
  <c r="B116" i="42"/>
  <c r="F115" i="42"/>
  <c r="D115" i="42"/>
  <c r="C115" i="42"/>
  <c r="B115" i="42"/>
  <c r="F114" i="42"/>
  <c r="D114" i="42"/>
  <c r="C114" i="42"/>
  <c r="B114" i="42"/>
  <c r="F113" i="42"/>
  <c r="D113" i="42"/>
  <c r="C113" i="42"/>
  <c r="B113" i="42"/>
  <c r="F112" i="42"/>
  <c r="D112" i="42"/>
  <c r="C112" i="42"/>
  <c r="B112" i="42"/>
  <c r="F111" i="42"/>
  <c r="D111" i="42"/>
  <c r="C111" i="42"/>
  <c r="B111" i="42"/>
  <c r="F110" i="42"/>
  <c r="D110" i="42"/>
  <c r="C110" i="42"/>
  <c r="B110" i="42"/>
  <c r="F109" i="42"/>
  <c r="D109" i="42"/>
  <c r="C109" i="42"/>
  <c r="B109" i="42"/>
  <c r="F108" i="42"/>
  <c r="D108" i="42"/>
  <c r="C108" i="42"/>
  <c r="B108" i="42"/>
  <c r="F107" i="42"/>
  <c r="D107" i="42"/>
  <c r="C107" i="42"/>
  <c r="B107" i="42"/>
  <c r="F106" i="42"/>
  <c r="D106" i="42"/>
  <c r="C106" i="42"/>
  <c r="B106" i="42"/>
  <c r="F105" i="42"/>
  <c r="D105" i="42"/>
  <c r="C105" i="42"/>
  <c r="B105" i="42"/>
  <c r="F104" i="42"/>
  <c r="D104" i="42"/>
  <c r="C104" i="42"/>
  <c r="B104" i="42"/>
  <c r="F103" i="42"/>
  <c r="D103" i="42"/>
  <c r="C103" i="42"/>
  <c r="B103" i="42"/>
  <c r="F102" i="42"/>
  <c r="D102" i="42"/>
  <c r="C102" i="42"/>
  <c r="B102" i="42"/>
  <c r="F101" i="42"/>
  <c r="D101" i="42"/>
  <c r="C101" i="42"/>
  <c r="B101" i="42"/>
  <c r="F100" i="42"/>
  <c r="D100" i="42"/>
  <c r="C100" i="42"/>
  <c r="B100" i="42"/>
  <c r="F99" i="42"/>
  <c r="D99" i="42"/>
  <c r="C99" i="42"/>
  <c r="B99" i="42"/>
  <c r="F98" i="42"/>
  <c r="D98" i="42"/>
  <c r="C98" i="42"/>
  <c r="B98" i="42"/>
  <c r="F97" i="42"/>
  <c r="D97" i="42"/>
  <c r="C97" i="42"/>
  <c r="B97" i="42"/>
  <c r="F96" i="42"/>
  <c r="D96" i="42"/>
  <c r="C96" i="42"/>
  <c r="B96" i="42"/>
  <c r="F95" i="42"/>
  <c r="D95" i="42"/>
  <c r="C95" i="42"/>
  <c r="B95" i="42"/>
  <c r="F94" i="42"/>
  <c r="D94" i="42"/>
  <c r="C94" i="42"/>
  <c r="B94" i="42"/>
  <c r="F93" i="42"/>
  <c r="D93" i="42"/>
  <c r="C93" i="42"/>
  <c r="B93" i="42"/>
  <c r="F92" i="42"/>
  <c r="D92" i="42"/>
  <c r="C92" i="42"/>
  <c r="B92" i="42"/>
  <c r="F91" i="42"/>
  <c r="D91" i="42"/>
  <c r="C91" i="42"/>
  <c r="B91" i="42"/>
  <c r="F90" i="42"/>
  <c r="D90" i="42"/>
  <c r="C90" i="42"/>
  <c r="B90" i="42"/>
  <c r="F89" i="42"/>
  <c r="D89" i="42"/>
  <c r="C89" i="42"/>
  <c r="B89" i="42"/>
  <c r="F88" i="42"/>
  <c r="D88" i="42"/>
  <c r="C88" i="42"/>
  <c r="B88" i="42"/>
  <c r="F87" i="42"/>
  <c r="D87" i="42"/>
  <c r="C87" i="42"/>
  <c r="B87" i="42"/>
  <c r="F86" i="42"/>
  <c r="D86" i="42"/>
  <c r="C86" i="42"/>
  <c r="B86" i="42"/>
  <c r="F85" i="42"/>
  <c r="D85" i="42"/>
  <c r="C85" i="42"/>
  <c r="B85" i="42"/>
  <c r="F84" i="42"/>
  <c r="D84" i="42"/>
  <c r="C84" i="42"/>
  <c r="B84" i="42"/>
  <c r="F83" i="42"/>
  <c r="D83" i="42"/>
  <c r="C83" i="42"/>
  <c r="B83" i="42"/>
  <c r="F82" i="42"/>
  <c r="D82" i="42"/>
  <c r="C82" i="42"/>
  <c r="B82" i="42"/>
  <c r="F81" i="42"/>
  <c r="D81" i="42"/>
  <c r="C81" i="42"/>
  <c r="B81" i="42"/>
  <c r="F80" i="42"/>
  <c r="D80" i="42"/>
  <c r="C80" i="42"/>
  <c r="B80" i="42"/>
  <c r="F79" i="42"/>
  <c r="D79" i="42"/>
  <c r="C79" i="42"/>
  <c r="B79" i="42"/>
  <c r="F78" i="42"/>
  <c r="D78" i="42"/>
  <c r="C78" i="42"/>
  <c r="B78" i="42"/>
  <c r="F77" i="42"/>
  <c r="D77" i="42"/>
  <c r="C77" i="42"/>
  <c r="B77" i="42"/>
  <c r="F76" i="42"/>
  <c r="D76" i="42"/>
  <c r="C76" i="42"/>
  <c r="B76" i="42"/>
  <c r="F75" i="42"/>
  <c r="D75" i="42"/>
  <c r="C75" i="42"/>
  <c r="B75" i="42"/>
  <c r="F74" i="42"/>
  <c r="D74" i="42"/>
  <c r="C74" i="42"/>
  <c r="B74" i="42"/>
  <c r="F73" i="42"/>
  <c r="D73" i="42"/>
  <c r="C73" i="42"/>
  <c r="B73" i="42"/>
  <c r="F72" i="42"/>
  <c r="D72" i="42"/>
  <c r="C72" i="42"/>
  <c r="B72" i="42"/>
  <c r="F71" i="42"/>
  <c r="D71" i="42"/>
  <c r="C71" i="42"/>
  <c r="B71" i="42"/>
  <c r="F70" i="42"/>
  <c r="D70" i="42"/>
  <c r="C70" i="42"/>
  <c r="B70" i="42"/>
  <c r="F69" i="42"/>
  <c r="D69" i="42"/>
  <c r="C69" i="42"/>
  <c r="B69" i="42"/>
  <c r="F68" i="42"/>
  <c r="D68" i="42"/>
  <c r="C68" i="42"/>
  <c r="B68" i="42"/>
  <c r="F67" i="42"/>
  <c r="D67" i="42"/>
  <c r="C67" i="42"/>
  <c r="B67" i="42"/>
  <c r="F66" i="42"/>
  <c r="D66" i="42"/>
  <c r="C66" i="42"/>
  <c r="B66" i="42"/>
  <c r="F65" i="42"/>
  <c r="D65" i="42"/>
  <c r="C65" i="42"/>
  <c r="B65" i="42"/>
  <c r="F64" i="42"/>
  <c r="D64" i="42"/>
  <c r="C64" i="42"/>
  <c r="B64" i="42"/>
  <c r="F63" i="42"/>
  <c r="D63" i="42"/>
  <c r="C63" i="42"/>
  <c r="B63" i="42"/>
  <c r="F62" i="42"/>
  <c r="D62" i="42"/>
  <c r="C62" i="42"/>
  <c r="B62" i="42"/>
  <c r="F61" i="42"/>
  <c r="D61" i="42"/>
  <c r="C61" i="42"/>
  <c r="B61" i="42"/>
  <c r="F60" i="42"/>
  <c r="D60" i="42"/>
  <c r="C60" i="42"/>
  <c r="B60" i="42"/>
  <c r="F59" i="42"/>
  <c r="D59" i="42"/>
  <c r="C59" i="42"/>
  <c r="B59" i="42"/>
  <c r="F58" i="42"/>
  <c r="D58" i="42"/>
  <c r="C58" i="42"/>
  <c r="B58" i="42"/>
  <c r="F57" i="42"/>
  <c r="D57" i="42"/>
  <c r="C57" i="42"/>
  <c r="B57" i="42"/>
  <c r="F56" i="42"/>
  <c r="D56" i="42"/>
  <c r="C56" i="42"/>
  <c r="B56" i="42"/>
  <c r="F55" i="42"/>
  <c r="D55" i="42"/>
  <c r="C55" i="42"/>
  <c r="B55" i="42"/>
  <c r="F54" i="42"/>
  <c r="D54" i="42"/>
  <c r="C54" i="42"/>
  <c r="B54" i="42"/>
  <c r="F53" i="42"/>
  <c r="D53" i="42"/>
  <c r="C53" i="42"/>
  <c r="B53" i="42"/>
  <c r="F52" i="42"/>
  <c r="D52" i="42"/>
  <c r="C52" i="42"/>
  <c r="B52" i="42"/>
  <c r="F51" i="42"/>
  <c r="D51" i="42"/>
  <c r="C51" i="42"/>
  <c r="B51" i="42"/>
  <c r="F50" i="42"/>
  <c r="D50" i="42"/>
  <c r="C50" i="42"/>
  <c r="B50" i="42"/>
  <c r="F49" i="42"/>
  <c r="D49" i="42"/>
  <c r="C49" i="42"/>
  <c r="B49" i="42"/>
  <c r="F48" i="42"/>
  <c r="D48" i="42"/>
  <c r="C48" i="42"/>
  <c r="B48" i="42"/>
  <c r="F47" i="42"/>
  <c r="D47" i="42"/>
  <c r="C47" i="42"/>
  <c r="B47" i="42"/>
  <c r="F46" i="42"/>
  <c r="D46" i="42"/>
  <c r="C46" i="42"/>
  <c r="B46" i="42"/>
  <c r="F45" i="42"/>
  <c r="D45" i="42"/>
  <c r="C45" i="42"/>
  <c r="B45" i="42"/>
  <c r="F44" i="42"/>
  <c r="D44" i="42"/>
  <c r="C44" i="42"/>
  <c r="B44" i="42"/>
  <c r="F43" i="42"/>
  <c r="D43" i="42"/>
  <c r="C43" i="42"/>
  <c r="B43" i="42"/>
  <c r="F42" i="42"/>
  <c r="D42" i="42"/>
  <c r="C42" i="42"/>
  <c r="B42" i="42"/>
  <c r="F41" i="42"/>
  <c r="D41" i="42"/>
  <c r="C41" i="42"/>
  <c r="B41" i="42"/>
  <c r="F40" i="42"/>
  <c r="D40" i="42"/>
  <c r="C40" i="42"/>
  <c r="B40" i="42"/>
  <c r="F39" i="42"/>
  <c r="D39" i="42"/>
  <c r="C39" i="42"/>
  <c r="B39" i="42"/>
  <c r="F38" i="42"/>
  <c r="D38" i="42"/>
  <c r="C38" i="42"/>
  <c r="B38" i="42"/>
  <c r="F37" i="42"/>
  <c r="D37" i="42"/>
  <c r="C37" i="42"/>
  <c r="B37" i="42"/>
  <c r="F36" i="42"/>
  <c r="D36" i="42"/>
  <c r="C36" i="42"/>
  <c r="B36" i="42"/>
  <c r="F35" i="42"/>
  <c r="D35" i="42"/>
  <c r="C35" i="42"/>
  <c r="B35" i="42"/>
  <c r="F34" i="42"/>
  <c r="D34" i="42"/>
  <c r="C34" i="42"/>
  <c r="B34" i="42"/>
  <c r="F33" i="42"/>
  <c r="D33" i="42"/>
  <c r="C33" i="42"/>
  <c r="B33" i="42"/>
  <c r="F32" i="42"/>
  <c r="D32" i="42"/>
  <c r="C32" i="42"/>
  <c r="B32" i="42"/>
  <c r="F31" i="42"/>
  <c r="D31" i="42"/>
  <c r="C31" i="42"/>
  <c r="B31" i="42"/>
  <c r="F30" i="42"/>
  <c r="D30" i="42"/>
  <c r="C30" i="42"/>
  <c r="B30" i="42"/>
  <c r="F29" i="42"/>
  <c r="D29" i="42"/>
  <c r="C29" i="42"/>
  <c r="B29" i="42"/>
  <c r="F28" i="42"/>
  <c r="D28" i="42"/>
  <c r="C28" i="42"/>
  <c r="B28" i="42"/>
  <c r="F27" i="42"/>
  <c r="D27" i="42"/>
  <c r="C27" i="42"/>
  <c r="B27" i="42"/>
  <c r="F26" i="42"/>
  <c r="D26" i="42"/>
  <c r="C26" i="42"/>
  <c r="B26" i="42"/>
  <c r="F25" i="42"/>
  <c r="D25" i="42"/>
  <c r="C25" i="42"/>
  <c r="B25" i="42"/>
  <c r="F24" i="42"/>
  <c r="D24" i="42"/>
  <c r="C24" i="42"/>
  <c r="B24" i="42"/>
  <c r="F23" i="42"/>
  <c r="D23" i="42"/>
  <c r="C23" i="42"/>
  <c r="B23" i="42"/>
  <c r="F22" i="42"/>
  <c r="D22" i="42"/>
  <c r="C22" i="42"/>
  <c r="B22" i="42"/>
  <c r="F21" i="42"/>
  <c r="D21" i="42"/>
  <c r="C21" i="42"/>
  <c r="B21" i="42"/>
  <c r="F20" i="42"/>
  <c r="D20" i="42"/>
  <c r="C20" i="42"/>
  <c r="B20" i="42"/>
  <c r="F19" i="42"/>
  <c r="D19" i="42"/>
  <c r="C19" i="42"/>
  <c r="B19" i="42"/>
  <c r="F18" i="42"/>
  <c r="D18" i="42"/>
  <c r="C18" i="42"/>
  <c r="B18" i="42"/>
  <c r="F17" i="42"/>
  <c r="D17" i="42"/>
  <c r="C17" i="42"/>
  <c r="B17" i="42"/>
  <c r="F16" i="42"/>
  <c r="D16" i="42"/>
  <c r="C16" i="42"/>
  <c r="B16" i="42"/>
  <c r="F15" i="42"/>
  <c r="D15" i="42"/>
  <c r="C15" i="42"/>
  <c r="B15" i="42"/>
  <c r="F14" i="42"/>
  <c r="D14" i="42"/>
  <c r="C14" i="42"/>
  <c r="B14" i="42"/>
  <c r="F13" i="42"/>
  <c r="D13" i="42"/>
  <c r="C13" i="42"/>
  <c r="B13" i="42"/>
  <c r="F12" i="42"/>
  <c r="D12" i="42"/>
  <c r="C12" i="42"/>
  <c r="B12" i="42"/>
  <c r="F11" i="42"/>
  <c r="D11" i="42"/>
  <c r="C11" i="42"/>
  <c r="B11" i="42"/>
  <c r="F10" i="42"/>
  <c r="D10" i="42"/>
  <c r="C10" i="42"/>
  <c r="B10" i="42"/>
  <c r="F9" i="42"/>
  <c r="D9" i="42"/>
  <c r="C9" i="42"/>
  <c r="B9" i="42"/>
  <c r="F8" i="42"/>
  <c r="D8" i="42"/>
  <c r="C8" i="42"/>
  <c r="B8" i="42"/>
  <c r="F7" i="42"/>
  <c r="D7" i="42"/>
  <c r="C7" i="42"/>
  <c r="B7" i="42"/>
  <c r="F6" i="42"/>
  <c r="D6" i="42"/>
  <c r="C6" i="42"/>
  <c r="B6" i="42"/>
  <c r="F5" i="42"/>
  <c r="D5" i="42"/>
  <c r="C5" i="42"/>
  <c r="B5" i="42"/>
  <c r="F4" i="42"/>
  <c r="D4" i="42"/>
  <c r="C4" i="42"/>
  <c r="B4" i="42"/>
  <c r="F3" i="42"/>
  <c r="D3" i="42"/>
  <c r="C3" i="42"/>
  <c r="B3" i="42"/>
  <c r="H441" i="42"/>
  <c r="Y441" i="42"/>
  <c r="Z441" i="42"/>
  <c r="AA441" i="42" s="1"/>
  <c r="AB441" i="42" s="1" a="1"/>
  <c r="AB441" i="42" s="1"/>
  <c r="AE441" i="42" a="1"/>
  <c r="AE441" i="42" s="1"/>
  <c r="H440" i="42"/>
  <c r="Y440" i="42"/>
  <c r="Z440" i="42"/>
  <c r="AA440" i="42" s="1"/>
  <c r="AB440" i="42" s="1" a="1"/>
  <c r="AB440" i="42" s="1"/>
  <c r="AE440" i="42" a="1"/>
  <c r="AE440" i="42" s="1"/>
  <c r="H439" i="42"/>
  <c r="Y439" i="42"/>
  <c r="Z439" i="42"/>
  <c r="AA439" i="42" s="1"/>
  <c r="AB439" i="42" s="1" a="1"/>
  <c r="AB439" i="42" s="1"/>
  <c r="AE439" i="42" a="1"/>
  <c r="AE439" i="42" s="1"/>
  <c r="AE409" i="42" a="1"/>
  <c r="AE409" i="42" s="1"/>
  <c r="AE408" i="42" a="1"/>
  <c r="AE408" i="42" s="1"/>
  <c r="AE412" i="42" a="1"/>
  <c r="AE412" i="42" s="1"/>
  <c r="AE411" i="42" a="1"/>
  <c r="AE411" i="42" s="1"/>
  <c r="AE410" i="42" a="1"/>
  <c r="AE410" i="42" s="1"/>
  <c r="AE396" i="42" a="1"/>
  <c r="AE396" i="42" s="1"/>
  <c r="AE398" i="42" a="1"/>
  <c r="AE398" i="42" s="1"/>
  <c r="AE395" i="42" a="1"/>
  <c r="AE395" i="42" s="1"/>
  <c r="AE397" i="42" a="1"/>
  <c r="AE397" i="42" s="1"/>
  <c r="AE391" i="42" a="1"/>
  <c r="AE391" i="42" s="1"/>
  <c r="AE389" i="42" a="1"/>
  <c r="AE389" i="42" s="1"/>
  <c r="AE402" i="42" a="1"/>
  <c r="AE402" i="42" s="1"/>
  <c r="AE393" i="42" a="1"/>
  <c r="AE393" i="42" s="1"/>
  <c r="AE399" i="42" a="1"/>
  <c r="AE399" i="42" s="1"/>
  <c r="AE406" i="42" a="1"/>
  <c r="AE406" i="42" s="1"/>
  <c r="AE388" i="42" a="1"/>
  <c r="AE388" i="42" s="1"/>
  <c r="AE386" i="42" a="1"/>
  <c r="AE386" i="42" s="1"/>
  <c r="AE404" i="42" a="1"/>
  <c r="AE404" i="42" s="1"/>
  <c r="AE392" i="42" a="1"/>
  <c r="AE392" i="42" s="1"/>
  <c r="AE407" i="42" a="1"/>
  <c r="AE407" i="42" s="1"/>
  <c r="AE387" i="42" a="1"/>
  <c r="AE387" i="42" s="1"/>
  <c r="AE400" i="42" a="1"/>
  <c r="AE400" i="42" s="1"/>
  <c r="AE405" i="42" a="1"/>
  <c r="AE405" i="42" s="1"/>
  <c r="AE403" i="42" a="1"/>
  <c r="AE403" i="42" s="1"/>
  <c r="AE394" i="42" a="1"/>
  <c r="AE394" i="42" s="1"/>
  <c r="AE390" i="42" a="1"/>
  <c r="AE390" i="42" s="1"/>
  <c r="AE401" i="42" a="1"/>
  <c r="AE401" i="42" s="1"/>
  <c r="AE383" i="42" a="1"/>
  <c r="AE383" i="42" s="1"/>
  <c r="AE382" i="42" a="1"/>
  <c r="AE382" i="42" s="1"/>
  <c r="AE381" i="42" a="1"/>
  <c r="AE381" i="42" s="1"/>
  <c r="AE380" i="42" a="1"/>
  <c r="AE380" i="42" s="1"/>
  <c r="AE378" i="42" a="1"/>
  <c r="AE378" i="42" s="1"/>
  <c r="AE365" i="42" a="1"/>
  <c r="AE365" i="42" s="1"/>
  <c r="AE361" i="42" a="1"/>
  <c r="AE361" i="42" s="1"/>
  <c r="AE371" i="42" a="1"/>
  <c r="AE371" i="42" s="1"/>
  <c r="AE370" i="42" a="1"/>
  <c r="AE370" i="42" s="1"/>
  <c r="AE379" i="42" a="1"/>
  <c r="AE379" i="42" s="1"/>
  <c r="AE373" i="42" a="1"/>
  <c r="AE373" i="42" s="1"/>
  <c r="AE377" i="42" a="1"/>
  <c r="AE377" i="42" s="1"/>
  <c r="AE362" i="42" a="1"/>
  <c r="AE362" i="42" s="1"/>
  <c r="AE367" i="42" a="1"/>
  <c r="AE367" i="42" s="1"/>
  <c r="AE374" i="42" a="1"/>
  <c r="AE374" i="42" s="1"/>
  <c r="AE366" i="42" a="1"/>
  <c r="AE366" i="42" s="1"/>
  <c r="AE385" i="42" a="1"/>
  <c r="AE385" i="42" s="1"/>
  <c r="AE369" i="42" a="1"/>
  <c r="AE369" i="42" s="1"/>
  <c r="AE363" i="42" a="1"/>
  <c r="AE363" i="42" s="1"/>
  <c r="AE372" i="42" a="1"/>
  <c r="AE372" i="42" s="1"/>
  <c r="AE375" i="42" a="1"/>
  <c r="AE375" i="42" s="1"/>
  <c r="AE376" i="42" a="1"/>
  <c r="AE376" i="42" s="1"/>
  <c r="AE368" i="42" a="1"/>
  <c r="AE368" i="42" s="1"/>
  <c r="AE384" i="42" a="1"/>
  <c r="AE384" i="42" s="1"/>
  <c r="AE364" i="42" a="1"/>
  <c r="AE364" i="42" s="1"/>
  <c r="AE345" i="42" a="1"/>
  <c r="AE345" i="42" s="1"/>
  <c r="AE339" i="42" a="1"/>
  <c r="AE339" i="42" s="1"/>
  <c r="AE359" i="42" a="1"/>
  <c r="AE359" i="42" s="1"/>
  <c r="AE350" i="42" a="1"/>
  <c r="AE350" i="42" s="1"/>
  <c r="AE357" i="42" a="1"/>
  <c r="AE357" i="42" s="1"/>
  <c r="AE342" i="42" a="1"/>
  <c r="AE342" i="42" s="1"/>
  <c r="AE356" i="42" a="1"/>
  <c r="AE356" i="42" s="1"/>
  <c r="AE355" i="42" a="1"/>
  <c r="AE355" i="42" s="1"/>
  <c r="AE348" i="42" a="1"/>
  <c r="AE348" i="42" s="1"/>
  <c r="AE341" i="42" a="1"/>
  <c r="AE341" i="42" s="1"/>
  <c r="AE338" i="42" a="1"/>
  <c r="AE338" i="42" s="1"/>
  <c r="AE347" i="42" a="1"/>
  <c r="AE347" i="42" s="1"/>
  <c r="AE337" i="42" a="1"/>
  <c r="AE337" i="42" s="1"/>
  <c r="AE343" i="42" a="1"/>
  <c r="AE343" i="42" s="1"/>
  <c r="AE360" i="42" a="1"/>
  <c r="AE360" i="42" s="1"/>
  <c r="AE344" i="42" a="1"/>
  <c r="AE344" i="42" s="1"/>
  <c r="AE336" i="42" a="1"/>
  <c r="AE336" i="42" s="1"/>
  <c r="AE346" i="42" a="1"/>
  <c r="AE346" i="42" s="1"/>
  <c r="AE352" i="42" a="1"/>
  <c r="AE352" i="42" s="1"/>
  <c r="AE340" i="42" a="1"/>
  <c r="AE340" i="42" s="1"/>
  <c r="AE353" i="42" a="1"/>
  <c r="AE353" i="42" s="1"/>
  <c r="AE358" i="42" a="1"/>
  <c r="AE358" i="42" s="1"/>
  <c r="AE351" i="42" a="1"/>
  <c r="AE351" i="42" s="1"/>
  <c r="AE349" i="42" a="1"/>
  <c r="AE349" i="42" s="1"/>
  <c r="AE354" i="42" a="1"/>
  <c r="AE354" i="42" s="1"/>
  <c r="AE331" i="42" a="1"/>
  <c r="AE331" i="42" s="1"/>
  <c r="AE335" i="42" a="1"/>
  <c r="AE335" i="42" s="1"/>
  <c r="AE319" i="42" a="1"/>
  <c r="AE319" i="42" s="1"/>
  <c r="AE333" i="42" a="1"/>
  <c r="AE333" i="42" s="1"/>
  <c r="AE332" i="42" a="1"/>
  <c r="AE332" i="42" s="1"/>
  <c r="AE330" i="42" a="1"/>
  <c r="AE330" i="42" s="1"/>
  <c r="AE315" i="42" a="1"/>
  <c r="AE315" i="42" s="1"/>
  <c r="AE320" i="42" a="1"/>
  <c r="AE320" i="42" s="1"/>
  <c r="AE317" i="42" a="1"/>
  <c r="AE317" i="42" s="1"/>
  <c r="AE322" i="42" a="1"/>
  <c r="AE322" i="42" s="1"/>
  <c r="AE318" i="42" a="1"/>
  <c r="AE318" i="42" s="1"/>
  <c r="AE328" i="42" a="1"/>
  <c r="AE328" i="42" s="1"/>
  <c r="AE323" i="42" a="1"/>
  <c r="AE323" i="42" s="1"/>
  <c r="AE321" i="42" a="1"/>
  <c r="AE321" i="42" s="1"/>
  <c r="AE324" i="42" a="1"/>
  <c r="AE324" i="42" s="1"/>
  <c r="AE325" i="42" a="1"/>
  <c r="AE325" i="42" s="1"/>
  <c r="AE313" i="42" a="1"/>
  <c r="AE313" i="42" s="1"/>
  <c r="AE316" i="42" a="1"/>
  <c r="AE316" i="42" s="1"/>
  <c r="AE314" i="42" a="1"/>
  <c r="AE314" i="42" s="1"/>
  <c r="AE334" i="42" a="1"/>
  <c r="AE334" i="42" s="1"/>
  <c r="AE329" i="42" a="1"/>
  <c r="AE329" i="42" s="1"/>
  <c r="AE327" i="42" a="1"/>
  <c r="AE327" i="42" s="1"/>
  <c r="AE326" i="42" a="1"/>
  <c r="AE326" i="42" s="1"/>
  <c r="AE293" i="42" a="1"/>
  <c r="AE293" i="42" s="1"/>
  <c r="AE295" i="42" a="1"/>
  <c r="AE295" i="42" s="1"/>
  <c r="AE285" i="42" a="1"/>
  <c r="AE285" i="42" s="1"/>
  <c r="AE301" i="42" a="1"/>
  <c r="AE301" i="42" s="1"/>
  <c r="AE289" i="42" a="1"/>
  <c r="AE289" i="42" s="1"/>
  <c r="AE288" i="42" a="1"/>
  <c r="AE288" i="42" s="1"/>
  <c r="AE287" i="42" a="1"/>
  <c r="AE287" i="42" s="1"/>
  <c r="AE312" i="42" a="1"/>
  <c r="AE312" i="42" s="1"/>
  <c r="AE311" i="42" a="1"/>
  <c r="AE311" i="42" s="1"/>
  <c r="AE303" i="42" a="1"/>
  <c r="AE303" i="42" s="1"/>
  <c r="AE296" i="42" a="1"/>
  <c r="AE296" i="42" s="1"/>
  <c r="AE304" i="42" a="1"/>
  <c r="AE304" i="42" s="1"/>
  <c r="AE294" i="42" a="1"/>
  <c r="AE294" i="42" s="1"/>
  <c r="AE299" i="42" a="1"/>
  <c r="AE299" i="42" s="1"/>
  <c r="AE300" i="42" a="1"/>
  <c r="AE300" i="42" s="1"/>
  <c r="AE298" i="42" a="1"/>
  <c r="AE298" i="42" s="1"/>
  <c r="AE297" i="42" a="1"/>
  <c r="AE297" i="42" s="1"/>
  <c r="AE292" i="42" a="1"/>
  <c r="AE292" i="42" s="1"/>
  <c r="AE283" i="42" a="1"/>
  <c r="AE283" i="42" s="1"/>
  <c r="AE310" i="42" a="1"/>
  <c r="AE310" i="42" s="1"/>
  <c r="AE309" i="42" a="1"/>
  <c r="AE309" i="42" s="1"/>
  <c r="AE290" i="42" a="1"/>
  <c r="AE290" i="42" s="1"/>
  <c r="AE308" i="42" a="1"/>
  <c r="AE308" i="42" s="1"/>
  <c r="AE284" i="42" a="1"/>
  <c r="AE284" i="42" s="1"/>
  <c r="AE291" i="42" a="1"/>
  <c r="AE291" i="42" s="1"/>
  <c r="AE307" i="42" a="1"/>
  <c r="AE307" i="42" s="1"/>
  <c r="AE306" i="42" a="1"/>
  <c r="AE306" i="42" s="1"/>
  <c r="AE305" i="42" a="1"/>
  <c r="AE305" i="42" s="1"/>
  <c r="AE286" i="42" a="1"/>
  <c r="AE286" i="42" s="1"/>
  <c r="AE302" i="42" a="1"/>
  <c r="AE302" i="42" s="1"/>
  <c r="AE278" i="42" a="1"/>
  <c r="AE278" i="42" s="1"/>
  <c r="AE272" i="42" a="1"/>
  <c r="AE272" i="42" s="1"/>
  <c r="AE258" i="42" a="1"/>
  <c r="AE258" i="42" s="1"/>
  <c r="AE257" i="42" a="1"/>
  <c r="AE257" i="42" s="1"/>
  <c r="AE273" i="42" a="1"/>
  <c r="AE273" i="42" s="1"/>
  <c r="AE275" i="42" a="1"/>
  <c r="AE275" i="42" s="1"/>
  <c r="AE268" i="42" a="1"/>
  <c r="AE268" i="42" s="1"/>
  <c r="AE282" i="42" a="1"/>
  <c r="AE282" i="42" s="1"/>
  <c r="AE281" i="42" a="1"/>
  <c r="AE281" i="42" s="1"/>
  <c r="AE255" i="42" a="1"/>
  <c r="AE255" i="42" s="1"/>
  <c r="AE270" i="42" a="1"/>
  <c r="AE270" i="42" s="1"/>
  <c r="AE263" i="42" a="1"/>
  <c r="AE263" i="42" s="1"/>
  <c r="AE280" i="42" a="1"/>
  <c r="AE280" i="42" s="1"/>
  <c r="AE279" i="42" a="1"/>
  <c r="AE279" i="42" s="1"/>
  <c r="AE277" i="42" a="1"/>
  <c r="AE277" i="42" s="1"/>
  <c r="AE276" i="42" a="1"/>
  <c r="AE276" i="42" s="1"/>
  <c r="AE274" i="42" a="1"/>
  <c r="AE274" i="42" s="1"/>
  <c r="AE271" i="42" a="1"/>
  <c r="AE271" i="42" s="1"/>
  <c r="AE264" i="42" a="1"/>
  <c r="AE264" i="42" s="1"/>
  <c r="AE266" i="42" a="1"/>
  <c r="AE266" i="42" s="1"/>
  <c r="AE260" i="42" a="1"/>
  <c r="AE260" i="42" s="1"/>
  <c r="AE267" i="42" a="1"/>
  <c r="AE267" i="42" s="1"/>
  <c r="AE262" i="42" a="1"/>
  <c r="AE262" i="42" s="1"/>
  <c r="AE256" i="42" a="1"/>
  <c r="AE256" i="42" s="1"/>
  <c r="AE261" i="42" a="1"/>
  <c r="AE261" i="42" s="1"/>
  <c r="AE265" i="42" a="1"/>
  <c r="AE265" i="42" s="1"/>
  <c r="AE259" i="42" a="1"/>
  <c r="AE259" i="42" s="1"/>
  <c r="AE269" i="42" a="1"/>
  <c r="AE269" i="42" s="1"/>
  <c r="AE234" i="42" a="1"/>
  <c r="AE234" i="42" s="1"/>
  <c r="AE230" i="42" a="1"/>
  <c r="AE230" i="42" s="1"/>
  <c r="AE238" i="42" a="1"/>
  <c r="AE238" i="42" s="1"/>
  <c r="AE236" i="42" a="1"/>
  <c r="AE236" i="42" s="1"/>
  <c r="AE229" i="42" a="1"/>
  <c r="AE229" i="42" s="1"/>
  <c r="AE254" i="42" a="1"/>
  <c r="AE254" i="42" s="1"/>
  <c r="AE233" i="42" a="1"/>
  <c r="AE233" i="42" s="1"/>
  <c r="AE248" i="42" a="1"/>
  <c r="AE248" i="42" s="1"/>
  <c r="AE253" i="42" a="1"/>
  <c r="AE253" i="42" s="1"/>
  <c r="AE252" i="42" a="1"/>
  <c r="AE252" i="42" s="1"/>
  <c r="AE243" i="42" a="1"/>
  <c r="AE243" i="42" s="1"/>
  <c r="AE228" i="42" a="1"/>
  <c r="AE228" i="42" s="1"/>
  <c r="AE251" i="42" a="1"/>
  <c r="AE251" i="42" s="1"/>
  <c r="AE250" i="42" a="1"/>
  <c r="AE250" i="42" s="1"/>
  <c r="AE231" i="42" a="1"/>
  <c r="AE231" i="42" s="1"/>
  <c r="AE242" i="42" a="1"/>
  <c r="AE242" i="42" s="1"/>
  <c r="AE244" i="42" a="1"/>
  <c r="AE244" i="42" s="1"/>
  <c r="AE249" i="42" a="1"/>
  <c r="AE249" i="42" s="1"/>
  <c r="AE240" i="42" a="1"/>
  <c r="AE240" i="42" s="1"/>
  <c r="AE232" i="42" a="1"/>
  <c r="AE232" i="42" s="1"/>
  <c r="AE247" i="42" a="1"/>
  <c r="AE247" i="42" s="1"/>
  <c r="AE246" i="42" a="1"/>
  <c r="AE246" i="42" s="1"/>
  <c r="AE245" i="42" a="1"/>
  <c r="AE245" i="42" s="1"/>
  <c r="AE241" i="42" a="1"/>
  <c r="AE241" i="42" s="1"/>
  <c r="AE237" i="42" a="1"/>
  <c r="AE237" i="42" s="1"/>
  <c r="AE239" i="42" a="1"/>
  <c r="AE239" i="42" s="1"/>
  <c r="AE235" i="42" a="1"/>
  <c r="AE235" i="42" s="1"/>
  <c r="AE203" i="42" a="1"/>
  <c r="AE203" i="42" s="1"/>
  <c r="AE199" i="42" a="1"/>
  <c r="AE199" i="42" s="1"/>
  <c r="AE214" i="42" a="1"/>
  <c r="AE214" i="42" s="1"/>
  <c r="AE200" i="42" a="1"/>
  <c r="AE200" i="42" s="1"/>
  <c r="AE197" i="42" a="1"/>
  <c r="AE197" i="42" s="1"/>
  <c r="AE211" i="42" a="1"/>
  <c r="AE211" i="42" s="1"/>
  <c r="AE198" i="42" a="1"/>
  <c r="AE198" i="42" s="1"/>
  <c r="AE227" i="42" a="1"/>
  <c r="AE227" i="42" s="1"/>
  <c r="AE226" i="42" a="1"/>
  <c r="AE226" i="42" s="1"/>
  <c r="AE216" i="42" a="1"/>
  <c r="AE216" i="42" s="1"/>
  <c r="AE210" i="42" a="1"/>
  <c r="AE210" i="42" s="1"/>
  <c r="AE208" i="42" a="1"/>
  <c r="AE208" i="42" s="1"/>
  <c r="AE202" i="42" a="1"/>
  <c r="AE202" i="42" s="1"/>
  <c r="AE212" i="42" a="1"/>
  <c r="AE212" i="42" s="1"/>
  <c r="AE225" i="42" a="1"/>
  <c r="AE225" i="42" s="1"/>
  <c r="AE224" i="42" a="1"/>
  <c r="AE224" i="42" s="1"/>
  <c r="AE209" i="42" a="1"/>
  <c r="AE209" i="42" s="1"/>
  <c r="AE205" i="42" a="1"/>
  <c r="AE205" i="42" s="1"/>
  <c r="AE201" i="42" a="1"/>
  <c r="AE201" i="42" s="1"/>
  <c r="AE222" i="42" a="1"/>
  <c r="AE222" i="42" s="1"/>
  <c r="AE219" i="42" a="1"/>
  <c r="AE219" i="42" s="1"/>
  <c r="AE207" i="42" a="1"/>
  <c r="AE207" i="42" s="1"/>
  <c r="AE217" i="42" a="1"/>
  <c r="AE217" i="42" s="1"/>
  <c r="AE213" i="42" a="1"/>
  <c r="AE213" i="42" s="1"/>
  <c r="AE204" i="42" a="1"/>
  <c r="AE204" i="42" s="1"/>
  <c r="AE223" i="42" a="1"/>
  <c r="AE223" i="42" s="1"/>
  <c r="AE221" i="42" a="1"/>
  <c r="AE221" i="42" s="1"/>
  <c r="AE220" i="42" a="1"/>
  <c r="AE220" i="42" s="1"/>
  <c r="AE218" i="42" a="1"/>
  <c r="AE218" i="42" s="1"/>
  <c r="AE206" i="42" a="1"/>
  <c r="AE206" i="42" s="1"/>
  <c r="AE215" i="42" a="1"/>
  <c r="AE215" i="42" s="1"/>
  <c r="AE196" i="42" a="1"/>
  <c r="AE196" i="42" s="1"/>
  <c r="AE181" i="42" a="1"/>
  <c r="AE181" i="42" s="1"/>
  <c r="AE174" i="42" a="1"/>
  <c r="AE174" i="42" s="1"/>
  <c r="AE193" i="42" a="1"/>
  <c r="AE193" i="42" s="1"/>
  <c r="AE185" i="42" a="1"/>
  <c r="AE185" i="42" s="1"/>
  <c r="AE189" i="42" a="1"/>
  <c r="AE189" i="42" s="1"/>
  <c r="AE176" i="42" a="1"/>
  <c r="AE176" i="42" s="1"/>
  <c r="AE186" i="42" a="1"/>
  <c r="AE186" i="42" s="1"/>
  <c r="AE180" i="42" a="1"/>
  <c r="AE180" i="42" s="1"/>
  <c r="AE172" i="42" a="1"/>
  <c r="AE172" i="42" s="1"/>
  <c r="AE194" i="42" a="1"/>
  <c r="AE194" i="42" s="1"/>
  <c r="AE179" i="42" a="1"/>
  <c r="AE179" i="42" s="1"/>
  <c r="AE192" i="42" a="1"/>
  <c r="AE192" i="42" s="1"/>
  <c r="AE191" i="42" a="1"/>
  <c r="AE191" i="42" s="1"/>
  <c r="AE187" i="42" a="1"/>
  <c r="AE187" i="42" s="1"/>
  <c r="AE173" i="42" a="1"/>
  <c r="AE173" i="42" s="1"/>
  <c r="AE182" i="42" a="1"/>
  <c r="AE182" i="42" s="1"/>
  <c r="AE175" i="42" a="1"/>
  <c r="AE175" i="42" s="1"/>
  <c r="AE178" i="42" a="1"/>
  <c r="AE178" i="42" s="1"/>
  <c r="AE177" i="42" a="1"/>
  <c r="AE177" i="42" s="1"/>
  <c r="AE195" i="42" a="1"/>
  <c r="AE195" i="42" s="1"/>
  <c r="AE188" i="42" a="1"/>
  <c r="AE188" i="42" s="1"/>
  <c r="AE190" i="42" a="1"/>
  <c r="AE190" i="42" s="1"/>
  <c r="AE184" i="42" a="1"/>
  <c r="AE184" i="42" s="1"/>
  <c r="AE171" i="42" a="1"/>
  <c r="AE171" i="42" s="1"/>
  <c r="AE183" i="42" a="1"/>
  <c r="AE183" i="42" s="1"/>
  <c r="AE151" i="42" a="1"/>
  <c r="AE151" i="42" s="1"/>
  <c r="AE163" i="42" a="1"/>
  <c r="AE163" i="42" s="1"/>
  <c r="AE158" i="42" a="1"/>
  <c r="AE158" i="42" s="1"/>
  <c r="AE170" i="42" a="1"/>
  <c r="AE170" i="42" s="1"/>
  <c r="AE150" i="42" a="1"/>
  <c r="AE150" i="42" s="1"/>
  <c r="AE152" i="42" a="1"/>
  <c r="AE152" i="42" s="1"/>
  <c r="AE167" i="42" a="1"/>
  <c r="AE167" i="42" s="1"/>
  <c r="AE157" i="42" a="1"/>
  <c r="AE157" i="42" s="1"/>
  <c r="AE155" i="42" a="1"/>
  <c r="AE155" i="42" s="1"/>
  <c r="AE142" i="42" a="1"/>
  <c r="AE142" i="42" s="1"/>
  <c r="AE165" i="42" a="1"/>
  <c r="AE165" i="42" s="1"/>
  <c r="AE159" i="42" a="1"/>
  <c r="AE159" i="42" s="1"/>
  <c r="AE153" i="42" a="1"/>
  <c r="AE153" i="42" s="1"/>
  <c r="AE149" i="42" a="1"/>
  <c r="AE149" i="42" s="1"/>
  <c r="AE145" i="42" a="1"/>
  <c r="AE145" i="42" s="1"/>
  <c r="AE169" i="42" a="1"/>
  <c r="AE169" i="42" s="1"/>
  <c r="AE146" i="42" a="1"/>
  <c r="AE146" i="42" s="1"/>
  <c r="AE143" i="42" a="1"/>
  <c r="AE143" i="42" s="1"/>
  <c r="AE168" i="42" a="1"/>
  <c r="AE168" i="42" s="1"/>
  <c r="AE148" i="42" a="1"/>
  <c r="AE148" i="42" s="1"/>
  <c r="AE166" i="42" a="1"/>
  <c r="AE166" i="42" s="1"/>
  <c r="AE156" i="42" a="1"/>
  <c r="AE156" i="42" s="1"/>
  <c r="AE147" i="42" a="1"/>
  <c r="AE147" i="42" s="1"/>
  <c r="AE164" i="42" a="1"/>
  <c r="AE164" i="42" s="1"/>
  <c r="AE162" i="42" a="1"/>
  <c r="AE162" i="42" s="1"/>
  <c r="AE161" i="42" a="1"/>
  <c r="AE161" i="42" s="1"/>
  <c r="AE160" i="42" a="1"/>
  <c r="AE160" i="42" s="1"/>
  <c r="AE154" i="42" a="1"/>
  <c r="AE154" i="42" s="1"/>
  <c r="AE144" i="42" a="1"/>
  <c r="AE144" i="42" s="1"/>
  <c r="AE118" i="42" a="1"/>
  <c r="AE118" i="42" s="1"/>
  <c r="AE116" i="42" a="1"/>
  <c r="AE116" i="42" s="1"/>
  <c r="AE128" i="42" a="1"/>
  <c r="AE128" i="42" s="1"/>
  <c r="AE132" i="42" a="1"/>
  <c r="AE132" i="42" s="1"/>
  <c r="AE119" i="42" a="1"/>
  <c r="AE119" i="42" s="1"/>
  <c r="AE141" i="42" a="1"/>
  <c r="AE141" i="42" s="1"/>
  <c r="AE134" i="42" a="1"/>
  <c r="AE134" i="42" s="1"/>
  <c r="AE129" i="42" a="1"/>
  <c r="AE129" i="42" s="1"/>
  <c r="AE123" i="42" a="1"/>
  <c r="AE123" i="42" s="1"/>
  <c r="AE114" i="42" a="1"/>
  <c r="AE114" i="42" s="1"/>
  <c r="AE140" i="42" a="1"/>
  <c r="AE140" i="42" s="1"/>
  <c r="AE126" i="42" a="1"/>
  <c r="AE126" i="42" s="1"/>
  <c r="AE127" i="42" a="1"/>
  <c r="AE127" i="42" s="1"/>
  <c r="AE137" i="42" a="1"/>
  <c r="AE137" i="42" s="1"/>
  <c r="AE120" i="42" a="1"/>
  <c r="AE120" i="42" s="1"/>
  <c r="AE136" i="42" a="1"/>
  <c r="AE136" i="42" s="1"/>
  <c r="AE122" i="42" a="1"/>
  <c r="AE122" i="42" s="1"/>
  <c r="AE124" i="42" a="1"/>
  <c r="AE124" i="42" s="1"/>
  <c r="AE125" i="42" a="1"/>
  <c r="AE125" i="42" s="1"/>
  <c r="AE135" i="42" a="1"/>
  <c r="AE135" i="42" s="1"/>
  <c r="AE133" i="42" a="1"/>
  <c r="AE133" i="42" s="1"/>
  <c r="AE117" i="42" a="1"/>
  <c r="AE117" i="42" s="1"/>
  <c r="AE139" i="42" a="1"/>
  <c r="AE139" i="42" s="1"/>
  <c r="AE131" i="42" a="1"/>
  <c r="AE131" i="42" s="1"/>
  <c r="AE138" i="42" a="1"/>
  <c r="AE138" i="42" s="1"/>
  <c r="AE121" i="42" a="1"/>
  <c r="AE121" i="42" s="1"/>
  <c r="AE130" i="42" a="1"/>
  <c r="AE130" i="42" s="1"/>
  <c r="AE115" i="42" a="1"/>
  <c r="AE115" i="42" s="1"/>
  <c r="AE96" i="42" a="1"/>
  <c r="AE96" i="42" s="1"/>
  <c r="AE99" i="42" a="1"/>
  <c r="AE99" i="42" s="1"/>
  <c r="AE88" i="42" a="1"/>
  <c r="AE88" i="42" s="1"/>
  <c r="AE102" i="42" a="1"/>
  <c r="AE102" i="42" s="1"/>
  <c r="AE91" i="42" a="1"/>
  <c r="AE91" i="42" s="1"/>
  <c r="AE98" i="42" a="1"/>
  <c r="AE98" i="42" s="1"/>
  <c r="AE90" i="42" a="1"/>
  <c r="AE90" i="42" s="1"/>
  <c r="AE87" i="42" a="1"/>
  <c r="AE87" i="42" s="1"/>
  <c r="AE94" i="42" a="1"/>
  <c r="AE94" i="42" s="1"/>
  <c r="AE95" i="42" a="1"/>
  <c r="AE95" i="42" s="1"/>
  <c r="AE112" i="42" a="1"/>
  <c r="AE112" i="42" s="1"/>
  <c r="AE105" i="42" a="1"/>
  <c r="AE105" i="42" s="1"/>
  <c r="AE100" i="42" a="1"/>
  <c r="AE100" i="42" s="1"/>
  <c r="AE113" i="42" a="1"/>
  <c r="AE113" i="42" s="1"/>
  <c r="AE106" i="42" a="1"/>
  <c r="AE106" i="42" s="1"/>
  <c r="AE111" i="42" a="1"/>
  <c r="AE111" i="42" s="1"/>
  <c r="AE93" i="42" a="1"/>
  <c r="AE93" i="42" s="1"/>
  <c r="AE110" i="42" a="1"/>
  <c r="AE110" i="42" s="1"/>
  <c r="AE108" i="42" a="1"/>
  <c r="AE108" i="42" s="1"/>
  <c r="AE103" i="42" a="1"/>
  <c r="AE103" i="42" s="1"/>
  <c r="AE89" i="42" a="1"/>
  <c r="AE89" i="42" s="1"/>
  <c r="AE109" i="42" a="1"/>
  <c r="AE109" i="42" s="1"/>
  <c r="AE97" i="42" a="1"/>
  <c r="AE97" i="42" s="1"/>
  <c r="AE104" i="42" a="1"/>
  <c r="AE104" i="42" s="1"/>
  <c r="AE92" i="42" a="1"/>
  <c r="AE92" i="42" s="1"/>
  <c r="AE107" i="42" a="1"/>
  <c r="AE107" i="42" s="1"/>
  <c r="AE101" i="42" a="1"/>
  <c r="AE101" i="42" s="1"/>
  <c r="AE79" i="42" a="1"/>
  <c r="AE79" i="42" s="1"/>
  <c r="AE78" i="42" a="1"/>
  <c r="AE78" i="42" s="1"/>
  <c r="AE82" i="42" a="1"/>
  <c r="AE82" i="42" s="1"/>
  <c r="AE65" i="42" a="1"/>
  <c r="AE65" i="42" s="1"/>
  <c r="AE77" i="42" a="1"/>
  <c r="AE77" i="42" s="1"/>
  <c r="AE66" i="42" a="1"/>
  <c r="AE66" i="42" s="1"/>
  <c r="AE72" i="42" a="1"/>
  <c r="AE72" i="42" s="1"/>
  <c r="AE73" i="42" a="1"/>
  <c r="AE73" i="42" s="1"/>
  <c r="AE84" i="42" a="1"/>
  <c r="AE84" i="42" s="1"/>
  <c r="AE67" i="42" a="1"/>
  <c r="AE67" i="42" s="1"/>
  <c r="AE80" i="42" a="1"/>
  <c r="AE80" i="42" s="1"/>
  <c r="AE83" i="42" a="1"/>
  <c r="AE83" i="42" s="1"/>
  <c r="AE75" i="42" a="1"/>
  <c r="AE75" i="42" s="1"/>
  <c r="AE68" i="42" a="1"/>
  <c r="AE68" i="42" s="1"/>
  <c r="AE64" i="42" a="1"/>
  <c r="AE64" i="42" s="1"/>
  <c r="AE62" i="42" a="1"/>
  <c r="AE62" i="42" s="1"/>
  <c r="AE74" i="42" a="1"/>
  <c r="AE74" i="42" s="1"/>
  <c r="AE69" i="42" a="1"/>
  <c r="AE69" i="42" s="1"/>
  <c r="AE63" i="42" a="1"/>
  <c r="AE63" i="42" s="1"/>
  <c r="AE70" i="42" a="1"/>
  <c r="AE70" i="42" s="1"/>
  <c r="AE76" i="42" a="1"/>
  <c r="AE76" i="42" s="1"/>
  <c r="AE86" i="42" a="1"/>
  <c r="AE86" i="42" s="1"/>
  <c r="AE81" i="42" a="1"/>
  <c r="AE81" i="42" s="1"/>
  <c r="AE85" i="42" a="1"/>
  <c r="AE85" i="42" s="1"/>
  <c r="AE71" i="42" a="1"/>
  <c r="AE71" i="42" s="1"/>
  <c r="AE43" i="42" a="1"/>
  <c r="AE43" i="42" s="1"/>
  <c r="AE48" i="42" a="1"/>
  <c r="AE48" i="42" s="1"/>
  <c r="AE49" i="42" a="1"/>
  <c r="AE49" i="42" s="1"/>
  <c r="AE47" i="42" a="1"/>
  <c r="AE47" i="42" s="1"/>
  <c r="AE40" i="42" a="1"/>
  <c r="AE40" i="42" s="1"/>
  <c r="AE53" i="42" a="1"/>
  <c r="AE53" i="42" s="1"/>
  <c r="AE41" i="42" a="1"/>
  <c r="AE41" i="42" s="1"/>
  <c r="AE50" i="42" a="1"/>
  <c r="AE50" i="42" s="1"/>
  <c r="AE52" i="42" a="1"/>
  <c r="AE52" i="42" s="1"/>
  <c r="AE61" i="42" a="1"/>
  <c r="AE61" i="42" s="1"/>
  <c r="AE60" i="42" a="1"/>
  <c r="AE60" i="42" s="1"/>
  <c r="AE59" i="42" a="1"/>
  <c r="AE59" i="42" s="1"/>
  <c r="AE51" i="42" a="1"/>
  <c r="AE51" i="42" s="1"/>
  <c r="AE46" i="42" a="1"/>
  <c r="AE46" i="42" s="1"/>
  <c r="AE38" i="42" a="1"/>
  <c r="AE38" i="42" s="1"/>
  <c r="AE42" i="42" a="1"/>
  <c r="AE42" i="42" s="1"/>
  <c r="AE58" i="42" a="1"/>
  <c r="AE58" i="42" s="1"/>
  <c r="AE56" i="42" a="1"/>
  <c r="AE56" i="42" s="1"/>
  <c r="AE44" i="42" a="1"/>
  <c r="AE44" i="42" s="1"/>
  <c r="AE37" i="42" a="1"/>
  <c r="AE37" i="42" s="1"/>
  <c r="AE55" i="42" a="1"/>
  <c r="AE55" i="42" s="1"/>
  <c r="AE39" i="42" a="1"/>
  <c r="AE39" i="42" s="1"/>
  <c r="AE57" i="42" a="1"/>
  <c r="AE57" i="42" s="1"/>
  <c r="AE54" i="42" a="1"/>
  <c r="AE54" i="42" s="1"/>
  <c r="AE45" i="42" a="1"/>
  <c r="AE45" i="42" s="1"/>
  <c r="AE15" i="42" a="1"/>
  <c r="AE15" i="42" s="1"/>
  <c r="AE11" i="42" a="1"/>
  <c r="AE11" i="42" s="1"/>
  <c r="AE8" i="42" a="1"/>
  <c r="AE8" i="42" s="1"/>
  <c r="AE23" i="42" a="1"/>
  <c r="AE23" i="42" s="1"/>
  <c r="AE12" i="42" a="1"/>
  <c r="AE12" i="42" s="1"/>
  <c r="AE9" i="42" a="1"/>
  <c r="AE9" i="42" s="1"/>
  <c r="AE22" i="42" a="1"/>
  <c r="AE22" i="42" s="1"/>
  <c r="AE18" i="42" a="1"/>
  <c r="AE18" i="42" s="1"/>
  <c r="AE17" i="42" a="1"/>
  <c r="AE17" i="42" s="1"/>
  <c r="AE10" i="42" a="1"/>
  <c r="AE10" i="42" s="1"/>
  <c r="AE27" i="42" a="1"/>
  <c r="AE27" i="42" s="1"/>
  <c r="AE36" i="42" a="1"/>
  <c r="AE36" i="42" s="1"/>
  <c r="AE35" i="42" a="1"/>
  <c r="AE35" i="42" s="1"/>
  <c r="AE28" i="42" a="1"/>
  <c r="AE28" i="42" s="1"/>
  <c r="AE19" i="42" a="1"/>
  <c r="AE19" i="42" s="1"/>
  <c r="AE34" i="42" a="1"/>
  <c r="AE34" i="42" s="1"/>
  <c r="AE13" i="42" a="1"/>
  <c r="AE13" i="42" s="1"/>
  <c r="AE33" i="42" a="1"/>
  <c r="AE33" i="42" s="1"/>
  <c r="AE32" i="42" a="1"/>
  <c r="AE32" i="42" s="1"/>
  <c r="AE20" i="42" a="1"/>
  <c r="AE20" i="42" s="1"/>
  <c r="AE31" i="42" a="1"/>
  <c r="AE31" i="42" s="1"/>
  <c r="AE7" i="42" a="1"/>
  <c r="AE7" i="42" s="1"/>
  <c r="AE16" i="42" a="1"/>
  <c r="AE16" i="42" s="1"/>
  <c r="AE29" i="42" a="1"/>
  <c r="AE29" i="42" s="1"/>
  <c r="AE30" i="42" a="1"/>
  <c r="AE30" i="42" s="1"/>
  <c r="AE26" i="42" a="1"/>
  <c r="AE26" i="42" s="1"/>
  <c r="AE25" i="42" a="1"/>
  <c r="AE25" i="42" s="1"/>
  <c r="AE14" i="42" a="1"/>
  <c r="AE14" i="42" s="1"/>
  <c r="AE21" i="42" a="1"/>
  <c r="AE21" i="42" s="1"/>
  <c r="AE24" i="42" a="1"/>
  <c r="AE24" i="42" s="1"/>
  <c r="AE413" i="42" a="1"/>
  <c r="AE413" i="42" s="1"/>
  <c r="AE6" i="42" a="1"/>
  <c r="AE6" i="42" s="1"/>
  <c r="AE5" i="42" a="1"/>
  <c r="AE5" i="42" s="1"/>
  <c r="AE4" i="42" a="1"/>
  <c r="AE4" i="42" s="1"/>
  <c r="AE3" i="42" a="1"/>
  <c r="AE3" i="42" s="1"/>
  <c r="AE437" i="42" a="1"/>
  <c r="AE437" i="42" s="1"/>
  <c r="AE438" i="42" a="1"/>
  <c r="AE438" i="42" s="1"/>
  <c r="AE436" i="42" a="1"/>
  <c r="AE436" i="42" s="1"/>
  <c r="AE422" i="42" a="1"/>
  <c r="AE422" i="42" s="1"/>
  <c r="AE421" i="42" a="1"/>
  <c r="AE421" i="42" s="1"/>
  <c r="AE423" i="42" a="1"/>
  <c r="AE423" i="42" s="1"/>
  <c r="AE420" i="42" a="1"/>
  <c r="AE420" i="42" s="1"/>
  <c r="AE418" i="42" a="1"/>
  <c r="AE418" i="42" s="1"/>
  <c r="AE419" i="42" a="1"/>
  <c r="AE419" i="42" s="1"/>
  <c r="AE417" i="42" a="1"/>
  <c r="AE417" i="42" s="1"/>
  <c r="AE416" i="42" a="1"/>
  <c r="AE416" i="42" s="1"/>
  <c r="AE415" i="42" a="1"/>
  <c r="AE415" i="42" s="1"/>
  <c r="AE414" i="42" a="1"/>
  <c r="AE414" i="42" s="1"/>
  <c r="AE434" i="42" a="1"/>
  <c r="AE434" i="42" s="1"/>
  <c r="AE435" i="42" a="1"/>
  <c r="AE435" i="42" s="1"/>
  <c r="AE425" i="42" a="1"/>
  <c r="AE425" i="42" s="1"/>
  <c r="AE424" i="42" a="1"/>
  <c r="AE424" i="42" s="1"/>
  <c r="AE426" i="42" a="1"/>
  <c r="AE426" i="42" s="1"/>
  <c r="AE433" i="42" a="1"/>
  <c r="AE433" i="42" s="1"/>
  <c r="AE431" i="42" a="1"/>
  <c r="AE431" i="42" s="1"/>
  <c r="AE430" i="42" a="1"/>
  <c r="AE430" i="42" s="1"/>
  <c r="AE427" i="42" a="1"/>
  <c r="AE427" i="42" s="1"/>
  <c r="AE429" i="42" a="1"/>
  <c r="AE429" i="42" s="1"/>
  <c r="AE428" i="42" a="1"/>
  <c r="AE428" i="42" s="1"/>
  <c r="AE432" i="42" a="1"/>
  <c r="AE432" i="42" s="1"/>
  <c r="AF436" i="42" a="1"/>
  <c r="AF436" i="42" s="1"/>
  <c r="AF438" i="42" a="1"/>
  <c r="AF438" i="42" s="1"/>
  <c r="AF437" i="42" a="1"/>
  <c r="AF437" i="42" s="1"/>
  <c r="AF422" i="42" a="1"/>
  <c r="AF422" i="42" s="1"/>
  <c r="AF421" i="42" a="1"/>
  <c r="AF421" i="42" s="1"/>
  <c r="AF423" i="42" a="1"/>
  <c r="AF423" i="42" s="1"/>
  <c r="AF420" i="42" a="1"/>
  <c r="AF420" i="42" s="1"/>
  <c r="AF424" i="42" a="1"/>
  <c r="AF424" i="42" s="1"/>
  <c r="AF425" i="42" a="1"/>
  <c r="AF425" i="42" s="1"/>
  <c r="AF426" i="42" a="1"/>
  <c r="AF426" i="42" s="1"/>
  <c r="AF433" i="42" a="1"/>
  <c r="AF433" i="42" s="1"/>
  <c r="AF434" i="42" a="1"/>
  <c r="AF434" i="42" s="1"/>
  <c r="AF430" i="42" a="1"/>
  <c r="AF430" i="42" s="1"/>
  <c r="AF429" i="42" a="1"/>
  <c r="AF429" i="42" s="1"/>
  <c r="AF427" i="42" a="1"/>
  <c r="AF427" i="42" s="1"/>
  <c r="AF428" i="42" a="1"/>
  <c r="AF428" i="42" s="1"/>
  <c r="AF435" i="42" a="1"/>
  <c r="AF435" i="42" s="1"/>
  <c r="AF431" i="42" a="1"/>
  <c r="AF431" i="42" s="1"/>
  <c r="AF432" i="42" a="1"/>
  <c r="AF432" i="42" s="1"/>
  <c r="H3" i="42" l="1"/>
  <c r="H4" i="42"/>
  <c r="H5" i="42"/>
  <c r="H6" i="42"/>
  <c r="H7" i="42"/>
  <c r="H8" i="42"/>
  <c r="H9" i="42"/>
  <c r="H10" i="42"/>
  <c r="H11" i="42"/>
  <c r="H12" i="42"/>
  <c r="H13" i="42"/>
  <c r="H14" i="42"/>
  <c r="H15" i="42"/>
  <c r="H16" i="42"/>
  <c r="H17" i="42"/>
  <c r="H18" i="42"/>
  <c r="H19" i="42"/>
  <c r="H20" i="42"/>
  <c r="H21" i="42"/>
  <c r="H22" i="42"/>
  <c r="H23" i="42"/>
  <c r="H24" i="42"/>
  <c r="H25" i="42"/>
  <c r="H26" i="42"/>
  <c r="H27" i="42"/>
  <c r="H28" i="42"/>
  <c r="H29" i="42"/>
  <c r="H30" i="42"/>
  <c r="H31" i="42"/>
  <c r="H32" i="42"/>
  <c r="H33" i="42"/>
  <c r="H34" i="42"/>
  <c r="H35" i="42"/>
  <c r="H36" i="42"/>
  <c r="H37" i="42"/>
  <c r="H38" i="42"/>
  <c r="H39" i="42"/>
  <c r="H40" i="42"/>
  <c r="H41" i="42"/>
  <c r="H42" i="42"/>
  <c r="H43" i="42"/>
  <c r="H44" i="42"/>
  <c r="H45" i="42"/>
  <c r="H46" i="42"/>
  <c r="H47" i="42"/>
  <c r="H48" i="42"/>
  <c r="H49" i="42"/>
  <c r="H50" i="42"/>
  <c r="H51" i="42"/>
  <c r="H52" i="42"/>
  <c r="H53" i="42"/>
  <c r="H54" i="42"/>
  <c r="H55" i="42"/>
  <c r="H56" i="42"/>
  <c r="H57" i="42"/>
  <c r="H58" i="42"/>
  <c r="H59" i="42"/>
  <c r="H60" i="42"/>
  <c r="H61" i="42"/>
  <c r="H62" i="42"/>
  <c r="H63" i="42"/>
  <c r="H64" i="42"/>
  <c r="H65" i="42"/>
  <c r="H66" i="42"/>
  <c r="H67" i="42"/>
  <c r="H68" i="42"/>
  <c r="H69" i="42"/>
  <c r="H70" i="42"/>
  <c r="H71" i="42"/>
  <c r="H72" i="42"/>
  <c r="H73" i="42"/>
  <c r="H74" i="42"/>
  <c r="H75" i="42"/>
  <c r="H76" i="42"/>
  <c r="H77" i="42"/>
  <c r="H78" i="42"/>
  <c r="H79" i="42"/>
  <c r="H80" i="42"/>
  <c r="H81" i="42"/>
  <c r="H82" i="42"/>
  <c r="H83" i="42"/>
  <c r="H84" i="42"/>
  <c r="H85" i="42"/>
  <c r="H86" i="42"/>
  <c r="H87" i="42"/>
  <c r="H88" i="42"/>
  <c r="H89" i="42"/>
  <c r="H90" i="42"/>
  <c r="H91" i="42"/>
  <c r="H92" i="42"/>
  <c r="H93" i="42"/>
  <c r="H94" i="42"/>
  <c r="H95" i="42"/>
  <c r="H96" i="42"/>
  <c r="H97" i="42"/>
  <c r="H98" i="42"/>
  <c r="H99" i="42"/>
  <c r="H100" i="42"/>
  <c r="H101" i="42"/>
  <c r="H102" i="42"/>
  <c r="H103" i="42"/>
  <c r="H104" i="42"/>
  <c r="H105" i="42"/>
  <c r="H106" i="42"/>
  <c r="H107" i="42"/>
  <c r="H108" i="42"/>
  <c r="H109" i="42"/>
  <c r="H110" i="42"/>
  <c r="H111" i="42"/>
  <c r="H112" i="42"/>
  <c r="H113" i="42"/>
  <c r="H114" i="42"/>
  <c r="H115" i="42"/>
  <c r="H116" i="42"/>
  <c r="H117" i="42"/>
  <c r="H118" i="42"/>
  <c r="H119" i="42"/>
  <c r="H120" i="42"/>
  <c r="H121" i="42"/>
  <c r="H122" i="42"/>
  <c r="H123" i="42"/>
  <c r="H124" i="42"/>
  <c r="H125" i="42"/>
  <c r="H126" i="42"/>
  <c r="H127" i="42"/>
  <c r="H128" i="42"/>
  <c r="H129" i="42"/>
  <c r="H130" i="42"/>
  <c r="H131" i="42"/>
  <c r="H132" i="42"/>
  <c r="H133" i="42"/>
  <c r="H134" i="42"/>
  <c r="H135" i="42"/>
  <c r="H136" i="42"/>
  <c r="H137" i="42"/>
  <c r="H138" i="42"/>
  <c r="H139" i="42"/>
  <c r="H140" i="42"/>
  <c r="H141" i="42"/>
  <c r="H142" i="42"/>
  <c r="H143" i="42"/>
  <c r="H144" i="42"/>
  <c r="H145" i="42"/>
  <c r="H146" i="42"/>
  <c r="H147" i="42"/>
  <c r="H148" i="42"/>
  <c r="H149" i="42"/>
  <c r="H150" i="42"/>
  <c r="H151" i="42"/>
  <c r="H152" i="42"/>
  <c r="H153" i="42"/>
  <c r="H154" i="42"/>
  <c r="H155" i="42"/>
  <c r="H156" i="42"/>
  <c r="H157" i="42"/>
  <c r="H158" i="42"/>
  <c r="H159" i="42"/>
  <c r="H160" i="42"/>
  <c r="H161" i="42"/>
  <c r="H162" i="42"/>
  <c r="H163" i="42"/>
  <c r="H164" i="42"/>
  <c r="H165" i="42"/>
  <c r="H166" i="42"/>
  <c r="H167" i="42"/>
  <c r="H168" i="42"/>
  <c r="H169" i="42"/>
  <c r="H170" i="42"/>
  <c r="H171" i="42"/>
  <c r="H172" i="42"/>
  <c r="H173" i="42"/>
  <c r="H174" i="42"/>
  <c r="H175" i="42"/>
  <c r="H176" i="42"/>
  <c r="H177" i="42"/>
  <c r="H178" i="42"/>
  <c r="H179" i="42"/>
  <c r="H180" i="42"/>
  <c r="H181" i="42"/>
  <c r="H182" i="42"/>
  <c r="H183" i="42"/>
  <c r="H184" i="42"/>
  <c r="H185" i="42"/>
  <c r="H186" i="42"/>
  <c r="H187" i="42"/>
  <c r="H188" i="42"/>
  <c r="H189" i="42"/>
  <c r="H190" i="42"/>
  <c r="H191" i="42"/>
  <c r="H192" i="42"/>
  <c r="H193" i="42"/>
  <c r="H194" i="42"/>
  <c r="H195" i="42"/>
  <c r="H196" i="42"/>
  <c r="H197" i="42"/>
  <c r="H198" i="42"/>
  <c r="H199" i="42"/>
  <c r="H200" i="42"/>
  <c r="H201" i="42"/>
  <c r="H202" i="42"/>
  <c r="H203" i="42"/>
  <c r="H204" i="42"/>
  <c r="H205" i="42"/>
  <c r="H206" i="42"/>
  <c r="H207" i="42"/>
  <c r="H208" i="42"/>
  <c r="H209" i="42"/>
  <c r="H210" i="42"/>
  <c r="H211" i="42"/>
  <c r="H212" i="42"/>
  <c r="H213" i="42"/>
  <c r="H214" i="42"/>
  <c r="H215" i="42"/>
  <c r="H216" i="42"/>
  <c r="H217" i="42"/>
  <c r="H218" i="42"/>
  <c r="H219" i="42"/>
  <c r="H220" i="42"/>
  <c r="H221" i="42"/>
  <c r="H222" i="42"/>
  <c r="H223" i="42"/>
  <c r="H224" i="42"/>
  <c r="H225" i="42"/>
  <c r="H226" i="42"/>
  <c r="H227" i="42"/>
  <c r="H228" i="42"/>
  <c r="H229" i="42"/>
  <c r="H230" i="42"/>
  <c r="H231" i="42"/>
  <c r="H232" i="42"/>
  <c r="H233" i="42"/>
  <c r="H234" i="42"/>
  <c r="H235" i="42"/>
  <c r="H236" i="42"/>
  <c r="H237" i="42"/>
  <c r="H238" i="42"/>
  <c r="H239" i="42"/>
  <c r="H240" i="42"/>
  <c r="H241" i="42"/>
  <c r="H242" i="42"/>
  <c r="H243" i="42"/>
  <c r="H244" i="42"/>
  <c r="H245" i="42"/>
  <c r="H246" i="42"/>
  <c r="H247" i="42"/>
  <c r="H248" i="42"/>
  <c r="H249" i="42"/>
  <c r="H250" i="42"/>
  <c r="H251" i="42"/>
  <c r="H252" i="42"/>
  <c r="H253" i="42"/>
  <c r="H254" i="42"/>
  <c r="H255" i="42"/>
  <c r="H256" i="42"/>
  <c r="H257" i="42"/>
  <c r="H258" i="42"/>
  <c r="H259" i="42"/>
  <c r="H260" i="42"/>
  <c r="H261" i="42"/>
  <c r="H262" i="42"/>
  <c r="H263" i="42"/>
  <c r="H264" i="42"/>
  <c r="H265" i="42"/>
  <c r="H266" i="42"/>
  <c r="H267" i="42"/>
  <c r="H268" i="42"/>
  <c r="H269" i="42"/>
  <c r="H270" i="42"/>
  <c r="H271" i="42"/>
  <c r="H272" i="42"/>
  <c r="H273" i="42"/>
  <c r="H274" i="42"/>
  <c r="H275" i="42"/>
  <c r="H276" i="42"/>
  <c r="H277" i="42"/>
  <c r="H278" i="42"/>
  <c r="H279" i="42"/>
  <c r="H280" i="42"/>
  <c r="H281" i="42"/>
  <c r="H282" i="42"/>
  <c r="H283" i="42"/>
  <c r="H284" i="42"/>
  <c r="H285" i="42"/>
  <c r="H286" i="42"/>
  <c r="H287" i="42"/>
  <c r="H288" i="42"/>
  <c r="H289" i="42"/>
  <c r="H290" i="42"/>
  <c r="H291" i="42"/>
  <c r="H292" i="42"/>
  <c r="H293" i="42"/>
  <c r="H294" i="42"/>
  <c r="H295" i="42"/>
  <c r="H296" i="42"/>
  <c r="H297" i="42"/>
  <c r="H298" i="42"/>
  <c r="H299" i="42"/>
  <c r="H300" i="42"/>
  <c r="H301" i="42"/>
  <c r="H302" i="42"/>
  <c r="H303" i="42"/>
  <c r="H304" i="42"/>
  <c r="H305" i="42"/>
  <c r="H306" i="42"/>
  <c r="H307" i="42"/>
  <c r="H308" i="42"/>
  <c r="H309" i="42"/>
  <c r="H310" i="42"/>
  <c r="H311" i="42"/>
  <c r="H312" i="42"/>
  <c r="H313" i="42"/>
  <c r="H314" i="42"/>
  <c r="H315" i="42"/>
  <c r="H316" i="42"/>
  <c r="H317" i="42"/>
  <c r="H318" i="42"/>
  <c r="H319" i="42"/>
  <c r="H320" i="42"/>
  <c r="H321" i="42"/>
  <c r="H322" i="42"/>
  <c r="H323" i="42"/>
  <c r="H324" i="42"/>
  <c r="H325" i="42"/>
  <c r="H326" i="42"/>
  <c r="H327" i="42"/>
  <c r="H328" i="42"/>
  <c r="H329" i="42"/>
  <c r="H330" i="42"/>
  <c r="H331" i="42"/>
  <c r="H332" i="42"/>
  <c r="H333" i="42"/>
  <c r="H334" i="42"/>
  <c r="H335" i="42"/>
  <c r="H336" i="42"/>
  <c r="H337" i="42"/>
  <c r="H338" i="42"/>
  <c r="H339" i="42"/>
  <c r="H340" i="42"/>
  <c r="H341" i="42"/>
  <c r="H342" i="42"/>
  <c r="H343" i="42"/>
  <c r="H344" i="42"/>
  <c r="H345" i="42"/>
  <c r="H346" i="42"/>
  <c r="H347" i="42"/>
  <c r="H348" i="42"/>
  <c r="H349" i="42"/>
  <c r="H350" i="42"/>
  <c r="H351" i="42"/>
  <c r="H352" i="42"/>
  <c r="H353" i="42"/>
  <c r="H354" i="42"/>
  <c r="H355" i="42"/>
  <c r="H356" i="42"/>
  <c r="H357" i="42"/>
  <c r="H358" i="42"/>
  <c r="H359" i="42"/>
  <c r="H360" i="42"/>
  <c r="H361" i="42"/>
  <c r="H362" i="42"/>
  <c r="H363" i="42"/>
  <c r="H364" i="42"/>
  <c r="H365" i="42"/>
  <c r="H366" i="42"/>
  <c r="H367" i="42"/>
  <c r="H368" i="42"/>
  <c r="H369" i="42"/>
  <c r="H370" i="42"/>
  <c r="H371" i="42"/>
  <c r="H372" i="42"/>
  <c r="H373" i="42"/>
  <c r="H374" i="42"/>
  <c r="H375" i="42"/>
  <c r="H376" i="42"/>
  <c r="H377" i="42"/>
  <c r="H378" i="42"/>
  <c r="H379" i="42"/>
  <c r="H380" i="42"/>
  <c r="H381" i="42"/>
  <c r="H382" i="42"/>
  <c r="H383" i="42"/>
  <c r="H384" i="42"/>
  <c r="H385" i="42"/>
  <c r="H386" i="42"/>
  <c r="H387" i="42"/>
  <c r="H388" i="42"/>
  <c r="H389" i="42"/>
  <c r="H390" i="42"/>
  <c r="H391" i="42"/>
  <c r="H392" i="42"/>
  <c r="H393" i="42"/>
  <c r="H394" i="42"/>
  <c r="H395" i="42"/>
  <c r="H396" i="42"/>
  <c r="H397" i="42"/>
  <c r="H398" i="42"/>
  <c r="H399" i="42"/>
  <c r="H400" i="42"/>
  <c r="H401" i="42"/>
  <c r="H402" i="42"/>
  <c r="H403" i="42"/>
  <c r="H404" i="42"/>
  <c r="H405" i="42"/>
  <c r="H406" i="42"/>
  <c r="H407" i="42"/>
  <c r="H408" i="42"/>
  <c r="H409" i="42"/>
  <c r="H410" i="42"/>
  <c r="H411" i="42"/>
  <c r="H412" i="42"/>
  <c r="H413" i="42"/>
  <c r="H414" i="42"/>
  <c r="H415" i="42"/>
  <c r="H416" i="42"/>
  <c r="H417" i="42"/>
  <c r="H418" i="42"/>
  <c r="H419" i="42"/>
  <c r="H420" i="42"/>
  <c r="H421" i="42"/>
  <c r="H422" i="42"/>
  <c r="H423" i="42"/>
  <c r="H424" i="42"/>
  <c r="H425" i="42"/>
  <c r="H426" i="42"/>
  <c r="H427" i="42"/>
  <c r="H428" i="42"/>
  <c r="H429" i="42"/>
  <c r="H430" i="42"/>
  <c r="H431" i="42"/>
  <c r="H432" i="42"/>
  <c r="H433" i="42"/>
  <c r="H434" i="42"/>
  <c r="H435" i="42"/>
  <c r="H436" i="42"/>
  <c r="H437" i="42"/>
  <c r="H438" i="42"/>
  <c r="Y438" i="42"/>
  <c r="Z438" i="42"/>
  <c r="Y437" i="42"/>
  <c r="Z437" i="42"/>
  <c r="Y436" i="42"/>
  <c r="Z436" i="42"/>
  <c r="AA436" i="42" l="1"/>
  <c r="AB436" i="42" s="1" a="1"/>
  <c r="AB436" i="42" s="1"/>
  <c r="AA437" i="42"/>
  <c r="AB437" i="42" s="1" a="1"/>
  <c r="AB437" i="42" s="1"/>
  <c r="AA438" i="42"/>
  <c r="AB438" i="42" s="1" a="1"/>
  <c r="AB438" i="42" s="1"/>
  <c r="Y435" i="42"/>
  <c r="Z435" i="42"/>
  <c r="Y434" i="42"/>
  <c r="Z434" i="42"/>
  <c r="Y433" i="42"/>
  <c r="Z433" i="42"/>
  <c r="AA433" i="42" s="1"/>
  <c r="AB433" i="42" s="1" a="1"/>
  <c r="AB433" i="42" s="1"/>
  <c r="Y432" i="42"/>
  <c r="Z432" i="42"/>
  <c r="Y431" i="42"/>
  <c r="Z431" i="42"/>
  <c r="Y430" i="42"/>
  <c r="Z430" i="42"/>
  <c r="AA432" i="42" l="1"/>
  <c r="AB432" i="42" s="1" a="1"/>
  <c r="AB432" i="42" s="1"/>
  <c r="AA431" i="42"/>
  <c r="AB431" i="42" s="1" a="1"/>
  <c r="AB431" i="42" s="1"/>
  <c r="AA435" i="42"/>
  <c r="AB435" i="42" s="1" a="1"/>
  <c r="AB435" i="42" s="1"/>
  <c r="AA430" i="42"/>
  <c r="AB430" i="42" s="1" a="1"/>
  <c r="AB430" i="42" s="1"/>
  <c r="AA434" i="42"/>
  <c r="AB434" i="42" s="1" a="1"/>
  <c r="AB434" i="42" s="1"/>
  <c r="Y429" i="42"/>
  <c r="Z429" i="42"/>
  <c r="Y428" i="42"/>
  <c r="Z428" i="42"/>
  <c r="Y427" i="42"/>
  <c r="Z427" i="42"/>
  <c r="AA429" i="42" l="1"/>
  <c r="AB429" i="42" s="1" a="1"/>
  <c r="AB429" i="42" s="1"/>
  <c r="AA427" i="42"/>
  <c r="AB427" i="42" s="1" a="1"/>
  <c r="AB427" i="42" s="1"/>
  <c r="AA428" i="42"/>
  <c r="AB428" i="42" s="1" a="1"/>
  <c r="AB428" i="42" s="1"/>
  <c r="O2" i="43" a="1"/>
  <c r="O2" i="43" s="1"/>
  <c r="N2" i="43" a="1"/>
  <c r="N2" i="43" s="1"/>
  <c r="D2" i="43" a="1"/>
  <c r="D2" i="43" s="1"/>
  <c r="P2" i="43" a="1"/>
  <c r="P2" i="43" s="1"/>
  <c r="J2" i="43" a="1"/>
  <c r="J2" i="43" s="1"/>
  <c r="S2" i="43" l="1" a="1"/>
  <c r="S2" i="43" s="1"/>
  <c r="Z413" i="42"/>
  <c r="AA413" i="42" s="1"/>
  <c r="AB413" i="42" s="1" a="1"/>
  <c r="AB413" i="42" s="1"/>
  <c r="Z412" i="42"/>
  <c r="AA412" i="42" s="1"/>
  <c r="AB412" i="42" s="1" a="1"/>
  <c r="AB412" i="42" s="1"/>
  <c r="Z414" i="42"/>
  <c r="Z415" i="42"/>
  <c r="Z416" i="42"/>
  <c r="Z417" i="42"/>
  <c r="Z418" i="42"/>
  <c r="Z419" i="42"/>
  <c r="Z420" i="42"/>
  <c r="Y421" i="42" l="1"/>
  <c r="Z421" i="42"/>
  <c r="Y422" i="42"/>
  <c r="Z422" i="42"/>
  <c r="Y423" i="42"/>
  <c r="Z423" i="42"/>
  <c r="Y424" i="42"/>
  <c r="Z424" i="42"/>
  <c r="Y425" i="42"/>
  <c r="Z425" i="42"/>
  <c r="Y426" i="42"/>
  <c r="Z426" i="42"/>
  <c r="AA425" i="42" l="1"/>
  <c r="AB425" i="42" s="1" a="1"/>
  <c r="AB425" i="42" s="1"/>
  <c r="AA426" i="42"/>
  <c r="AB426" i="42" s="1" a="1"/>
  <c r="AB426" i="42" s="1"/>
  <c r="AA424" i="42"/>
  <c r="AB424" i="42" s="1" a="1"/>
  <c r="AB424" i="42" s="1"/>
  <c r="AA422" i="42"/>
  <c r="AB422" i="42" s="1" a="1"/>
  <c r="AB422" i="42" s="1"/>
  <c r="AA421" i="42"/>
  <c r="AB421" i="42" s="1" a="1"/>
  <c r="AB421" i="42" s="1"/>
  <c r="AA423" i="42"/>
  <c r="AB423" i="42" s="1" a="1"/>
  <c r="AB423" i="42" s="1"/>
  <c r="Y416" i="42"/>
  <c r="AA416" i="42" s="1"/>
  <c r="AB416" i="42" s="1" a="1"/>
  <c r="AB416" i="42" s="1"/>
  <c r="Y417" i="42"/>
  <c r="AA417" i="42" s="1"/>
  <c r="AB417" i="42" s="1" a="1"/>
  <c r="AB417" i="42" s="1"/>
  <c r="Y418" i="42"/>
  <c r="AA418" i="42" s="1"/>
  <c r="AB418" i="42" s="1" a="1"/>
  <c r="AB418" i="42" s="1"/>
  <c r="Y419" i="42"/>
  <c r="AA419" i="42" s="1"/>
  <c r="AB419" i="42" s="1" a="1"/>
  <c r="AB419" i="42" s="1"/>
  <c r="Y420" i="42"/>
  <c r="AA420" i="42" s="1"/>
  <c r="AB420" i="42" s="1" a="1"/>
  <c r="AB420" i="42" s="1"/>
  <c r="Y413" i="42" l="1"/>
  <c r="Y414" i="42"/>
  <c r="AA414" i="42" s="1"/>
  <c r="AB414" i="42" s="1" a="1"/>
  <c r="AB414" i="42" s="1"/>
  <c r="Y415" i="42"/>
  <c r="AA415" i="42" s="1"/>
  <c r="AB415" i="42" s="1" a="1"/>
  <c r="AB415" i="42" s="1"/>
  <c r="Y409" i="42" l="1"/>
  <c r="Z409" i="42"/>
  <c r="AA409" i="42" s="1"/>
  <c r="AB409" i="42" s="1" a="1"/>
  <c r="AB409" i="42" s="1"/>
  <c r="Y410" i="42"/>
  <c r="Z410" i="42"/>
  <c r="Y411" i="42"/>
  <c r="Z411" i="42"/>
  <c r="Y412" i="42"/>
  <c r="AA411" i="42" l="1"/>
  <c r="AB411" i="42" s="1" a="1"/>
  <c r="AB411" i="42" s="1"/>
  <c r="AA410" i="42"/>
  <c r="AB410" i="42" s="1" a="1"/>
  <c r="AB410" i="42" s="1"/>
  <c r="Y406" i="42"/>
  <c r="Z406" i="42"/>
  <c r="Y407" i="42"/>
  <c r="Z407" i="42"/>
  <c r="Y408" i="42"/>
  <c r="Z408" i="42"/>
  <c r="AA408" i="42" l="1"/>
  <c r="AB408" i="42" s="1" a="1"/>
  <c r="AB408" i="42" s="1"/>
  <c r="AA407" i="42"/>
  <c r="AB407" i="42" s="1" a="1"/>
  <c r="AB407" i="42" s="1"/>
  <c r="AA406" i="42"/>
  <c r="AB406" i="42" s="1" a="1"/>
  <c r="AB406" i="42" s="1"/>
  <c r="Y398" i="42" l="1"/>
  <c r="Z398" i="42"/>
  <c r="Y400" i="42"/>
  <c r="Z400" i="42"/>
  <c r="Y401" i="42"/>
  <c r="Z401" i="42"/>
  <c r="Y402" i="42"/>
  <c r="Z402" i="42"/>
  <c r="AA402" i="42" s="1"/>
  <c r="AB402" i="42" s="1" a="1"/>
  <c r="AB402" i="42" s="1"/>
  <c r="Y403" i="42"/>
  <c r="Z403" i="42"/>
  <c r="Y404" i="42"/>
  <c r="Z404" i="42"/>
  <c r="Y405" i="42"/>
  <c r="Z405" i="42"/>
  <c r="AA401" i="42" l="1"/>
  <c r="AB401" i="42" s="1" a="1"/>
  <c r="AB401" i="42" s="1"/>
  <c r="AA405" i="42"/>
  <c r="AB405" i="42" s="1" a="1"/>
  <c r="AB405" i="42" s="1"/>
  <c r="AA400" i="42"/>
  <c r="AB400" i="42" s="1" a="1"/>
  <c r="AB400" i="42" s="1"/>
  <c r="AA403" i="42"/>
  <c r="AB403" i="42" s="1" a="1"/>
  <c r="AB403" i="42" s="1"/>
  <c r="AA404" i="42"/>
  <c r="AB404" i="42" s="1" a="1"/>
  <c r="AB404" i="42" s="1"/>
  <c r="AA398" i="42"/>
  <c r="AB398" i="42" s="1" a="1"/>
  <c r="AB398" i="42" s="1"/>
  <c r="Y394" i="42" l="1"/>
  <c r="Z394" i="42"/>
  <c r="AA394" i="42" s="1"/>
  <c r="AB394" i="42" s="1" a="1"/>
  <c r="AB394" i="42" s="1"/>
  <c r="Y395" i="42"/>
  <c r="Z395" i="42"/>
  <c r="Y396" i="42"/>
  <c r="Z396" i="42"/>
  <c r="Y397" i="42"/>
  <c r="Z397" i="42"/>
  <c r="Y399" i="42"/>
  <c r="Z399" i="42"/>
  <c r="AA399" i="42" l="1"/>
  <c r="AB399" i="42" s="1" a="1"/>
  <c r="AB399" i="42" s="1"/>
  <c r="AA396" i="42"/>
  <c r="AB396" i="42" s="1" a="1"/>
  <c r="AB396" i="42" s="1"/>
  <c r="AA397" i="42"/>
  <c r="AB397" i="42" s="1" a="1"/>
  <c r="AB397" i="42" s="1"/>
  <c r="AA395" i="42"/>
  <c r="AB395" i="42" s="1" a="1"/>
  <c r="AB395" i="42" s="1"/>
  <c r="Y388" i="42"/>
  <c r="Z388" i="42"/>
  <c r="Y389" i="42"/>
  <c r="Z389" i="42"/>
  <c r="Y390" i="42"/>
  <c r="Z390" i="42"/>
  <c r="Y391" i="42"/>
  <c r="Z391" i="42"/>
  <c r="Y392" i="42"/>
  <c r="Z392" i="42"/>
  <c r="Y393" i="42"/>
  <c r="Z393" i="42"/>
  <c r="AA393" i="42" l="1"/>
  <c r="AB393" i="42" s="1" a="1"/>
  <c r="AB393" i="42" s="1"/>
  <c r="AA391" i="42"/>
  <c r="AB391" i="42" s="1" a="1"/>
  <c r="AB391" i="42" s="1"/>
  <c r="AA390" i="42"/>
  <c r="AB390" i="42" s="1" a="1"/>
  <c r="AB390" i="42" s="1"/>
  <c r="AA392" i="42"/>
  <c r="AB392" i="42" s="1" a="1"/>
  <c r="AB392" i="42" s="1"/>
  <c r="AA389" i="42"/>
  <c r="AB389" i="42" s="1" a="1"/>
  <c r="AB389" i="42" s="1"/>
  <c r="AA388" i="42"/>
  <c r="AB388" i="42" s="1" a="1"/>
  <c r="AB388" i="42" s="1"/>
  <c r="Y386" i="42"/>
  <c r="Z386" i="42"/>
  <c r="Y387" i="42"/>
  <c r="Z387" i="42"/>
  <c r="AA386" i="42" l="1"/>
  <c r="AB386" i="42" s="1" a="1"/>
  <c r="AB386" i="42" s="1"/>
  <c r="AA387" i="42"/>
  <c r="AB387" i="42" s="1" a="1"/>
  <c r="AB387" i="42" s="1"/>
  <c r="Y380" i="42" l="1"/>
  <c r="Z380" i="42"/>
  <c r="Y381" i="42"/>
  <c r="Z381" i="42"/>
  <c r="Y382" i="42"/>
  <c r="Z382" i="42"/>
  <c r="Y383" i="42"/>
  <c r="Z383" i="42"/>
  <c r="Y384" i="42"/>
  <c r="Z384" i="42"/>
  <c r="Y385" i="42"/>
  <c r="Z385" i="42"/>
  <c r="AA385" i="42" s="1"/>
  <c r="AB385" i="42" s="1" a="1"/>
  <c r="AB385" i="42" s="1"/>
  <c r="Y377" i="42"/>
  <c r="Z377" i="42"/>
  <c r="Y378" i="42"/>
  <c r="Z378" i="42"/>
  <c r="Y379" i="42"/>
  <c r="Z379" i="42"/>
  <c r="Y375" i="42"/>
  <c r="Z375" i="42"/>
  <c r="Y376" i="42"/>
  <c r="Z376" i="42"/>
  <c r="AA376" i="42" l="1"/>
  <c r="AB376" i="42" s="1" a="1"/>
  <c r="AB376" i="42" s="1"/>
  <c r="AA384" i="42"/>
  <c r="AB384" i="42" s="1" a="1"/>
  <c r="AB384" i="42" s="1"/>
  <c r="AA378" i="42"/>
  <c r="AB378" i="42" s="1" a="1"/>
  <c r="AB378" i="42" s="1"/>
  <c r="AA379" i="42"/>
  <c r="AB379" i="42" s="1" a="1"/>
  <c r="AB379" i="42" s="1"/>
  <c r="AA377" i="42"/>
  <c r="AB377" i="42" s="1" a="1"/>
  <c r="AB377" i="42" s="1"/>
  <c r="AA383" i="42"/>
  <c r="AB383" i="42" s="1" a="1"/>
  <c r="AB383" i="42" s="1"/>
  <c r="AA381" i="42"/>
  <c r="AB381" i="42" s="1" a="1"/>
  <c r="AB381" i="42" s="1"/>
  <c r="AA382" i="42"/>
  <c r="AB382" i="42" s="1" a="1"/>
  <c r="AB382" i="42" s="1"/>
  <c r="AA375" i="42"/>
  <c r="AB375" i="42" s="1" a="1"/>
  <c r="AB375" i="42" s="1"/>
  <c r="AA380" i="42"/>
  <c r="AB380" i="42" s="1" a="1"/>
  <c r="AB380" i="42" s="1"/>
  <c r="Y371" i="42"/>
  <c r="Z371" i="42"/>
  <c r="Y372" i="42"/>
  <c r="Z372" i="42"/>
  <c r="Y373" i="42"/>
  <c r="Z373" i="42"/>
  <c r="Y374" i="42"/>
  <c r="Z374" i="42"/>
  <c r="AA374" i="42" l="1"/>
  <c r="AB374" i="42" s="1" a="1"/>
  <c r="AB374" i="42" s="1"/>
  <c r="AA373" i="42"/>
  <c r="AB373" i="42" s="1" a="1"/>
  <c r="AB373" i="42" s="1"/>
  <c r="AA371" i="42"/>
  <c r="AB371" i="42" s="1" a="1"/>
  <c r="AB371" i="42" s="1"/>
  <c r="AA372" i="42"/>
  <c r="AB372" i="42" s="1" a="1"/>
  <c r="AB372" i="42" s="1"/>
  <c r="Z327" i="42" l="1"/>
  <c r="Z326" i="42"/>
  <c r="Z328" i="42"/>
  <c r="Z329" i="42"/>
  <c r="Y326" i="42"/>
  <c r="Y327" i="42"/>
  <c r="Y328" i="42"/>
  <c r="Y329" i="42"/>
  <c r="Y330" i="42"/>
  <c r="Z330" i="42"/>
  <c r="AA329" i="42" l="1"/>
  <c r="AB329" i="42" s="1" a="1"/>
  <c r="AB329" i="42" s="1"/>
  <c r="AA330" i="42"/>
  <c r="AB330" i="42" s="1" a="1"/>
  <c r="AB330" i="42" s="1"/>
  <c r="AA328" i="42"/>
  <c r="AB328" i="42" s="1" a="1"/>
  <c r="AB328" i="42" s="1"/>
  <c r="AA326" i="42"/>
  <c r="AB326" i="42" s="1" a="1"/>
  <c r="AB326" i="42" s="1"/>
  <c r="AA327" i="42"/>
  <c r="AB327" i="42" s="1" a="1"/>
  <c r="AB327" i="42" s="1"/>
  <c r="Y364" i="42" l="1"/>
  <c r="Z364" i="42"/>
  <c r="Y365" i="42"/>
  <c r="Z365" i="42"/>
  <c r="Y366" i="42"/>
  <c r="Z366" i="42"/>
  <c r="Y367" i="42"/>
  <c r="Z367" i="42"/>
  <c r="Y368" i="42"/>
  <c r="Z368" i="42"/>
  <c r="Y369" i="42"/>
  <c r="Z369" i="42"/>
  <c r="Y370" i="42"/>
  <c r="Z370" i="42"/>
  <c r="AA368" i="42" l="1"/>
  <c r="AB368" i="42" s="1" a="1"/>
  <c r="AB368" i="42" s="1"/>
  <c r="AA370" i="42"/>
  <c r="AB370" i="42" s="1" a="1"/>
  <c r="AB370" i="42" s="1"/>
  <c r="AA369" i="42"/>
  <c r="AB369" i="42" s="1" a="1"/>
  <c r="AB369" i="42" s="1"/>
  <c r="AA367" i="42"/>
  <c r="AB367" i="42" s="1" a="1"/>
  <c r="AB367" i="42" s="1"/>
  <c r="AA366" i="42"/>
  <c r="AB366" i="42" s="1" a="1"/>
  <c r="AB366" i="42" s="1"/>
  <c r="AA365" i="42"/>
  <c r="AB365" i="42" s="1" a="1"/>
  <c r="AB365" i="42" s="1"/>
  <c r="AA364" i="42"/>
  <c r="AB364" i="42" s="1" a="1"/>
  <c r="AB364" i="42" s="1"/>
  <c r="Y361" i="42"/>
  <c r="Z361" i="42"/>
  <c r="AA361" i="42" s="1"/>
  <c r="AB361" i="42" s="1" a="1"/>
  <c r="AB361" i="42" s="1"/>
  <c r="Y362" i="42"/>
  <c r="Z362" i="42"/>
  <c r="Y363" i="42"/>
  <c r="Z363" i="42"/>
  <c r="Y356" i="42"/>
  <c r="Z356" i="42"/>
  <c r="Y357" i="42"/>
  <c r="Z357" i="42"/>
  <c r="Y358" i="42"/>
  <c r="Z358" i="42"/>
  <c r="Y359" i="42"/>
  <c r="Z359" i="42"/>
  <c r="Y360" i="42"/>
  <c r="Z360" i="42"/>
  <c r="AA362" i="42" l="1"/>
  <c r="AB362" i="42" s="1" a="1"/>
  <c r="AB362" i="42" s="1"/>
  <c r="AA363" i="42"/>
  <c r="AB363" i="42" s="1" a="1"/>
  <c r="AB363" i="42" s="1"/>
  <c r="AA359" i="42"/>
  <c r="AB359" i="42" s="1" a="1"/>
  <c r="AB359" i="42" s="1"/>
  <c r="AA357" i="42"/>
  <c r="AB357" i="42" s="1" a="1"/>
  <c r="AB357" i="42" s="1"/>
  <c r="AA360" i="42"/>
  <c r="AB360" i="42" s="1" a="1"/>
  <c r="AB360" i="42" s="1"/>
  <c r="AA358" i="42"/>
  <c r="AB358" i="42" s="1" a="1"/>
  <c r="AB358" i="42" s="1"/>
  <c r="AA356" i="42"/>
  <c r="AB356" i="42" s="1" a="1"/>
  <c r="AB356" i="42" s="1"/>
  <c r="Y348" i="42"/>
  <c r="Z348" i="42"/>
  <c r="Y349" i="42"/>
  <c r="Z349" i="42"/>
  <c r="Y350" i="42"/>
  <c r="Z350" i="42"/>
  <c r="Y351" i="42"/>
  <c r="Z351" i="42"/>
  <c r="Y352" i="42"/>
  <c r="Z352" i="42"/>
  <c r="Y353" i="42"/>
  <c r="Z353" i="42"/>
  <c r="Y354" i="42"/>
  <c r="Z354" i="42"/>
  <c r="Y355" i="42"/>
  <c r="Z355" i="42"/>
  <c r="Y344" i="42"/>
  <c r="Z344" i="42"/>
  <c r="Y345" i="42"/>
  <c r="Z345" i="42"/>
  <c r="AA345" i="42" s="1"/>
  <c r="AB345" i="42" s="1" a="1"/>
  <c r="AB345" i="42" s="1"/>
  <c r="Y346" i="42"/>
  <c r="Z346" i="42"/>
  <c r="AA346" i="42" s="1"/>
  <c r="AB346" i="42" s="1" a="1"/>
  <c r="AB346" i="42" s="1"/>
  <c r="Y347" i="42"/>
  <c r="Z347" i="42"/>
  <c r="Y340" i="42"/>
  <c r="Z340" i="42"/>
  <c r="Y341" i="42"/>
  <c r="Z341" i="42"/>
  <c r="Y342" i="42"/>
  <c r="Z342" i="42"/>
  <c r="Y343" i="42"/>
  <c r="Z343" i="42"/>
  <c r="AA343" i="42" l="1"/>
  <c r="AB343" i="42" s="1" a="1"/>
  <c r="AB343" i="42" s="1"/>
  <c r="AA354" i="42"/>
  <c r="AB354" i="42" s="1" a="1"/>
  <c r="AB354" i="42" s="1"/>
  <c r="AA340" i="42"/>
  <c r="AB340" i="42" s="1" a="1"/>
  <c r="AB340" i="42" s="1"/>
  <c r="AA348" i="42"/>
  <c r="AB348" i="42" s="1" a="1"/>
  <c r="AB348" i="42" s="1"/>
  <c r="AA353" i="42"/>
  <c r="AB353" i="42" s="1" a="1"/>
  <c r="AB353" i="42" s="1"/>
  <c r="AA342" i="42"/>
  <c r="AB342" i="42" s="1" a="1"/>
  <c r="AB342" i="42" s="1"/>
  <c r="AA341" i="42"/>
  <c r="AB341" i="42" s="1" a="1"/>
  <c r="AB341" i="42" s="1"/>
  <c r="AA352" i="42"/>
  <c r="AB352" i="42" s="1" a="1"/>
  <c r="AB352" i="42" s="1"/>
  <c r="AA351" i="42"/>
  <c r="AB351" i="42" s="1" a="1"/>
  <c r="AB351" i="42" s="1"/>
  <c r="AA350" i="42"/>
  <c r="AB350" i="42" s="1" a="1"/>
  <c r="AB350" i="42" s="1"/>
  <c r="AA349" i="42"/>
  <c r="AB349" i="42" s="1" a="1"/>
  <c r="AB349" i="42" s="1"/>
  <c r="AA347" i="42"/>
  <c r="AB347" i="42" s="1" a="1"/>
  <c r="AB347" i="42" s="1"/>
  <c r="AA355" i="42"/>
  <c r="AB355" i="42" s="1" a="1"/>
  <c r="AB355" i="42" s="1"/>
  <c r="AA344" i="42"/>
  <c r="AB344" i="42" s="1" a="1"/>
  <c r="AB344" i="42" s="1"/>
  <c r="Y337" i="42" l="1"/>
  <c r="Z337" i="42"/>
  <c r="Y338" i="42"/>
  <c r="Z338" i="42"/>
  <c r="Y339" i="42"/>
  <c r="Z339" i="42"/>
  <c r="Y323" i="42"/>
  <c r="Z323" i="42"/>
  <c r="Y324" i="42"/>
  <c r="Z324" i="42"/>
  <c r="Y325" i="42"/>
  <c r="Z325" i="42"/>
  <c r="Y331" i="42"/>
  <c r="Z331" i="42"/>
  <c r="Y332" i="42"/>
  <c r="Z332" i="42"/>
  <c r="Y333" i="42"/>
  <c r="Z333" i="42"/>
  <c r="Y334" i="42"/>
  <c r="Z334" i="42"/>
  <c r="Y335" i="42"/>
  <c r="Z335" i="42"/>
  <c r="Y336" i="42"/>
  <c r="Z336" i="42"/>
  <c r="Y322" i="42"/>
  <c r="Z322" i="42"/>
  <c r="AA335" i="42" l="1"/>
  <c r="AB335" i="42" s="1" a="1"/>
  <c r="AB335" i="42" s="1"/>
  <c r="AA331" i="42"/>
  <c r="AB331" i="42" s="1" a="1"/>
  <c r="AB331" i="42" s="1"/>
  <c r="AA337" i="42"/>
  <c r="AB337" i="42" s="1" a="1"/>
  <c r="AB337" i="42" s="1"/>
  <c r="AA339" i="42"/>
  <c r="AB339" i="42" s="1" a="1"/>
  <c r="AB339" i="42" s="1"/>
  <c r="AA336" i="42"/>
  <c r="AB336" i="42" s="1" a="1"/>
  <c r="AB336" i="42" s="1"/>
  <c r="AA338" i="42"/>
  <c r="AB338" i="42" s="1" a="1"/>
  <c r="AB338" i="42" s="1"/>
  <c r="AA334" i="42"/>
  <c r="AB334" i="42" s="1" a="1"/>
  <c r="AB334" i="42" s="1"/>
  <c r="AA333" i="42"/>
  <c r="AB333" i="42" s="1" a="1"/>
  <c r="AB333" i="42" s="1"/>
  <c r="AA325" i="42"/>
  <c r="AB325" i="42" s="1" a="1"/>
  <c r="AB325" i="42" s="1"/>
  <c r="AA332" i="42"/>
  <c r="AB332" i="42" s="1" a="1"/>
  <c r="AB332" i="42" s="1"/>
  <c r="AA324" i="42"/>
  <c r="AB324" i="42" s="1" a="1"/>
  <c r="AB324" i="42" s="1"/>
  <c r="AA323" i="42"/>
  <c r="AB323" i="42" s="1" a="1"/>
  <c r="AB323" i="42" s="1"/>
  <c r="AA322" i="42"/>
  <c r="AB322" i="42" s="1" a="1"/>
  <c r="AB322" i="42" s="1"/>
  <c r="Y320" i="42"/>
  <c r="Z320" i="42"/>
  <c r="Y321" i="42"/>
  <c r="Z321" i="42"/>
  <c r="AA320" i="42" l="1"/>
  <c r="AB320" i="42" s="1" a="1"/>
  <c r="AB320" i="42" s="1"/>
  <c r="AA321" i="42"/>
  <c r="AB321" i="42" s="1" a="1"/>
  <c r="AB321" i="42" s="1"/>
  <c r="Y318" i="42" l="1"/>
  <c r="Z318" i="42"/>
  <c r="Y319" i="42"/>
  <c r="Z319" i="42"/>
  <c r="AA319" i="42" l="1"/>
  <c r="AB319" i="42" s="1" a="1"/>
  <c r="AB319" i="42" s="1"/>
  <c r="AA318" i="42"/>
  <c r="AB318" i="42" s="1" a="1"/>
  <c r="AB318" i="42" s="1"/>
  <c r="Y316" i="42"/>
  <c r="Z316" i="42"/>
  <c r="Y317" i="42"/>
  <c r="Z317" i="42"/>
  <c r="Y300" i="42"/>
  <c r="Z300" i="42"/>
  <c r="Y301" i="42"/>
  <c r="Z301" i="42"/>
  <c r="Y302" i="42"/>
  <c r="Z302" i="42"/>
  <c r="Y303" i="42"/>
  <c r="Z303" i="42"/>
  <c r="Y304" i="42"/>
  <c r="Z304" i="42"/>
  <c r="Y305" i="42"/>
  <c r="Z305" i="42"/>
  <c r="Y306" i="42"/>
  <c r="Z306" i="42"/>
  <c r="Y307" i="42"/>
  <c r="Z307" i="42"/>
  <c r="Y308" i="42"/>
  <c r="Z308" i="42"/>
  <c r="Y309" i="42"/>
  <c r="Z309" i="42"/>
  <c r="Y310" i="42"/>
  <c r="Z310" i="42"/>
  <c r="Y311" i="42"/>
  <c r="Z311" i="42"/>
  <c r="Y312" i="42"/>
  <c r="Z312" i="42"/>
  <c r="Y313" i="42"/>
  <c r="Z313" i="42"/>
  <c r="Y314" i="42"/>
  <c r="Z314" i="42"/>
  <c r="Y315" i="42"/>
  <c r="Z315" i="42"/>
  <c r="Y298" i="42"/>
  <c r="Z298" i="42"/>
  <c r="Y299" i="42"/>
  <c r="Z299" i="42"/>
  <c r="AA317" i="42" l="1"/>
  <c r="AB317" i="42" s="1" a="1"/>
  <c r="AB317" i="42" s="1"/>
  <c r="AA315" i="42"/>
  <c r="AB315" i="42" s="1" a="1"/>
  <c r="AB315" i="42" s="1"/>
  <c r="AA316" i="42"/>
  <c r="AB316" i="42" s="1" a="1"/>
  <c r="AB316" i="42" s="1"/>
  <c r="AA307" i="42"/>
  <c r="AB307" i="42" s="1" a="1"/>
  <c r="AB307" i="42" s="1"/>
  <c r="AA314" i="42"/>
  <c r="AB314" i="42" s="1" a="1"/>
  <c r="AB314" i="42" s="1"/>
  <c r="AA303" i="42"/>
  <c r="AB303" i="42" s="1" a="1"/>
  <c r="AB303" i="42" s="1"/>
  <c r="AA310" i="42"/>
  <c r="AB310" i="42" s="1" a="1"/>
  <c r="AB310" i="42" s="1"/>
  <c r="AA305" i="42"/>
  <c r="AB305" i="42" s="1" a="1"/>
  <c r="AB305" i="42" s="1"/>
  <c r="AA312" i="42"/>
  <c r="AB312" i="42" s="1" a="1"/>
  <c r="AB312" i="42" s="1"/>
  <c r="AA301" i="42"/>
  <c r="AB301" i="42" s="1" a="1"/>
  <c r="AB301" i="42" s="1"/>
  <c r="AA308" i="42"/>
  <c r="AB308" i="42" s="1" a="1"/>
  <c r="AB308" i="42" s="1"/>
  <c r="AA304" i="42"/>
  <c r="AB304" i="42" s="1" a="1"/>
  <c r="AB304" i="42" s="1"/>
  <c r="AA300" i="42"/>
  <c r="AB300" i="42" s="1" a="1"/>
  <c r="AB300" i="42" s="1"/>
  <c r="AA299" i="42"/>
  <c r="AB299" i="42" s="1" a="1"/>
  <c r="AB299" i="42" s="1"/>
  <c r="AA313" i="42"/>
  <c r="AB313" i="42" s="1" a="1"/>
  <c r="AB313" i="42" s="1"/>
  <c r="AA311" i="42"/>
  <c r="AB311" i="42" s="1" a="1"/>
  <c r="AB311" i="42" s="1"/>
  <c r="AA302" i="42"/>
  <c r="AB302" i="42" s="1" a="1"/>
  <c r="AB302" i="42" s="1"/>
  <c r="AA298" i="42"/>
  <c r="AB298" i="42" s="1" a="1"/>
  <c r="AB298" i="42" s="1"/>
  <c r="AA309" i="42"/>
  <c r="AB309" i="42" s="1" a="1"/>
  <c r="AB309" i="42" s="1"/>
  <c r="AA306" i="42"/>
  <c r="AB306" i="42" s="1" a="1"/>
  <c r="AB306" i="42" s="1"/>
  <c r="Y288" i="42" l="1"/>
  <c r="Z288" i="42"/>
  <c r="Y289" i="42"/>
  <c r="Z289" i="42"/>
  <c r="Y290" i="42"/>
  <c r="Z290" i="42"/>
  <c r="Y291" i="42"/>
  <c r="Z291" i="42"/>
  <c r="AA290" i="42" l="1"/>
  <c r="AB290" i="42" s="1" a="1"/>
  <c r="AB290" i="42" s="1"/>
  <c r="AA288" i="42"/>
  <c r="AB288" i="42" s="1" a="1"/>
  <c r="AB288" i="42" s="1"/>
  <c r="AA291" i="42"/>
  <c r="AB291" i="42" s="1" a="1"/>
  <c r="AB291" i="42" s="1"/>
  <c r="AA289" i="42"/>
  <c r="AB289" i="42" s="1" a="1"/>
  <c r="AB289" i="42" s="1"/>
  <c r="Y295" i="42" l="1"/>
  <c r="Z295" i="42"/>
  <c r="Y296" i="42"/>
  <c r="Z296" i="42"/>
  <c r="Y297" i="42"/>
  <c r="Z297" i="42"/>
  <c r="Y294" i="42"/>
  <c r="Z294" i="42"/>
  <c r="Z293" i="42"/>
  <c r="Y293" i="42"/>
  <c r="AA295" i="42" l="1"/>
  <c r="AB295" i="42" s="1" a="1"/>
  <c r="AB295" i="42" s="1"/>
  <c r="AA296" i="42"/>
  <c r="AB296" i="42" s="1" a="1"/>
  <c r="AB296" i="42" s="1"/>
  <c r="AA294" i="42"/>
  <c r="AB294" i="42" s="1" a="1"/>
  <c r="AB294" i="42" s="1"/>
  <c r="AA297" i="42"/>
  <c r="AB297" i="42" s="1" a="1"/>
  <c r="AB297" i="42" s="1"/>
  <c r="AA293" i="42"/>
  <c r="AB293" i="42" s="1" a="1"/>
  <c r="AB293" i="42" s="1"/>
  <c r="Z292" i="42" l="1"/>
  <c r="Y292" i="42"/>
  <c r="AA292" i="42" l="1"/>
  <c r="AB292" i="42" s="1" a="1"/>
  <c r="AB292" i="42" s="1"/>
  <c r="Y283" i="42" l="1"/>
  <c r="Z283" i="42"/>
  <c r="Y284" i="42"/>
  <c r="Z284" i="42"/>
  <c r="Y285" i="42"/>
  <c r="Z285" i="42"/>
  <c r="Y286" i="42"/>
  <c r="Z286" i="42"/>
  <c r="Y287" i="42"/>
  <c r="Z287" i="42"/>
  <c r="AA286" i="42" l="1"/>
  <c r="AB286" i="42" s="1" a="1"/>
  <c r="AB286" i="42" s="1"/>
  <c r="AA287" i="42"/>
  <c r="AB287" i="42" s="1" a="1"/>
  <c r="AB287" i="42" s="1"/>
  <c r="AA285" i="42"/>
  <c r="AB285" i="42" s="1" a="1"/>
  <c r="AB285" i="42" s="1"/>
  <c r="AA283" i="42"/>
  <c r="AB283" i="42" s="1" a="1"/>
  <c r="AB283" i="42" s="1"/>
  <c r="AA284" i="42"/>
  <c r="AB284" i="42" s="1" a="1"/>
  <c r="AB284" i="42" s="1"/>
  <c r="Y264" i="42"/>
  <c r="Z264" i="42"/>
  <c r="Y265" i="42"/>
  <c r="Z265" i="42"/>
  <c r="Y266" i="42"/>
  <c r="Z266" i="42"/>
  <c r="Y267" i="42"/>
  <c r="Z267" i="42"/>
  <c r="Y268" i="42"/>
  <c r="Z268" i="42"/>
  <c r="Y269" i="42"/>
  <c r="Z269" i="42"/>
  <c r="Y270" i="42"/>
  <c r="Z270" i="42"/>
  <c r="Y271" i="42"/>
  <c r="Z271" i="42"/>
  <c r="Y272" i="42"/>
  <c r="Z272" i="42"/>
  <c r="Y273" i="42"/>
  <c r="Z273" i="42"/>
  <c r="Y274" i="42"/>
  <c r="Z274" i="42"/>
  <c r="Y275" i="42"/>
  <c r="Z275" i="42"/>
  <c r="Y276" i="42"/>
  <c r="Z276" i="42"/>
  <c r="Y277" i="42"/>
  <c r="Z277" i="42"/>
  <c r="Y278" i="42"/>
  <c r="Z278" i="42"/>
  <c r="Y279" i="42"/>
  <c r="Z279" i="42"/>
  <c r="Y280" i="42"/>
  <c r="Z280" i="42"/>
  <c r="Y281" i="42"/>
  <c r="Z281" i="42"/>
  <c r="Y282" i="42"/>
  <c r="Z282" i="42"/>
  <c r="Z263" i="42"/>
  <c r="AA274" i="42" l="1"/>
  <c r="AB274" i="42" s="1" a="1"/>
  <c r="AB274" i="42" s="1"/>
  <c r="AA277" i="42"/>
  <c r="AB277" i="42" s="1" a="1"/>
  <c r="AB277" i="42" s="1"/>
  <c r="AA282" i="42"/>
  <c r="AB282" i="42" s="1" a="1"/>
  <c r="AB282" i="42" s="1"/>
  <c r="AA280" i="42"/>
  <c r="AB280" i="42" s="1" a="1"/>
  <c r="AB280" i="42" s="1"/>
  <c r="AA281" i="42"/>
  <c r="AB281" i="42" s="1" a="1"/>
  <c r="AB281" i="42" s="1"/>
  <c r="AA279" i="42"/>
  <c r="AB279" i="42" s="1" a="1"/>
  <c r="AB279" i="42" s="1"/>
  <c r="AA271" i="42"/>
  <c r="AB271" i="42" s="1" a="1"/>
  <c r="AB271" i="42" s="1"/>
  <c r="AA264" i="42"/>
  <c r="AB264" i="42" s="1" a="1"/>
  <c r="AB264" i="42" s="1"/>
  <c r="AA275" i="42"/>
  <c r="AB275" i="42" s="1" a="1"/>
  <c r="AB275" i="42" s="1"/>
  <c r="AA273" i="42"/>
  <c r="AB273" i="42" s="1" a="1"/>
  <c r="AB273" i="42" s="1"/>
  <c r="AA265" i="42"/>
  <c r="AB265" i="42" s="1" a="1"/>
  <c r="AB265" i="42" s="1"/>
  <c r="AA272" i="42"/>
  <c r="AB272" i="42" s="1" a="1"/>
  <c r="AB272" i="42" s="1"/>
  <c r="AA268" i="42"/>
  <c r="AB268" i="42" s="1" a="1"/>
  <c r="AB268" i="42" s="1"/>
  <c r="AA266" i="42"/>
  <c r="AB266" i="42" s="1" a="1"/>
  <c r="AB266" i="42" s="1"/>
  <c r="AA278" i="42"/>
  <c r="AB278" i="42" s="1" a="1"/>
  <c r="AB278" i="42" s="1"/>
  <c r="AA267" i="42"/>
  <c r="AB267" i="42" s="1" a="1"/>
  <c r="AB267" i="42" s="1"/>
  <c r="AA276" i="42"/>
  <c r="AB276" i="42" s="1" a="1"/>
  <c r="AB276" i="42" s="1"/>
  <c r="AA269" i="42"/>
  <c r="AB269" i="42" s="1" a="1"/>
  <c r="AB269" i="42" s="1"/>
  <c r="AA270" i="42"/>
  <c r="AB270" i="42" s="1" a="1"/>
  <c r="AB270" i="42" s="1"/>
  <c r="Z258" i="42" l="1"/>
  <c r="Z257" i="42"/>
  <c r="Y58" i="42" l="1"/>
  <c r="Z58" i="42"/>
  <c r="Z88" i="42"/>
  <c r="Y88" i="42"/>
  <c r="Z83" i="42"/>
  <c r="Y83" i="42"/>
  <c r="Z72" i="42"/>
  <c r="Y72" i="42"/>
  <c r="Z69" i="42"/>
  <c r="Y69" i="42"/>
  <c r="Z67" i="42"/>
  <c r="Y67" i="42"/>
  <c r="Z65" i="42"/>
  <c r="Y65" i="42"/>
  <c r="Z64" i="42"/>
  <c r="Y64" i="42"/>
  <c r="Y261" i="42"/>
  <c r="Z261" i="42"/>
  <c r="Y262" i="42"/>
  <c r="Z262" i="42"/>
  <c r="Y263" i="42"/>
  <c r="AA261" i="42" l="1"/>
  <c r="AB261" i="42" s="1" a="1"/>
  <c r="AB261" i="42" s="1"/>
  <c r="AA69" i="42"/>
  <c r="AB69" i="42" s="1" a="1"/>
  <c r="AB69" i="42" s="1"/>
  <c r="AA64" i="42"/>
  <c r="AB64" i="42" s="1" a="1"/>
  <c r="AB64" i="42" s="1"/>
  <c r="AA67" i="42"/>
  <c r="AB67" i="42" s="1" a="1"/>
  <c r="AB67" i="42" s="1"/>
  <c r="AA72" i="42"/>
  <c r="AB72" i="42" s="1" a="1"/>
  <c r="AB72" i="42" s="1"/>
  <c r="AA88" i="42"/>
  <c r="AB88" i="42" s="1" a="1"/>
  <c r="AB88" i="42" s="1"/>
  <c r="AA65" i="42"/>
  <c r="AB65" i="42" s="1" a="1"/>
  <c r="AB65" i="42" s="1"/>
  <c r="AA262" i="42"/>
  <c r="AB262" i="42" s="1" a="1"/>
  <c r="AB262" i="42" s="1"/>
  <c r="AA83" i="42"/>
  <c r="AB83" i="42" s="1" a="1"/>
  <c r="AB83" i="42" s="1"/>
  <c r="AA58" i="42"/>
  <c r="AB58" i="42" s="1" a="1"/>
  <c r="AB58" i="42" s="1"/>
  <c r="AA263" i="42"/>
  <c r="AB263" i="42" s="1" a="1"/>
  <c r="AB263" i="42" s="1"/>
  <c r="Y258" i="42" l="1"/>
  <c r="AA258" i="42" s="1"/>
  <c r="AB258" i="42" s="1" a="1"/>
  <c r="AB258" i="42" s="1"/>
  <c r="Y259" i="42"/>
  <c r="Z259" i="42"/>
  <c r="Y260" i="42"/>
  <c r="Z260" i="42"/>
  <c r="AA259" i="42" l="1"/>
  <c r="AB259" i="42" s="1" a="1"/>
  <c r="AB259" i="42" s="1"/>
  <c r="AA260" i="42"/>
  <c r="AB260" i="42" s="1" a="1"/>
  <c r="AB260" i="42" s="1"/>
  <c r="Z253" i="42"/>
  <c r="Y253" i="42"/>
  <c r="Y256" i="42"/>
  <c r="Z256" i="42"/>
  <c r="Y257" i="42"/>
  <c r="AA257" i="42" s="1"/>
  <c r="AB257" i="42" s="1" a="1"/>
  <c r="AB257" i="42" s="1"/>
  <c r="Y255" i="42"/>
  <c r="Z255" i="42"/>
  <c r="Y248" i="42"/>
  <c r="Z248" i="42"/>
  <c r="Y249" i="42"/>
  <c r="Z249" i="42"/>
  <c r="AA248" i="42" l="1"/>
  <c r="AB248" i="42" s="1" a="1"/>
  <c r="AB248" i="42" s="1"/>
  <c r="AA256" i="42"/>
  <c r="AB256" i="42" s="1" a="1"/>
  <c r="AB256" i="42" s="1"/>
  <c r="AA255" i="42"/>
  <c r="AB255" i="42" s="1" a="1"/>
  <c r="AB255" i="42" s="1"/>
  <c r="AA253" i="42"/>
  <c r="AB253" i="42" s="1" a="1"/>
  <c r="AB253" i="42" s="1"/>
  <c r="Y252" i="42"/>
  <c r="Z252" i="42"/>
  <c r="Y254" i="42"/>
  <c r="Z254" i="42"/>
  <c r="AA252" i="42" l="1"/>
  <c r="AB252" i="42" s="1" a="1"/>
  <c r="AB252" i="42" s="1"/>
  <c r="AA254" i="42"/>
  <c r="AB254" i="42" s="1" a="1"/>
  <c r="AB254" i="42" s="1"/>
  <c r="Y217" i="42"/>
  <c r="Z217" i="42"/>
  <c r="Y218" i="42"/>
  <c r="Z218" i="42"/>
  <c r="Y219" i="42"/>
  <c r="Z219" i="42"/>
  <c r="Y220" i="42"/>
  <c r="Z220" i="42"/>
  <c r="Y221" i="42"/>
  <c r="Z221" i="42"/>
  <c r="Y222" i="42"/>
  <c r="Z222" i="42"/>
  <c r="Y223" i="42"/>
  <c r="Z223" i="42"/>
  <c r="Y224" i="42"/>
  <c r="Z224" i="42"/>
  <c r="Y225" i="42"/>
  <c r="Z225" i="42"/>
  <c r="Y226" i="42"/>
  <c r="Z226" i="42"/>
  <c r="Y227" i="42"/>
  <c r="Z227" i="42"/>
  <c r="Y228" i="42"/>
  <c r="Z228" i="42"/>
  <c r="Y229" i="42"/>
  <c r="Z229" i="42"/>
  <c r="Y230" i="42"/>
  <c r="Z230" i="42"/>
  <c r="Y231" i="42"/>
  <c r="Z231" i="42"/>
  <c r="Y232" i="42"/>
  <c r="Z232" i="42"/>
  <c r="Y233" i="42"/>
  <c r="Z233" i="42"/>
  <c r="Y234" i="42"/>
  <c r="Z234" i="42"/>
  <c r="Y235" i="42"/>
  <c r="Z235" i="42"/>
  <c r="Y236" i="42"/>
  <c r="Z236" i="42"/>
  <c r="Y237" i="42"/>
  <c r="Z237" i="42"/>
  <c r="Y238" i="42"/>
  <c r="Z238" i="42"/>
  <c r="Y239" i="42"/>
  <c r="Z239" i="42"/>
  <c r="Y240" i="42"/>
  <c r="Z240" i="42"/>
  <c r="Y241" i="42"/>
  <c r="Z241" i="42"/>
  <c r="Y242" i="42"/>
  <c r="Z242" i="42"/>
  <c r="Y243" i="42"/>
  <c r="Z243" i="42"/>
  <c r="Y244" i="42"/>
  <c r="Z244" i="42"/>
  <c r="Y245" i="42"/>
  <c r="Z245" i="42"/>
  <c r="Y246" i="42"/>
  <c r="Z246" i="42"/>
  <c r="Y247" i="42"/>
  <c r="Z247" i="42"/>
  <c r="Y250" i="42"/>
  <c r="Z250" i="42"/>
  <c r="Y251" i="42"/>
  <c r="Z251" i="42"/>
  <c r="AA237" i="42" l="1"/>
  <c r="AB237" i="42" s="1" a="1"/>
  <c r="AB237" i="42" s="1"/>
  <c r="AA230" i="42"/>
  <c r="AB230" i="42" s="1" a="1"/>
  <c r="AB230" i="42" s="1"/>
  <c r="AA251" i="42"/>
  <c r="AB251" i="42" s="1" a="1"/>
  <c r="AB251" i="42" s="1"/>
  <c r="AA249" i="42"/>
  <c r="AB249" i="42" s="1" a="1"/>
  <c r="AB249" i="42" s="1"/>
  <c r="AA232" i="42"/>
  <c r="AB232" i="42" s="1" a="1"/>
  <c r="AB232" i="42" s="1"/>
  <c r="AA228" i="42"/>
  <c r="AB228" i="42" s="1" a="1"/>
  <c r="AB228" i="42" s="1"/>
  <c r="AA220" i="42"/>
  <c r="AB220" i="42" s="1" a="1"/>
  <c r="AB220" i="42" s="1"/>
  <c r="AA250" i="42"/>
  <c r="AB250" i="42" s="1" a="1"/>
  <c r="AB250" i="42" s="1"/>
  <c r="AA243" i="42"/>
  <c r="AB243" i="42" s="1" a="1"/>
  <c r="AB243" i="42" s="1"/>
  <c r="AA241" i="42"/>
  <c r="AB241" i="42" s="1" a="1"/>
  <c r="AB241" i="42" s="1"/>
  <c r="AA235" i="42"/>
  <c r="AB235" i="42" s="1" a="1"/>
  <c r="AB235" i="42" s="1"/>
  <c r="AA233" i="42"/>
  <c r="AB233" i="42" s="1" a="1"/>
  <c r="AB233" i="42" s="1"/>
  <c r="AA227" i="42"/>
  <c r="AB227" i="42" s="1" a="1"/>
  <c r="AB227" i="42" s="1"/>
  <c r="AA225" i="42"/>
  <c r="AB225" i="42" s="1" a="1"/>
  <c r="AB225" i="42" s="1"/>
  <c r="AA219" i="42"/>
  <c r="AB219" i="42" s="1" a="1"/>
  <c r="AB219" i="42" s="1"/>
  <c r="AA217" i="42"/>
  <c r="AB217" i="42" s="1" a="1"/>
  <c r="AB217" i="42" s="1"/>
  <c r="AA240" i="42"/>
  <c r="AB240" i="42" s="1" a="1"/>
  <c r="AB240" i="42" s="1"/>
  <c r="AA224" i="42"/>
  <c r="AB224" i="42" s="1" a="1"/>
  <c r="AB224" i="42" s="1"/>
  <c r="AA222" i="42"/>
  <c r="AB222" i="42" s="1" a="1"/>
  <c r="AB222" i="42" s="1"/>
  <c r="AA244" i="42"/>
  <c r="AB244" i="42" s="1" a="1"/>
  <c r="AB244" i="42" s="1"/>
  <c r="AA242" i="42"/>
  <c r="AB242" i="42" s="1" a="1"/>
  <c r="AB242" i="42" s="1"/>
  <c r="AA236" i="42"/>
  <c r="AB236" i="42" s="1" a="1"/>
  <c r="AB236" i="42" s="1"/>
  <c r="AA234" i="42"/>
  <c r="AB234" i="42" s="1" a="1"/>
  <c r="AB234" i="42" s="1"/>
  <c r="AA246" i="42"/>
  <c r="AB246" i="42" s="1" a="1"/>
  <c r="AB246" i="42" s="1"/>
  <c r="AA239" i="42"/>
  <c r="AB239" i="42" s="1" a="1"/>
  <c r="AB239" i="42" s="1"/>
  <c r="AA223" i="42"/>
  <c r="AB223" i="42" s="1" a="1"/>
  <c r="AB223" i="42" s="1"/>
  <c r="AA221" i="42"/>
  <c r="AB221" i="42" s="1" a="1"/>
  <c r="AB221" i="42" s="1"/>
  <c r="AA218" i="42"/>
  <c r="AB218" i="42" s="1" a="1"/>
  <c r="AB218" i="42" s="1"/>
  <c r="AA247" i="42"/>
  <c r="AB247" i="42" s="1" a="1"/>
  <c r="AB247" i="42" s="1"/>
  <c r="AA245" i="42"/>
  <c r="AB245" i="42" s="1" a="1"/>
  <c r="AB245" i="42" s="1"/>
  <c r="AA238" i="42"/>
  <c r="AB238" i="42" s="1" a="1"/>
  <c r="AB238" i="42" s="1"/>
  <c r="AA231" i="42"/>
  <c r="AB231" i="42" s="1" a="1"/>
  <c r="AB231" i="42" s="1"/>
  <c r="AA229" i="42"/>
  <c r="AB229" i="42" s="1" a="1"/>
  <c r="AB229" i="42" s="1"/>
  <c r="AA226" i="42"/>
  <c r="AB226" i="42" s="1" a="1"/>
  <c r="AB226" i="42" s="1"/>
  <c r="Y214" i="42" l="1"/>
  <c r="Z214" i="42"/>
  <c r="Y215" i="42"/>
  <c r="Z215" i="42"/>
  <c r="Y216" i="42"/>
  <c r="Z216" i="42"/>
  <c r="Y209" i="42"/>
  <c r="Z209" i="42"/>
  <c r="Y210" i="42"/>
  <c r="Z210" i="42"/>
  <c r="Y211" i="42"/>
  <c r="Z211" i="42"/>
  <c r="Y212" i="42"/>
  <c r="Z212" i="42"/>
  <c r="Y213" i="42"/>
  <c r="Z213" i="42"/>
  <c r="Y200" i="42"/>
  <c r="Z200" i="42"/>
  <c r="Y201" i="42"/>
  <c r="Z201" i="42"/>
  <c r="Y202" i="42"/>
  <c r="Z202" i="42"/>
  <c r="Y203" i="42"/>
  <c r="Z203" i="42"/>
  <c r="Y204" i="42"/>
  <c r="Z204" i="42"/>
  <c r="Y205" i="42"/>
  <c r="Z205" i="42"/>
  <c r="Y206" i="42"/>
  <c r="Z206" i="42"/>
  <c r="Y207" i="42"/>
  <c r="Z207" i="42"/>
  <c r="Y208" i="42"/>
  <c r="Z208" i="42"/>
  <c r="AA203" i="42" l="1"/>
  <c r="AB203" i="42" s="1" a="1"/>
  <c r="AB203" i="42" s="1"/>
  <c r="AA211" i="42"/>
  <c r="AB211" i="42" s="1" a="1"/>
  <c r="AB211" i="42" s="1"/>
  <c r="AA209" i="42"/>
  <c r="AB209" i="42" s="1" a="1"/>
  <c r="AB209" i="42" s="1"/>
  <c r="AA205" i="42"/>
  <c r="AB205" i="42" s="1" a="1"/>
  <c r="AB205" i="42" s="1"/>
  <c r="AA216" i="42"/>
  <c r="AB216" i="42" s="1" a="1"/>
  <c r="AB216" i="42" s="1"/>
  <c r="AA214" i="42"/>
  <c r="AB214" i="42" s="1" a="1"/>
  <c r="AB214" i="42" s="1"/>
  <c r="AA207" i="42"/>
  <c r="AB207" i="42" s="1" a="1"/>
  <c r="AB207" i="42" s="1"/>
  <c r="AA208" i="42"/>
  <c r="AB208" i="42" s="1" a="1"/>
  <c r="AB208" i="42" s="1"/>
  <c r="AA206" i="42"/>
  <c r="AB206" i="42" s="1" a="1"/>
  <c r="AB206" i="42" s="1"/>
  <c r="AA204" i="42"/>
  <c r="AB204" i="42" s="1" a="1"/>
  <c r="AB204" i="42" s="1"/>
  <c r="AA201" i="42"/>
  <c r="AB201" i="42" s="1" a="1"/>
  <c r="AB201" i="42" s="1"/>
  <c r="AA212" i="42"/>
  <c r="AB212" i="42" s="1" a="1"/>
  <c r="AB212" i="42" s="1"/>
  <c r="AA213" i="42"/>
  <c r="AB213" i="42" s="1" a="1"/>
  <c r="AB213" i="42" s="1"/>
  <c r="AA210" i="42"/>
  <c r="AB210" i="42" s="1" a="1"/>
  <c r="AB210" i="42" s="1"/>
  <c r="AA215" i="42"/>
  <c r="AB215" i="42" s="1" a="1"/>
  <c r="AB215" i="42" s="1"/>
  <c r="AA202" i="42"/>
  <c r="AB202" i="42" s="1" a="1"/>
  <c r="AB202" i="42" s="1"/>
  <c r="AA200" i="42"/>
  <c r="AB200" i="42" s="1" a="1"/>
  <c r="AB200" i="42" s="1"/>
  <c r="Y195" i="42" l="1"/>
  <c r="Z195" i="42"/>
  <c r="Y196" i="42"/>
  <c r="Z196" i="42"/>
  <c r="Y197" i="42"/>
  <c r="Z197" i="42"/>
  <c r="Y198" i="42"/>
  <c r="Z198" i="42"/>
  <c r="Y199" i="42"/>
  <c r="Z199" i="42"/>
  <c r="Y192" i="42"/>
  <c r="Z192" i="42"/>
  <c r="Y193" i="42"/>
  <c r="Z193" i="42"/>
  <c r="Y194" i="42"/>
  <c r="Z194" i="42"/>
  <c r="AA197" i="42" l="1"/>
  <c r="AB197" i="42" s="1" a="1"/>
  <c r="AB197" i="42" s="1"/>
  <c r="AA199" i="42"/>
  <c r="AB199" i="42" s="1" a="1"/>
  <c r="AB199" i="42" s="1"/>
  <c r="AA195" i="42"/>
  <c r="AB195" i="42" s="1" a="1"/>
  <c r="AB195" i="42" s="1"/>
  <c r="AA198" i="42"/>
  <c r="AB198" i="42" s="1" a="1"/>
  <c r="AB198" i="42" s="1"/>
  <c r="AA196" i="42"/>
  <c r="AB196" i="42" s="1" a="1"/>
  <c r="AB196" i="42" s="1"/>
  <c r="AA194" i="42"/>
  <c r="AB194" i="42" s="1" a="1"/>
  <c r="AB194" i="42" s="1"/>
  <c r="AA192" i="42"/>
  <c r="AB192" i="42" s="1" a="1"/>
  <c r="AB192" i="42" s="1"/>
  <c r="AA193" i="42"/>
  <c r="AB193" i="42" s="1" a="1"/>
  <c r="AB193" i="42" s="1"/>
  <c r="Y187" i="42" l="1"/>
  <c r="Z187" i="42"/>
  <c r="Y188" i="42"/>
  <c r="Z188" i="42"/>
  <c r="Y189" i="42"/>
  <c r="Z189" i="42"/>
  <c r="Y190" i="42"/>
  <c r="Z190" i="42"/>
  <c r="Y191" i="42"/>
  <c r="Z191" i="42"/>
  <c r="AA189" i="42" l="1"/>
  <c r="AB189" i="42" s="1" a="1"/>
  <c r="AB189" i="42" s="1"/>
  <c r="AA190" i="42"/>
  <c r="AB190" i="42" s="1" a="1"/>
  <c r="AB190" i="42" s="1"/>
  <c r="AA191" i="42"/>
  <c r="AB191" i="42" s="1" a="1"/>
  <c r="AB191" i="42" s="1"/>
  <c r="AA187" i="42"/>
  <c r="AB187" i="42" s="1" a="1"/>
  <c r="AB187" i="42" s="1"/>
  <c r="AA188" i="42"/>
  <c r="AB188" i="42" s="1" a="1"/>
  <c r="AB188" i="42" s="1"/>
  <c r="Y137" i="42"/>
  <c r="Z137" i="42"/>
  <c r="Y138" i="42"/>
  <c r="Z138" i="42"/>
  <c r="Y139" i="42"/>
  <c r="Z139" i="42"/>
  <c r="Y140" i="42"/>
  <c r="Z140" i="42"/>
  <c r="Y141" i="42"/>
  <c r="Z141" i="42"/>
  <c r="Y142" i="42"/>
  <c r="Z142" i="42"/>
  <c r="Y143" i="42"/>
  <c r="Z143" i="42"/>
  <c r="Y144" i="42"/>
  <c r="Z144" i="42"/>
  <c r="Y145" i="42"/>
  <c r="Z145" i="42"/>
  <c r="Y146" i="42"/>
  <c r="Z146" i="42"/>
  <c r="Y147" i="42"/>
  <c r="Z147" i="42"/>
  <c r="Y148" i="42"/>
  <c r="Z148" i="42"/>
  <c r="Y149" i="42"/>
  <c r="Z149" i="42"/>
  <c r="Y150" i="42"/>
  <c r="Z150" i="42"/>
  <c r="Y151" i="42"/>
  <c r="Z151" i="42"/>
  <c r="Y152" i="42"/>
  <c r="Z152" i="42"/>
  <c r="Y153" i="42"/>
  <c r="Z153" i="42"/>
  <c r="Y154" i="42"/>
  <c r="Z154" i="42"/>
  <c r="Y155" i="42"/>
  <c r="Z155" i="42"/>
  <c r="Y156" i="42"/>
  <c r="Z156" i="42"/>
  <c r="Y157" i="42"/>
  <c r="Z157" i="42"/>
  <c r="Y158" i="42"/>
  <c r="Z158" i="42"/>
  <c r="Y159" i="42"/>
  <c r="Z159" i="42"/>
  <c r="Y160" i="42"/>
  <c r="Z160" i="42"/>
  <c r="Y161" i="42"/>
  <c r="Z161" i="42"/>
  <c r="Y162" i="42"/>
  <c r="Z162" i="42"/>
  <c r="Y163" i="42"/>
  <c r="Z163" i="42"/>
  <c r="Y164" i="42"/>
  <c r="Z164" i="42"/>
  <c r="Y165" i="42"/>
  <c r="Z165" i="42"/>
  <c r="Y166" i="42"/>
  <c r="Z166" i="42"/>
  <c r="Y167" i="42"/>
  <c r="Z167" i="42"/>
  <c r="Y168" i="42"/>
  <c r="Z168" i="42"/>
  <c r="Y169" i="42"/>
  <c r="Z169" i="42"/>
  <c r="Y170" i="42"/>
  <c r="Z170" i="42"/>
  <c r="Y171" i="42"/>
  <c r="Z171" i="42"/>
  <c r="Y172" i="42"/>
  <c r="Z172" i="42"/>
  <c r="Y173" i="42"/>
  <c r="Z173" i="42"/>
  <c r="Y174" i="42"/>
  <c r="Z174" i="42"/>
  <c r="Y175" i="42"/>
  <c r="Z175" i="42"/>
  <c r="Y176" i="42"/>
  <c r="Z176" i="42"/>
  <c r="Y177" i="42"/>
  <c r="Z177" i="42"/>
  <c r="Y178" i="42"/>
  <c r="Z178" i="42"/>
  <c r="Y179" i="42"/>
  <c r="Z179" i="42"/>
  <c r="Y180" i="42"/>
  <c r="Z180" i="42"/>
  <c r="Y181" i="42"/>
  <c r="Z181" i="42"/>
  <c r="Y182" i="42"/>
  <c r="Z182" i="42"/>
  <c r="Y183" i="42"/>
  <c r="Z183" i="42"/>
  <c r="Y184" i="42"/>
  <c r="Z184" i="42"/>
  <c r="Y185" i="42"/>
  <c r="Z185" i="42"/>
  <c r="Y186" i="42"/>
  <c r="Z186" i="42"/>
  <c r="Y108" i="42"/>
  <c r="Z108" i="42"/>
  <c r="AA108" i="42" l="1"/>
  <c r="AB108" i="42" s="1" a="1"/>
  <c r="AB108" i="42" s="1"/>
  <c r="AA183" i="42"/>
  <c r="AB183" i="42" s="1" a="1"/>
  <c r="AB183" i="42" s="1"/>
  <c r="AA176" i="42"/>
  <c r="AB176" i="42" s="1" a="1"/>
  <c r="AB176" i="42" s="1"/>
  <c r="AA152" i="42"/>
  <c r="AB152" i="42" s="1" a="1"/>
  <c r="AB152" i="42" s="1"/>
  <c r="AA148" i="42"/>
  <c r="AB148" i="42" s="1" a="1"/>
  <c r="AB148" i="42" s="1"/>
  <c r="AA179" i="42"/>
  <c r="AB179" i="42" s="1" a="1"/>
  <c r="AB179" i="42" s="1"/>
  <c r="AA177" i="42"/>
  <c r="AB177" i="42" s="1" a="1"/>
  <c r="AB177" i="42" s="1"/>
  <c r="AA171" i="42"/>
  <c r="AB171" i="42" s="1" a="1"/>
  <c r="AB171" i="42" s="1"/>
  <c r="AA144" i="42"/>
  <c r="AB144" i="42" s="1" a="1"/>
  <c r="AB144" i="42" s="1"/>
  <c r="AA140" i="42"/>
  <c r="AB140" i="42" s="1" a="1"/>
  <c r="AB140" i="42" s="1"/>
  <c r="AA168" i="42"/>
  <c r="AB168" i="42" s="1" a="1"/>
  <c r="AB168" i="42" s="1"/>
  <c r="AA166" i="42"/>
  <c r="AB166" i="42" s="1" a="1"/>
  <c r="AB166" i="42" s="1"/>
  <c r="AA147" i="42"/>
  <c r="AB147" i="42" s="1" a="1"/>
  <c r="AB147" i="42" s="1"/>
  <c r="AA145" i="42"/>
  <c r="AB145" i="42" s="1" a="1"/>
  <c r="AB145" i="42" s="1"/>
  <c r="AA143" i="42"/>
  <c r="AB143" i="42" s="1" a="1"/>
  <c r="AB143" i="42" s="1"/>
  <c r="AA141" i="42"/>
  <c r="AB141" i="42" s="1" a="1"/>
  <c r="AB141" i="42" s="1"/>
  <c r="AA139" i="42"/>
  <c r="AB139" i="42" s="1" a="1"/>
  <c r="AB139" i="42" s="1"/>
  <c r="AA137" i="42"/>
  <c r="AB137" i="42" s="1" a="1"/>
  <c r="AB137" i="42" s="1"/>
  <c r="AA172" i="42"/>
  <c r="AB172" i="42" s="1" a="1"/>
  <c r="AB172" i="42" s="1"/>
  <c r="AA158" i="42"/>
  <c r="AB158" i="42" s="1" a="1"/>
  <c r="AB158" i="42" s="1"/>
  <c r="AA163" i="42"/>
  <c r="AB163" i="42" s="1" a="1"/>
  <c r="AB163" i="42" s="1"/>
  <c r="AA161" i="42"/>
  <c r="AB161" i="42" s="1" a="1"/>
  <c r="AB161" i="42" s="1"/>
  <c r="AA155" i="42"/>
  <c r="AB155" i="42" s="1" a="1"/>
  <c r="AB155" i="42" s="1"/>
  <c r="AA150" i="42"/>
  <c r="AB150" i="42" s="1" a="1"/>
  <c r="AB150" i="42" s="1"/>
  <c r="AA146" i="42"/>
  <c r="AB146" i="42" s="1" a="1"/>
  <c r="AB146" i="42" s="1"/>
  <c r="AA181" i="42"/>
  <c r="AB181" i="42" s="1" a="1"/>
  <c r="AB181" i="42" s="1"/>
  <c r="AA178" i="42"/>
  <c r="AB178" i="42" s="1" a="1"/>
  <c r="AB178" i="42" s="1"/>
  <c r="AA174" i="42"/>
  <c r="AB174" i="42" s="1" a="1"/>
  <c r="AB174" i="42" s="1"/>
  <c r="AA164" i="42"/>
  <c r="AB164" i="42" s="1" a="1"/>
  <c r="AB164" i="42" s="1"/>
  <c r="AA160" i="42"/>
  <c r="AB160" i="42" s="1" a="1"/>
  <c r="AB160" i="42" s="1"/>
  <c r="AA156" i="42"/>
  <c r="AB156" i="42" s="1" a="1"/>
  <c r="AB156" i="42" s="1"/>
  <c r="AA142" i="42"/>
  <c r="AB142" i="42" s="1" a="1"/>
  <c r="AB142" i="42" s="1"/>
  <c r="AA185" i="42"/>
  <c r="AB185" i="42" s="1" a="1"/>
  <c r="AB185" i="42" s="1"/>
  <c r="AA175" i="42"/>
  <c r="AB175" i="42" s="1" a="1"/>
  <c r="AB175" i="42" s="1"/>
  <c r="AA173" i="42"/>
  <c r="AB173" i="42" s="1" a="1"/>
  <c r="AB173" i="42" s="1"/>
  <c r="AA170" i="42"/>
  <c r="AB170" i="42" s="1" a="1"/>
  <c r="AB170" i="42" s="1"/>
  <c r="AA159" i="42"/>
  <c r="AB159" i="42" s="1" a="1"/>
  <c r="AB159" i="42" s="1"/>
  <c r="AA157" i="42"/>
  <c r="AB157" i="42" s="1" a="1"/>
  <c r="AB157" i="42" s="1"/>
  <c r="AA154" i="42"/>
  <c r="AB154" i="42" s="1" a="1"/>
  <c r="AB154" i="42" s="1"/>
  <c r="AA138" i="42"/>
  <c r="AB138" i="42" s="1" a="1"/>
  <c r="AB138" i="42" s="1"/>
  <c r="AA186" i="42"/>
  <c r="AB186" i="42" s="1" a="1"/>
  <c r="AB186" i="42" s="1"/>
  <c r="AA184" i="42"/>
  <c r="AB184" i="42" s="1" a="1"/>
  <c r="AB184" i="42" s="1"/>
  <c r="AA169" i="42"/>
  <c r="AB169" i="42" s="1" a="1"/>
  <c r="AB169" i="42" s="1"/>
  <c r="AA153" i="42"/>
  <c r="AB153" i="42" s="1" a="1"/>
  <c r="AB153" i="42" s="1"/>
  <c r="AA182" i="42"/>
  <c r="AB182" i="42" s="1" a="1"/>
  <c r="AB182" i="42" s="1"/>
  <c r="AA180" i="42"/>
  <c r="AB180" i="42" s="1" a="1"/>
  <c r="AB180" i="42" s="1"/>
  <c r="AA167" i="42"/>
  <c r="AB167" i="42" s="1" a="1"/>
  <c r="AB167" i="42" s="1"/>
  <c r="AA165" i="42"/>
  <c r="AB165" i="42" s="1" a="1"/>
  <c r="AB165" i="42" s="1"/>
  <c r="AA162" i="42"/>
  <c r="AB162" i="42" s="1" a="1"/>
  <c r="AB162" i="42" s="1"/>
  <c r="AA151" i="42"/>
  <c r="AB151" i="42" s="1" a="1"/>
  <c r="AB151" i="42" s="1"/>
  <c r="AA149" i="42"/>
  <c r="AB149" i="42" s="1" a="1"/>
  <c r="AB149" i="42" s="1"/>
  <c r="Z130" i="42" l="1"/>
  <c r="Y130" i="42"/>
  <c r="AA130" i="42" l="1"/>
  <c r="AB130" i="42" s="1" a="1"/>
  <c r="AB130" i="42" s="1"/>
  <c r="Z47" i="42" l="1"/>
  <c r="Y47" i="42"/>
  <c r="Z29" i="42"/>
  <c r="Y29" i="42"/>
  <c r="Z15" i="42"/>
  <c r="Y15" i="42"/>
  <c r="Z12" i="42"/>
  <c r="Y12" i="42"/>
  <c r="Z27" i="42"/>
  <c r="Y27" i="42"/>
  <c r="Z18" i="42"/>
  <c r="Y18" i="42"/>
  <c r="Z62" i="42"/>
  <c r="Y62" i="42"/>
  <c r="Y50" i="42"/>
  <c r="Z50" i="42"/>
  <c r="Y63" i="42"/>
  <c r="Z63" i="42"/>
  <c r="Y104" i="42"/>
  <c r="Z104" i="42"/>
  <c r="Z81" i="42"/>
  <c r="Y81" i="42"/>
  <c r="AA12" i="42" l="1"/>
  <c r="AB12" i="42" s="1" a="1"/>
  <c r="AB12" i="42" s="1"/>
  <c r="AA47" i="42"/>
  <c r="AB47" i="42" s="1" a="1"/>
  <c r="AB47" i="42" s="1"/>
  <c r="AA63" i="42"/>
  <c r="AB63" i="42" s="1" a="1"/>
  <c r="AB63" i="42" s="1"/>
  <c r="AA27" i="42"/>
  <c r="AB27" i="42" s="1" a="1"/>
  <c r="AB27" i="42" s="1"/>
  <c r="AA104" i="42"/>
  <c r="AB104" i="42" s="1" a="1"/>
  <c r="AB104" i="42" s="1"/>
  <c r="AA29" i="42"/>
  <c r="AB29" i="42" s="1" a="1"/>
  <c r="AB29" i="42" s="1"/>
  <c r="AA15" i="42"/>
  <c r="AB15" i="42" s="1" a="1"/>
  <c r="AB15" i="42" s="1"/>
  <c r="AA50" i="42"/>
  <c r="AB50" i="42" s="1" a="1"/>
  <c r="AB50" i="42" s="1"/>
  <c r="AA18" i="42"/>
  <c r="AB18" i="42" s="1" a="1"/>
  <c r="AB18" i="42" s="1"/>
  <c r="AA62" i="42"/>
  <c r="AB62" i="42" s="1" a="1"/>
  <c r="AB62" i="42" s="1"/>
  <c r="AA81" i="42"/>
  <c r="AB81" i="42" s="1" a="1"/>
  <c r="AB81" i="42" s="1"/>
  <c r="Y103" i="42" l="1"/>
  <c r="Z103" i="42"/>
  <c r="Y102" i="42"/>
  <c r="Z102" i="42"/>
  <c r="Z37" i="42"/>
  <c r="Y37" i="42"/>
  <c r="Y101" i="42"/>
  <c r="Z101" i="42"/>
  <c r="Y86" i="42"/>
  <c r="Z86" i="42"/>
  <c r="Y87" i="42"/>
  <c r="Z87" i="42"/>
  <c r="Y89" i="42"/>
  <c r="Z89" i="42"/>
  <c r="AA37" i="42" l="1"/>
  <c r="AB37" i="42" s="1" a="1"/>
  <c r="AB37" i="42" s="1"/>
  <c r="AA102" i="42"/>
  <c r="AB102" i="42" s="1" a="1"/>
  <c r="AB102" i="42" s="1"/>
  <c r="AA87" i="42"/>
  <c r="AB87" i="42" s="1" a="1"/>
  <c r="AB87" i="42" s="1"/>
  <c r="AA89" i="42"/>
  <c r="AB89" i="42" s="1" a="1"/>
  <c r="AB89" i="42" s="1"/>
  <c r="AA101" i="42"/>
  <c r="AB101" i="42" s="1" a="1"/>
  <c r="AB101" i="42" s="1"/>
  <c r="AA86" i="42"/>
  <c r="AB86" i="42" s="1" a="1"/>
  <c r="AB86" i="42" s="1"/>
  <c r="AA103" i="42"/>
  <c r="AB103" i="42" s="1" a="1"/>
  <c r="AB103" i="42" s="1"/>
  <c r="Z38" i="42" l="1"/>
  <c r="Y38" i="42"/>
  <c r="Z36" i="42"/>
  <c r="Y36" i="42"/>
  <c r="Z35" i="42"/>
  <c r="Y35" i="42"/>
  <c r="Z34" i="42"/>
  <c r="Y34" i="42"/>
  <c r="Z33" i="42"/>
  <c r="Y33" i="42"/>
  <c r="Z32" i="42"/>
  <c r="Y32" i="42"/>
  <c r="Z31" i="42"/>
  <c r="Y31" i="42"/>
  <c r="Z30" i="42"/>
  <c r="Y30" i="42"/>
  <c r="Z28" i="42"/>
  <c r="Y28" i="42"/>
  <c r="Z26" i="42"/>
  <c r="Y26" i="42"/>
  <c r="Z25" i="42"/>
  <c r="Y25" i="42"/>
  <c r="Z24" i="42"/>
  <c r="Y24" i="42"/>
  <c r="Z23" i="42"/>
  <c r="Y23" i="42"/>
  <c r="Z22" i="42"/>
  <c r="Y22" i="42"/>
  <c r="Z21" i="42"/>
  <c r="Y21" i="42"/>
  <c r="Z20" i="42"/>
  <c r="Y20" i="42"/>
  <c r="Z19" i="42"/>
  <c r="Y19" i="42"/>
  <c r="Z17" i="42"/>
  <c r="Y17" i="42"/>
  <c r="Z16" i="42"/>
  <c r="Y16" i="42"/>
  <c r="Z14" i="42"/>
  <c r="Y14" i="42"/>
  <c r="Z13" i="42"/>
  <c r="Y13" i="42"/>
  <c r="Z11" i="42"/>
  <c r="Y11" i="42"/>
  <c r="Z10" i="42"/>
  <c r="Y10" i="42"/>
  <c r="Z9" i="42"/>
  <c r="Y9" i="42"/>
  <c r="Z8" i="42"/>
  <c r="Y8" i="42"/>
  <c r="Z7" i="42"/>
  <c r="Y7" i="42"/>
  <c r="Z6" i="42"/>
  <c r="Y6" i="42"/>
  <c r="Z5" i="42"/>
  <c r="Y5" i="42"/>
  <c r="Z4" i="42"/>
  <c r="Y4" i="42"/>
  <c r="Z3" i="42"/>
  <c r="Y3" i="42"/>
  <c r="Z61" i="42"/>
  <c r="Y61" i="42"/>
  <c r="Z60" i="42"/>
  <c r="Y60" i="42"/>
  <c r="Z59" i="42"/>
  <c r="Y59" i="42"/>
  <c r="Z57" i="42"/>
  <c r="Y57" i="42"/>
  <c r="Z56" i="42"/>
  <c r="Y56" i="42"/>
  <c r="Z55" i="42"/>
  <c r="Y55" i="42"/>
  <c r="Z54" i="42"/>
  <c r="Y54" i="42"/>
  <c r="Z53" i="42"/>
  <c r="Y53" i="42"/>
  <c r="Z52" i="42"/>
  <c r="Y52" i="42"/>
  <c r="Z51" i="42"/>
  <c r="Y51" i="42"/>
  <c r="Z49" i="42"/>
  <c r="Y49" i="42"/>
  <c r="Z48" i="42"/>
  <c r="Y48" i="42"/>
  <c r="Z46" i="42"/>
  <c r="Y46" i="42"/>
  <c r="Z45" i="42"/>
  <c r="Y45" i="42"/>
  <c r="Z44" i="42"/>
  <c r="Y44" i="42"/>
  <c r="Z43" i="42"/>
  <c r="Y43" i="42"/>
  <c r="Z42" i="42"/>
  <c r="Y42" i="42"/>
  <c r="Z41" i="42"/>
  <c r="Y41" i="42"/>
  <c r="Z40" i="42"/>
  <c r="Y40" i="42"/>
  <c r="Z39" i="42"/>
  <c r="Y39" i="42"/>
  <c r="Z100" i="42"/>
  <c r="Y100" i="42"/>
  <c r="Z99" i="42"/>
  <c r="Y99" i="42"/>
  <c r="Z98" i="42"/>
  <c r="Y98" i="42"/>
  <c r="Z97" i="42"/>
  <c r="Y97" i="42"/>
  <c r="Z96" i="42"/>
  <c r="Y96" i="42"/>
  <c r="Z95" i="42"/>
  <c r="Y95" i="42"/>
  <c r="Z94" i="42"/>
  <c r="Y94" i="42"/>
  <c r="Z93" i="42"/>
  <c r="Y93" i="42"/>
  <c r="Z92" i="42"/>
  <c r="Y92" i="42"/>
  <c r="Z91" i="42"/>
  <c r="Y91" i="42"/>
  <c r="Z90" i="42"/>
  <c r="Y90" i="42"/>
  <c r="Z85" i="42"/>
  <c r="Y85" i="42"/>
  <c r="Z84" i="42"/>
  <c r="Y84" i="42"/>
  <c r="Z82" i="42"/>
  <c r="Y82" i="42"/>
  <c r="Z80" i="42"/>
  <c r="Y80" i="42"/>
  <c r="Z79" i="42"/>
  <c r="Y79" i="42"/>
  <c r="Z78" i="42"/>
  <c r="Y78" i="42"/>
  <c r="Z77" i="42"/>
  <c r="Y77" i="42"/>
  <c r="Z76" i="42"/>
  <c r="Y76" i="42"/>
  <c r="Z75" i="42"/>
  <c r="Y75" i="42"/>
  <c r="Z74" i="42"/>
  <c r="Y74" i="42"/>
  <c r="Z73" i="42"/>
  <c r="Y73" i="42"/>
  <c r="Z71" i="42"/>
  <c r="Y71" i="42"/>
  <c r="Z70" i="42"/>
  <c r="Y70" i="42"/>
  <c r="Z68" i="42"/>
  <c r="Y68" i="42"/>
  <c r="Z66" i="42"/>
  <c r="Y66" i="42"/>
  <c r="Y113" i="42"/>
  <c r="Z113" i="42"/>
  <c r="Y114" i="42"/>
  <c r="Z114" i="42"/>
  <c r="Y115" i="42"/>
  <c r="Z115" i="42"/>
  <c r="Y116" i="42"/>
  <c r="Z116" i="42"/>
  <c r="Y118" i="42"/>
  <c r="Z118" i="42"/>
  <c r="Y117" i="42"/>
  <c r="Z117" i="42"/>
  <c r="Y119" i="42"/>
  <c r="Z119" i="42"/>
  <c r="Y120" i="42"/>
  <c r="Z120" i="42"/>
  <c r="Y121" i="42"/>
  <c r="Z121" i="42"/>
  <c r="Y122" i="42"/>
  <c r="Z122" i="42"/>
  <c r="Y123" i="42"/>
  <c r="Z123" i="42"/>
  <c r="Y124" i="42"/>
  <c r="Z124" i="42"/>
  <c r="Y125" i="42"/>
  <c r="Z125" i="42"/>
  <c r="Y126" i="42"/>
  <c r="Z126" i="42"/>
  <c r="Y127" i="42"/>
  <c r="Z127" i="42"/>
  <c r="Y128" i="42"/>
  <c r="Z128" i="42"/>
  <c r="Y129" i="42"/>
  <c r="Z129" i="42"/>
  <c r="Y133" i="42"/>
  <c r="Z133" i="42"/>
  <c r="Y131" i="42"/>
  <c r="Z131" i="42"/>
  <c r="Y132" i="42"/>
  <c r="Z132" i="42"/>
  <c r="Y134" i="42"/>
  <c r="Z134" i="42"/>
  <c r="Y135" i="42"/>
  <c r="Z135" i="42"/>
  <c r="Y136" i="42"/>
  <c r="Z136" i="42"/>
  <c r="Z111" i="42"/>
  <c r="Y111" i="42"/>
  <c r="Z110" i="42"/>
  <c r="Y110" i="42"/>
  <c r="Z109" i="42"/>
  <c r="Y109" i="42"/>
  <c r="Z107" i="42"/>
  <c r="Y107" i="42"/>
  <c r="Z106" i="42"/>
  <c r="Y106" i="42"/>
  <c r="Z105" i="42"/>
  <c r="Y105" i="42"/>
  <c r="Z112" i="42"/>
  <c r="Y112" i="42"/>
  <c r="AA111" i="42" l="1"/>
  <c r="AB111" i="42" s="1" a="1"/>
  <c r="AB111" i="42" s="1"/>
  <c r="AA66" i="42"/>
  <c r="AB66" i="42" s="1" a="1"/>
  <c r="AB66" i="42" s="1"/>
  <c r="AA71" i="42"/>
  <c r="AB71" i="42" s="1" a="1"/>
  <c r="AB71" i="42" s="1"/>
  <c r="AA74" i="42"/>
  <c r="AB74" i="42" s="1" a="1"/>
  <c r="AB74" i="42" s="1"/>
  <c r="AA78" i="42"/>
  <c r="AB78" i="42" s="1" a="1"/>
  <c r="AB78" i="42" s="1"/>
  <c r="AA82" i="42"/>
  <c r="AB82" i="42" s="1" a="1"/>
  <c r="AB82" i="42" s="1"/>
  <c r="AA85" i="42"/>
  <c r="AB85" i="42" s="1" a="1"/>
  <c r="AB85" i="42" s="1"/>
  <c r="AA93" i="42"/>
  <c r="AB93" i="42" s="1" a="1"/>
  <c r="AB93" i="42" s="1"/>
  <c r="AA41" i="42"/>
  <c r="AB41" i="42" s="1" a="1"/>
  <c r="AB41" i="42" s="1"/>
  <c r="AA45" i="42"/>
  <c r="AB45" i="42" s="1" a="1"/>
  <c r="AB45" i="42" s="1"/>
  <c r="AA51" i="42"/>
  <c r="AB51" i="42" s="1" a="1"/>
  <c r="AB51" i="42" s="1"/>
  <c r="AA55" i="42"/>
  <c r="AB55" i="42" s="1" a="1"/>
  <c r="AB55" i="42" s="1"/>
  <c r="AA60" i="42"/>
  <c r="AB60" i="42" s="1" a="1"/>
  <c r="AB60" i="42" s="1"/>
  <c r="AA6" i="42"/>
  <c r="AB6" i="42" s="1" a="1"/>
  <c r="AB6" i="42" s="1"/>
  <c r="AA10" i="42"/>
  <c r="AB10" i="42" s="1" a="1"/>
  <c r="AB10" i="42" s="1"/>
  <c r="AA16" i="42"/>
  <c r="AB16" i="42" s="1" a="1"/>
  <c r="AB16" i="42" s="1"/>
  <c r="AA21" i="42"/>
  <c r="AB21" i="42" s="1" a="1"/>
  <c r="AB21" i="42" s="1"/>
  <c r="AA25" i="42"/>
  <c r="AB25" i="42" s="1" a="1"/>
  <c r="AB25" i="42" s="1"/>
  <c r="AA31" i="42"/>
  <c r="AB31" i="42" s="1" a="1"/>
  <c r="AB31" i="42" s="1"/>
  <c r="AA35" i="42"/>
  <c r="AB35" i="42" s="1" a="1"/>
  <c r="AB35" i="42" s="1"/>
  <c r="AA7" i="42"/>
  <c r="AB7" i="42" s="1" a="1"/>
  <c r="AB7" i="42" s="1"/>
  <c r="AA11" i="42"/>
  <c r="AB11" i="42" s="1" a="1"/>
  <c r="AB11" i="42" s="1"/>
  <c r="AA17" i="42"/>
  <c r="AB17" i="42" s="1" a="1"/>
  <c r="AB17" i="42" s="1"/>
  <c r="AA22" i="42"/>
  <c r="AB22" i="42" s="1" a="1"/>
  <c r="AB22" i="42" s="1"/>
  <c r="AA26" i="42"/>
  <c r="AB26" i="42" s="1" a="1"/>
  <c r="AB26" i="42" s="1"/>
  <c r="AA32" i="42"/>
  <c r="AB32" i="42" s="1" a="1"/>
  <c r="AB32" i="42" s="1"/>
  <c r="AA36" i="42"/>
  <c r="AB36" i="42" s="1" a="1"/>
  <c r="AB36" i="42" s="1"/>
  <c r="AA4" i="42"/>
  <c r="AB4" i="42" s="1" a="1"/>
  <c r="AB4" i="42" s="1"/>
  <c r="AA8" i="42"/>
  <c r="AB8" i="42" s="1" a="1"/>
  <c r="AB8" i="42" s="1"/>
  <c r="AA13" i="42"/>
  <c r="AB13" i="42" s="1" a="1"/>
  <c r="AB13" i="42" s="1"/>
  <c r="AA19" i="42"/>
  <c r="AB19" i="42" s="1" a="1"/>
  <c r="AB19" i="42" s="1"/>
  <c r="AA23" i="42"/>
  <c r="AB23" i="42" s="1" a="1"/>
  <c r="AB23" i="42" s="1"/>
  <c r="AA28" i="42"/>
  <c r="AB28" i="42" s="1" a="1"/>
  <c r="AB28" i="42" s="1"/>
  <c r="AA33" i="42"/>
  <c r="AB33" i="42" s="1" a="1"/>
  <c r="AB33" i="42" s="1"/>
  <c r="AA38" i="42"/>
  <c r="AB38" i="42" s="1" a="1"/>
  <c r="AB38" i="42" s="1"/>
  <c r="AA9" i="42"/>
  <c r="AB9" i="42" s="1" a="1"/>
  <c r="AB9" i="42" s="1"/>
  <c r="AA14" i="42"/>
  <c r="AB14" i="42" s="1" a="1"/>
  <c r="AB14" i="42" s="1"/>
  <c r="AA30" i="42"/>
  <c r="AB30" i="42" s="1" a="1"/>
  <c r="AB30" i="42" s="1"/>
  <c r="AA34" i="42"/>
  <c r="AB34" i="42" s="1" a="1"/>
  <c r="AB34" i="42" s="1"/>
  <c r="AA68" i="42"/>
  <c r="AB68" i="42" s="1" a="1"/>
  <c r="AB68" i="42" s="1"/>
  <c r="AA75" i="42"/>
  <c r="AB75" i="42" s="1" a="1"/>
  <c r="AB75" i="42" s="1"/>
  <c r="AA42" i="42"/>
  <c r="AB42" i="42" s="1" a="1"/>
  <c r="AB42" i="42" s="1"/>
  <c r="AA46" i="42"/>
  <c r="AB46" i="42" s="1" a="1"/>
  <c r="AB46" i="42" s="1"/>
  <c r="AA52" i="42"/>
  <c r="AB52" i="42" s="1" a="1"/>
  <c r="AB52" i="42" s="1"/>
  <c r="AA56" i="42"/>
  <c r="AB56" i="42" s="1" a="1"/>
  <c r="AB56" i="42" s="1"/>
  <c r="AA61" i="42"/>
  <c r="AB61" i="42" s="1" a="1"/>
  <c r="AB61" i="42" s="1"/>
  <c r="AA20" i="42"/>
  <c r="AB20" i="42" s="1" a="1"/>
  <c r="AB20" i="42" s="1"/>
  <c r="AA5" i="42"/>
  <c r="AB5" i="42" s="1" a="1"/>
  <c r="AB5" i="42" s="1"/>
  <c r="AA24" i="42"/>
  <c r="AB24" i="42" s="1" a="1"/>
  <c r="AB24" i="42" s="1"/>
  <c r="AA76" i="42"/>
  <c r="AB76" i="42" s="1" a="1"/>
  <c r="AB76" i="42" s="1"/>
  <c r="AA80" i="42"/>
  <c r="AB80" i="42" s="1" a="1"/>
  <c r="AB80" i="42" s="1"/>
  <c r="AA91" i="42"/>
  <c r="AB91" i="42" s="1" a="1"/>
  <c r="AB91" i="42" s="1"/>
  <c r="AA98" i="42"/>
  <c r="AB98" i="42" s="1" a="1"/>
  <c r="AB98" i="42" s="1"/>
  <c r="AA43" i="42"/>
  <c r="AB43" i="42" s="1" a="1"/>
  <c r="AB43" i="42" s="1"/>
  <c r="AA48" i="42"/>
  <c r="AB48" i="42" s="1" a="1"/>
  <c r="AB48" i="42" s="1"/>
  <c r="AA53" i="42"/>
  <c r="AB53" i="42" s="1" a="1"/>
  <c r="AB53" i="42" s="1"/>
  <c r="AA57" i="42"/>
  <c r="AB57" i="42" s="1" a="1"/>
  <c r="AB57" i="42" s="1"/>
  <c r="AA70" i="42"/>
  <c r="AB70" i="42" s="1" a="1"/>
  <c r="AB70" i="42" s="1"/>
  <c r="AA73" i="42"/>
  <c r="AB73" i="42" s="1" a="1"/>
  <c r="AB73" i="42" s="1"/>
  <c r="AA77" i="42"/>
  <c r="AB77" i="42" s="1" a="1"/>
  <c r="AB77" i="42" s="1"/>
  <c r="AA84" i="42"/>
  <c r="AB84" i="42" s="1" a="1"/>
  <c r="AB84" i="42" s="1"/>
  <c r="AA40" i="42"/>
  <c r="AB40" i="42" s="1" a="1"/>
  <c r="AB40" i="42" s="1"/>
  <c r="AA44" i="42"/>
  <c r="AB44" i="42" s="1" a="1"/>
  <c r="AB44" i="42" s="1"/>
  <c r="AA49" i="42"/>
  <c r="AB49" i="42" s="1" a="1"/>
  <c r="AB49" i="42" s="1"/>
  <c r="AA54" i="42"/>
  <c r="AB54" i="42" s="1" a="1"/>
  <c r="AB54" i="42" s="1"/>
  <c r="AA59" i="42"/>
  <c r="AB59" i="42" s="1" a="1"/>
  <c r="AB59" i="42" s="1"/>
  <c r="AA100" i="42"/>
  <c r="AB100" i="42" s="1" a="1"/>
  <c r="AB100" i="42" s="1"/>
  <c r="AA92" i="42"/>
  <c r="AB92" i="42" s="1" a="1"/>
  <c r="AB92" i="42" s="1"/>
  <c r="AA99" i="42"/>
  <c r="AB99" i="42" s="1" a="1"/>
  <c r="AB99" i="42" s="1"/>
  <c r="AA95" i="42"/>
  <c r="AB95" i="42" s="1" a="1"/>
  <c r="AB95" i="42" s="1"/>
  <c r="AA96" i="42"/>
  <c r="AB96" i="42" s="1" a="1"/>
  <c r="AB96" i="42" s="1"/>
  <c r="AA97" i="42"/>
  <c r="AB97" i="42" s="1" a="1"/>
  <c r="AB97" i="42" s="1"/>
  <c r="AA79" i="42"/>
  <c r="AB79" i="42" s="1" a="1"/>
  <c r="AB79" i="42" s="1"/>
  <c r="AA90" i="42"/>
  <c r="AB90" i="42" s="1" a="1"/>
  <c r="AB90" i="42" s="1"/>
  <c r="AA94" i="42"/>
  <c r="AB94" i="42" s="1" a="1"/>
  <c r="AB94" i="42" s="1"/>
  <c r="AA106" i="42"/>
  <c r="AB106" i="42" s="1" a="1"/>
  <c r="AB106" i="42" s="1"/>
  <c r="AA109" i="42"/>
  <c r="AB109" i="42" s="1" a="1"/>
  <c r="AB109" i="42" s="1"/>
  <c r="AA107" i="42"/>
  <c r="AB107" i="42" s="1" a="1"/>
  <c r="AB107" i="42" s="1"/>
  <c r="AA133" i="42"/>
  <c r="AB133" i="42" s="1" a="1"/>
  <c r="AB133" i="42" s="1"/>
  <c r="AA122" i="42"/>
  <c r="AB122" i="42" s="1" a="1"/>
  <c r="AB122" i="42" s="1"/>
  <c r="AA110" i="42"/>
  <c r="AB110" i="42" s="1" a="1"/>
  <c r="AB110" i="42" s="1"/>
  <c r="AA105" i="42"/>
  <c r="AB105" i="42" s="1" a="1"/>
  <c r="AB105" i="42" s="1"/>
  <c r="AA3" i="42"/>
  <c r="AB3" i="42" s="1" a="1"/>
  <c r="AB3" i="42" s="1"/>
  <c r="AA39" i="42"/>
  <c r="AB39" i="42" s="1" a="1"/>
  <c r="AB39" i="42" s="1"/>
  <c r="AA116" i="42"/>
  <c r="AB116" i="42" s="1" a="1"/>
  <c r="AB116" i="42" s="1"/>
  <c r="AA115" i="42"/>
  <c r="AB115" i="42" s="1" a="1"/>
  <c r="AB115" i="42" s="1"/>
  <c r="AA114" i="42"/>
  <c r="AB114" i="42" s="1" a="1"/>
  <c r="AB114" i="42" s="1"/>
  <c r="AA113" i="42"/>
  <c r="AB113" i="42" s="1" a="1"/>
  <c r="AB113" i="42" s="1"/>
  <c r="AA118" i="42"/>
  <c r="AB118" i="42" s="1" a="1"/>
  <c r="AB118" i="42" s="1"/>
  <c r="AA125" i="42"/>
  <c r="AB125" i="42" s="1" a="1"/>
  <c r="AB125" i="42" s="1"/>
  <c r="AA135" i="42"/>
  <c r="AB135" i="42" s="1" a="1"/>
  <c r="AB135" i="42" s="1"/>
  <c r="AA134" i="42"/>
  <c r="AB134" i="42" s="1" a="1"/>
  <c r="AB134" i="42" s="1"/>
  <c r="AA126" i="42"/>
  <c r="AB126" i="42" s="1" a="1"/>
  <c r="AB126" i="42" s="1"/>
  <c r="AA120" i="42"/>
  <c r="AB120" i="42" s="1" a="1"/>
  <c r="AB120" i="42" s="1"/>
  <c r="AA119" i="42"/>
  <c r="AB119" i="42" s="1" a="1"/>
  <c r="AB119" i="42" s="1"/>
  <c r="AA129" i="42"/>
  <c r="AB129" i="42" s="1" a="1"/>
  <c r="AB129" i="42" s="1"/>
  <c r="AA123" i="42"/>
  <c r="AB123" i="42" s="1" a="1"/>
  <c r="AB123" i="42" s="1"/>
  <c r="AA132" i="42"/>
  <c r="AB132" i="42" s="1" a="1"/>
  <c r="AB132" i="42" s="1"/>
  <c r="AA128" i="42"/>
  <c r="AB128" i="42" s="1" a="1"/>
  <c r="AB128" i="42" s="1"/>
  <c r="AA117" i="42"/>
  <c r="AB117" i="42" s="1" a="1"/>
  <c r="AB117" i="42" s="1"/>
  <c r="AA131" i="42"/>
  <c r="AB131" i="42" s="1" a="1"/>
  <c r="AB131" i="42" s="1"/>
  <c r="AA124" i="42"/>
  <c r="AB124" i="42" s="1" a="1"/>
  <c r="AB124" i="42" s="1"/>
  <c r="AA136" i="42"/>
  <c r="AB136" i="42" s="1" a="1"/>
  <c r="AB136" i="42" s="1"/>
  <c r="AA127" i="42"/>
  <c r="AB127" i="42" s="1" a="1"/>
  <c r="AB127" i="42" s="1"/>
  <c r="AA121" i="42"/>
  <c r="AB121" i="42" s="1" a="1"/>
  <c r="AB121" i="42" s="1"/>
  <c r="AA112" i="42" l="1"/>
  <c r="AB112" i="42" s="1" a="1"/>
  <c r="AB112"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Nicolas Oliveira</author>
  </authors>
  <commentList>
    <comment ref="N2" authorId="0" shapeId="0" xr:uid="{741E5864-AD90-4FD3-A6AB-D44768CDADD3}">
      <text>
        <r>
          <rPr>
            <b/>
            <sz val="9"/>
            <color indexed="81"/>
            <rFont val="Segoe UI"/>
            <family val="2"/>
          </rPr>
          <t>Nicolas Oliveira:</t>
        </r>
        <r>
          <rPr>
            <sz val="9"/>
            <color indexed="81"/>
            <rFont val="Segoe UI"/>
            <family val="2"/>
          </rPr>
          <t xml:space="preserve">
QUAL A RECLAMAÇÃO DO CLIENTE?</t>
        </r>
      </text>
    </comment>
    <comment ref="P2" authorId="0" shapeId="0" xr:uid="{A71AABCE-EF0A-4BE0-BCF9-E3A21DE7AAAE}">
      <text>
        <r>
          <rPr>
            <b/>
            <sz val="9"/>
            <color indexed="81"/>
            <rFont val="Segoe UI"/>
            <family val="2"/>
          </rPr>
          <t>Nicolas Oliveira:</t>
        </r>
        <r>
          <rPr>
            <sz val="9"/>
            <color indexed="81"/>
            <rFont val="Segoe UI"/>
            <family val="2"/>
          </rPr>
          <t xml:space="preserve">
RAZÃO PELO QUAL O PROBLEMA OCORREU E CAUSOU A SUBSTITUIÇÃO DA PEÇA/NECESSIDADE DO SERVIÇO.</t>
        </r>
      </text>
    </comment>
    <comment ref="Q2" authorId="0" shapeId="0" xr:uid="{C03AB1C9-EFBF-458D-9805-5DDF4E55E33F}">
      <text>
        <r>
          <rPr>
            <b/>
            <sz val="9"/>
            <color indexed="81"/>
            <rFont val="Segoe UI"/>
            <family val="2"/>
          </rPr>
          <t>Nicolas Oliveira:</t>
        </r>
        <r>
          <rPr>
            <sz val="9"/>
            <color indexed="81"/>
            <rFont val="Segoe UI"/>
            <family val="2"/>
          </rPr>
          <t xml:space="preserve">
O QUE CAUSOU A QUEBRA?</t>
        </r>
      </text>
    </comment>
    <comment ref="R2" authorId="0" shapeId="0" xr:uid="{18B8F0CB-09D1-4EAB-B289-96F4B473AF04}">
      <text>
        <r>
          <rPr>
            <b/>
            <sz val="9"/>
            <color indexed="81"/>
            <rFont val="Segoe UI"/>
            <family val="2"/>
          </rPr>
          <t>Nicolas Oliveira:</t>
        </r>
        <r>
          <rPr>
            <sz val="9"/>
            <color indexed="81"/>
            <rFont val="Segoe UI"/>
            <family val="2"/>
          </rPr>
          <t xml:space="preserve">
ESCREVER A PEÇA QUE FOI SUBSTITUIDA OU O SERVIÇO QUE FOI EXECUTADO PARA RESOLVER O PROBLEMA.</t>
        </r>
      </text>
    </comment>
    <comment ref="S2" authorId="0" shapeId="0" xr:uid="{5E53D8C1-A0D3-4856-BDF4-C89CD714EB9C}">
      <text>
        <r>
          <rPr>
            <b/>
            <sz val="9"/>
            <color indexed="81"/>
            <rFont val="Segoe UI"/>
            <family val="2"/>
          </rPr>
          <t>Nicolas Oliveira:</t>
        </r>
        <r>
          <rPr>
            <sz val="9"/>
            <color indexed="81"/>
            <rFont val="Segoe UI"/>
            <family val="2"/>
          </rPr>
          <t xml:space="preserve">
A SER PREENCHIDO PELA QUALIDADE.</t>
        </r>
      </text>
    </comment>
    <comment ref="T2" authorId="0" shapeId="0" xr:uid="{918739C8-247A-4E76-A3CD-2D7776FF58F2}">
      <text>
        <r>
          <rPr>
            <b/>
            <sz val="9"/>
            <color indexed="81"/>
            <rFont val="Segoe UI"/>
            <family val="2"/>
          </rPr>
          <t>Nicolas Oliveira:</t>
        </r>
        <r>
          <rPr>
            <sz val="9"/>
            <color indexed="81"/>
            <rFont val="Segoe UI"/>
            <family val="2"/>
          </rPr>
          <t xml:space="preserve">
A SER PREENCHIDO PELA QUALIDADE.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CE0104F-8EC8-4909-A560-EBD4CD1BF45B}" keepAlive="1" name="Consulta - GARANTIA(1)" description="Conexão com a consulta 'GARANTIA' na pasta de trabalho." type="5" refreshedVersion="7" background="1" saveData="1">
    <dbPr connection="Provider=Microsoft.Mashup.OleDb.1;Data Source=$Workbook$;Location=GARANTIA;Extended Properties=&quot;&quot;" command="SELECT * FROM [GARANTIA]"/>
  </connection>
  <connection id="2" xr16:uid="{A89F5D45-0DD8-4794-9104-E0E115FD970A}" keepAlive="1" name="Consulta - PEÇAS GARANTIA(1)" description="Conexão com a consulta 'PEÇAS GARANTIA' na pasta de trabalho." type="5" refreshedVersion="7" background="1" saveData="1">
    <dbPr connection="Provider=Microsoft.Mashup.OleDb.1;Data Source=$Workbook$;Location=&quot;PEÇAS GARANTIA&quot;;Extended Properties=&quot;&quot;" command="SELECT * FROM [PEÇAS GARANTIA]"/>
  </connection>
  <connection id="3" xr16:uid="{224C4270-04AD-4069-A0EF-611EAC04AE6E}"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<sst xmlns="http://schemas.openxmlformats.org/spreadsheetml/2006/main" count="13738" uniqueCount="2144">
  <si>
    <t xml:space="preserve">DATA DA TRASNFERÊNCIA </t>
  </si>
  <si>
    <t>SUDESTE</t>
  </si>
  <si>
    <t>NORTE</t>
  </si>
  <si>
    <t>NORDESTE</t>
  </si>
  <si>
    <t>CENTRO-OESTE</t>
  </si>
  <si>
    <t>SUL</t>
  </si>
  <si>
    <t xml:space="preserve">REGIÃO </t>
  </si>
  <si>
    <t>TELEFONE</t>
  </si>
  <si>
    <t>WHATSAPP</t>
  </si>
  <si>
    <t>REGIÃO</t>
  </si>
  <si>
    <t>-</t>
  </si>
  <si>
    <t>FINALIZADO PRESENCIAL</t>
  </si>
  <si>
    <t>TECNICO</t>
  </si>
  <si>
    <t>VENDEDOR</t>
  </si>
  <si>
    <t>DATA DO CHAMADO</t>
  </si>
  <si>
    <t xml:space="preserve">DATA DA FINALIZAÇÃO </t>
  </si>
  <si>
    <t xml:space="preserve">PROBLEMA APRESENTADO </t>
  </si>
  <si>
    <t>ATENDENTE REMOTO</t>
  </si>
  <si>
    <t>QTD. DE DIAS PARA SOLUÇÃO</t>
  </si>
  <si>
    <t>QTD. DE DIAS PARA TRANSFERENCIA</t>
  </si>
  <si>
    <t>STATUS DO ATENDIMENTO</t>
  </si>
  <si>
    <t>CANAL ENTRADA</t>
  </si>
  <si>
    <t xml:space="preserve">PRINCIPAIS PROBLEMAS </t>
  </si>
  <si>
    <t>FINALIZADO REMOTO</t>
  </si>
  <si>
    <t>EM ATENDIMENTO REMOTO</t>
  </si>
  <si>
    <t>EM ATENDIMENTO PRESENCIAL</t>
  </si>
  <si>
    <t>PRESSÃO DE SUCÇÃO BAIXA</t>
  </si>
  <si>
    <t xml:space="preserve">PRESSAO DE DESCARGA ALTA </t>
  </si>
  <si>
    <t xml:space="preserve">NIVEL BAIXO DE OLEO NO COMPRESSOR </t>
  </si>
  <si>
    <t xml:space="preserve">SOBRETEMPERATURA COMPRESSOR </t>
  </si>
  <si>
    <t>SOBRECORRENTE COMPRESSOR</t>
  </si>
  <si>
    <t xml:space="preserve">FALHA NA BOMBA DO CONDENSADOR </t>
  </si>
  <si>
    <t xml:space="preserve">FALHA NA BOMBA DO GERADOR </t>
  </si>
  <si>
    <t xml:space="preserve">FALHA NO VENTILADOR </t>
  </si>
  <si>
    <t xml:space="preserve">FALTA DE OLEO NA MAQUINA </t>
  </si>
  <si>
    <t xml:space="preserve">STATUS DO CHAMADO </t>
  </si>
  <si>
    <t xml:space="preserve">ENTRADA DO CHAMADO </t>
  </si>
  <si>
    <t>PANE ELETRICA</t>
  </si>
  <si>
    <t>ORIENTAÇÃO DE FUNCIONAMENTO</t>
  </si>
  <si>
    <t>GELO LEITOSO</t>
  </si>
  <si>
    <t xml:space="preserve">VAZAMENTO DE OLEO </t>
  </si>
  <si>
    <t xml:space="preserve">VAZAMENTO DE AGUA </t>
  </si>
  <si>
    <t>VAZAMENTO DE GÁS</t>
  </si>
  <si>
    <t xml:space="preserve">QUEDA DE PRODUÇÃO </t>
  </si>
  <si>
    <t xml:space="preserve">FALHA NO BRITADOR </t>
  </si>
  <si>
    <t>PROBLEMAS TRITURADOR</t>
  </si>
  <si>
    <t>DURAÇÃO DO ATENDIMENTO</t>
  </si>
  <si>
    <t xml:space="preserve">INTERNACIONAL </t>
  </si>
  <si>
    <t>MODELOS MAQUINAS</t>
  </si>
  <si>
    <t>EQUIPAMENTO</t>
  </si>
  <si>
    <t>PROBLEMA NO PEDAL</t>
  </si>
  <si>
    <t>TR</t>
  </si>
  <si>
    <t>QTDE</t>
  </si>
  <si>
    <t>QUADRO ELETRICO ANTIGO</t>
  </si>
  <si>
    <t xml:space="preserve">VÁLVULA </t>
  </si>
  <si>
    <t>DESALINHAMENTO COM CLIENTE</t>
  </si>
  <si>
    <t xml:space="preserve">CUBA </t>
  </si>
  <si>
    <t xml:space="preserve">RETORNO DE LIQUIDO </t>
  </si>
  <si>
    <t xml:space="preserve">JAMPER DO ÓLEO </t>
  </si>
  <si>
    <t xml:space="preserve">TROCA MOLA ACIONAMENTO </t>
  </si>
  <si>
    <t>GELO TRITURADO DEMAIS PARA  NECESSIDADE DO CLIENTE</t>
  </si>
  <si>
    <t>VAZAMENTO NA JUNTA DA VALVULA DE SERVIÇO DE DESCARGA</t>
  </si>
  <si>
    <t xml:space="preserve">COMPRESSOR ALTERNATIVO ABERTO </t>
  </si>
  <si>
    <t>VAZAMENTO NO TUBO DA RETENÇÃO DO GAS QUENTE (QUADRO DO GERADOR)</t>
  </si>
  <si>
    <t xml:space="preserve">QUADRO ELETRICO </t>
  </si>
  <si>
    <t xml:space="preserve">CORREÇÃO DE DIA / HORA PARA OPERAR COM LIGA E DESLIGA AUTOMATICO </t>
  </si>
  <si>
    <t>MÊS</t>
  </si>
  <si>
    <t xml:space="preserve">OBSTRUÇÃO DE SEPARADOR DE OLEO </t>
  </si>
  <si>
    <t xml:space="preserve">OBSTRUÇÃO DE FILTROS </t>
  </si>
  <si>
    <t xml:space="preserve">FALHA DE FUNCIONAMENTO NO PAINEL </t>
  </si>
  <si>
    <t xml:space="preserve">VAZAMENTO DE GAS NA TUBULAÇÃO DA SOLENOIDE DA VANA </t>
  </si>
  <si>
    <t xml:space="preserve">VAZAMENTO NO CONDENSADOR (CONDENSADOR DE TERCEIROS) </t>
  </si>
  <si>
    <t xml:space="preserve">RETENÇÃO DANDO PASSAGEM </t>
  </si>
  <si>
    <t xml:space="preserve">MAQUINA DESLIGADA A MUITOS DIAS E COM RECOLHIMENTO FEITO DE MODO INDEVIDO </t>
  </si>
  <si>
    <t>STATUS</t>
  </si>
  <si>
    <t>DESARMANDO SEM APRESENTAR FALHAS</t>
  </si>
  <si>
    <t>MAQUINA BLOQUEADA</t>
  </si>
  <si>
    <t xml:space="preserve">SOLENOIDE DO RETORNO OLEO DANDO PASSAGEM  </t>
  </si>
  <si>
    <t>VAZAMENTO DE GAS NAS GAXETAS DOS REGISTROS DO RECIPIENTE LIQUIDO</t>
  </si>
  <si>
    <t>LIGAÇÃO ELETRICA INVERTIDA (SENTIDO DE ROTAÇÃO) POR CONTA DO CLIENTE</t>
  </si>
  <si>
    <t xml:space="preserve">MAQUINA PARADA POR MUITO TEMPO </t>
  </si>
  <si>
    <t xml:space="preserve">TRINCA NA TAMPA DA BOMBA D'AGUA DO CONDENSADOR </t>
  </si>
  <si>
    <t>VALVULA DE EXPANSAO OBSTRUIDA</t>
  </si>
  <si>
    <t xml:space="preserve">REGULAGEM DA AMPERAGEM </t>
  </si>
  <si>
    <t>TUBO DO QUADRO DO GAS QUENTE COM TRICA NA SOLDA</t>
  </si>
  <si>
    <t>OSCILAÇÃO DE ENERGIA</t>
  </si>
  <si>
    <t xml:space="preserve">OSCILAÇÃO DE ENERGIA </t>
  </si>
  <si>
    <t>CAUSA INDETERMINADA POSSIVEL SUJEIRA NAS BANANAS</t>
  </si>
  <si>
    <t>VALVULA DE EXPANSÃO OBSTRUIDA</t>
  </si>
  <si>
    <t>FALHA MOTOR TRITURADOR</t>
  </si>
  <si>
    <t>ATENDIMENTO TECNICO PRESENCIAL</t>
  </si>
  <si>
    <t xml:space="preserve">ORIENTAÇÃO DE COLOCAÇÃO DE OLEO COMPRESSOR ALTERNATIVO </t>
  </si>
  <si>
    <t xml:space="preserve">CHUVEIROS ENTUPIDO </t>
  </si>
  <si>
    <t xml:space="preserve">ROSCA TRANSPORTADORA </t>
  </si>
  <si>
    <t xml:space="preserve">QUADRO SEM SINAL DE FUNCIONAMENTO </t>
  </si>
  <si>
    <t>SENHA DE MANUTEÇÃO PREVENTIVA</t>
  </si>
  <si>
    <t>DATA DE VENDA</t>
  </si>
  <si>
    <t>PEÇA</t>
  </si>
  <si>
    <t>INSTALAÇÃO</t>
  </si>
  <si>
    <t>PRODUTO DESCONTINUADO</t>
  </si>
  <si>
    <t>COMERCIAL</t>
  </si>
  <si>
    <t>PROJETO</t>
  </si>
  <si>
    <t>UTILIZAÇÃO</t>
  </si>
  <si>
    <t xml:space="preserve">FORÇADO DEGELO </t>
  </si>
  <si>
    <t>MAQUINA EM LOCAL ABAFADO / DESLIGADO E VOLTOU A FUNCIONAR</t>
  </si>
  <si>
    <t xml:space="preserve">REPARO NO REGISTRO DA SUCÇÃO DO COMPRESSOR </t>
  </si>
  <si>
    <t>AUMENTAR O TEMPO DE PRODUÇÃO</t>
  </si>
  <si>
    <t>TROCA DA PEDALEIRA</t>
  </si>
  <si>
    <t>REARME DO DISJUNTOR</t>
  </si>
  <si>
    <t>PROGRAMAÇÃO DA IP DA LOGO</t>
  </si>
  <si>
    <t>TROCA DO TUBO DO RETORNO DE ÓLEO DO COMPRESSOR</t>
  </si>
  <si>
    <t xml:space="preserve">SUBSTITUIÇÃO DA VANA </t>
  </si>
  <si>
    <t xml:space="preserve">SOLDA NA TUBULAÇÃO DO QUADRO DO GAS QUENTE </t>
  </si>
  <si>
    <t xml:space="preserve">REGULAGEM DA VALVULA DE EXPANSÃO E RETORNO DE OLEO </t>
  </si>
  <si>
    <t>SOLDA NA TUBULAÇÃO PILOTO DA VANF, PERTO DA SOLENOIDE</t>
  </si>
  <si>
    <t xml:space="preserve">SUBSTITUIÇÃO DO MOTOR DO TRITURADOR </t>
  </si>
  <si>
    <t>INSTALAÇÃO DO INVERSOR DE FREQUENCIA</t>
  </si>
  <si>
    <t>MONTAGEM DO 2º VENTILADOR NO CONDENSADOR</t>
  </si>
  <si>
    <t>TROCA DO SENSOR DE SUCÇÃO</t>
  </si>
  <si>
    <t>AJUSTE NO TEMPO DE PRODUÇÃO</t>
  </si>
  <si>
    <t xml:space="preserve">TROCA DA CONTATORA </t>
  </si>
  <si>
    <t>PERIODO DE GARANTIA</t>
  </si>
  <si>
    <t>DENTRO DA GARANTIA</t>
  </si>
  <si>
    <t>PERIODO GARANTIA</t>
  </si>
  <si>
    <t>FORA DE GARANTIA</t>
  </si>
  <si>
    <t xml:space="preserve">AJUSTE NA RETENÇÃO </t>
  </si>
  <si>
    <t xml:space="preserve">LIMPEZA SISTEMA, TROCA DE GAS  E OLEO </t>
  </si>
  <si>
    <t xml:space="preserve">SOLDA TUBULAÇÃO DO RL </t>
  </si>
  <si>
    <t xml:space="preserve">SUBSTITUIÇÃO BOMBA GERADOR </t>
  </si>
  <si>
    <t>ALTERAÇÃO NO TEMPO DE PRODUÇÃO</t>
  </si>
  <si>
    <t>SOLDA NO TUBO DO FILTRO DE SUCÇÃO E REPOSIÇÃO DE GÁS E ÓLEO</t>
  </si>
  <si>
    <t>JUMPER E ABERTURA DO RETORNO DE ÓLEO</t>
  </si>
  <si>
    <t>REPARO NO CABO DA PEDALEIRA QUE ESTAVA DANIFICADO</t>
  </si>
  <si>
    <t>DIAS ATÉ A FALHA</t>
  </si>
  <si>
    <t>CLASSIFICAÇÃO
(QUALIDADE)</t>
  </si>
  <si>
    <t>ORIGEM
(QUALIDADE)</t>
  </si>
  <si>
    <t>CUSTO PEÇAS</t>
  </si>
  <si>
    <t>CUSTO SERVIÇO</t>
  </si>
  <si>
    <t>N° SERIE</t>
  </si>
  <si>
    <t>N° OS</t>
  </si>
  <si>
    <t>CLIENTE</t>
  </si>
  <si>
    <t>ELÉTRICO</t>
  </si>
  <si>
    <t>MECÂNICO</t>
  </si>
  <si>
    <t>LIMPEZA</t>
  </si>
  <si>
    <t>SOLDA</t>
  </si>
  <si>
    <t>ESTADO</t>
  </si>
  <si>
    <t>CIDADE</t>
  </si>
  <si>
    <t>PORQUE?</t>
  </si>
  <si>
    <t>VAZAMENTO NO VISOR DO RL, VISOR MENOR DO QUE O TAMANHO IDEAL E ESTAVA COM DIVERSAS ARRUELAS E ANEIS ORING A FIM DE EVITAR O VAZAMENTO</t>
  </si>
  <si>
    <t>QUAL A SOLUÇÃO NO MOMENTO?</t>
  </si>
  <si>
    <t xml:space="preserve">QUEIMA DA BOMBA DO GERADOR, POR INFILTRAÇÃO E BOMBA JÁ FOI RECONDICIONADA ANTERIORMENTE </t>
  </si>
  <si>
    <t>MAQUINA COM CHUVEIROS OBSTRUIDOS POR SUJEIRA</t>
  </si>
  <si>
    <t xml:space="preserve">LIMPEZA DOS CHUVEIROS </t>
  </si>
  <si>
    <t xml:space="preserve">ABERTURA DO RETORNO DE ÓLEO, ADICIONADO 1,5 LITROS DE OLEO </t>
  </si>
  <si>
    <t>VALVULA DO RETORNO DE OLEO OBSTRUIDA, COM ISSO MAQUINA ACABOU FICANDO SEM OLEO POIS NÃO OCORRIA O RETORNO. DESSA MENEIRA O EQUIPAMENTO FICOU SEM OLEO NO RESERVATORIO E COMPRESSOR</t>
  </si>
  <si>
    <t>TRINCA NO TUBO DA LINHA QUE LIGA O SEPARADOR DE OLEO (RAC) AO FILTRO DA SUCÇÃO DO COMPRESSOR</t>
  </si>
  <si>
    <t>MAQUINA PARADA A MUITOS DIAS</t>
  </si>
  <si>
    <t xml:space="preserve">CLIENTE PRECISAVA REALIZAR A MUDANCA DE TEMPO DE PRODUÇÃO E DEGELO E NÃO CONSEGUIA ACESSAR QUADRO ELETRICO POIS NÃO LEMBRAVA A SENHA DE MANUTENÇÃO </t>
  </si>
  <si>
    <t>CLIENTE DANIFICOU A FIAÇÃO DA PEDALEIRA (PEDALEIRA INSTALADA EM PONTO DE ACESSO, ONDE OCORRE DE SER PISADA)</t>
  </si>
  <si>
    <t xml:space="preserve">OCORREU QUEBRA NA TUBULAÇÃO DO RETORNO DE OLEO DO COMPRESSOR, TECNICO NO MOMENTO DOS TESTES INICIAS DO EQUIPAMENTO AINDA NO STARTUP NOTOU QUE O TUBO DO RETORNO DE OLEO ESTAVA ROMPIDO OCASIONANDO O VAZAMENTO </t>
  </si>
  <si>
    <t xml:space="preserve">TROCA DA TUBULAÇÃO DO RETORNO DE OLEO </t>
  </si>
  <si>
    <t>GERADOR COM OS CHUVEIRO COM FUROS OBSTRUIDOS PELO EXCESSO DE CALCARIO PRESENTE NA AGUA DO CLIENTE, OCASIONANDO ASSIM, UM GELO LEITOSO, BLOQUEADO E AS VEZES DEFORMADO.</t>
  </si>
  <si>
    <t>CLIENTE RELATOU OSCILAÇÃO DE ENERGIA, ONDE ACABOU POR DESLIGANDO O EQUIPAMENTO E COM ISSO O DISJUNTOR DA BOMBA DO CONDENSADOR DESARMOU, DESSA MANEIRA CLIENTE COMENTOU DURANTE O PROCESSO DE LIGAR O EQUIPAMENTO QUE A MAQUINA POR ESTAR DESLIGADA DESDE O STARTUP, NÃO HAVIA AGUA NO CONDENSADOR, MAS SEGUNDO AS INFORMAÇÕES DO CLIENTE FOI FEITO ABASTECIMENTO DE AGUA ANTES E QUE ESSE NÃO PODERIA SER MOTIVO PELO DESARME DA BOMBA</t>
  </si>
  <si>
    <t>FOI REARMADO O DISJUNTOR DA BOMBA DO CONDENSADOR</t>
  </si>
  <si>
    <t>ENTREGA / ACOMPANHAMENTO</t>
  </si>
  <si>
    <t>VAZAMENTO NA VALVULA SOLENOIDE DA LINHA DE LIQUIDO, APÓS IDENTIFICAÇÃO DO VAZAMENTO FOI ABERTA A VALVULA E VERIFICADO QUE A MESMA ESTAVA MONTADA SEM O ANEL ORING OCASIONANDO ASSIM O VAZAMENTO</t>
  </si>
  <si>
    <t xml:space="preserve">COLOCAÇÃO DO ANEL ORING NA VALVULA SOLENOIDE DA LINHA DE LIQUIDO </t>
  </si>
  <si>
    <t>CLIMA NA CIDADE DO CLIENTE UM POUCO MAIS FRIO, SENDO ASSIM COM O TEMPO DE PRODUÇÃO ALTO E A MÁQUINA COM A ENTRADA DA AGUA MAIS BAIXA A MÁQUINA DO CLIENTE ACABOU BLOQUEANDO</t>
  </si>
  <si>
    <t>DEGELO FORÇADO E DIMINUIÇÃO DO TEMPO DE PRODUÇÃO</t>
  </si>
  <si>
    <t>ESTAVA COM TRITURADOR EMPAÇOCANDO GELO, CLIENTE INFORMOU QUE MEXERAM NA SUA REDE ELÉTRICA E ACABARAM INVERTENDO A ROTAÇÃO DO MOTOR DO TRITURADOR</t>
  </si>
  <si>
    <t>REVERTER A ROTAÇÃO DO MOTOR DO TRITURADOR</t>
  </si>
  <si>
    <t xml:space="preserve">FOI FECHADO OS REGISTROS DO RL E ELIMINADO O VISOR DE LÍQUIDO, ESTAREMOS ENVIANDO UM OUTRO PARA O CLIENTE E FEITO A REPOSIÇÃO DE GAS REFRIGERANTE </t>
  </si>
  <si>
    <t>ENVIADO SENHA PARA MUDANÇA NO TEMPO DE PRODUÇÃO E DEGELO</t>
  </si>
  <si>
    <t xml:space="preserve"> CLIENTE NÃO SABE SE TEVE PICO DE ENERGIA NA FÁBRICA POIS NÃO ESTAVA NA HORA </t>
  </si>
  <si>
    <t xml:space="preserve">CLIENTE HAVIA FECHADO REGISTRO DE AGUA DA CAIXA D'AGUA, OCASIONANDO A FALTA DE AGUA NO GERADOR E IMPEDINDO A FABRICAÇÃO DE GELO  </t>
  </si>
  <si>
    <t xml:space="preserve">ABERTURA DO REGISTRO DE ABASTECIMENTO DA CAIXA D'AGUA </t>
  </si>
  <si>
    <t>SUBSTITUIÇÃO DAS PEÇAS DO COMPRESSOR</t>
  </si>
  <si>
    <t>MOTOR ELETRICO ENVIADO AO CLIENTE EM VOLTAGEM DIFERENTE DA CONTRATADA</t>
  </si>
  <si>
    <t xml:space="preserve">TROCA DO MOTOR ELETRICO </t>
  </si>
  <si>
    <t>QUEIMA DO SENSOR  DE PRESSÃO DEVIDO AO RETORNO DE LÍQUIDO</t>
  </si>
  <si>
    <t xml:space="preserve">SUBSTITUIÇÃO DO SENSOR  </t>
  </si>
  <si>
    <t>RETORNO DE LÍQUIDO (STARTUP DEZEMBRO)</t>
  </si>
  <si>
    <t>SUBSTITUIÇÃO DO SENSOR DE SUCÇÃO</t>
  </si>
  <si>
    <t xml:space="preserve">CLIENTE ESTAVA COM OS REGISTROS DE ALIMENTAÇÃO DA MAQUINA FECHADO, DESSA MANEIRA FALTANDO AGUA NO CONDENSADOR </t>
  </si>
  <si>
    <t xml:space="preserve">ABERTURA DOS REGISTROS DE ALIMENTAÇÃO </t>
  </si>
  <si>
    <t xml:space="preserve">OBSTRUÇÃO NO RETORNO DE OLEO </t>
  </si>
  <si>
    <t xml:space="preserve">ABERTURA DO CHAPEU E LIMPEZA DOS CHUVEIROS </t>
  </si>
  <si>
    <t xml:space="preserve">CLIENTE ALEGOU QUE ESTAVA COM BAIXO FLUXO DE AGUA NO GERADOR E QUE A MAQUINA PRODUZIA POUCO GELO AS VEZES, CHUVEIROS OBSTRUIDOS POR BARRO, EXISTIA MUITA SUJEIRA CONTIDA NOS CHUVEIROS. </t>
  </si>
  <si>
    <t xml:space="preserve">MAQUINA NÃO ESTA INJETANDO GAS QUENTE EM UMA DAS BANANAS </t>
  </si>
  <si>
    <t>CLIENTE QUER AUMENTAR TEMPO DE PRODUÇÃO PARA QUE TENHA MELHOR CONSERVAÇÃO ATE LOCAL ONDE VAI RELAIZAR ENTREGA E COM ISSO GELO ACABA BLOQUEANDO, QUEBRANDO E FICANDO LEITOSO</t>
  </si>
  <si>
    <t xml:space="preserve">PEÇAS INTERNAS DO COMPRESSOR COM DESGASTE </t>
  </si>
  <si>
    <t xml:space="preserve">QUEIMA DO SENSOR DA SUCÇÃO </t>
  </si>
  <si>
    <t>MAQUINA ESTA COM BAIXO NIVEL DE OLEO E GÁS, CLIENTE INFORMOU QUE JÁ COLOCOU GAS NA MAQUINA, POREM OLEO ESTA MUITO ESCURO</t>
  </si>
  <si>
    <t xml:space="preserve"> REPOSIÇÃO DE ÓLEO E GÁS</t>
  </si>
  <si>
    <t xml:space="preserve">MAQUINA SOFREU RETORNO DE LIQUIDO DEVIDO A FALTA DE REGULAGEM DA RETENÇÃO </t>
  </si>
  <si>
    <t>OBSTRUÇÃO NO RETORNO DE OLEO, POR ALGUMA AÇÃO FISICA</t>
  </si>
  <si>
    <t>REGULAGEM DA VALVULA E REPOSIÇÃO DE MAIS ÓLEO NA MÁQUINA</t>
  </si>
  <si>
    <t xml:space="preserve">QUEBRA TUBULAÇÃO DO RETORNO DE OLEO DA BOIA </t>
  </si>
  <si>
    <t>SUBSTUIÇÃO DA TUBULAÇÃO DO RETONO DE OLEO E REPOSIÇÃO DE MAIS ÓLEO NA MÁQUINA</t>
  </si>
  <si>
    <t>CLIENTE TROCOU A IHM, PRECISAVA CONFIGURAR O IP DA LOGO PARA O CLIENTE FAZER OS AJUSTES DOS PARAMETRO DA MAQUINA</t>
  </si>
  <si>
    <t>REGULAGEM DA EXPANSÃO E REPOSIÇÃO DE GÁS</t>
  </si>
  <si>
    <t xml:space="preserve">EQUIPAMENTO DO CLIENTE COM O NÍVEL DE GÁS BAIXO, NÃO HOUVE A LOCALIZAÇÃO DE VAZAMENTOS </t>
  </si>
  <si>
    <t>MIOLO DA VANA DO CLIENTE BASTANTE DESGASTADA, COM PONTOS DE FERRUGEM</t>
  </si>
  <si>
    <t>PEDALEIRA DO CLIENTE COM INFILTRAÇÃO DE AGUA, SENDO ASSIM HOUVE FALHAS NOS COMPONENTES INTERNO</t>
  </si>
  <si>
    <t>OBSTRUÇÃO DA VÁLVULA DE RETORNO DE ÓLEO</t>
  </si>
  <si>
    <t xml:space="preserve">ABERTURA DA VÁLVULA DE RETORNO DE ÓLEO PARA DESOBSTRUÇÃO </t>
  </si>
  <si>
    <t>QUEBRA DA TUBULAÇÃO DO RETORNO DE ÓLEO DO COMPRESSOR</t>
  </si>
  <si>
    <t>APERTO DA CORREIA E SUBSTITUIÇÃO DA BARRA ROSCADA</t>
  </si>
  <si>
    <t>BARRA ROSCADA QUE SEGURA O MOTOR DO BRITADOR TENSIONADA, FAZENDO QUE A POLIA PATINASSE NA CORREIA</t>
  </si>
  <si>
    <t xml:space="preserve">MÁQUINA DO CLIENTE PARADA A UMA SEMANA </t>
  </si>
  <si>
    <t xml:space="preserve">ABERTURA DO RETORNO DE ÓLEO DO CLIENTE </t>
  </si>
  <si>
    <t xml:space="preserve">CONTATORA DA CLIENTE ESTAVA EM CURTO </t>
  </si>
  <si>
    <t>HOUVE UM PICO DE ENERGIA NA FÁBRICA DO CLIENTE FAZENDO COM QUE O DISJUNTOR DESARMASSE</t>
  </si>
  <si>
    <t>COMPONENTES INTERNOS DA PEDALEIRA DO CLIENTE DESGASTADOS CAUSANDO O MAL FUNCIONAMENTO</t>
  </si>
  <si>
    <t xml:space="preserve">CLIENTE SOLICITOU A SENHA DE MANUTENÇÃO PREVENTIVA </t>
  </si>
  <si>
    <t xml:space="preserve">SOLDA NO PE DA BASE DO COMPRESSOR </t>
  </si>
  <si>
    <t xml:space="preserve">PE DA BASE DO COMPRESSOR DO CLIENTE ESTAVAM COM A SOLDA SE ROMPENDO </t>
  </si>
  <si>
    <t xml:space="preserve">GELO DO CLIENTE ESTAVA COM UM DIAMETRO BOM, POREM O MESMO QUERIA FECHAR MAIS   </t>
  </si>
  <si>
    <t>REPOSIÇÃO ÓLEO NA MÁQUINA</t>
  </si>
  <si>
    <t>MÁQUINA DO CLIENTE HAVIA BLOQUEADO DE MANHÃ, O CLIENTE FORÇOU CERCA DE 7 DEGELOS E ARRASTOU O ÓLEO DA MÁQUINA, A MESMA COM O JUMPER NO QUADRO ELETRICO DESARMOU POR SOBRECORRENTE E NÃO POR ÓLEO</t>
  </si>
  <si>
    <t>MÁQUINA DO CLIENTE PARADA A VARIOS DIAS</t>
  </si>
  <si>
    <t>DRENAGEM COMPLETA DA AGUA DA CUBA</t>
  </si>
  <si>
    <t>CLIENTE NOS INFORMOU QUE SEU GELO NÃO ESTAVA MAIS CRISTALINO, ESTAVA OPACO</t>
  </si>
  <si>
    <t xml:space="preserve">DEGELO FORÇADO E REGULAGEM TEMPO DE PRODUÇÃO </t>
  </si>
  <si>
    <t>FORÇADO DEGELO E REGULAGEM NO TEMPO DE PRODUÇÃO</t>
  </si>
  <si>
    <t xml:space="preserve">CLIENTE INFORMOU QUE TROCOU O ÓLEO DO COMPRESSOR E A MÁQUINA FICOU SEM SINAL NO QUADRO ELETRICO, APÓS ISSO DISSE QUE SUBSTITUIU O TERMOSTATO DO COMPRESSOR E A MÁQUINA FUNCIONOU </t>
  </si>
  <si>
    <t>CLIMA UM POUCO MAIS QUENTE NA CIDADE DO CLIENTE, MÁQUINA ESTAVA NUM LOCAL ABAFADO</t>
  </si>
  <si>
    <t>CLIENTE INFORMOU QUE SEMPRE QUE VAI TIRAR O GELO TRITURADO A MÁQUINA ACUMULA GELO NA ENSACADORA, TEORICAMENTE A ROSCA TRASNPORTADORA ESTÁ MAIS  RAPIDA QUE O TRITURADOR, CAUSANDO ESSE ACUMULO DE GELO</t>
  </si>
  <si>
    <t xml:space="preserve">MOTOR DO TRITURADOR DO CLIENTE COM INFILTRAÇÃO DE AGUA </t>
  </si>
  <si>
    <t>FOI ENCONTRADA UMA TRINCA NA TUBULAÇÃO DO PILOTO DA VANF ONDE ESTAVA VAZANDO O GÁS</t>
  </si>
  <si>
    <t>GELO DO CLIENTE MUITO ABERTO E QUEBRADIÇO, AS VÁLVULAS DE RETORNO DE ÓLEO E DE EXPANSÃO ESTAVAM DESREGULADAS</t>
  </si>
  <si>
    <t>AMPERAGEM DO DISJUNTOR MOTOR MAIS BAIXA QUE O RECOMENDADO</t>
  </si>
  <si>
    <t>EQUIPAMENTO NÃO FOI ADICIONADO NADA DE ÓLEO DURANTE O STARTUP, MÁQUINA EM FUNCIONAMENTO  FICA SEM ÓLEO NO COMPRESSOR</t>
  </si>
  <si>
    <t xml:space="preserve">ABERTO RETORNO DE OLEO, APÓS ESTABILIZAR FOI FECHADO DA MANEIRA QUE JÁ ESTAVA ANTERIORMENTE </t>
  </si>
  <si>
    <t xml:space="preserve">MÁQUINA DO CLIENTE COM MUITAS HORAS RODADAS E CLIENTE GOSTARIA DE TROCAR O ÓLEO DO COMPRESSOR </t>
  </si>
  <si>
    <t xml:space="preserve">CLIENTE ESTAVA COM TRINCA NA TUBULAÇÃO DO GÁS QUENTE </t>
  </si>
  <si>
    <t xml:space="preserve">CLIENTE ESTAVA COM VAZAMENTO DE GÁS NO REGISTRO DA SUCÇÃO DO COMPRESSOR </t>
  </si>
  <si>
    <t xml:space="preserve">CHUVEIROS DA MÁQUINA DO CLIENTE COM OBSTRUÇÃO NOS ORIFICIOS </t>
  </si>
  <si>
    <t>DEGELO FORÇADO</t>
  </si>
  <si>
    <t>CLIENTE COM A MÁQUINA PARADA A VARIOS DIAS</t>
  </si>
  <si>
    <t>MÁQUINA DO CLIENTE ENTRAVA EM PRODUÇÃO E DESLIGAVA SEM APRESENTAR FALHAS, ACOMPANHAMOS ISSO COM O CLIENTE E ISSO PAROU DE ACONTECER, CAUSA INDETERMINADA POSSIVEL OSCILAÇÃO DE ENERGIA</t>
  </si>
  <si>
    <t xml:space="preserve">VAZAMENTO DE ÓLEO E GÁS DEVIDO AO TUBO DO QUADRO DO GÁS QUENTE ESTÁ COM TRINCA NA SOLDA </t>
  </si>
  <si>
    <t>CLIENTE INFORMOU QUE O DISJUNTOR DA BOMBA DO CONDENSADOR ESTAVA DESARMANDO E A BOMBA ESTAVA DANDO CHOQUE</t>
  </si>
  <si>
    <t xml:space="preserve">REBOBINAMENTO DA BOMBA DO CONDENSADOR </t>
  </si>
  <si>
    <t xml:space="preserve">CHAPEU DA MAQUINA COM PARAFUSOS FROUXOS </t>
  </si>
  <si>
    <t>APERTO DOS PARAFUSOS DO CHAPÉU DA MÁQUINA</t>
  </si>
  <si>
    <t>ABRIR E FECHAR A VÁLVULA DE EXPANSÃO PARA DESOBSTRUÇÃO</t>
  </si>
  <si>
    <t>MAQUINA DO CLIENTE DESLIGADA A VARIOS DIAS</t>
  </si>
  <si>
    <t xml:space="preserve">FLEXIVEL DA MÁQUINA DO CLIENTE </t>
  </si>
  <si>
    <t>TROCA DO FLEXIVEL</t>
  </si>
  <si>
    <t xml:space="preserve">TROCA DA RETENÇÃO </t>
  </si>
  <si>
    <t xml:space="preserve">CLIENTE NÃO FEZ O ABASTECIMENTO DE AGUA NO CONDENSADOR E A MÁQUINA ACABOU DESARMANDO POR DESCARGA ALTA </t>
  </si>
  <si>
    <t xml:space="preserve">ABASTECIMENTO DE ÁGUA NO CONDENSADOR </t>
  </si>
  <si>
    <t>REPARO NA TRINCA DA BOMBA DÁGUA DO CONDENSADOR</t>
  </si>
  <si>
    <t xml:space="preserve">TRINCA NA TUBULAÇÃO DO PILOTO DA VANF </t>
  </si>
  <si>
    <t xml:space="preserve">CLIENTE QUERIA AJUDA PARA DEIXAR A MÁQUINA OPERANDO NO LIGA E DESLIGA AUTOMATICO </t>
  </si>
  <si>
    <t>DIMINUIÇÃO DA TEMPERATURA DA AGUA DA CAIXA D´AGUA DO CLIENTE UTILIZANDO GELO</t>
  </si>
  <si>
    <t xml:space="preserve">DESCARGA MUITA ALTA DEVIDO ESPAÇO FISICO </t>
  </si>
  <si>
    <t>SENTIDO DE ROTAÇÃO REVERTIDO CORRETAMENTE</t>
  </si>
  <si>
    <t xml:space="preserve">REPARO NA TUBULAÇÃO DA SOLENOIDE DA VANA </t>
  </si>
  <si>
    <t xml:space="preserve">SUJEIRA NOS CHUVEIROS DEVIDO AO CALCARIO AGUA </t>
  </si>
  <si>
    <t xml:space="preserve">LJMPEZA DOS CHUVEIROS </t>
  </si>
  <si>
    <t xml:space="preserve">LIMPEZA DOS FILTROS </t>
  </si>
  <si>
    <t>REPARO NO TUBO DA RETENÇÃO DO GAS QUENTE (QUADRO DO GERADOR)</t>
  </si>
  <si>
    <t xml:space="preserve">PROBLEMA DA MOLA  DE ACIONAMENTO DA PEDALEIRA </t>
  </si>
  <si>
    <t>REGULAGEM DA AMPERAGEM DO DISJUNTOR DO MOTOR</t>
  </si>
  <si>
    <t xml:space="preserve">QUEBRA DA SOLDA TUBULAÇÃO DO SEPARADOR DE OLEO E DO RL </t>
  </si>
  <si>
    <t>SOLDA DA TUBULAÇÃOES COMPROMETIDAS PELA QUEBRA</t>
  </si>
  <si>
    <t xml:space="preserve">MAQUINA BLOQUEADA, CLIENTE ACIONANDO VARIAS VEZES FUNÇÃO FORCAR DEGELO OCASIONANDO ARRASTES DE OLEO </t>
  </si>
  <si>
    <t>FALTA DE OLEO NO COMPRESSOR, DEVIDO A VAZAMENTO DE GÁS NO VISOR DO RECIPIENTE DE LIQUIDO</t>
  </si>
  <si>
    <t xml:space="preserve">COLOCAÇÃO DE ÓLEO NA MÁQUINA E GAS, REALIZADO APERTO NO VISOR DE LIQUIDO </t>
  </si>
  <si>
    <t>RETIRADO ELEMENTO FILTRANTE D-48 (LIQUIDO)</t>
  </si>
  <si>
    <t>FILTRO DA LINHA DE LIQUIDO OBSTRUIDO</t>
  </si>
  <si>
    <t>CLIENTE DIZ QUE O GELO TRITURADO NA SUA REGIÃO NÃO E ACEITO POIS TEM TEMPO BAIXO DE DURABILIDADE.</t>
  </si>
  <si>
    <t xml:space="preserve">SOFT COM PROBLEMAS DE FUNCIONAMENTO, COM COMPONENTES QUEIMADOS </t>
  </si>
  <si>
    <t xml:space="preserve">TROCA DO MOTOR DO TRITURADOR </t>
  </si>
  <si>
    <t xml:space="preserve">MAQUINA BLOQUEADA, CAUSANDO TRAVAMENTO DA FACA NO MOMENTO DO CORTE DO GELO </t>
  </si>
  <si>
    <t xml:space="preserve">FORCADO DEGELO 3 X E DERRUBADO GELO QUE ESTAVA TRAVANDO A FACA </t>
  </si>
  <si>
    <t xml:space="preserve">MAQUINA CHEGOU DANIFICADA NO CLIENTE OCASIONANDO ENTRADA DE AGUA NO SISTEMA. GERANDE GRANDE UMIDADE E PERCA DE EFICIENCIA DA MAQUINA. </t>
  </si>
  <si>
    <t>TROCADA JUNTA DA VALVULA E FEITO REAPERTO</t>
  </si>
  <si>
    <t xml:space="preserve">TROCA DA BOMBA DO CONDENSADOR </t>
  </si>
  <si>
    <t xml:space="preserve">ELEMENTO FILTRANTE D-48 (LIQUIDO) OBSTRUIDO </t>
  </si>
  <si>
    <t>ELIMINDO A ELEMENTO FILTRANTE</t>
  </si>
  <si>
    <t xml:space="preserve">VANA TRAVADA E COM TEFLON OBSTRUIDO </t>
  </si>
  <si>
    <t xml:space="preserve">LIMPEZA, DESMONTAGEM DA VANA E TROCA DO TEFLON </t>
  </si>
  <si>
    <t xml:space="preserve">MAQUINA COM PROBLEMAS DE DESARME EM ALGUMAS CONTATORAS QUE ESTAVAM QUEIMADAS. </t>
  </si>
  <si>
    <t xml:space="preserve">LIMPEZAZ DA SOLENOIDE E REGULAGEM DO RETORNO DE OLEO PARA NÃO OCORRER RETORNO DE LIQUIDO, ENVIADO POSTERIORMENTE AO CLIENTE A TROCA DA SOLENOIDE </t>
  </si>
  <si>
    <t xml:space="preserve">TROCA DAS GAXETAS DO RECIPIENTE DE LIQUIDO E REAPERTO DAS VALVULAS </t>
  </si>
  <si>
    <t xml:space="preserve">OBSTRUÇÃO DA FILTRO DE OLEO DO COMPRESSOR E BOIA COM EMBALAGEM, ONDE TECNICO HAVIA MONTADO A BOIA COM PLASTICO OBSTRUINDO A PASSAGEM DO OLEO </t>
  </si>
  <si>
    <t xml:space="preserve">RETIRADA DA EMBALAGEM QUE ESTAVA NA BOIA, E COMPLETADO OLEO E REGULAGEM DA MAQUINA </t>
  </si>
  <si>
    <t xml:space="preserve">LIMPEZA DA VALVULA SOLENOIDE DO GAS QUENTE </t>
  </si>
  <si>
    <t>OBSTRUÇÃO NA SOLENOIDE DO GAS QUENTE POR SUJEIRA</t>
  </si>
  <si>
    <t xml:space="preserve">QUEBRA TUBULAÇÃO DO RL OCASIONANDO A PERCA DE TODO GAS DA MAQUINA </t>
  </si>
  <si>
    <t xml:space="preserve">MAQUINA PROJETADA PARA RODAR COM GAS 404, COM CONDENSADOR PEQUENO PARA EQUIPAMENTO </t>
  </si>
  <si>
    <t xml:space="preserve">CLIENTE ALEGA QUE NÃO ESTA TENDO OCILAÇÃO DE ENERGIA E NEM FALTA DE AGUA NA MAQUINA, SOLICITAMOS UM ELETRICISTA PARA MEDIÇÃO DA CORRENTE. </t>
  </si>
  <si>
    <t xml:space="preserve">SOLICITADO UM ELETRICISTA PARA MEDIR A CORRENTE QUE ESTA CHEGANDO NA MAQUINA E ALTERADO AMPERAGEM NO RELE DA BOMBA DO CONDENSADOR. </t>
  </si>
  <si>
    <t>ORIENTAÇÃO</t>
  </si>
  <si>
    <t>TÉCNICO</t>
  </si>
  <si>
    <t xml:space="preserve">CLIENTE INFORMOU QUE  PRÓXIMO AO LADRÃO DA ENSACADORA ESTÁ VAZANDO AGUA, SOLICITEI PARA O CLIENTE FAZER UM APERTO NOS PARAFUSOS QUE ESTAVAM FROUXOS </t>
  </si>
  <si>
    <t xml:space="preserve">APERTO DOS PARAFUSOS </t>
  </si>
  <si>
    <t xml:space="preserve">BOMBA DO CONDENSADOR QUEIMOU POR OBSTRUÇÃO  E COM ISSO O CLIENTE FICAVA TENTANDO LIGAR A MAQUINA CONTANTEMENTE OCASIONANDO O ARASTE DE OLEO. </t>
  </si>
  <si>
    <t>MOTOR DO TRITURADOR TRAVADO POR INFILTRAÇÃO</t>
  </si>
  <si>
    <t>MAQUINA COM DEFICIENCIA DE DEGELO PORQUE A VEDAÇÃO DA RETENÇÃO ESTAVA DANDO PASSAGEM</t>
  </si>
  <si>
    <t>OCORREU RETORNO LIQUIDO NO COMPRESSOR OCASIONADO POR PROBLEMAS NA VALVULA DE RETENCAO</t>
  </si>
  <si>
    <t xml:space="preserve">TROCA DAS PEÇAS DO COMPRESSOR </t>
  </si>
  <si>
    <t>SUJEIRA</t>
  </si>
  <si>
    <t>TRANSPORTE</t>
  </si>
  <si>
    <t xml:space="preserve">INVERSÃO DAS FASES </t>
  </si>
  <si>
    <t>CLIENTE INFORMOU QUE AO LIGAR A MÁQUINA A MESMA DESARMOU O DISJUNTOR DO BRITADOR E APÓS REARMAR A POLIA FICAVA PATINANDO NA CORREIA. AO ANALISAR O VÍDEO VERIFIQUEI QUE A ROTAÇÃO DO MOTOR ESTAVA INVERTIDA, PERGUNTEI AO CLIENTE SE HAVIAM MECHIDO NA REDE ELETRICA E ELE INFORMOU QUE SIM, SENDO ASSIM OUVE A INVERSÃO DAS FASES FAZENDO COM QUE OS MOTORES TRABALHASSEM NO SENTIDO OPOSTO.</t>
  </si>
  <si>
    <t>CLIENTE ESTAVA COM VAZAMENTO DE GÁS NO CONDENSADOR (CONDENSADOR DE TERCEIROS) E VAZAMENTO EM UM DOS TUBO DO GÁS QUENTE DAS BANANAS</t>
  </si>
  <si>
    <t>SOLDA NOS LOCAIS DOS VAZAMENTOS</t>
  </si>
  <si>
    <t>CLIENTE INFORMOU QUE ESTÁ COM VAZAMENTO DE GÁS NO TUBO FLEXÍVEL DA LINHA DA DESCARGA DO COMPRESSOR E NO SENSOR DE SUCÇÃO</t>
  </si>
  <si>
    <t xml:space="preserve">TROCA DO TUBO FLEXÍVEL / PASSAR VEDA ROSCA NO SENSOR DE SUCÇÃO </t>
  </si>
  <si>
    <t>LIGAÇÃO DA BOMBA DIRETA AO DISJUNTOR PARA QUE O CLIENTE PRODUZISSE/ FUTURA TROCA DO DISJUNTOR</t>
  </si>
  <si>
    <t>CLIENTE ESTAVA COM OSCILAÇÃO NAS FASES DA BOMBA DO GERADOR, AO FAZERMOS UM TESTE  VERIFICAMOS QUE O PROBLEMA ESTÁ NA SAIDA DO DISJUNTOR E NÃO NA BOMBA DO GERADOR</t>
  </si>
  <si>
    <t>MAQUINA COM BAIXO NIVEL E GAS E OLEO OCASIONANDO ASSIM A BAIXA PRODUÇÃO E DESARME DA MAQUINA POR FALTA DE OLEO NO COMPRESSOR</t>
  </si>
  <si>
    <t>FOI FEITO ADICIONADO 2 LITROS DE OLEO E 2 BOTIJAS DE R22 NO EQUIPAMENTO.</t>
  </si>
  <si>
    <t>CLIENTE INFORMOU QUE DEIXOU A MÁQUINA EM FUNCIONAMENTO E QUANDO VOLTOU ESTAVA COM A FALHA NO PAINEL, CLIENTE NÃO SABE SE TEVE OSCILAÇÃO DE ENERGIA NA SUA FÁBRICA</t>
  </si>
  <si>
    <t>CLIENTE FICOU COM A MÁQUINA PARADA CERCA DE 2 MESES SEGUNDO O MESMO, AO  RETOMAR O FUNCIONAMENTO A MESMA DESARMOU POR NÍVEL BAIXO DE ÓLEO</t>
  </si>
  <si>
    <t xml:space="preserve">ADICIONADO 1 LITRO DE ÓLEO NA MÁQUINA </t>
  </si>
  <si>
    <t>CAUSA DO "PORQUE"</t>
  </si>
  <si>
    <t>REGULAGEM VALVULA EXP.</t>
  </si>
  <si>
    <t xml:space="preserve">QUEBRA DO TUBO DO RETORNO DO OLEO </t>
  </si>
  <si>
    <t xml:space="preserve">SOLDA DO TUBO DO RETORNO DO OLEO </t>
  </si>
  <si>
    <t>TRANSPORTE/SOLDA</t>
  </si>
  <si>
    <t>FORNECEDOR</t>
  </si>
  <si>
    <t>FALHA DE COMPONENTE</t>
  </si>
  <si>
    <t>ÁGUA NO MOTOR</t>
  </si>
  <si>
    <t>FALTA DE PADRONIZAÇÃO DE PRODUTO</t>
  </si>
  <si>
    <t>REGULAGEM DO DISJUNTOR</t>
  </si>
  <si>
    <t>TENSIONAMENTO CORREIAS</t>
  </si>
  <si>
    <t>ERRO NO PROCESSO DE VENDA</t>
  </si>
  <si>
    <t>INSTALAÇÃO ELÉTRICA INCORRETA</t>
  </si>
  <si>
    <t>ERRO DURANTE FABRICAÇÃO DA MÁQUINA</t>
  </si>
  <si>
    <t xml:space="preserve">CLIENTE QUER TRABALHAR COM TEMPO DE PRODUÇÃO MAIOR DO QUE O INDICADO PELO FABRICANTE, DISSE QUE POR QUESTOES DE FAZER VIAGENS LONGAS QUER QUE O GELO DURE MAIS TEMPO. </t>
  </si>
  <si>
    <t>ERRO DE OPERAÇÃO DA MÁQUINA</t>
  </si>
  <si>
    <t>ERRO DURANTE STARTUP</t>
  </si>
  <si>
    <t>COMPONENTE DE TERCEIRO</t>
  </si>
  <si>
    <t>ESGOTAR O ÓLEO DO COMPRESSOR/REPOR O NOVO ÓLEO</t>
  </si>
  <si>
    <t xml:space="preserve">TENTAMOS FORÇAR DEGELO MAIS O GELO NÃO CAIU, ENTÃO FIZEMOS  A ABERTURA DO CHAPEU E LIMPEZA DOS CHUVEIROS QUE ESTAVAM OBSTRUIDOS, E DEIXAMOS AGUA CAINDO NOS TUBOS POIS TINHA MUITO GELO DENTRO </t>
  </si>
  <si>
    <t xml:space="preserve">CLIENTE INFORMOU QUE ESTA COM A MAQUINA PARADA ALGUNS DIAS E AGORA A MAQUINA NÃO ESTA LIGANDO POR OLEO. E LOGO APÓS A MAQUINA TEVE RETORNO DE LIQUIDO PELO RETORNO DE OLEO TER SIDO ABERTO, A VALVULA SOLENOIDE DO RETORNO DE OLEO TAMBEM ESTA DANDO PASSAGEM </t>
  </si>
  <si>
    <t xml:space="preserve">DEGELO FORÇADO E REARME DO DISJUNTOR DO BRITADOR </t>
  </si>
  <si>
    <t xml:space="preserve">CLIENTE FEZ A ULTIMA PRODUÇÃO NO DIA ANTERIOR E NÃO DEIXOU DAR O  DEGELO PARA CAIR O GELO DA BANANA, COM ISSO  NO OUTRO DIA NA PRIMEIRA PRODUÇÃO A CAMADA DO GELO FICOU MAIS  GROSSA  TRAVANDO O BRITADOR FAZENDO COM QUE ELE DESARMASSE </t>
  </si>
  <si>
    <t xml:space="preserve">GELO DO CLIENTE ESTAVA ABERTO E QUEBRADIÇO </t>
  </si>
  <si>
    <t>REGULAGEM NA VÁLVULA DE EXPANSÃO</t>
  </si>
  <si>
    <t xml:space="preserve">CLIENTE INFORMOU QUE ESTÁ COM VAZAMENTO DE ÓLEO E GÁS NA CONEXÃO PRÓXIMO AO TUBO FLEXÍVEL ONDE JÁ FOI SOLDADO </t>
  </si>
  <si>
    <t xml:space="preserve">PRIMEIRAMENTE FOI FEITO UM JUMPER NA MAQUINA, E RETORNASSE OLEO PARA MAQUINA, E ENVIAMOS UM TECNICO PARA TROCAR A VALVULA SOLENOIDE DO RETORNO DE OLEO </t>
  </si>
  <si>
    <t>CLIENTE INFORMOU QUE JÁ LEVOU A PEDALEIRA PARA ARRUMAR DUAS VEZES DEVIDO A OXIDAÇÃO E INFILTRAÇÃO DE AGUA, A PEDALEIRA AGORA ENTROU EM CURTO E SERÁ NECESSARIO A SUBSTITUIÇÃO</t>
  </si>
  <si>
    <t>SUBSTITUIÇÃO DA PEDALEIRA</t>
  </si>
  <si>
    <t xml:space="preserve">CLIENTE INFORMOU QUE MAQUINA PAROU POR FALTA DE OLEO NO EQUIPAMENTO, COM ISSO NO PROCESSO DE TRIAGEM COSNTATAMOS QUE A MAQUINA JÁ TINHA MAIS DE 1000 HORAS RODADAS E COM ISSO CLIENTE JA SOLICITOU ORIENTAÇÃO A ASSISTENCIA TÉCNICA PARA FAZER A TROCA DE ÓLEO COMPLETA DO COMPRESSOR </t>
  </si>
  <si>
    <t xml:space="preserve">TROCA DA PEDALEIRA, FORA DE GARANTIA </t>
  </si>
  <si>
    <t xml:space="preserve">CLIENTE ENTROU EM CONTATO INFORMANDO QUE A MAQUINA FICOU FUNCIONANDO DURANTE A NOITE E PELA MANHA ESTAVA BLOQUEADA UMA DAS BANANAS E QUE COM ISSO AO LIGAR A MAQUINA NOVAMENTE O BRITADOR DESARMOU POIS O GELO ESTAVA MUITO GROSSO IMPOSSIBILITANDO A QUEBRA DO GELO </t>
  </si>
  <si>
    <t xml:space="preserve">CLIENTE ENTROU EM CONTATO, INFORMANDO QUE  MAQUINA ESTAVA BLOQUEANDO E QUE PRECISAVA DE AUXILIO </t>
  </si>
  <si>
    <t>CLIENTE TRITUROU A PEDALEIRA DENTRO DA ENSACADORA, FUNCIONARIO DO CLIENTE COLOCOU A PEDALEIRA DENTRO DA ENSACADORA PARA LIMPEZA E ESQUECEU E ACABOU DANIFICANDO A PEDALEIRA</t>
  </si>
  <si>
    <t>DEGELO FORÇADO E REDUÇÃO DO TEMPO DE PRODUÇÃO</t>
  </si>
  <si>
    <t>REARME DO DISJUNTOR DO BRITADOR, E DEGELO FORÇADO</t>
  </si>
  <si>
    <t xml:space="preserve">HOUVE UM PICO DE ENERGIA NA FÁBRICA DO CLIENTE FAZENDO COM QUE A FONTE DO QUADRO ELETRICO QUEIMASSE, OCASIONANDO ASSIM A NECESSIDADE DE SUBSTITUIÇÃO FORA DE GARANTIA </t>
  </si>
  <si>
    <t xml:space="preserve">TROCA DA FONTE DO QUADRO ELETRICO </t>
  </si>
  <si>
    <t xml:space="preserve">CLIENTE FICOU COM A MÁQUINA PARADA CERCA D 4 DIAS, AO  RETOMAR O FUNCIONAMENTO A MESMA DESARMOU POR FALTA DE OLEO NA MAQUINA </t>
  </si>
  <si>
    <t>CLIENTE ESTAVA COM O GELO COM APARENCIA BOA COM 17 MIN DE PRODUÇÃO, QUERIA QUE O GELO FECHASSE MAIS E AUMENTOU DE UMA VEZ O TEMPO DE PRODUÇÃO EM 2 MIN. SENDO ASSIM, COM 19 MIN DE PRODUÇÃO A MÁQUINA ACABOU BLOQUEANDO</t>
  </si>
  <si>
    <t>DESCONTINUADO</t>
  </si>
  <si>
    <t>DEIXAMOS A BOMBA DO GERADOR DO CLIENTE LIGADA DIRETO POIS O DISUNTOR MOTOR DA BOMBA DO GERADOR ESTAVA EM CURTO E DESARMANDO TODA HORA, ENVIAMOS UM TÉCNICO PARA TROCAR O DISJUNTOR MOTOR PARA UM COM A AMPERAGEM MAIS ALTA</t>
  </si>
  <si>
    <t>TROCA DO DISJUNTOR MOTOR POR UM COM A AMPERAGEM MAIS ALTA</t>
  </si>
  <si>
    <t xml:space="preserve">CLIENTE DEIXOU A MÁQUINA PARADA POR UMA SEMANA E AO LIGAR A MESMA DESARMOU POR BAIXO NÍVEL DE ÓLEO NO COMPRESSOR </t>
  </si>
  <si>
    <t>SOLDA NA CONEXÃO DO FLEXIVEL</t>
  </si>
  <si>
    <t xml:space="preserve">POLIA  ESTAVA TRAVADA E NÃO  ROTACIONAVA MAIS, ESTAVA COM MUITO CÁLCARIO E DESGASTE NA BUCHA E RETENTOR, A FACA DA CUBA ESTAVA PEGANDO NOS  TUBOS TAMBÉM DIFICULTANDO A ROTAÇÃO DO EIXO </t>
  </si>
  <si>
    <t xml:space="preserve">POLIR O EIXO, AJUSTE NA BUCHA E TROCA DO RETENTOR E BARRA ROSCADA/ CALÇO NA POLIA PARA A MESMA NÃO PEGAR NOS  TUBOS </t>
  </si>
  <si>
    <t xml:space="preserve">CLIENTE AO  PARTIR A MÁQUINA APARECEU BAIXO NÍVEL DE ÓLEO NO COMPRESSOR, AO OLHAR NO VISOR, O MESMO ESTAVA COMPLETAMENTE VAZIO, TÉCNICO NO STARTUP COLOCOU 1 L DE ÓLEO E UMA SEMANA DEPOIS A MÁQUINA DESARMOU POR BAIXO NÍVEL DE ÓLEO  </t>
  </si>
  <si>
    <t xml:space="preserve">FOI ADICIONADO 2 L DE ÓLEO NA MÁQUINA DO CLIENTE </t>
  </si>
  <si>
    <t>CLIENTE ENTROU EM CONTATO QUERENDO AUXILIO PARA COLOCAR GÁS EM SUA MÁQUINA, ONDE FOI CONSTATADO QUE TEVE UM VAZAMENTO NA CONEXÃO DO FLEXÍVEL EM 29/04. SENDO ASSIM FOI NECESSARIO REPOR 10 BOTIJAS DE GÁS.</t>
  </si>
  <si>
    <t>REPOR GÁS NA MÁQUINA</t>
  </si>
  <si>
    <t>VAZAMENTO NAS BANANAS DO GERADOR</t>
  </si>
  <si>
    <t>SOLDA NAS BANANAS</t>
  </si>
  <si>
    <t xml:space="preserve">CLIENTE ESTAVA COM UM VAZAMENTO DE ÓLEO NO SENSOR DE DESCARGA DO COMPRESSOR, E A MÁQUINA ESTAVA ACUSANDO BAIXO NÍVEL DE ÓLEO </t>
  </si>
  <si>
    <t>O DIA NO CLIENTE ESTAVA MAIS FRIO E COM O TEMPO DE PRODUÇÃO ALTO E A TEMPERATURA DA AGUA DE ENTRADA MAIS BAIXA, A MÁQUINA ACABOU BLOQUEANDO</t>
  </si>
  <si>
    <t>BOMBA DO CONDENSADOR DO CLIENTE ESTAVA FAZENDO MUITO BARULHO, AO ABRIR A BOMBA FOI VERIFICADO QUE OS ROLAMENTOS ESTAVAM GASTOS E TINHA PONTOS DE OXIDAÇÃO DA BOMBA</t>
  </si>
  <si>
    <t xml:space="preserve">TROCA DOS ROLAMENTOS </t>
  </si>
  <si>
    <t xml:space="preserve">APERTO DO SENSOR/ ADICIONADO 3 L DE ÓLEO </t>
  </si>
  <si>
    <t>CLIENTE FICOU COM A MÁQUINA PARADA POR 7 DIAS E AO LIGAR A MÁQUINA, A MESMA DESARMOU POR BAIXO NÍVEL DE ÓLEO</t>
  </si>
  <si>
    <t>JUMPER NO QUADRO ELÉTRICO E APÓS 2 CICLOS O  ÓLEO RETORNOU</t>
  </si>
  <si>
    <t xml:space="preserve">CLIENTE ESTAVA COM VAZAMENTO DE GÁS E ÓLEO NA SOLENOIDE DA VANA E ALGUNS REGISTROS ESTAVAM COM OS PARAFUSOS FROUXOS </t>
  </si>
  <si>
    <t>APERTO DOS PARAFUSOS FROUXOS, MANUTENÇÃO NA SOLENOIDE DA VANA E FUTURA REPOSIÇÃO DE GÁS</t>
  </si>
  <si>
    <t>FORÇAMOS 4  DEGELOS MAS A MÁQUINA NÃO CAIU TODO O GELO, ENTÃO DEIXAMOS ELA DESCONGELANDO</t>
  </si>
  <si>
    <t>CLIENTE ESTAVA COM VAZAMENTO DE ÓLEO NA RETENÇÃO DA LINHA DE DESCARGA DO SEPARADOR DE ÓLEO</t>
  </si>
  <si>
    <t>ABRIMOS A RETENÇÃO E TROCAMOS A JUNTA E SUBSTITUIMOS OS PARAFUSOS</t>
  </si>
  <si>
    <t>APERTAMOS CORRETAMENTE OS TUBOS E VAMOS FAZER UMA FUTURA REPOSIÇÃO DE GÁS</t>
  </si>
  <si>
    <t>CLIENTE ESTAVA COM VAZAMENTO NO VISOR DE LÍQUIDO DO RL, O TUBO DO VISOR ERA MENOR DO QUE O SUPORTE PARA ELE, SENDO ASSIM FOI FEITO AJUSTES PARA O VISOR ENCAIXAR, CAUSANDO ASSIM O VAZAMENTO E A PERCA DE GÁS</t>
  </si>
  <si>
    <t>FOI TROCADO O VISOR E ADICIONADO GÁS NA MÁQUINA</t>
  </si>
  <si>
    <t xml:space="preserve">FORÇAMOS 3 DEGELOS E FIZEMOS A DIMINUIÇÃO DO TEMPO DE PRODUÇÃO </t>
  </si>
  <si>
    <t xml:space="preserve">FOI COLOCADO GÁS E TROCADO O SENSOR DE DESCARGA COMPRESSOR REGULADA A VÁLVULA DE EXPANSÃO   </t>
  </si>
  <si>
    <t>JUMPER DO OLEO E ACOMPANHAMENTO DO RETORNO DO OLEO APÓS 6 QUEDAS FOI RETIRADO O JAMPER E CLIENTE JÁ DESLIGOU A MAQUINA</t>
  </si>
  <si>
    <t>CLIENTE DEIXOU A MÁQUINA EM FUNCIONAMENTO DURANTE A MADRUGADA, NESSE PERIODO A TEMPERATURA DA AGUA ESTAVA  MAIS BAIXA E O TEMPO DE PRODUÇÃO ALTO AO CHEGAR DE MANHÃ A MÁQUINA ESTAVA VAZANDO ÁGUA POR CIMA DO GERADOR. SENDO ASSIM, A MÁQUINA ACABOU BLOQUEANDO</t>
  </si>
  <si>
    <t>FORÇAMOS 4 DEGELOS E DIMINUIMOS O TEMPO DE PRODUÇÃO COLOCAMOS 1  BOTIJA DE GÁS NA MÁQUINA</t>
  </si>
  <si>
    <t>CLIENTE RECEBEU UM ATENDIMENTO PRESENCIAL DE NOSSO TÉCNICO ONDE FOI DESMONTADO E MONTADO OS TUBOS DE CONEXÕES DO GÁS QUENTE, APÓS 2 SEMANAS  FOI ENCONTRADO UM VAZAMENTO  NESSES TUBOS, SINAL QUE NÃO FOI MONTADO CORRETAMENTO, COM ISSO CLIENTE ESTAVA PERDENDO GÁS E BAIXA PRODUÇÃO</t>
  </si>
  <si>
    <t xml:space="preserve">CLIENTE ESTAVA  COM VAZAMENTO DE GÁS NA CONEXÃO DOS CAPILARES DOS MANOMETROS E NO VISOR DE RL </t>
  </si>
  <si>
    <t xml:space="preserve">APERTO DA ROSCA DOS CAPILARES E NO VISOR DE RL </t>
  </si>
  <si>
    <t xml:space="preserve">CLIENTE ENTROU EM CONTATO INFORMANDO QUE APARECEU A FALHA DE DE BAIXO NÍVEL DE ÓLEO, AO VERIFICAR O RETORNO DE ÓLEO DO COMPRESSOR O MESMO ESTAVA COM VAZAMENTO DE ÓLEO </t>
  </si>
  <si>
    <t>FOI RETIRADO O DUTO ATUAL E ENVIEI AS ESPECIFICAÇÕES CORRETAS PARA O CLIENTE PRODUZIR  UM NOVO DUTO</t>
  </si>
  <si>
    <t xml:space="preserve">CLIENTE DISSE QUE DEIXOU A MÁQUINA EM FUNCIONAMENTO, QUANDO CHEGOU ESTAVA A FALHA NO PAINEL. AO ABRIR O QUADRO ELETRICO TINHA 3 DISJUNTORES DESARMADO, CLIENTE NÃO SABE SE TEVE PICO DE ENERGIA </t>
  </si>
  <si>
    <t>REARME DOS DISJUNTORES</t>
  </si>
  <si>
    <t>SOLDA DA TUBULAÇÃO</t>
  </si>
  <si>
    <t>FOI ADICIONADO 4 BOTIJAS DE R22</t>
  </si>
  <si>
    <t xml:space="preserve">CLIENTE ESTAVA COM DEFICIENCIA NO DEGELO </t>
  </si>
  <si>
    <t>REGULAGEM DA MÁQUINA</t>
  </si>
  <si>
    <t>FOI SUBSTITUIDO O TUBO E ADICIONADO ÓLEO NA MÁQUINA</t>
  </si>
  <si>
    <t>MÁQUINA ENTREGUE AO CLIENTE SEM OS PARAFUSOS DE FIXAÇÃO DO GERADOR, ONDE A MESMA JÁ SAIU DA FÁBRICA ASSIM</t>
  </si>
  <si>
    <t xml:space="preserve">FOI COMPRADO OS PARAFUSOS NA CHEGADA AO CLIENTE </t>
  </si>
  <si>
    <t>CLIENTE ESTAVA COM INFILTRAÇÃO DE ÁGUA NO MOTOR DO MOTO REDUTOR CAUSANDO O CURTO NO TERMINAL, MÁQUINA AO PARTIR JÁ DESLIGAVA POR FALHA NO BRITADOR</t>
  </si>
  <si>
    <t>CLIENTE ESTAVA COM VAZAMENTO DE ÓLEO NA BASE DE FIXAÇÃO DO CARTER DO COMPRESSOR E NA GAXETA DO  RETORNO DE ÓLEO, ALÉM DISSO A MÁQUINA NÃO ESTAVA RETORNANDO ÓLEO DEVIDO A REGULAGEM DA EXPANSÃO</t>
  </si>
  <si>
    <t>ABRIMOS O RETORNO DE ÓLEO EM 2VOLTAS, E A EXPANSÃO EM MEIA. E ASSIM O ÓLEO COMEÇOU A RETORNAR BEM, DEPOIS VOLTAS O RETORNO EM 3/4 E A EXPANSÃO EM 1 VOLTA</t>
  </si>
  <si>
    <t>ERRO DURANTE ASSISTENCIA</t>
  </si>
  <si>
    <t xml:space="preserve">CLIENTE FEZ UM DUTO ONDE O MESMO COMEÇAVA COM UM DIAMETRO MAIOR E NO FINAL ESTRANGULAVA A SAIDA DO AR, SENDO ASSIM A MÁQUINA ESTAVA DESARMANDO POR DESCARGA ALTA A TODA HORA </t>
  </si>
  <si>
    <t>MÁQUINA ESTAVA EM FUNCIONAMENTO E O CLIENTE ESTAVA SENTINDO UM CHEIRO DE QUEIMADO, AO ABRIR O QUADRO ELETRICO ESTAVA COM A FIAÇÃO DERRETENDO, SEGUNDO NOSSO ENG ELETRICO ISSO ACONTECEU DEVIDO A FALTA DE APERTO NOS BORNIS</t>
  </si>
  <si>
    <t>TROCA DA FIAÇÃO DO QUADRO</t>
  </si>
  <si>
    <t>MÁQUINA CHEGOU COM QUEBRA NA TUBULAÇÃO DE RETORNO DE ÓLEO DO COMPRESSOR E PERDEU ÓLEO  DEVIDO AO TRANSPORTE</t>
  </si>
  <si>
    <t>FOI SOLDADO A TUBULAÇÃO E ADICIONADO ÓLEO NA MÁQUINA</t>
  </si>
  <si>
    <t>REARMADO O DISJUNTOR DA BOMBA DO CONDENSADOR E ORIENTADO O CLIENTE QUE SEJA SEMPRE MONITORADO O ABASTECIEMTNO DE AGUA NO EQUIPAMENTO DURANTE O FUNCIONAMENTO.</t>
  </si>
  <si>
    <t xml:space="preserve">CLIENTE ENTROU EM CONTATO INFORMANDO QUE A MAQUINA APRESENTOU FALHA NA BOMBA DO CONDENSADOR, ONDE ELE NÃO CONSEGUIA LIMPAR A FALHA, DESSA MANEIRA SOLICITEI QUE ELE ME ENVIASSE FOTO DO PAINEL ELETRICO E DA PARTE INTERNA DO QUADRO, ONDE CONSTATEI QUE A CONTATORA DA BOMBA DO CONDENSADOR ESTAVA DESARMADA OCASIONANDO A PARADA DA MAQUINA. QUESTIONEI O CLIENTE O MOTIVO PELO QUAL A MAQUINA PODERIA TER APRESENTADO ESSA FALHA. O MESMO INFORMOU QUE HOUVE FALTA DE AGUA NA MAQUINA E POSSIVELMENTE ESSE FOI O MOTIVO DA QUAL A MESMA DESLIGOU </t>
  </si>
  <si>
    <t>CLIENTE ESTAVA COM VAZAMENTO NO TUBO DE RETORNO DE LÍQUIDO DA VANA E NA SOLDA FEITA NO STARTUP, ONDE FOI PERDIDO TODO O GÁS DO CLIENTE E TIVEMOS QUE COMPRAR 9 BOTIJAS DE GÁS PARA REPOR, ALÉM DISSO TROCAMOS O FILTRO DO RL, FILTRO DE ÓLEO E FILTRO DE SUCÇÃO</t>
  </si>
  <si>
    <t>FOI ADICIONADO 9 BOTIJAS DE R404A NA MÁQUINA DO CLIENTE, FOI TROCADO OS FILTROS DE SUCÇÃO, RL E DE ÓLEO</t>
  </si>
  <si>
    <t>TÉCNICO NO ATENDIMENTO ANTERIOR HAVIA FEITO UMA MANUTENÇÃO NOS TUBOS DA CONEXÃO DO GÁS QUENTE, ONDE NÃO APERTOU CORRETAMENTE E O CLIENTE ACABOU PERDENDO GÁS, NESSE ATENDIMENTO FOI  ADICIONADO 6 BOTIJAS DE GÁS</t>
  </si>
  <si>
    <t>FOI ADICIONADO 6 BOTIJAS DE R22 NA MÁQUINA DO CLIENTE</t>
  </si>
  <si>
    <t>HOUVE QUEBRA NA TUBULAÇÃO DA SUCÇÃO DEVIDO AO TRANSPORTE E FOI TROCADO A BOIA ELETRONICA QUE NÃO ESTAVA FAZENDO A LEITURA</t>
  </si>
  <si>
    <t>SUBSTITUIÇÃO DO SENSOR</t>
  </si>
  <si>
    <t>MÁQUINA COM ALTA AMPERAGEM DEVIDO A POLIA COM DIMENSIONAMENTO ERRADO. NECESSÁRIA A TROCA DA POLIA</t>
  </si>
  <si>
    <t>TROCA DA POLIA DO MOTOR ELÉTRICO</t>
  </si>
  <si>
    <t xml:space="preserve">CLIENTE  ENTROU EM CONTATO PARA QUE FOSSSEMOS REALIZAR A INSTAÇÃO DO INVERSOR DE FREQUÊNCIA, POIS, A MÁQUINA NÃO ACOMPANHA SOPRADOR E ROSCA. CHEGANDO NO CLIENTE, CONSTATAMOS QUE O CLP ESTÁ COM PROBLEMAS SENDO NECESSÁRIO RETORNAR PARA A EMPRESA PARA A TROCA DA PEÇA. </t>
  </si>
  <si>
    <t xml:space="preserve">CLIENTE ENTROU EM CONTATO INFORMANDO QUE NO QUADRO DA M´QUINA APRESENTAVA UMA FALHA NO SENSOR DA SUCÇÃO. FOI VERIFICADO E O MESMO ESTAVA COM DEFEITO, SENSO NECESSÁRIA A SUBSTITUIÇÃO </t>
  </si>
  <si>
    <t>CLIENTE ENTROU EM CONTATO INFORMANDO QUE ESTAVA COM OXIDAÇÃO NO ISOLAMENTO DE INOX DO GERADOR, COM ISSO GOSTARIA DE SABER OQUE ELE PODIA FAZER A RESPEITO</t>
  </si>
  <si>
    <t>FOI PASSADO AO CLIENTE UMA LIMPEZA COM DETERGENTE E BOMBRIL PARA TIRAR A OXIDAÇÃO</t>
  </si>
  <si>
    <t xml:space="preserve">CLIENTE ENTROU EM CONTATO PARA INFORMAR QUE A MÁQUINA ESTÁ COM VAZAMENTO NA SOLDA DA JUNTA DO SEPARADOR DE LÍQUIDO. </t>
  </si>
  <si>
    <t>FOI RECOLHIDO O GÁS DA MÁQUINA, EM SEGUIDA FOI TIRADA A PRESSÃO, E FOI FEITA A SOLDA. APÓS ISSO A MÁQUINA FOI PRESSURIZADA E COLOCADA EM VÁCUO. PRECISAMOS FAZER O JUMPER DA SUCÇÃO PARA LIGAR A MÁQUINA E EM SEGUIDA ADICIONAMOS 1  BOTIJA DE R22</t>
  </si>
  <si>
    <t>FOI PRESSIONADO A TECLA VERMELHA E EM SEGUIDA A PRETA E CONSEGUIMOS REARMAR O DISJUNTOR. SUSPEITAMOS QUE O MOTIVO DO DISJUNTOR DESARMAR E UMA POSSÍVEL OSCILAÇÃO DE ENERGIA</t>
  </si>
  <si>
    <t>CLIENTE ENTROU EM CONTATO INFORMANDO QUE NÃO ESTAVA CONSEGUINDO REARMAR  O DISJUNTOR DA BOMBA DO CONDENSADOR, POIS ESTAVA COM AS 2 TECLAS AFUNDADAS. MOTIVO DO DESARME DO DISJUNTOR DEVE SER DEVIDO A UMA OSCILAÇÃO DE ENERGIA EM SUA FÁBRICA</t>
  </si>
  <si>
    <t xml:space="preserve">CLIENTE ESTAVA COM 4 BANANAS DA SUA MÁQUINA QUE NÃO ESTAVAM SOLTANDO O GELO E COM ISSO CONSEQUENTEMENTE TRAVAVA O BRITADOR </t>
  </si>
  <si>
    <t>AS ARRUELAS DE DISTRIBUIÇÃO DO GÁS QUENTE ESTAVAM COM OBSTRUÇÃO NOS ORIFICIOS, INIBINDO A PASSAGEM DO GÁS QUENTE DURANTE O DEGELO</t>
  </si>
  <si>
    <t>MAQUINA COM GELO ABERTO E QUEBRADIÇO, REDUÇÃO DE CAPACIDADE. CLIENTE FEZ O PROCEDIMENTO DE COLOCAR ÓLEO E NÃO FECHOU O REGISTRO INDICADO, COM ISSO FICOU VAZANDO GÁS POR 40 MINUTOS QUE FEZ TER A QUEDA DE PRODUÇÃO</t>
  </si>
  <si>
    <t>FOI FEITO O JUMPER DO ÓLEO E ABERTO EM 1 VOLTA O RETORNO DE ÓLEO</t>
  </si>
  <si>
    <t>CLIENTE INFORMOU QUE AO LIGAR A MÁQUINA PELA MANHÃ A MESMA FUNCIONOU POR 5 MINUTOS E DESARMOU POR BAIXO NÍVEL DE ÓLEO</t>
  </si>
  <si>
    <t>FIZEMOS O JUMPER NO QUADRO ELÉTRICO E ABRIMOS O RETORNO DE ÓLEO EM 1 VOLTA</t>
  </si>
  <si>
    <t>CLIENTE INFORMOU QUE APÓS DEIXAR A MÁQUINA 15 DIAS PARADAS FOI STARTAR A MESMA E A BOMBA DO CONDENSADOR TRAVOU, CLIENTE INFORMOU QUE ELA ENERGIZAVA MAIS NÃO GIRAVA</t>
  </si>
  <si>
    <t>CLIENTE ENTROU EM CONTATO INFORMANDO QUE A BOMBA COMEÇOU FAZER BARULHO NOVAMENTE</t>
  </si>
  <si>
    <t>DEIXAMOS A MÁQUINA DESCONGELANDO POIS COM 3 DEGELOS NÃO CONSEGUIMOS TIRAR TODO O GELO QUE ESTAVA DENTRO DOS TUBOS</t>
  </si>
  <si>
    <t>CLIENTE RELATA QUEDA DE PRODUÇÃO, GELO ABERTO E QUEBRADIÇO E FALTA DE PONTOS DE CONGELAMENTO EM SUA MÁQUINA, APROVEITANDO ESSE ATENDIMENTO VAMOS TROCAR A BOIA DO COMPRESSOR DO CLIENTE E REPOR ÓLEO NO COMPRESSOR</t>
  </si>
  <si>
    <t>FOI FORÇADO 2 DEGELOS E DIMINUIMOS O TEMPO DE PRODUÇÃO</t>
  </si>
  <si>
    <t>FORÇAMOS 1  DEGELO E DIMINUIMOS O TEMPO DE PRODUÇÃO</t>
  </si>
  <si>
    <t xml:space="preserve">FOI ADICIONADO 2 BOTIJAS DE R22, E UM GALÃO DE 5L DE ÓLEO B5.2 </t>
  </si>
  <si>
    <t xml:space="preserve">FOI FORÇADO 1 DEGELO E DIMINUIMOS O TEMPO DE PRODUÇÃO </t>
  </si>
  <si>
    <t xml:space="preserve">CLIENTE ENTROU EM CONTATO INFORMANDO QUE ESTAVA APARECENDO A FALHA DE BAIXO NÍVEL DE ÓLEO NO COMPRESSOR, ACREDITO QUE DEVE TER RELAÇÃO COM A QUESTÃO DA MÁQUINA TER DESARMADO O DISJUNTOR  DA BOMBA DO CONDENSADOR 2 DIAS ANTESS CAUSANDO A PARTIDA EXCERSSIVA DA MÁQUINA </t>
  </si>
  <si>
    <t>TÉCNICO CHEGOU NO STARTUP E IDENTIFICOU QUE O QUADRO ELÉTRICO ESTAVA SEM A TAMPA DA CANALETA, E ESTAVA COM UMA VIBRAÇÃO TAMBÉM NO OILPACK</t>
  </si>
  <si>
    <t xml:space="preserve">FOI COMPRADO A TAMPA DA CANALETA E COLOCADA NO QUADRO ELÉTRICO, SOBRE A VIBRAÇÃO FOI COLOCADO UMA CAMERA DE PNEU PARA SANAR A VIBRAÇÃO </t>
  </si>
  <si>
    <t>FOI TROCADO O ROLAMENTO MENOR DA BOMBA DO GERADOR</t>
  </si>
  <si>
    <t>HOUVE RETORNO DE LIQUIDO DO COMPRESSOR, CLIENTE ENTROU EM CONTATO COM INFORMANDO QUE A MAQUINA ESTAVA PERDENDO TODO GAS E QUE A VALVULA DE SUCÇÃO DO COMPRESSOR ESTAVA COM OS PARAFUSOS FROUXOS DEVIDO AO RETORNO DE LIQUIDO OCASIONANDO ASSIM VAZAMENTO DE GAS E OLEO. O TÉCNICO CONTRATADO (TERCEIRO) MEXEU NA VÁLVULA DE EXPANSÃO SEM SUPERVISÃO DA ASS.TÉCNICA REMOTA.</t>
  </si>
  <si>
    <t xml:space="preserve">CLIENTE ENTROU EM CONTATO INFORMANDO QUE A BOMBA DO CONDENSADOR ESTAVA FAZENDO MUITO BARULHO </t>
  </si>
  <si>
    <t>FOI TROCADO OS ROLAMENTOS DA BOMBA E RETENTOR</t>
  </si>
  <si>
    <t xml:space="preserve">CLIENTE INFORMA QUE MÁQUINA ESTÁ PARADA POR FALHA NÍVEL DE ÓLEO BAIXO NO COMPRESSOR. ENVIA FOTOS E MÁQUINA PRATICAMENTE SEM ÓLEO, LUZ VERMELHA ACESA. CLIENTE INFORMA QUE FOI INSTRUIDO A DEIXAR A MÁQUINA EM FUNCIONAMENTO PELO MENOS UMA VEZ NA SEMANA, PORÉM, AINDA NÃO ESTÃO PRODUZINDO CONSTANTEMENTE, APRESENTANDO BAIXA DO NÍVEL DE ÓLEO. </t>
  </si>
  <si>
    <t xml:space="preserve">FOI TROCADO O ROLAMENTO DA BOMBA DO CONDENSADOR </t>
  </si>
  <si>
    <t xml:space="preserve">TÉCNICO CHEGOU NO STARTUP E VERIFICOU QUE A  SOLDA DA VANF FOI FEITA SEM RETIRAR O ANEL DE TEFLON, COM ISSO O TEFLON ESTAVA DERRETIDO.
</t>
  </si>
  <si>
    <t xml:space="preserve">FOI SOLICITADO A UM TORNEIRO FAZER OS ANEIS DE TEFLON </t>
  </si>
  <si>
    <t>CLIENTE ENTROU EM CONTATO INFORMANDO QUE A MÁQUINA HAVIA BLOQUEADO E APRESENTOU BAIXA SUCÇÃO, CLIENTE COMENTOU QUE TODA SEMANA FAZ LIMPEZA NOS CHUVEIROS POIS A SUA ÁGUA APRESENTA MUITA DUREZA E VIROU COSTUME FAZER LIMPEZA TODA SEMANA DOS CHUVEIROS</t>
  </si>
  <si>
    <t>FOI FEITO A LIMPEZA DOS CHUVEIROS E JOGAMOS ÁGUA POR CIMA DOS TUBOS PARA AJUDAR NO DESCONGELAMENTO</t>
  </si>
  <si>
    <t xml:space="preserve">CLIENTE ENTROU EM CONTATO INFORMANDO QUE ESTAVA COM VAZAMENTO DE GÁS NO REGISTRO DO VISOR DE LÍQUIDO </t>
  </si>
  <si>
    <t>FOI FECHADO O REGISTRO E ELIMINADO O VISOR DE LÍQUIDO PARA CONTER O VAZAMENTO</t>
  </si>
  <si>
    <t>FOI FORÇADO 3 DEGELOS E A MÁQUINA DESBLOQUEOU</t>
  </si>
  <si>
    <t>CLIENTE ENTROU EM CONTATO INFORMANDO QUE A MÁQUINA ESTAVA DESARMANDO O DISJUNTOR DO BRITADOR, AO ANALISARMOS A CUBA VERIFICAMOS QUE A MÁQUINA HAVIA BLOQUEADO E COM ISSO TRAVOU A FACA, DIFICULTANDO A ROTAÇÃO DO MOTOREDUTOR</t>
  </si>
  <si>
    <t>JOGAMOS ÁGUA NA CUBA PARA DESCONGELAR O GELO ACUMULADO, E APÓS ISSO CONSEGUIMOS LIBERAR A ROTAÇÃO DO MOTO REDUTOR</t>
  </si>
  <si>
    <t>FOI ABERTO EM 2 VOLTAS O RETORNO DE ÓLEO E FIZEMOS O JUMPER NA BÓIA DE ÓLEO, APÓS 2 QUEDAS O ÓLEO RETORNOU PARA O COMPRESSOR E RETIRAMOS O JUMPER E FECHAMOS AS 2 VOLTAS DO RETORNO DE ÓLEO</t>
  </si>
  <si>
    <t xml:space="preserve">FORÇAMOS 3 DEGELOS E FIZEMOS A DIMINUIÇÃO DO TEMPO DE PRODUÇÃO EM 1 MIN </t>
  </si>
  <si>
    <t>FOI FEITA A REEINVERSÃO DA CÉLULA DA ENSACADORA E REFEITA A ELÉTRICA DO MOTOR DO TRITURADOR</t>
  </si>
  <si>
    <t xml:space="preserve">FOI REFEITA A SOLDA NO LOCAL </t>
  </si>
  <si>
    <t xml:space="preserve">TÉCNICO NÃO ESTAVA CONSEGUINDO CALIBRAR A ENSACADORA POIS A CÉLULA DE CARGA ESTAVA INVERTIDA, ELÉTRICA DO MOTOR DO TRITURADOR TAMBÉM ESTAVA MONTADA ERRADA </t>
  </si>
  <si>
    <t xml:space="preserve">COLOCAÇÃO DE ÓLEO NA MÁQUINA </t>
  </si>
  <si>
    <t>TIVEMOS VAZAMENTO NA TUBULAÇÃO DO PILOTO DA VANA, BEM NO LOCAL DA SOLDA</t>
  </si>
  <si>
    <t>CLIENTE ENTROU EM CONTATO INFORMANDO QUE ESTAVA COM VAZAMENTO DE ÓLEO NA TUBULAÇÃO DE COBRE DO RETORNO DE ÓLEO DO COMPRESSOR ( ENTRADA NA BOIA ELETRONICA ).</t>
  </si>
  <si>
    <t xml:space="preserve">CLIENTE ENTROU EM CONTATO INFORMANDO QUE SAIU PARA FAZER ENTREGAS E AO VOLTAR ESTAVA COM A FALHA NO PAINEL DE DESCARGA ALTA. CLIENTE NÃO CONSEGUIA LIMPAR A FALHA, FIZEMOS UM PROCEDIMENTO DE INVERTER O SENSOR DE DESCARGA COM O DE SUCÇÃO E CONSTATAMOS QUE OS 2 SENSORES APRESENTARAM PROBLEMAS, ALÉM DISSO, IDENTIFICAMOS UM  VAZAMENTO NA ENTRADA DO QUADRO ELÉTRICO, SINAL QUE HOUVE UM GOLPE DE LÍQUIDO NO COMPRESSOR </t>
  </si>
  <si>
    <t>SUBSTITUIMOS O COBRE POR MANGUEIRA E ADICIONAMOS 2 L DE ÓLEO</t>
  </si>
  <si>
    <t>CLIENTE ENTROU EM CONTATO INFORMANDO QUE A BOMBA DO CONDENSADOR ESTAVA FAZENDO MUITO BARULHO, SINAL QUE OS ROLAMENTOS POSSAM ESTAR GASTOS</t>
  </si>
  <si>
    <t>MÁQUINA DO CLIENTE ESTÁ DESARMANDO SEU 2° SENSOR DE SEGURANÇA DO COMPRESSOR POR FALTA DE ÓLEO NA MÁQUINA, ONDE A MESMA ESTÁ COM ÓLEO E A FALHA PESISTE, SENDO ASSIM FOI IDENTIFICADO UM PROBLEMA NO SENSOR</t>
  </si>
  <si>
    <t>CLIENTE ENTROU EM CONTATO INFORMANDO QUE ESTAVA SUBINDO UMA ÁGUA ESCURA PARA O GERADOR, AO ABRIRMOS A CUBA ENCONTRAMOS Á AGUA MUITO OLEOSA,  E NO CHAPÉU DA MÁQUINA OS CHUVEIRINHOS ESTAVAM BEM OLEOSOS TAMBÉM. ENVIAMOS O TÉCNICO, E O MESMO ENCONTROU VAZAMENTOS NOS TUBOS DO GERADOR DA MÁQUINA</t>
  </si>
  <si>
    <t>TÉCNICO VERIFICOU QUE A CUBA ESTAVA TORTA E COM ISSO HOUVE VAZAMENTO DE ÁGUA. ELA ESTAVA FORA DE NÍVEL.</t>
  </si>
  <si>
    <t>A CUBA FOI NIVELADA E TROCADO O RETENTOR.</t>
  </si>
  <si>
    <t xml:space="preserve">FOI SUBSTITUIDO O SENSOR DE ÓLEO DO COMPRESSOR </t>
  </si>
  <si>
    <t xml:space="preserve">REFIZEMOS A SOLDA DOS TUBOS E PRESSURIZAMOS O SISTEMA </t>
  </si>
  <si>
    <t>FOI SUBSTITUIDO OS 2 SENSORES DA MÁQUINA, TROCADO O FILTRO DE SUCÇÃO E REGULADA A MÁQUINA NOVAMENTE ATRAVÉS DO SUB E SUPER.</t>
  </si>
  <si>
    <t>CLIENTE ENTROU EM CONTATO INFORMANDO QUE DEIXOU A MÁQUINA DESLIGADA POR 2 SEMANAS, E AO LIGAR A MESMA DESARMOU POR BAIXO NÍVEL DE ÓLEO, TENTAMOS  FAZER O JUMPER DO ÓLEO MAS A MESMA EM SEGUIDA DESARMOU 2x POR FALTA DE ÓLEO NA MÁQUINA</t>
  </si>
  <si>
    <t>CLIENTE INFORMOU QUE ESTAVA COM VAZAMENTO NO COMPRESSOR, E ESTAVA SEM OS FILTROS SECADORES. ENCAMINHAMOS O TÉCNICO PARA FAZER OS REPAROS</t>
  </si>
  <si>
    <t>FOI FEITO O REPARO NO COMPRESSOR TROCANDO AS ANILHAS E COLOCADO OS FILTROS SECADORES</t>
  </si>
  <si>
    <t>FOI FORÇADO 4 DEGELOS E DIMINUIMOS O TEMPO DE PRODUÇÃO</t>
  </si>
  <si>
    <t>CLIENTE INFORMOU QUE SUA BOMBA DO CONDENSADOR ESTÁ FAZENDO MUITO BARULHO, COMO FOI FEITA A MANUTENÇÃO 2X, VAMOS ESTAR ENVIANDO UMA NOVA AO CLIENTE</t>
  </si>
  <si>
    <t xml:space="preserve">CLIENTE ENTROU EM CONTATO INFORMANDO QUE ESTÃO COM DEFICIENCIA NO DEGELO, DISSE QUE TEM QUEDAS QUE A PRESSÃO DE DESCARGA ESTÁ EM 14,8 KG E CAI TODO O GELO. EM OUTRA QUEDA A PRESSÃO CHEGA EM 10 KG SÓ E NÃO CAI TODO O GELO, ENTÃO TEM QUE FICAR FORÇANDO DEGELO </t>
  </si>
  <si>
    <t>ENTRAMOS NOS PARAMETROS DE CONFIGURAÇÃO DO TÉCNICO E AJUSTAMOS O TEMPO DO VENTILADOR CONTROLADOR QUE ESTAVA EM 05:00 MINUTOS PARA 10:00, APÓS ESSE AJUSTE AS PRESSÕES PRÓXIMAS AO DEGELO SE MANTIVERAM EM 14 KG E O DEGELO FICOU EFICIENTE</t>
  </si>
  <si>
    <t>O DIA NO CLIENTE ESTAVA MAIS FRIO E COM O TEMPO DE PRODUÇÃO ALTO E A TEMPERATURA DA AGUA DE ENTRADA MAIS BAIXA, A MÁQUINA ACABOU BLOQUEANDO E TRAVANDO O BRITADOR DA MÁQUINA</t>
  </si>
  <si>
    <t>O DIA NO CLIENTE ESTAVA MAIS FRIO E COM O TEMPO DE PRODUÇÃO ALTO E A TEMPERATURA DA AGUA DE ENTRADA MAIS BAIXA, A MÁQUINA ACABOU BLOQUEANDO.</t>
  </si>
  <si>
    <t>FOI FORÇADO 1 DEGELO E DIMINUIMOS O TEMPO DE PRODUÇÃO</t>
  </si>
  <si>
    <t>DEIXAMOS A MÁQUINA DESCONGELANDO DE UM DIA PARA OUTRO</t>
  </si>
  <si>
    <t>ENVIAMOS O TÉCNICO SERGIO PARA TROCA DA VÁLVULA DE SEGURANÇA E A VÁLVULA DO OIL PACK QUE ESTAVA COM VAZAMENTO</t>
  </si>
  <si>
    <t>TÉCNICO SUBSTITUIU A VÁLVULA DE SEGURANÇA E O REGISTRO DO OIL PACK QUE ESTAVAM COM VAZAMENTOS</t>
  </si>
  <si>
    <t>FOI ADICIONADO 3L DE ÓLEO NA MÁQUINA</t>
  </si>
  <si>
    <t>MÁQUINA CHEGOU NO CLIENTE COM QUEBRA NA TUBULAÇÃO DO PILOTO DA VANF</t>
  </si>
  <si>
    <t>FOI SOLDADO A TUBULAÇÃO DO PILOTO DA VANF</t>
  </si>
  <si>
    <t>CLIENTE ENTROU EM CONTATO INFORMANDO QUE ENCONTROU VAZAMENTOS EM DIVERSOS LOCAIS DA MÁQUINA, NA SOLDA DO PILOTO DA VANA, NA TUBULAÇÃO DO RETORNO DE ÓLEO DO COMPRESSOR QUE FOI ADAPTADA PELO PAULO UTILIZANDO MANGUEIRA, E NA CONEXÃO DO RETORNO DE ÓLEO</t>
  </si>
  <si>
    <t>CLIENTE ENTROU EM CONTATO INFORMANDO QUE DEIXOU A MÁQUINA FUNCIONANDO  E SAIU, QUANDO VOLTOU NÃO TINHA NADA DE GELO NA MÁQUINA, CLIENTE DISSE QUE DEIXOU DESCONGELANDO  E JOGANDO ÁGUA MAIS NÃO CAIU NENHUM GELO, DISSE TAMBÉM QUE A PRESSÃO DE DESCARGA ESTAVA MUITO BAIXA PRÓXIMO AO DEGELO</t>
  </si>
  <si>
    <t xml:space="preserve">ENVIAMOS O SHIRU AO CLIENTE E O  MESMO AO CHEGAR LÁ FORÇOU 4 DEGELOS E DESBLOQUEOU A MÁQUINA, MAS TEVE QUE  FAZER ALTERAÇÃO NO VENTILADOR PORQUE A PRESSÃO ESTAVA MUITO BAIXA PRÓXIMO AO DEGELO EM 10 KG DEVIDO AO FRIO E O  VENTILADOR ESTÁ LIGADO DIRETO. APÓS REGULAR O TEMPO DO VENTILADOR O MESMO INFORMOU QUE A PRESSÃO SE MANTEVE BOA, DESCARREGANDO O GELO TODO </t>
  </si>
  <si>
    <t>CLIENTE ENTROU EM CONTATO INFORMANDO QUE DEU UMA QUEDA DE ENERGIA NA SUA FÁBRICA E APARECEU A FALHA NO PAINEL</t>
  </si>
  <si>
    <t>O DISJUNTOR MOTOR DO COMPRESSOR FOI REARMADO</t>
  </si>
  <si>
    <t>CLIENTE ENTROU EM CONTATO INFORMANDO QUE COMEÇOU A VAZAR ÁGUA PELO LADRÃO DA CUBA E QUE O GELO ESTÁ SAINDO MUITO FECHADO, INFORMOU QUE NA SUA CIDADE ESTÁ UM POUCO MAIS FRIO HOJE</t>
  </si>
  <si>
    <t>FORÇAMOS 2 DEGELOS NO EQUIPAMENTO E DIMINUIMOS O TEMPO DE PRODUÇÃO DE 21 MIN PARA 19 MIN</t>
  </si>
  <si>
    <t>CLIENTE ENTROU EM CONTATO INFORMANDO QUE ESTÁ ESCORRENDO ÓLEO NO PÉ DO SENSOR DE SUCÇÃO DO COMPRESSOR</t>
  </si>
  <si>
    <t>FOI REFEITO O APERTO NO PÉ DO SENSOR E PAROU O VAZAMENTO</t>
  </si>
  <si>
    <t>CLIENTE ENTROU EM CONTATO INFORMANDO QUE ESTAVA SAINDO ÁGUA PELO LADRÃO DA CUBA, AO ANALISARMOS O GELO, O MESMO ESTAVA TOTALMENTE FECHADO, SINAL QUE A MÁQUINA HAVIA BLOQUEADO</t>
  </si>
  <si>
    <t>FOI FORÇADO 2 DEGELOS E DIMINUIMOS O TEMPO DE PRODUÇÃO EM 2 MINUTOS</t>
  </si>
  <si>
    <t xml:space="preserve">CLIENTE ENTROU EM CONTATO INFORMANDO QUE A MÁQUINA ESTAVA DESARMANDO O DISJUNTOR DO BRITADOR APÓS PASSAR 1 MIN DE DEGELO, AO ANALISAR O BOCAL DA MÁQUINA VIMOS QUE TINHA MUITO GELO DIFICULTANDO A ROTAÇÃO </t>
  </si>
  <si>
    <t>TIRAMOS O GELO QUE ESTAVA DIFICULTANDO A ROTAÇÃO E JOGAMOS ÁGUA NO LOCAL, APÓS ISSO MÁQUINA FUNCIONOU NORMALMENTE</t>
  </si>
  <si>
    <t xml:space="preserve">CLIENTE ENTROU EM CONTATO INFORMANDO QUE ESTAVA COM UM RUIDO MUITO FORTE NA BOMBA DO CONDENSADOR </t>
  </si>
  <si>
    <t>FOI TROCADO OS ROLAMENTOS DA BOMBA, RETENTOR E FOI TORNEADO O EIXO</t>
  </si>
  <si>
    <t>FOI SOLDADO O PILOTO DA VANA E FEITO O REAPERTO NO VÁLVULA DO RETORNO DE ÓLEO E NA CONEXÃO DA MANGUEIRA ADAPTADA PELO PAULO</t>
  </si>
  <si>
    <t>CLIENTE ENTROU EM CONTATO INFORMANDO QUE DEIXOU A MÁQUINA PARADA 2 DIAS, E QUANDO FOI LIGAR A MÁQUINA A MESMA DESARMOU 3X POR BAIXO NÍVEL DE ÓLEO, NA TERCEIRA VEZ JÁ NÃO CONSEGUIA LIMPAR MAIS A FALHA.</t>
  </si>
  <si>
    <t>FIZEMOS O JUMPER DO ÓLEO E ABRIMOS O RETORNO DE ÓLEO EM 1 VOLTA,APÓS 2 QUEDAS O ÓLEO RETORNOU PARA O COMPRESSOR E RETIRAMOS O JUMPER E FECHAMOS A VÁLVULA</t>
  </si>
  <si>
    <t>CLIENTE ENTROU EM CONTATO INFORMANDO QUE A CORREIA ESTAVA UM POUCO FROUXA, E TEM VEZES QUE A MESMA COMEÇA A PATINAR NA POLIA E NÃO DA O DEGELO NA MÁQUINA</t>
  </si>
  <si>
    <t>ORIENTEI O CLIENTE A SOLTAR OS PARAFUSOS DO MOTOR DO BRITADOR E IR ESTICANDO A CORREIA, CLIENTE FEZ ISSO E A MESMA FICOU ESTICADINHA SEM APRESENTAR PROBLEMAS</t>
  </si>
  <si>
    <t>CLIENTE ENTROU EM CONTATO INFORMANDO QUE O COMPRESSOR ESTAVA CONGELANDO MUITO, DISSE QUE NOTOU ISSO A POUCOS DIAS, FEZ TODOS OS TESTES E LIMPEZAS DA MÁQUINA, MAIS A MESMA AINDA CONTINUA RETORNANDO  LÍQUIDO PARA O COMPRESSOR, ACREDITA QUE POSSA SER A RETENÇÃO</t>
  </si>
  <si>
    <t>O TÉCNICO INFORMOU QUE O CABO DA BOIA DE LÍQUIDO NÃO VEIO ATÉ A RÉGUA DE BORNE E LIGARAM OUTRO CABO, COM ISSO TEVE QUE DESMANCHAR TODO O CHICOTE PARA ACHAR O CABO DA BOIA</t>
  </si>
  <si>
    <t>TÉCNICO TEVE QUE REVERTER A LIGAÇÃO QUE ESTAVA INCORRETA</t>
  </si>
  <si>
    <t>AO CHEGAR NO CLIENTE O TÉCNICO ENTROU EM CONTATO COM O ARILDO PARA FAZER OS TESTES NA ENSACADORA E FOI IDENTIFICADO QUE A LIGAÇÃO ESTAVA ERRADA.</t>
  </si>
  <si>
    <t xml:space="preserve">TÉCNICO AO LIGAR A MÁQUINA VERIFICOU QUE COMEÇOU A VAZAR ÁGUA PELO CONDENSADOR EM ALGUMAS PARTES </t>
  </si>
  <si>
    <t>TÉCNICO  PASSOU SILICONE NAS FRESTAS ONDE ESTAVAM VAZANDO</t>
  </si>
  <si>
    <t>TÉCNICO AO CHEGAR NO STARTUP IDENTIFICOU QUE OS PÉS DA ENSACADORA ESTAVAM SEM AS PORCAS DE FIXAÇÃO</t>
  </si>
  <si>
    <t>FOI COLOCADO AS PORCAS DE FIXAÇÃO</t>
  </si>
  <si>
    <t>FOI FORÇADO 3 DEGELOS E DIMINUIMOS O TEMPO DE PRODUÇÃO EM 2 MIN</t>
  </si>
  <si>
    <t>FOI REAPERTADO ESSE PARAFUSO, ADICIONADO 3 BOTIJAS DE 404A, ADICIONADO 1L DE ÓLEO E TROCADO OS 2 SENSORES DE PRESSÃO, MÁQUINA TAMBÉM FOI PRESSURIZADA E NÃO FOI ENCONTRADO VAZAMENTOS</t>
  </si>
  <si>
    <t>CLIENTE DEIXOU A MÁQUINA PARADA POR UMA SEMANA, NO ULTIMO DIA DE FUNCIONAMENTO FEZ O RECOLHIMENTO AUTOMÁTICO  E DESLIGOU O EQUIPAMENTO. QUANDO FOI LIGAR, A MESMA ESTAVA DESARMANDO POR SUCÇÃO BAIXA DIVERSAS VEZES, FIZEMOS O JUMPER NA SUCÇÃO E PARTIMOS A MÁQUINA, PORÉM A MESMA ESTAVA DANDO SÓ 13 KG POR QUEDA, COM ISSO SHIRU CHEGOU LÁ E INFORMOU QUE O UNICO LOCAL QUE POSSA TER PERDIDO O GÁS ERA A VÁLVULA DE SERVIÇO ENCIMA DA LINHA DE DESCARGA QUE ESTAVA COM O PARAFUSO FROUXO, SHIRU ADICIONOU 3 BOTIJAS DE GÁS, MAS NÃO EM SEQUENCIA, APÓS ADICIONAR 1 EM SEGUIDA O COMPRESSOR SOFREU UM GOLPE DE LÍQUIDO E COM ISSO ESTOROU OS 2 SENSORES DE PRESSÃO DO COMPRESSOR</t>
  </si>
  <si>
    <t>CLIENTE ENTROU EM CONTATO INFORMANDO QUE ENCONTROU VESTIGIOS DE ÓLEO NA ÁGUA DO CONDENSADOR, DISSE QUE ISSO ACONTECEU 1X NO STARTUP E LAVARAM A CAIXA DO CONDENSADOR, MAS QUE ISSO ACONTECEU NOVAMENTE APÓS A SAIDA DO TÉCNICO MAIS 2X. SÓ QUE AGORA APARECEU MAIS ÓLEO NA CAIXA DO CONDENSADOR, COM ISSO ENVIAMOS O SINÉSIO E FOI ENCONTRADO VAZAMENTOS NO CONDENSADOR E NA ENTRADA DO GÁS QUENTE DO GERADOR</t>
  </si>
  <si>
    <t>FOI FEITA A SOLDA NO RETORNO NO CONDENSADOR E NO GERADOR, ADICIONADO 8 BOTIJAS DE R22 E FOI ADICIONADO 3L DE ÓLEO</t>
  </si>
  <si>
    <t>LIMPEZA DA VANA E SOLEONIDES, FILTRO DA LINHA</t>
  </si>
  <si>
    <t xml:space="preserve">CLIENTE INFORMOU QUE A MAQUINA VOLTOU A SOFRER RETORNO DE LIQUIDO, CLIENTE FEZ TODOS OS PROCEDIEMTNOS ORIENTADOS, SENDO ELES O FUNCIOANAMENTO DA MAQUINA SEM A JUNÇÃO COM CAMERA FRIA E OUTRAS MAQUINAS INTERLIGADAS, IREMOS VERIFICAR QUAIS OS PROBLEMAS PODEM SER O MOTIVO DOS PROBLEMAS QUE ESTA CAUSANDO NA MAQUINA. </t>
  </si>
  <si>
    <t>CLIENTE ENTROU EM CONTATO INFORMANDO QUE A MAQUINA ESTAVA DESARMANDO POR BAIXA SUCÇÃO, FIZEMOS AS VERIFICAÇÕES E NOTAMOS QUE A MAQUINA ESTAVA SEM ABASTECIMENTO DE AGUA OCASIONANDO ASSIM A SUCÇÃO NO COMPRESSOR CAUSANDO A BAIXA SUCÇÃO</t>
  </si>
  <si>
    <t>FOI LIGADO REGISTRO DE AGUA QUE ESTAVA FECHADO CAUSANDO A BAIXA SUCÇAO</t>
  </si>
  <si>
    <t>MAQUINA DESLIGOU POR FALHA NO VENTILADOR DUAS VEZES, CLIENTE INFORMOU QUE ESTAVA COM A MAQUINA LIGADA E ELA DESLIGOU DUAS VEZES PELA FALHA DO VENTILADOR, NÃO FOI NOTADO NENHUMA PROBLEMA</t>
  </si>
  <si>
    <t xml:space="preserve">REARMADO O DISJUNTOR DO VENTILADOR </t>
  </si>
  <si>
    <t>CLIENTE INFORMOU QUE A BOMBA DO GERADOR ESTAVA DESARMANDO CAUSANDO A PARADA DA MAQUINA, FIZEMOS A CHECAGEM SE A MAQUINA ESTAVA COM AGUA E ESTAVA NORMAL, SOLITEI FOTO DA CONTATORA E ESTA REGULADA NO MAXIMO, ESTAREMOS OBSERVANDO PARA VERIFICAR SE NÃO IRA APRESENTAR PROBLEMAS</t>
  </si>
  <si>
    <t xml:space="preserve">CLIENTE INFORMOU QUE ESTAVA COM VAZAMENTO DE GAS NA GAXETA DO REGISTRO DA DESCARGA DO CONDENSADOR. </t>
  </si>
  <si>
    <t>TÉCNICO TEVE QUE DESMANCHAR O CHICOTE PARA ACHAR O CABO  DA BÓIA</t>
  </si>
  <si>
    <t>CLIENTE INFORMOU QUE O CONDENSADOR DA MAQUINA ESTAVA COM A TEMPERATURA DE AGUA MUITO ELEVADA, E QUE E ESTAVA SAINDO FUMAÇA DURANTE O FUNCIONAMENTO, COM ISSO DESLIGARAM A MAQUINA POR SEGURANCA, DESSA MANEIRA SOLITEI AO CLIENTE A INFORMAÇÃO CONTIDA NO QUADRO PARA QUE PUDESSEMOS AVALIAR AS PRESSOES, E VERIFCAMOS QUE A PRESSAO DE DESCARGA ESTAVA EM -10 KG ONDE IDENTIFICAMOS QUE O SENSOR ESTAVA QUEIMADO, APOS ANALISE MAIS MINUCIOSA, IDENTIFICAMOS A QUEIMA DA IHM</t>
  </si>
  <si>
    <t>SOLICITAR AO CLIENTE TROCA DA CONTATORA DE 20,8 A  PARA 52,0 A</t>
  </si>
  <si>
    <t xml:space="preserve">CLIENTE DISSE QUE ESTA COM A MAQUINA COM BAIXA PRODUÇÃO, A MAQUINA APARENTEMENTE INDICA QUE ESTA BLOQUEANDO E AO SOLICITAR AO CLIENTE QUE VERIFICASSE OS CHUVEIROS E AMAQUINA APRESENTA AUTO INDICE DE FERRUGEM NO GERADOR CAUSANDO ESPANTO NO CLIENTE. IREMOS VERIFICAR SE AMANHA A MAQUINA ESTARÁ MELHOR NA PRODUÇÃO.  EQUIPAMENTO COM VAZAMENTO NO VISOR DE VIDRO DO RL </t>
  </si>
  <si>
    <t xml:space="preserve">TROCA DO VISOR DE VIDRO, REPOSIÇÃO DE 8 BOTIJAS DE GAS R22 </t>
  </si>
  <si>
    <t>CLIENTE ENTROU EM CONTATO INFORMANDO QUE A MAQUINA ESTA CHEIA DE OLEO NO QUADRO DO GAS QUENTE E NO ESPELHO, BASE E NO CHAO E QUE IRA PROCURAR DE ONDE PODE ESTAR VINDO ESSE VAZAMENTO. VAZAMENTO ENCONTRADO NO QUADRO DO GAS QUENTE</t>
  </si>
  <si>
    <t xml:space="preserve">CLIENTE SOLICITOU IDA DE UM SOLDADOR PARA FAZER A SOLDA </t>
  </si>
  <si>
    <t>CLIENTE FOI INSTRUIDO A DEIXAR A MÁQUINA DESCONGELANDO POIS CONGELOU OS TUBOS ATÉ ENCIMA</t>
  </si>
  <si>
    <t>CLIENTE INFORMOU QUE DEIXOU A MÁQUINA PARADA POR 2 DIAS, QUANDO FOI LIGAR A MÁQUINA A MESMA COMEÇOU A APARECER BAIXO NÍVEL DE ÓLEO</t>
  </si>
  <si>
    <t>FOI FEITO O JUMPER NA BÓIA DE OLÉO E ABRIMOS O RETORNO DE ÓLEO EM MEIA VOLTA, APÓS 3 CICLOS O ÓLEO RETORNOU E FECHAMOS A VÁLVULA</t>
  </si>
  <si>
    <t>FOI REAPERTADO A GAXETA DO REGISTRO DO CONDENSADOR</t>
  </si>
  <si>
    <t>FOI SUBSTITUIDO OS 2 SENSORES DE 0 A 40 DA MÁQUINA PELOS SENSORES DE 0 A 25 BAR E TROCADO O LOGO  DA MÁQUINA</t>
  </si>
  <si>
    <t>TROCA DA MÁQUINA</t>
  </si>
  <si>
    <t>CLIENTE ENTROU EM CONTATO INFORMANDO QUE SUA MAQUINA APRESENTAVA BAIXO NÍVEL DE OLEO. EQUIPAMENTO FICOU PARADO POR 2 DIAS, FUNCIONOU NORMALMENTE PELA MANHÃ, PORÉM APÓS ALGUM TEMPO PAROU DE FUNCIONAR, APRESENTANDO A FALHA DE BAIXO NIVEL DE OLEO NO PAINEL DE CONTROLE, IMPOSSIBILITANDO QUE A FALHA FOSSE APAGADA, SENDO NECESSÁRIO INTERVENÇÃO TÉCNICA REMOTA. SOLICITEI AINDA QUE O CLIENTE ENVIASSE AS FOTOS DA FALHA APRESENTADA DO SEPARADOR DE OLEO E BÓIA DO NÍVEL DE OLEO DO COMPRESSOR, VERIFICANDO ASSIM QUE AMBOS NÃO APRESENTAVAM NÍVEL MÍNIMO DE OLEO. OCORRÊNCIA FOI ENCAMINHADA PARA ATENDIMENTO TÉCNICO REMOTO.</t>
  </si>
  <si>
    <t>CLIENTE EM CONTATO INFORMANDO QUE HOUVE UMA QUEDA NA PRODUÇÃO. TÉCNICO DO CLIENTE REALIZOU A LIMPEZA DOS CHUVEIROS, PORÉM A PRODUÇÃO NÃO NORMALIZOU. SENDO ASSIM FOI ENCONTRADO UM VAZAMENTO NA VÁLVULA DE EXPANSÃO DO CLIENTE, RESULTANDO NA PERCA DE 3 BOTIJAS DE GÁS</t>
  </si>
  <si>
    <t xml:space="preserve">CLIENTE ENTROU EM CONTATO INFORMANDO QUE ESTAVA PERCEBENDO A PRESENÇA DE OLEO TANTO NO GELO QUANTO NO ESPELHO DO GERADOR, FIZEMOS ALGUMAS VERIFICAÇÕES E NOTAMOS QUE A MAQUINA APRESENTAVA OLEO NA CAIXA DA CUBA, ESPELHO, E CHAPEU DA MAQUINA, CLIENTE SOLICITOU QUE FOSSE AGENDADO A IDA DO TECNICO PARA VERIFICAÇÃO DO QUE PODE ESTAR ACONTECENDO COM EQUIPAMENTO E FOI ENCONTRADO VAZAMENTOS NOS TUBOS DO GERADOR </t>
  </si>
  <si>
    <t xml:space="preserve">FOI NECESSÁRIO ADICIONAR 5 LTS DE ÓLEO B5.2 NA MÁQUINA PARA CONSEGUIRMOS LIGAR </t>
  </si>
  <si>
    <t>FOI ADICIONADO 3 BOTIJAS DE GÁS R22 NA MÁQUINA, E REGULADO A EXPANSÃO PARA QUE A PRESSÃO DE SUCÇÃO FICASSE EM 2.0 BAR PRÓXIMO AO DEGELO E FOI REAPERTADO A CONTRA ROSCA DA VÁLVULA DE EXPANSÃO</t>
  </si>
  <si>
    <t>CLIENTE INFORMA QUE MÁQUINA ESTAVA COM BAIXA PRODUÇÃO, FOI SOLICITADA A TROCA DA POLIA.</t>
  </si>
  <si>
    <t>CLIENTE EM CONTATO INFORMANDO QUE AO LIGAR A MÁQUINA, NO PAINEL APARECEU A INFORMAÇÃO DE SOBRETEMPERATURA NO COMPRESSOR.</t>
  </si>
  <si>
    <t>CLIENTE SEM ENERGIA NO LOCAL, PREVISÃO DE RETORNO DA ENERGIA EM SETEMBRO. OCORRÊNCIA ENCERRADA</t>
  </si>
  <si>
    <t>CLIENTE EM CONTATO INFORMANDO QUE A SUA ENSACADORA ESTAVA COM UMA GRANDE QUANTIDADE DE GELO E A ESTEIRA TRAVOU.</t>
  </si>
  <si>
    <t>BOMBA COM TRAVAMENTO DO MOTOR EM TODO INICIO DE PRODUÇÃO, SENDO NECESSÁRIO SEMPRE DESTRAVAR COM CHAVE DE FENDA, PARA INICIAR FUNCIONAMENTO.</t>
  </si>
  <si>
    <t>TÉCNICO INICIOU O STARTUP E IDENTIFICOU 2 VAZAMENTOS DE GÁS NAS VALVULAS PRIMARIAS E SECUNDÁRIAS DO RL.</t>
  </si>
  <si>
    <t>CLIENTE EM CONTATO INFORMANDO QUE A TUBULAÇÃO DO FLEXÍVEL DA LINHA DE DESCARGA DO COMPRESSOR HAVIA ESTOURADO</t>
  </si>
  <si>
    <t>CLIENTE EM CONTATO INFORMANDO QUE APÓS 6 DIAS DA ULTIMA ULTILIZAÇÃO, TENTOU LIGAR A MÁQUINA PORÉM APARECEU UMA FALHA EM NOSSO PAILNEL "BAIXO NIVEL DE OLEO NO COMPRESSOR"</t>
  </si>
  <si>
    <t>TROCA DA POLIA DO COMPRESSOR</t>
  </si>
  <si>
    <t>FOI REALIZADO APERTO NA GAXETA COM O ALICATE DE PRESSÃO</t>
  </si>
  <si>
    <t>FOI TROCADA A MOTOBOMBA DO CLIENTE</t>
  </si>
  <si>
    <t>CLIENTE EM CONTATO INFORMANDO QUE SUA MÁQUINA ESTAVA BLOQUEADA. PEDIMOS PARA AGUARDAR ATÉ HOJE PELA MANHÃ E TENTAR LIGAR A MÁQUINA. CLIENTE MANDOU UMA FOTO DO PAINEL DIGITAL E O DEGELO ESTAVA EM APENAS 2 SEGUNDOS COM ISSO A MÁQUINA ESTAVA BLOQUEANDO</t>
  </si>
  <si>
    <t xml:space="preserve">FOI VOLTADO O TEMPO DE DEGELO PARA 2:30 DE DEGELO E APÓS 3 DEGELOS A MÁQUINA ACABOU DESBLOQUEANDO </t>
  </si>
  <si>
    <t>CLIENTE ENTROU EM CONTATO INFORMANDO QUE DEU UM PICO DE ENERGIA NA SUA FÁBRICA E AO LIGAR ESTAVA COM A FALHA NA SOFT STARTER</t>
  </si>
  <si>
    <t>FOI FEITO O REARME DOS DISJUNTORES E LIMPADO A FALHA NA SOFT STARTER</t>
  </si>
  <si>
    <t>FOI TROCADO O MODULO DE PROTEÇÃO TÉRMICO DO COMPRESSOR</t>
  </si>
  <si>
    <t>CLIENTE EM CONTATO INFORMADO QUE A SUA PRODUÇÃO TEVE UMA GRANDE QUEDA. MÁQUINA ESTÁ COM 31 MINUTOS DE PRODUÇÃO E NIVEL DO GÁS MUITO BAIXO. COMO TIVEMOS PROBLEMAS COM O LOGO FOI TIRADO MUITO A PRESSÃO DO COMPRESSOR E COM ISSO ACREDITAMOS QUE PERDEU GÁS JUNTO.</t>
  </si>
  <si>
    <t xml:space="preserve">FOI ADICIONADO 7 BOTIJAS DE R22, ADICIONADO 2 L DE ÓLEO E LIMPADO A PANELA DO COMPRESSOR </t>
  </si>
  <si>
    <t>TROCA DO SEPARADOR DE OLEO DA MAQUINA, PORQUE FOI IDENTIFICADO PELA ENGENHARIA QUE ESTAVA OBSTRUIDO, TROCAMOS O SEPARADOR DE LIQUIDO, TROCAMOS O FLEXIVEL DANIFICADO DURANTE O RETORNO DE LIQUIDO, VALVULA DE RETENÇÃO DA DESCARGA DO COMPRESSOR TAMBEM FOI TROCADA, DESCARTAMOS TODO OLEO E TODO GÁS DO EQUIPAMENTO SENDO NECESSARIO A SUBSTITUIÇÃO COMPLETA DE AMBOS, TROCAMOS O SENSOR DA SUCÇÃO E DESCARGA</t>
  </si>
  <si>
    <t>CLIENTE EM CONTATO INFORMANDO QUE SUA ENSACADORA SEGUE TRAVANDO, MESMO COM UMA PEQUENA QUANTIDADE DE GELO.</t>
  </si>
  <si>
    <t>ADICIONADO UMA CHAPA DE POLICARBONATO NO PISO DA ENSACADORA, ONDE ACABAMOS POR ELIMINAR O ACUMULO DE GELO NO INICIO DA ESTEIRA, NESSE ACESSORIO AINDA FOI RETIRADO PARTE DO ACRILICO/POLICARBONATO, CERCA DE 10CM QUE PREVINE A QUEDA DE GELO DURANTE A SUBIDA DO GELO</t>
  </si>
  <si>
    <t>DESMONTAR E RELIZAR A LIMPEZA DA BOIA, FOI ADICIONADO MAIS OLEO NA MAQUINA, CERCA DE 1 LITRO, ADICIONADO MEIA BOTIJA DE GÁS E REGULADA A EXPANSÃO E VALVULA DO RETORNO DE OLEO</t>
  </si>
  <si>
    <t>CLIENTE EM CONTATO INFORMANDO QUE APARECEU EM SEU PAINEL A INFORMAÇÃO "BAIXO NIVEL DE OLEO NO COMPRESSOR" .  APÓS A ABERTURA DO FILTRO SECADOR DE PEDRA, FOI OBSERVADO QUE ELE ESTAVA SEM O ELEMENTO QUE É UM DOS PRINCIPAIS RESPONASVEIS POR RETER  AS IMPUREZAS DO EQUIPAMENTO COM TODOS OS FILTROS DO COMPRESSOR E BOIA OBSTRUIDOS COM IMPUREZAS IMPEDINDO ASSIM QUE O OLEO CIRCULASSE ENTRE O SEPARADOR DE OLEO, COMPRESSOR E EQUIPAMENTO</t>
  </si>
  <si>
    <t>LIMPEZA DE TODOS OS FILTROS DO COMPRESSOR, FILTRO DA BOIA, COLOCAÇÃO DO ELEMENTO DE PEDRA, DESCARTE E TROCA DO OLEO EXISTENTE POR UM NOVO</t>
  </si>
  <si>
    <t>TROCA DO FLEXIVEL, FORAM COLOCADAS 7 BOTIJAS DE GÁS</t>
  </si>
  <si>
    <t>TROCA DA TUBULAÇÃO DE DESCARGA DO COMPRESSOR</t>
  </si>
  <si>
    <t>CLIENTE EM CONTATO INFORMANDO QUE SUA MAQUINA ESTÁ COM  VAZAMENTO DE GÁS. FOI ORIENTADO A FECHAR OS REGISTROS PARA EVITAR PERDA DE GÁS, VAZAMENTO ERA NA CURVA DA DESCARGA DO COMPRESSOR</t>
  </si>
  <si>
    <t>CLIENTE EM CONTATO INFORMANDO QUE APARECEU EM SEU PAINEL A INFORMAÇÃO "BAIXO NIVEL DE OLEO NO COMPRESSOR" .  OBS: CLIENTE TEM APRESENTADO VÁRIAS RECLAMAÇÕES SOBRE NÍVEL DE ÓLEO, INDICANDO UMA POSSÍVEL FALHA NA BOIA ELETRONICA.</t>
  </si>
  <si>
    <t>ORIENTADO A DESLIGAR E RELIGAR O EQUIPAMENTO. NÍVEL DE OLEO VOLTOU AO NORMAL E EQUIPAMENTO VOLTOU A FUCNIONAR.</t>
  </si>
  <si>
    <t>CLIENTE EM CONTATO INFORMANDO QUE APARECEU EM SEU PAINEL A INFORMAÇÃO "BAIXO NIVEL DE OLEO NO COMPRESSOR" .  OBS: MÁQUINA APRESENTOU VAZAMENTO NO PASSADO DE OLEO E GÁS, INDICANDO A POSSIBILIDADE DE QUE O OLEO QUE FOI REPOSTO PARA A SOLUÇÃO DO PROBLEMA POSSA TER VAZADO.</t>
  </si>
  <si>
    <t xml:space="preserve">FOI NECESSÁRIO APERTAR OS POSNTOS DE VAZAMENTO, RESPOSIÇÃO DE 3 LITROS DE OLEO E 3 BOTIJAS DE GÁS. </t>
  </si>
  <si>
    <t>CLIENTE CONTRATOU UM TERCEIRO, QUE FEZ A INSTALAÇÃO DE UMA CHAVE DE INVERSÃO DE SENTIDO NA ESTEIRA. APARENTEMENTE NÃO ESTÁ TRAVANDO.</t>
  </si>
  <si>
    <t>FOI CORTADA E SOLDADA A RETENÇÃO DA DESCARGA DO COMPRESSOR</t>
  </si>
  <si>
    <t>CLIENTE INFORMA QUE EM SEU PAINEL APARECEU A INFORMAÇÃO "PROBLEMA DO SENSOR DESCARGA" INFORMOU QUE A MÁQUINA ESTAVA FUNCIONANDO NORMALMENTE QUANDO O COMPRESSOR FEZ UM BARULHO, TUDO INDICA QUE FOI UM GOLPE DE LÍQUIDO</t>
  </si>
  <si>
    <t>MÁQUINA DO CLIENTE ESTAVA RODANDO SEM FILTROS, FOI FEITO UMA TROCA DE ÓLEO E ADICIONADO FILTROS NA MÁQUINA, APÓS RODAR COM O EQUIPAMENTO 4 DIAS O ÓLEO DA MÁQUINA NÃO RETORNO PARA O COMPRESSOR, SINAL QUE O SISTEMA VEIO A SUJAR NOVAMENTE, SENDO ASSIM VAI SER NECESSÁRIO OUTRA TROCA DE ÓLEO E TROCA DE FILTROS</t>
  </si>
  <si>
    <t>FOI TROCADO ÓLEO E FILTROS DO CLIENTE PARA LIMPEZA DO SISTEMA, E REGULADO A VÁLVULA DE EXPANSAO EM 1 VOLTA MANTENDO A PRESSÃO DE SUCÇÃO EM 2.0 BAR E 3/4 RETORNO DE ÓLEO</t>
  </si>
  <si>
    <t>JUMPEAMOS A MÁQUINA E COM UM CICLO O NIVEL DE OLEO JÁ RETORNOU PARA O COMPRESSOR E RETIRAMOS O JUMPER</t>
  </si>
  <si>
    <t>FOI TROCADO A BOIA CONTROLADORA DE NIVEL DO SEPARADOR DE LÍQUIDO QUE ESTAVA ERRADA, MÁQUINAS MAIORES UTILIZAMOS OUTRO TIPO DE BOIA DE NIVEL ( A BOIA QUE ESTAVA ERA DA CONTROMAG QUE FOI TROCADO PELA EDC, QUE NOS DA A OPÇÃO DE REGULAGEM, APÓS A TROCA DA BOIA  CONSEGUIMOS CONTROLAR A QUANTIDADE DE LÍQUIDO QUE ESTA ENTRANDO NA MÁQUINA )</t>
  </si>
  <si>
    <t>CLIENTE EM CONTATO INFORMANDO QUE ESTAVA VAZANDO GAS. NOS ENCAMINHOU VIDEOS E VERIFICAMOS QUE TRATAVA-SE DA RETENÇÃO DA DESCARGA DO COMPRESSOR QUE ESTAVA RACHADO.</t>
  </si>
  <si>
    <t>FOI TROCADO O SENSOR DE DESCARGA DO  CLIENTE E REGULADA A MÁQUINA NOVAMENTE COM A EXPANSÃO E RETORNO DE ÓLEO EM 1/4, PRESSÕES OK. ( O SERGIO NO PENULTIMO ATENDIMENTO DEIXOU A MÁQUINA REGULADA NO SUB E SUPER COM 3/4 EXPANSÃO E 1/2 RETORNO DE ÓLEO, 1 SEMANA DEPOIS MÁQUINA VEIO A SOFRER GOLPE DE LÍQUIDO</t>
  </si>
  <si>
    <t>CLIENTE ENTROU EM CONTATO INFORMANDO QUE ESTAVA USANDO A PEDALEIRA E AO ACIONAR O PEDAL A ESTEIRA DA ENSACADORA NÃO DESACIONA MAIS, SOLICITOU SUPORTE TÉCNICO</t>
  </si>
  <si>
    <t>CLIENTE DESMONTOU A PEDALEIRA E PASSOU UM LIMPA CONTATO, PEDALEIRA DO CLIENTE EM CONSTANTE CONTATO COM A AGUA, OQUE CAUSA INFILTRAÇÃO E PROBLEMAS NO PEDAL</t>
  </si>
  <si>
    <t xml:space="preserve">CLIENTE ENTROU EM CONTATO INFORMANDO QUE ESTAVA VAZANDO GÁS PELO RETORNO DE ÓLEO, TENTOU APERTAR A PORCA MAIS NÃO CONSEGUIU, SENDO ASSIM VAMOS ENVIAR O TÉCNICO </t>
  </si>
  <si>
    <t>CLIENTE ENTROU EM CONTATO INFORMANDO QUE A MANGUEIRA DO RETORNO DE ÓLEO DO COMPRESSOR ESTAVA COM VAZAMENTO DE ÓLEO, SUGERI PARA O CLIENTE REALIZAR O APERTO SÓ QUE NÃO DEU CERTO O PROBLEMA AINDA PERSISTI, SENDO NECESSÁRIO A TROCA DA MANGUEIRA</t>
  </si>
  <si>
    <t>CLIENTE ENTROU EM CONTATO INFORMANDO QUE A MÁQUINA ESTAVA APRESENTANDO BAIXO NÍVEL DE ÓLEO NO COMPRESSOR, INFORMOU QUE DEIXOU A MÁQUINA PARADA POR 1 SEMANA</t>
  </si>
  <si>
    <t>ABRIMOS O RETORNO DE ÓLEO EM 2 VOLTAS E FIZEMOS O JUMPER, APÓS O ÓLEO RETORNAR DEIXAMOS A VÁLVULA EM 3/4 E RETIRAMOS O JUMPER</t>
  </si>
  <si>
    <t>CLIENTE ENTROU EM CONTATO INFORMANDO QUE APARECEU A FALHA DE SOBRECORRENTE NO COMPRESSOR, DISSE QUE NO DIA ANTERIOR TEVE MUITOS PICOS DE ENERGIA NO SEU BAIRRO, PORÉM NÃO SABE SE HOUVE OSCILAÇÃO DE ENERGIA EM SUA FÁBRICA POIS NÃO ESTAVA LÁ NO MOMENTO</t>
  </si>
  <si>
    <t>FOI REARMADO O DISJUNTOR MOTOR DO COMPRESSOR E A MÁQUINA SEGUIU SEU FUNCIONAMENTO</t>
  </si>
  <si>
    <t>CLIENTE INFORMOU QUE A MÁQUINA APRESENTOUA FALHA DE SOBRECORRENTE NO COMPRESSOR, NÃO SABE SE TEVE OSCILAÇÃO DE ENERGIA POIS NÃO ESTAVA NA FÁBRICA NO MOMENTO</t>
  </si>
  <si>
    <t>FOI DESMONTADO A VÁLVULA E TROCADO A ARRUELA DE ALUMIO DE VEDAÇÃO QUE ESTAVA TODA AMASSADA E PAROU DE VEDAR E ADICIONADO 1 BOTIJA DE GÁS R404A</t>
  </si>
  <si>
    <t xml:space="preserve">A SOLUÇÃO NO MOMENTO FOI A SUBSTITUIÇÃO DA MANGUEIRA </t>
  </si>
  <si>
    <t>CLIENTE ENTROU EM CONTATO INFORMANDO QUE NOVAMENTE HOUVE A QUEBRA FLANGE  DO RETORNO DE ÓLEO DO COMPRESSOR, COM ISSO O RAPAZ JÁ ESTA FAZENDO A SUBSTITUIÇÃO DA TUBULAÇÃO DE COBRE E SOLICITA ORIENTAÇÃO PARA COLOCAR O ÓLEO</t>
  </si>
  <si>
    <t>ERRO DE PROJETO</t>
  </si>
  <si>
    <t>FOI ADICIONADO 2L DE ÓLEO, E 23 KG DE GÁS NO EQUIPAMENTO DO CLIENTE E TROCADA A TUBULAÇÃO DE COBRE</t>
  </si>
  <si>
    <t>FOI TROCADA A CURVA DA DESCARGA DO COMPRESSOR E ADICIONADO 2 BOTIJAS DE GÁS</t>
  </si>
  <si>
    <t>FOI DEIXADO A MÁQUINA DESLIGADA DE UM DIA PARA OUTRO E O EQUIPAMENTO FUNCIONOU NORMALMENTE</t>
  </si>
  <si>
    <t>CLIENTE ENTROU EM CONTATO INFORMANDO QUE A MÁQUINA APRESENTOU BAIXA PRESSÃO DE ÓLEO NO PAINEL, AO ABRIR O COMPRESSOR FOI CONSTATADO QUE A BOMBA DE ÓLEO ESTAVA COM PROBLEMAS</t>
  </si>
  <si>
    <t xml:space="preserve">FOI TROCADA A BOMBA DE ÓLEO DO COMPRESSOR </t>
  </si>
  <si>
    <t>FOI TROCADO UM FILTRO DE LINHA E UM ANEL DE VÁLVULA DO COMPRESSOR</t>
  </si>
  <si>
    <t>COMPRESSOR FOI GANHADO A GARANTIA PELA 1 ° VEZ DA BITZER ONDE APÓS CONSERTO FOI UTILIZADO NOVAMENTE O INVERSOR DE FREQUENCIA E VEIO A CAUSAR DANOS NAS PLACAS, APÓS TROCAR A PLACA DO COMPRESSOR FOI DEFINIDO QUE NÃO IRA SER MAIS UTILIZADO O INVERSOR DE FREQUENCIA NO EQUIPAMENTO, O MESMO FICOU DANDO 9,5 T E FUNCIONANDO NORMALMENTE, SO NAO ESTA DANDO A CAPACIDADE</t>
  </si>
  <si>
    <t>CLIENTE INFORMOU UM FORTE BARULHO VINDO DO COMPRESSOR, ONDE O MESMO DESARMOU POR SOBRETEMPERATURA NO COMPRESSOR. ( MÁQUINA ESTÁ INSTALADA O INVERSOR DE FREQUENCIA)</t>
  </si>
  <si>
    <t>FOI FEITO O REPARO NA SOLENOIDE E ADICIONADO 4 BOTIJAS DE R22</t>
  </si>
  <si>
    <t>CLIENTE ENTROU EM CONTATO INFORMANDO QUE DEIXOU A MÁQUINA DESLIGADA POR 2 DIAS E AO INICIAR O FUNCIONAMENTO DA MÁQUINA A MESMA DESARMOU POR BAIXO NÍVEL DE ÓLEO</t>
  </si>
  <si>
    <t>FOI FEITO O JUMPER DA BOIA DE ÓLEO E ABERTO MAIS MEIA VOLTA O RETORNO, APÓS RETORNA O ÓLEO FECHAMOS A VÁLVULA</t>
  </si>
  <si>
    <t>CLIENTE ENTROU EM CONTATO INFORMANDO QUE NOVAMENTE HOUVE A QUEBRA DO RETORNO DE ÓLEO DO COMPRESSOR ( TUBULAÇÃO DE COBRE ) COM ISSO CLIENTE PERDEU ÓLEO E GÁS</t>
  </si>
  <si>
    <t>FOI SUBSTITUIDO A TUBULAÇÃO DE COBRE DO COMPRESSOR POR UMA MANGUEIRA, ADICIONADO 1 L DE ÓLEO E 4 BOTIJAS DE GÁS NA MÁQUINA DO CLIENTE</t>
  </si>
  <si>
    <t>CLIENTE DEIXOU A MÁQUINA DESLIGADA POR 1 DIA E MEIO, AO INICIAR A PRODUÇÃO APARECEU A MENSAGEM DE BAIXO NIVEL DE ÓLEO NO COMPRESSOR, TENTOU RESETAR A FALHA MAIS EM SEGUIDA APARECEU NOVAMENTE</t>
  </si>
  <si>
    <t xml:space="preserve">FOI FEITO O JUMPER E APÓS 3 CICLOS O ÓLEO RETORNOU PARA O COMPRESSOR E RETIRAMOS O JUMPER </t>
  </si>
  <si>
    <t>CLIENTE ENTROU EM CONTATO INFORMANDO QUE O RENDIMENTO DA MÁQUINA CAIU MUITO, MÁQUINA SEM PONTOS DE CONGELAMENTO E COM O GELO MUITO FINO E QUEBRADIÇO, COM ISSO ESTAREMOS ENVIANDO UM TÉCNICO PARA AVALIAÇÃO PRESENCIAL</t>
  </si>
  <si>
    <t>CLIENTE ENTROU EM CONTATO INFORMANDO QUE ESTAVA APARECENDO FALHA DE SOBRECORRENTE NO COMPRESSOR E COM ISSO NÃO ESTAVA CONSEGUINDO TRABALHAR</t>
  </si>
  <si>
    <t xml:space="preserve">FOI FEITO O JUMPER E COM 1 CICLO O NIVEL DE ÓLEO FICOU VERDE </t>
  </si>
  <si>
    <t>A SOLUÇÃO NO MOMENTO FOI A TROCA DOS FILTROS DC-48 E F-48 POIS ESTAVAM COM MUITA SUJEIRA E ADICIONADO MEIA BOTIJA DE GÁS PARA COMPLETAR O NÍVEL</t>
  </si>
  <si>
    <t>FOI TROCADO OS 2 SENSORES DE PRESSÃO POR UM SENSOR DE TRANSMISSÃO DE OUTRO FORNCEDOR (NOVUS) ALÉM DISSO FOI ADICIONADO MAIS 2 BOTIJAS DE GÁS  E 1 L DE ÓLEO</t>
  </si>
  <si>
    <t xml:space="preserve">CLIENTE ENTROU EM CONTATO INFORMANDO QUE APARECEU A FALHA NO PAINEL A FALHA NO SENSOR DE DESCARGA, RESSALTANDO QUE O SENSOR DE SUCÇÃO  ESTAVA JUMPEADO POIS O SENSOR DA PRESSURE ESTARIA CHEGANDO NO FIM DESSE MÊS. </t>
  </si>
  <si>
    <t>CLIENTE ENTROU EM CONTATO INFORMANDO QUE NOVAMENTE APARECEU A TRINCA NA CURVA DA ENTRADA DA TUBULAÇÃO DE DESCARGA DO COMPRESSOR, COM ISSO OS REGISTROS FORAM FECHADOS E ESTAREMOS ENVIANDO O TERCERIZADO PARA REALIZAR O SERVIÇO</t>
  </si>
  <si>
    <t>DURANTE O STARTUP FOI ENCONTRADO 2 VAZAMENTOS NO EQUIPAMENTO DO CLIENTE, UM VAZAMENTO NA BANANA DO GÁS QUENTE E OUTRO NA RETENÇÃO DA LINHA DA DESCARGA DO SEPARADOR DE ÓLEO</t>
  </si>
  <si>
    <t>FOI FEITO A SOLDA NOS LOCAS QUE APRESENTARAM VAZAMENTO DURANTE O STARTUP</t>
  </si>
  <si>
    <t xml:space="preserve">DURANTE O TRANSPORTE DA MÁQUINA DO CLIENTE SE SOLTOU O PARAFUSO DE FIXAÇÃO DO CONDENSADOR, COM ISSO HOUVE VIBRAÇÃO NA TUBULAÇÃO DO RL E COM ISSO PROVAVELMENTE A MÁQUINA VAI CHEGAR SEM GÁS </t>
  </si>
  <si>
    <t>SERÁ SOLDADO A TUBULAÇÃO DO RL E ACRESCENTADO GÁS NO EQUIPAMENTO</t>
  </si>
  <si>
    <t>FABRICAÇÃO</t>
  </si>
  <si>
    <t>MANUTENÇÃO</t>
  </si>
  <si>
    <t>COMPONENTE</t>
  </si>
  <si>
    <t>REGULAGEM</t>
  </si>
  <si>
    <t>ERRO DE OPERAÇÃO</t>
  </si>
  <si>
    <t>ERRO TÉCNICO</t>
  </si>
  <si>
    <t>ERRO DE FABRICAÇÃO</t>
  </si>
  <si>
    <t>QUALIDADE COMPONENTE</t>
  </si>
  <si>
    <t>SOBRECORRENTE</t>
  </si>
  <si>
    <t>PADRONIZAÇÃO DE PRODUTO</t>
  </si>
  <si>
    <t xml:space="preserve">CLIENTE INFORMOU QUE ESTAVA VINDO UM FORTE BARULHO DO COMPRESSOR ONDE VAMOS ENVIAR O TÉCNICO </t>
  </si>
  <si>
    <t>CLIENTE ENTROU EM CONTATO INFORMANDO QUE A MÁQUINA ESTAVA APRESENTANDO QUEDA DE PRODUÇÃO, FOI ENCONTRADO VAZAMENTO DE GÁS NA SOLENOIDE DA VANA NA CONTRA ROSCA</t>
  </si>
  <si>
    <t>CLIENTE ENTROU EM CONTATO INFORMANDO QUE ESTAVA COM VAZAMENTO DE GÁS NA TUBULAÇÃO DE DESCARGA DO COMPRESSOR, INFORMOU QUE FECHOU TODOS OS REGISTROS DO EQUIPAMENTO, O EQUPIMENTO NA POSSUI FLEXIVEL NA LINHA DA DESCARGA</t>
  </si>
  <si>
    <t xml:space="preserve">CLIENTE ENTROU EM CONTATO INFORMANDO QUE A MÁQUINA ESTAVA DESARMANDO SEM APRESENTAR FALHAS, OCORREU ISSO 4x, NA QUINTA VEZ QUE RENICIO O EQUIPAMENTO VEIO A APARECER A MENSAGEM DE SOBRETEMPERATURA NO COMPRESSOR, FOI SUGERIDO PARA O CLIENTE DEIXAR O EQUIPAMENTO DESLIGADO ATÉ  O OUTRO DIA </t>
  </si>
  <si>
    <t xml:space="preserve">FOI AUMENTADO A CORRENTE DOS DISJUNTORES MOTORES DO COMPRESSOR </t>
  </si>
  <si>
    <t>CLIENTE INFORMOU QUE FAZ 2 DIAS QUE A MÁQUINA ESTAVA DESLIGADA E AO INICIAR A PRODUÇÃO DEU BAIXO NIVEL DE ÓLEO</t>
  </si>
  <si>
    <t xml:space="preserve">FOI ADICIONADO MEIA BOTIJA DE GÁS E INSTALADO UM FLEXIVEL DE COBRE NA LINHA DA DESCARGA DO COMPRESSOR </t>
  </si>
  <si>
    <t>Coluna1</t>
  </si>
  <si>
    <t xml:space="preserve">TROCA DO SEPARADOR DE OLEO E DO COMPRESSOR POR QUEBRA POR FALTA DE OLEO </t>
  </si>
  <si>
    <t>TROCA DE CONTATORAS E REGULAGEM DE CORRENTE</t>
  </si>
  <si>
    <t xml:space="preserve">CLIENTE ENTROU EM CONTATO INFORMANDO QUE APARECEU A FALHA DE BAIXO NÍVEL DE ÓLEO NO COMPRESSOR, MÁQUINA ESTAVA PARADA A 2 DIAS </t>
  </si>
  <si>
    <t>CLIENTE ENTROU EM CONTATO INFORMANDO QUE HAVIA APARECIDO A MENSAGEM DE BAIXO NÍVEL DE ÓLEO NO COMPRESSOR, MÁQUINA HAVIA FUNCIONADO NORMALMENTE NO DIA ANTERIOR</t>
  </si>
  <si>
    <t>FOI FEITO O JUMPER NA MÁQUINA E ABERTO EM 1 VOLTA O RETORNO DE ÓLEO E 1 VOLTA A EXPANSÃO APÓS O ÓLEO RETORNAR FECHAMOS O RETORNO DE ÓLEO E MANTEMOS A VÁLVULA DE EPANSÃO QUE FICOU REGULADA EM 2.0 BAR</t>
  </si>
  <si>
    <t>CLIENTE INFORMOU QUE FOI LIGAR A MÁQUINA E AO INICIAR O FUNCIONAMENTO COMEÇOU A SAIR ``FUMAÇA´´ DA MOTOBOMBA</t>
  </si>
  <si>
    <t xml:space="preserve">FOI FEITO UM JUMPER E ABERTO O RETORNO DE ÓLEO DO COMPRESSOR EM 1 VOLTA </t>
  </si>
  <si>
    <t>FOI TROCADA A MOTOBOMBA DO CONDENSADOR</t>
  </si>
  <si>
    <t>FORAM ENCONTRADOS VAZAMENTOS DURANTE O STARTUP NA BANANA DO GERADOR, LINHA DE SUCÇÃO E NA JUNTA DA RETENÇÃO DA LINHA DE DESCARGA</t>
  </si>
  <si>
    <t>FOI FEITO A SOLDA NA BANANA E LINHA DE SUCÇÃO, E ADICIONADO A JUNTA NA RETENÇÃO DA LINHA DE DESCARGA</t>
  </si>
  <si>
    <t>MAQUINA DESARMANDO POR BAIXO NÍVEL DE ÓLEO COM A LUZ DA BOIA VERDE, PROBLEMA OCORRIDO NO STARTUP</t>
  </si>
  <si>
    <t>VAZAMENTO DE GÁS NA TUBULAÇÃO 1.1/2 NA TUBULAÇÃO DA SOLENOIDE DO GÁS QUENTE, CONFORME IA FAZENDO A SOLDA IA RACHANDO A TUBULAÇÃO</t>
  </si>
  <si>
    <t>FOI TROCADA A TUBULAÇÃO DA SOLENOIDE DO GÁS QUENTE</t>
  </si>
  <si>
    <t>CLIENTE ENTROU EM CONTATO INFORMANDO QUE ESTAVA COM QUEDA NA PRODUÇÃO, MÁQUINA ESTAVA PRODUZINDO GELO ABERTO E QUEBRADIÇO</t>
  </si>
  <si>
    <t>CLIENTE ENTROU EM CONTATO INFORMANDO QUE O GELO ESTAVA SAINDO QUEBRADIÇO E EM FORMATO DE ``BARRA´´ COM ISSO FOI VERIFICADO A CUBA E ANALISADO QUE A BOIA ESTAVA REGULADA MUITO BAIXA, COM ISSO ESTAVA ENTRANDO POUCA ÁGUA NA MÁQUINA E 3 CHUVEIROS DO CHAPÉU DO GERADOR DA MÁQUINA ESTAVA FORA DO LUGAR, MÁQUINA HAVIA FUNCIONADO NORMALMENTE NO TÉRMINO DO STARTUP</t>
  </si>
  <si>
    <t>CLIENTE ENTROU EM CONTATO INFORMANDO QUE A MÁQUINA HAVIA APARECIDO NA TELA SOBRETEMPERATURA NO COMPRESSOR, ENVIADO UM TÉCNICO NO LOCAL E FOI VERIFICADO QUE O ESTATOR DO COMPRESSOR ESTAVA QUEIMADO</t>
  </si>
  <si>
    <t>FOI CONSERTADO O COMPRESSOR E MONTADO NOVAMENTE NO CLIENTE, SUPERAQUECIMENTO REGULADO EM 13 E SUBRESFRIAMENTO EM 6</t>
  </si>
  <si>
    <t>SUBSTITUIMOS A BOMBA DO CLIENTE, PORÉM NA SUBSTITUIÇÃO FOI CONSTATADO QUE A ROTAÇÃO DOS MOTORES ESTAVA INVERTIDA, CLIENTE INFORMOU QUE MECHERAM EM SUA REDE NO DIA ANTERIOR</t>
  </si>
  <si>
    <t>CLIENTE ENTROU EM CONTATO INFORMANDO QUE ESTAVA PINGANDO ÓLEO PELA PEÇA DE SOLDA DO SENSOR DE DESCARGA DO COMPRESSOR, CLIENTE IDENTIFICOU UM FURO MÍNIMO NA PEÇA</t>
  </si>
  <si>
    <t>FOI FEITO A SOLDA NA PEÇA E INSTALADA NOVAMENTE NO COMPRESSOR</t>
  </si>
  <si>
    <t>FOI REGULADA A BOIA PARA ENTRAR MAIS AGUA NO EQUIPAMENTO E ENCAXADO NOVAMENTE OS CHUVEIROS DA MÁQUINA</t>
  </si>
  <si>
    <t>CLIENTE ENTROU EM CONTATO INFORMANDO QUE A MÁQUINA COMEÇOU A DESARMAR A BOMBA DO CONDENSADOR, FOI TROCADO O DISJUNTOR MOTOR MAIS NÃO FOI SOLUCIONADO, SENDO ASSIM FOI IDENTIFICADO PROBLEMA NA BOMBA</t>
  </si>
  <si>
    <t>CLIENTE DISSE QUE AO LIGAR A MÁQUINA O DISJUNTOR UNIPOLAR DESARMOU, EM ANALISE DO NOSSO TERCERIZADO FOI CONSTATADO QUE A BOIA ELETRONICA ESTAVA ENTRANDO EM CURTO</t>
  </si>
  <si>
    <t>FOI TROCADO O ROLAMENTO DA BOMBA DO CONDENSADOR QUE ESTAVA TRAVADA</t>
  </si>
  <si>
    <t xml:space="preserve">KI GELO </t>
  </si>
  <si>
    <t>O DIA NO CLIENTE ESTAVA MAIS FRIO, COM ISSO A MÁQUINA ACABOU BLOQUEANDO NA 4 QUEDA, CLIENTE QUANDO NOTOU QUE COMEÇOU A VAZAR ÁGUA PELO CHAPÉU DO GERADOR INFORMOU QUE ACIONOU BOTÃO DE EMERGENCIA</t>
  </si>
  <si>
    <t xml:space="preserve">DEIXAMOS A MÁQUINA DESCONGELANDO DURANTE A NOITE, NO INICIO DA PRODUÇÃO DO DIA A MÁQUINA SOLTOU TODO O GELO BLOQUEADO </t>
  </si>
  <si>
    <t>FOI TROCADA A BOIA DE ÓLEO</t>
  </si>
  <si>
    <t>CLIENTE INFORMOU QUE A MÁQUINA ESTAVA FUNCIONANDO QUANDO DE REPENTE COMEÇOU A DESARMAR MUITO O DISJUNTOR MOTOR DA BOMBA DO CONDENSADOR, FOI FEITA AS MEDIÇÔES E CONSTATADO QUE A BOMBA  ESTAVA COM OS AMPÉRES EM 5,0 DE CADA FASE DA BOMBA COM ISSO PARAMOS O EQUIPAMENTO PARA NAO ACONTECER UMA POSSÍVEL QUEIMA DA BOMBA, A MESMA SERÁ SUBSTITUIDA, CLIENTE TROCOU O DISJUNTOR DELE DE 80 AMPERES PARA 100, POSSIVELMENTE INVERTERAM A FASE, CAUSANDO A ROTAÇÃO DA BOMBA NO SENTIDO ERRADO</t>
  </si>
  <si>
    <t>CLIENTE ENTROU EM CONTATO INFORMANDO QUE A MÁQUINA APRESENTOU PRESSÃO DE DESCARGA ALTA NO PAINEL, APÓS ISSO DEU FALHA NO SENSOR DE DESCARGA DO COMPRESSOR</t>
  </si>
  <si>
    <t xml:space="preserve">FOI TROCADO O SENSOR DE DESCARGA DO COMPRESSOR PELO SENSOR DA NOVUS </t>
  </si>
  <si>
    <t>CLIENTE ENTROU EM CONTATO INFORMANDO QUE APARECEU FALHA NO SENSOR DE SUCÇÃO, SENDO ASSIM VAMOS ACIONAR O TERCERIZADO DA REGIÃO PARA VERIFICAR OQUE ACONTECEU</t>
  </si>
  <si>
    <t>FOI SUBSTITUIDO O SENSOR DE SUCÇÃO DO COMPRESSOR</t>
  </si>
  <si>
    <t>FOI REARMADO O DISJUNTOR E SOLICITADO PARA O CLIENTE RESETAR O PAINEL PARA SUMIR A FALHA DE SOBRETEMPERATURA. APÓS ISSO MÁQUINA FUNCIONOU NORMALMENTE.</t>
  </si>
  <si>
    <t>FOI TROCADA A BOIA ELETRONICA DO COMPRESSOR</t>
  </si>
  <si>
    <t>CLIENTE ENTROU EM CONTATO INFORMANDO QUE ESTAVA VAZANDO GÁS PELO SENSOR DE DESARGA DO COMPRESSOR E NA VÁLVULA DE SERVIÇO DE DESCARGA, SENDO ASSIM ENVIAMOS O TÉCNICO PARA ANALISAR SE FOI UM SUPOSTO GOLPE DE LÍQUIDO</t>
  </si>
  <si>
    <t>A SOLUÇÃO NO MOMENTO FOI SUBSITUIR O FORMATO DA TUBULAÇÃO DO COMPRESSOR PORQUE QUEBROU NOVAMENTE A CURVA MESMO COM A INSTALAÇÃO DO FLEXÍVEL NA LINHA E TEVE QUE ADICIONAR GÁS</t>
  </si>
  <si>
    <t>A SOLUÇÃO NO MOMENTO FOI TROCAR O SENSOR DE DESCARGA DO COMPRESSOR, REAPERTAR A VÁLVULA DE SERVIÇO DO COMPRESSOR E ADICONAR 3 GARRAFAS DE R404A</t>
  </si>
  <si>
    <t>CLIENTE ENTROU EM CONTATO INFORMANDO QUE HAVIA DADO UMA OSCILAÇÃO DE ENERGIA NA SUA FÁBRICA E HAVIA DESARMANDO O DISJUNTOR DO COMPRESSOR E APARECIDO SOBRETEMPERATURA NA TELA</t>
  </si>
  <si>
    <t>CLIENTE ENTROU EM CONTATO INFORMANDO QUE A MÁQUINA ESTAVA DESARMANDO POR BAIXO NÍVEL DE ÓLEO, MÁQUINA FICOU DESLIGADA DURANTE O FIM DE SEMANA</t>
  </si>
  <si>
    <t>FOI FEITO O JUMPER PARA RETORNAR O ÓLEO E ABERTO EM 1 VOLTA O RETORNO, APÓS ÓLEO RETORNAR, VOLTAMOS A VÁLVULA PARA A POSIÇÃO ATUAL</t>
  </si>
  <si>
    <t>CLIENTE ENTROU EM CONTATO INFORMANDO QUE A MÁQUINA DESARMOU POR BAIXO NÍVEL DE ÓLEO, AO PEDIR FOTO DO NIVEL DE ÓLEO O COMPRESSOR ESTAVA TOTALMENTE CONGELADO PRESTES A TOMAR UM GOLPE DE LÍQUIDO, SENDO ASSIM ENVIAMOS UM TÉCNICO PARA O LOCAL E FOI IDENTIFICADO QUE O MACAQUINHO DA BOIA DE NÍVEL ESTAVA TRAVADO, OU SEJA, A SOLENOIDE NAO DESLIGAVA E O LIQUIDO IA TODO PARA O SEPARADOR DE LÍQUIDO, SENDO ASSIM, RETORNAVA LÍQUIDO PELA SUCÇÃO DO COMPRESSOR</t>
  </si>
  <si>
    <t>FOI DESTRAVADO O MACAQUINHO DA BOIA DE NÍVEL, E TROCADO O ÓLEO DO COMPRESSOR DO CLIENTE, ALÉM DISSO TROCADO OS FILTROS DA LINHA DE LÍQUIDO E SUCÇÃO</t>
  </si>
  <si>
    <t>CLIENTE ENTROU EM CONTATO INFORMANDO QUE A MÁQUINA ESTAVA APRESENTANDO PRESSÃO DE DESCARGA ALTA, INFORMOU QUE MECHERAM NA ENERGIA DO MERCADÃO NOVAMENTE</t>
  </si>
  <si>
    <t>NOVAMENTE FOI INVERTIDO A FASE DA FÁBRICA DO CLIENTE E A ROTAÇÃO DOS MOTORES DO VENTILADOR E MOTOBOMBA FICARAM INVERTIDO CAUSANDO DESCARGA ALTA, FOI REENVERTIDO AS FASES E A MÁQUINA FUNCIONOU NORMALMENTE</t>
  </si>
  <si>
    <t>CLIENTE ENTROU EM CONTATO INFORMANDO QUE ESTAVA COM PROBLEMAS NA SOFT STARTER, AO ANALISAR FOI VERIFICADO QUE OS TERMINAIS DA SOFT ESTAVAM QUEIMADOS</t>
  </si>
  <si>
    <t>CLIENTE ENTROU EM CONTATO INFORMANDO QUE A MÁQUINA ESTAVA DESARMANDO POR BAIXO NÍVEL ÓLEO, MAS O OILPACK ESTAVA CHEIO OS 2 VISORES</t>
  </si>
  <si>
    <t>FOI DESMONTADO E LIMPADO O FILTRO DA BOIA QUE ESTAVA OBSTRUIDO POR SUJEIRA</t>
  </si>
  <si>
    <t>CLIENTE ENTROU EM CONTATO INFORMANDO QUE A MÁQUINA ESTAVA SEGURANDO GELO EM UMA BANANA</t>
  </si>
  <si>
    <t>FOI TROCADO O MOTOR DO VENTILADOR</t>
  </si>
  <si>
    <t>FOI FEITA SOLDA E ADICIONADO 2 BOTIJAS DE GÁS E TROCADO O ÓLEO DO COMPRESSOR E FILTRO DA LINHA DE LÍQUIDO</t>
  </si>
  <si>
    <t>FOI JUMPEADO A MÁQUINA E ABERTO EM 1 VOLTA O RETORNO DE ÓLEO, OBSERVEI O CONGELAMENTO DO COMPRESSOR E MANTIVE 1 VOLTA A MAIS O RETORNO DE ÓLEO</t>
  </si>
  <si>
    <t>CLIENTE ENTROU EM CONTATO INFORMANDO QUE A MÁQUINA HAVIA DESARMADO POR BAIXO NÍVEL DE ÓLEO NO  COMPRESSOR, VÁLVULA DO RETORNO DE ÓLEO SEM CONGELAMENTO NA ENTRADA DA TUBULAÇÃO DE SUCÇÃO, SINAL QUE PAROU SUJEIRA NO RETORNO DE ÓLEO</t>
  </si>
  <si>
    <t>CLIENTE ENTORU EM CONTATO INFORMANDO QUE DE 10 PACOTES POR QUEDA A PRODUÇÃO CAIU PARA 4, MÁQUINA SEM PONTOS DE CONGELAMENTO, APARENTEMENTE FALTA DE GÁS, AO CHEGAR NA FÁBRICA, PAULO ENCONTROU VAZAMENTO NA TUBULAÇÃO DE DESCARGA DO COMPRESSOR, MÁQUINA NÃO POSSUI FLEXIVEL NA LINHA DE DESCARGA</t>
  </si>
  <si>
    <t>CLIENTE ENTROU EM CONTATO INFORMANDO QUE A MÁQUINA ESTA DESARMANDO O VENTILADOR DO CONDENSADOR, AO ABRIR A CAIXA ELÉTRICA FOI VERIFICADO QUE TINHA AGUA NO MOTOR DO VENTILADOR QUE OCASIONOU A QUEIMA DO MOTOR</t>
  </si>
  <si>
    <t>FOI FEITA A LIMPEZA DA ENTRADA DO GÁS QUENTE DA BANANA E REMOVIDO A SUJEIRA NELA</t>
  </si>
  <si>
    <t>CLIENTE ENTORU EM CONTATO INFORMANDO QUE A BOIA DE ÓLEO ESTAVA SEM ASCENDER OS LEDS, OU SEJA, UM CURTO DO CIRCUITO ELETRONICO DA BOIA</t>
  </si>
  <si>
    <t>CLIENTE ENTROU EM CONTATO INFORMANDO QUE NOVAMENTE DEU PROBLEMA NO SENSOR DE DESCARGA DO COMPRESSOR</t>
  </si>
  <si>
    <t>FOI SUBSTITUIDA A BOIA ELETRONICA</t>
  </si>
  <si>
    <t>FOI SUBSTITUIDO O SENSOR DE DESCARGA DO COMPRESSOR</t>
  </si>
  <si>
    <t>CLIENTE ENTROU EM CONTATO INFORMANDO QUE A MÁQUINA ESTAVA DESLIGADA POR 1 SEMANA, AO INICIAR O FUNCIONAMENTO DEU BAIXO NÍVEL DE ÓLEO</t>
  </si>
  <si>
    <t>CLIENTE ENTROU EM CONTATO INFORMANDO QUE A MÁQUINA ESTAVA DESARMANDO POR BAIXO NÍVEL DE ÓLEO, O OILPACK ESTAVA CHEIO MAIS NÃO IA PARA A BOIA DO COMPRESSOR, SENDO ASSIM FOI IDENTIFICADO QUE A SOLENOIDE DA BOIA ELETRONICA NÃO ESTAVA ATUANDO</t>
  </si>
  <si>
    <t>CLIENTE ENTROU EM CONTATO INFORMANDO QUE A MÁQUINA ESTAVA COM VAZAMENTO DE GÁS NO QUADRO DO GÁS QUENTE, FOI ISOLADO ALGUNS REGISTROS E SERA REALIZADO A SOLDA</t>
  </si>
  <si>
    <t xml:space="preserve">FOI SUBSTITUIDO A BOIA ELETRONICA DO COMPRESSOR </t>
  </si>
  <si>
    <t>CLIENTE ENTROU EM CONTATO QUE AO LIGAR A MÁQUINA A MESMA DESARMOU O BRITADOR NA HORA QUE ENTROU EM DEGELO, FOI ENCONTRADO GELO QUE ESTAVA TRAVANDO O BRITADOR, CLIENTE LIMPOU O CORTADOR DE GELO E LIGOU A  MÁQUINA</t>
  </si>
  <si>
    <t>FOI RETIRADO O EXCESSO DE GELO DO CORTADOR DE GELO E REARMANDO O DISJUNTOR</t>
  </si>
  <si>
    <t>CLIENTE ENTROU EM CONTATO INFORMANDO QUE A MÁQUINA ESTAVA DESARMANDO POR DESCARGA ALTA, CLIENTE INFORMOU QUE LÁ ESTA MUITO QUENTE E AINDA NÃO FOI INSTALADO O DUTO DE VENTILAÇÃO</t>
  </si>
  <si>
    <t>FOI JOGADO GELO NO CONDENSADOR PARA A AGUA FICAR COM A TEMPERATURA MAIS BAIXA E EQUALIZAR A PRESSÃO DE DESCARGA</t>
  </si>
  <si>
    <t>DEVIDO A MÁQUINA DESARMA DIVERSAS VEZES, O ÓLEO PARTIA DO COMPRESSOR E NÃO DAVA TEMPO DE RETORNAR, ACUSANDO BAIXO NÍVEL DE ÓLEO</t>
  </si>
  <si>
    <t>FOI FEITO O JUMPER E APÓS 4 CICLOS O ÓLEO RETORNOU PARA O COMPRESSOR</t>
  </si>
  <si>
    <t>CLIENTE ENTROU EM CONTATO INFORMANDO QUE A MÁQUINA ESTAVA DESARMANDO POR BAIXA SUCÇÃO, FOI ENCONTRADO VAZAMENTO INTERNO NO TUBO QUE E CONECTADO A VÁLVULA TANQUE DO GERADOR, TEVE QUE REMOVER ISOLAMENTO PARA ENCONTRAR</t>
  </si>
  <si>
    <t>FOI FEITA A SOLDA NO LOCAL E ADICIONADO 6 BOTIJAS DE R22</t>
  </si>
  <si>
    <t>FOI FEITA SOLDA NO GERADOR E ADICIONADO 2 BOTIJAS DE GÁS</t>
  </si>
  <si>
    <t xml:space="preserve">CLIENTE ENTROU EM CONTATO INFORMANDO QUE A MAQUINA ESTA DESARMANDO A TODO MOMENTO POR PRESSAO BAIXA DE OLEO E ESTA TENDO DIFICULDADES COM A MAQUINA AO LIGAR, POIS A MAQUINA NÃO LIGA POR FALTA DE PRESSAO DE OLEO. </t>
  </si>
  <si>
    <t xml:space="preserve">FOI FEITO MANUTENÇÃO NA SOFT START E REMONTADA NO CLIENTE, HAVIA MUITA UMIDADE NA FOFT O QUE CAUSOU O MAU FUNCIONAMENTO </t>
  </si>
  <si>
    <t xml:space="preserve">CLIENTE ENTROU EM CONTATO INFORMANDO QUE O COMPRESSOR ESTAVA FAZENDO BARULHO NOVAMENTE E QUE EM ALGUNS MOMENTOS DA PRODUÇÃO O BARULHO OSCILAVA, E EM ALGUNS MOMENTOS ATE A INJEÇÃO DE LIQUIDO ERA INTERROMPIDA, POIS HAVIA MUITA SUJEIRA NA MAQUINA E COMPRESSOR </t>
  </si>
  <si>
    <t>REALIZADO LIMPEZA GERAL NA MAQUINA NOS REGISTROS, VALVULAS E COMPRESSOR. MAQUINA AINDA NECESSITANDO DE TROCAR O OLEO</t>
  </si>
  <si>
    <t xml:space="preserve">CLIENTE ENTROU EM CONTATO INFORMANDO QUE A MAQUINA ESTAVA COM FACA DA CUBA TRAVADA E QUE O MOTOR FICAVA GIRANDO EM FALSO FAZENDO COM QUE A FACA FICASSE TRAVADA </t>
  </si>
  <si>
    <t xml:space="preserve">FOI ORIENTADO O CLIENTE A FAZER DEGELO FORCADO A FIM DE VERIFICARMOS SE A MAQUINA NÃO ESTAVA BLOQUEADA E COM ISSO A FACA ESTAVA TRAVADA. DEGELO FEITO E MAQUINA FUNCIOANANDO </t>
  </si>
  <si>
    <t>CLIENTE ENTROU EM CONTATO INFORMANDO QUE A MAQUINA ESTAVA COM VAZAMENTO NA HASTE DA VALVULA DA SUCÇÃO DO COMPRESSOR, O MESMO INFORMOU QUE NOTOU O VAZAMENTO POIS FAZ CHECAGEM DOS REGISTRO E NOTOU QUE O MESMO ESTAVA VAZANDO E QUE NÃO É A PRIMEIRA VEZ QUE ISSO OCORRE</t>
  </si>
  <si>
    <t xml:space="preserve">FOI FEITO REAPERTO NA VALVULA E IREMOS ACOMONAHR SE NÃO HAVERÁ MAIS VAZAMENTOS </t>
  </si>
  <si>
    <t xml:space="preserve">CLIENTE ENTROU EM CONTATO INFORMANDO QUE O GELO DA MAQUINA ESTA SAINDO MUITO QUEBRADO CLIENTE MENCIONOU QUE A MAQUINA QUE ESTA APRESNTANDO PROBLEMAS E DIFERENTE DA MAQUINA QUE JÁ TEM INSTALADA E ACREDITA QUE O PROBLEMA ESTEJA NA ROTAÇÃO DO MOTOREDUTOR QUE POR SINAL E MAIOR DO QUE DA OUTRA MAQUINA. </t>
  </si>
  <si>
    <t>CLIENTE ENTROU EM CONTATO INFORMANDO QUE COMEÇOU A VAZAR GÁS PELA TUBULAÇÃO DE DESCARGA NA ENTRADA DO SEPARADOR DE ÓLEO, MÁQUINA HAVIA QUEBRADO A TUBULAÇÃO</t>
  </si>
  <si>
    <t>FOI ADICIONADO 6 BOTIJAS DE R404A, INSTALADO 2 FLEXIVEIS NA LINHA DA DESCARGA, FEITO SUB E SUPER DO EQUIPAMENTO E A MÁQUINA FICOU EM FUNCIONAMENTO</t>
  </si>
  <si>
    <t>CLIENTE INFORMOU QUE HAVIA COMPRADO GÁS PARA REPOR NO QUE PERDEU NA MÁQUINA EM UM VAZAMENTO QUE TEVE NO QUADRO DO GÁS QUENTE, CHAMOU UM TÉCNICO DE REFRIGERAÇÃO QUE SEM A NOSSA ORIENTAÇÃO ADICIONOU GÁS PELA SUCÇÃO DO COMPRESSOR, CAUSANDO O GOLPE DE LÍQUIDO</t>
  </si>
  <si>
    <t>CLIENTE ENTROU EM CONTATO INFORMANDO QUE AO LIGAR A MÁQUINA O COMPRESSOR FEZ UM RUIDO MUITO ALTO, E COM ISSO BATEU NO BOTAO DE EMERGENCIA. SENDO ASSIM ACIONAMOS NOSSO TERCERIZADO DA BAHIA PARA ANALISAR PRESENCIALMENTE, A BOIA DE ÓLEO DA MÁQUINA NÃO HAVIA ATUADO E NEM O DELTA P DO  EQUIPAMENTO, AS ULTIMAS FALHAS NO HISTORICO, CONSTA FALHA EM 2020 AS ULTIMAS, SEM SABER OQUE ACONTECEU COM O EQUIPAMENTO ANTES DA QUEBRA DO COMPRESSOR, TALVEZ ALGO DA PROGRAMAÇÃO NÃO ESTAVAM MOSTRANDO AS FALHAS NO PAINEL</t>
  </si>
  <si>
    <t>FOI REALIZADO O CONSERTO DO COMPRESSOR, TROCA DE ÓLEO, TROCA DE FILTROS, SUBSTITUIÇÃO DO DELTA P E BOIA DE ÓLEO DO EQUIPAMENTO, ADICIONADO 6 BOTIJAS DE GÁS NO EQUIPAMENTO E REGULADO SUB E SUPER</t>
  </si>
  <si>
    <t xml:space="preserve">CLIENTE ENTROU EM CONTATO INFORMANDO QUE A MÁQUINA ESTAVA VAZANDO GÁS E ÓLEO PELO QUADRO DO GÁS QUENTE NOVAMENTE, SENDO ASSIM CLIENTE INFORMOU QUE IRIA TROCAR TODA A TUBULAÇÃO DESSA LINHA </t>
  </si>
  <si>
    <t>FOI SUBSTITUIDA TODA A TUBULAÇÃO DO QUADRO DO GÁS QUENTE E ADICIONADO GÁS E ÓLEO NA MÁQUINA</t>
  </si>
  <si>
    <t>FOI FEITO REPARO NA VANA E ADICIONADO MAIS ÓLEO NA MÁQUINA</t>
  </si>
  <si>
    <t>HÉRCULES CHEGOU NO CLIENTE E FOI PRESSURIZAR O SISTEMA, AO PRESSURIZAR ENCONTROU VAZAMENTO NO RETORNO DE ÓLEO DO COMPRESSOR E PROBLEMAS NA VALVULA DE SEGURANÇA</t>
  </si>
  <si>
    <t>FOI FEITA A SOLDA NO RETORNO DE ÓLEO E TROCADO A VALVULA DE SEGURANÇA</t>
  </si>
  <si>
    <t>AO INICIAR O STARTUP FOI ENCONTRADO 2 VAZAMENTOS NO EQUIPAMENTO, UM NA TUBULAÇÃO DE SUCÇÃO E OUTRA NA LINHA DO GÁS QUENTE</t>
  </si>
  <si>
    <t>FOI FEITA A SOLDA NA TUBULAÇÃO</t>
  </si>
  <si>
    <t>CLIENTE ENTROU EM CONTATO INFORMANDO QUE A MÁQUINA ESTAVA DESARMANDO O DIJSUNTOR A MOTOBOMBA DO CONDENSADOR, O CARLOS INFORMOU QUE VAI PRECISAR SUBSTITUIR O DISJUNTOR DA MOTOBOMBA QUE ESTAVA EM CURTO</t>
  </si>
  <si>
    <t xml:space="preserve">CLIENTE ENTROU EM CONTATO INFORMANDO QUE A MÁQUINA APÓS O 5 CICLO ESTÁ DESARMANDO POR PRESSÃO DE SUCÇÃO BAIXA </t>
  </si>
  <si>
    <t>CLIENTE ENTROU EM CONTATO INFORMANDO QUE A ENSACADORA NÃO ESTAVA MARCANDO O PESO DO SILO E NEM DO PACOTE NO PAINEL</t>
  </si>
  <si>
    <t>FOI TROCADO O DISJUNTOR  MOTOR DA BOMBA DO CONDENSADOR</t>
  </si>
  <si>
    <t>CLIENTE ENTROU EM CONTATO INFORMANDO QUE A MAQUINA ESTAVA PRESENTANDO FALTA DE OLEO NA MAQUINA, DISSE QUE FICOU COM A MAQUINA PARADA ALGUNS DIAS E AGORA  A MAQUINA NÃO PARA LIGADA, NIVEL DE GÁS ESTAVA BAIXO E O SINESIO ENCONTRO VAZAMENTO DE GÁS NA TUBULAÇÃO DO PILOTO DA VANA</t>
  </si>
  <si>
    <t>FOI FEITA A SOLDA, ADICIONADO 1 BOTIJA DE GÁS E 1L DE ÓLEO NO EQUIPAMENTO</t>
  </si>
  <si>
    <t>O COMPRESSOR FOI CONSERTADO E STARTADO NOVAMENTE</t>
  </si>
  <si>
    <t>CLIENTE ENTROU EM CONTATO INFORMANDO QUE A MÁQUINA ESTÁ COM VAZAMENTO DE GÁS NA TUBULAÇÃO DO QUADRO DO GÁS QUENTE, CONTRATAMOS UM SOLDADOR E ACIONAMOS NOSSO TERCERIZADO</t>
  </si>
  <si>
    <t>FOI FEITA A SOLDA NA TUBULAÇÃO E ADICIONADO 2 BOTIJAS DE GÁS</t>
  </si>
  <si>
    <t>EMS-1</t>
  </si>
  <si>
    <t>CLIENTE ENTROU EM CONTATO INFORMANDO QUE A MÁQUINA ESTAVA DESARMANDO POR SOBRECORRENTE NO COMPRESSOR, AO FAZER ALGUMAS VERIFICAÇÕES FOI CONSTATADO QUE O DISJUNTOR MOTOR ESTAVA EM CURTO</t>
  </si>
  <si>
    <t>FOI TROCADO O DISJUNTOR MOTOR DO COMPRESSOR</t>
  </si>
  <si>
    <t>FOI LIMPADO OS FILTROS E COLOCADO A MÁQUINA PARA FUNCIONAR, EM BREVE SERÁ FEITO TROCA DE ÓLEO E FILTROS</t>
  </si>
  <si>
    <t xml:space="preserve">CLIENTE ENTROU EM CONTATO INFORMANDO QUE A MÁQUINA ESTAVA VAZANDO GÁS E ÓLEO PELO QUADRO DO GÁS QUENTE </t>
  </si>
  <si>
    <t>CLIENTE ENTROU EM CONTATO INFORMANDO QUE A MÁQUINA HAVIA DESARMADO POR SOBRETEMPERATURA NO COMPRESSOR AO ASCENDER O QUADRO, SENDO ASSIM FIZEMOS ALGUMAS VERIFICAÇÕES E FOI FEITO UM JUMPER DO TÉRMICO PARA O 24V PARA PARTIR A MÁQUINA, AO LIGAR A MESMA FUNCIONOU NORMALMENTE, SENDO VALIDADD QUE O PROBLEMA ESTÁ NO MODULO TÉRMICO DO COMPRESSOR</t>
  </si>
  <si>
    <t>FOI DEIXADA A MÁQUINA FUNCIONANDO COM O JUMPER, MAS SERÁ ENVIADO UM MÓDULO TÉRMICO PARA SUBSTITUIÇÃO</t>
  </si>
  <si>
    <t xml:space="preserve">CLIENTE ENTROU EM CONTATO INFORMANDO QUE HOUVE UMA QUEIMA NA MOTOBOMBA DO CONDENSADOR </t>
  </si>
  <si>
    <t>FOI FEITO A SOLDA NO QUADRO DO GÁS QUENTE</t>
  </si>
  <si>
    <t>CLIENTE ENTROU EM CONTATO INFORMANDO QUE A O GELO ESTAVA SAINDO MUITO FINO, E CAIU 2 KG NA PRODUÇÃO</t>
  </si>
  <si>
    <t>AUMENTAMOS O TEMPO DE PRODUÇÃO POIS O CLIMA NO CLIENTE ESTAVA MAIS QUENTE E A MÁQUINA FECHOU MAIS O GELO</t>
  </si>
  <si>
    <t>CLIENTE ENTROU EM CONTATO INFORMANDO QUE A MÁQUINA HAVIA DESARMADO A BOMBA DO CONDENSADOR, SENDO ASSIM SOLICITOU SUPORTE</t>
  </si>
  <si>
    <t>APENAS REARMAMOS O DISJUNTOR E O EQUIPAMENTO VOLTOU A FUNCIONAR</t>
  </si>
  <si>
    <t>CLIENTE DEIXOU O EQUIPAMENTO PARADO POR 2 DIAS E AO INICIAR O FUNCIONAMENTO MESMO FICA DESARMANDO POR NAIXO NÍVEL DE ÓLEO</t>
  </si>
  <si>
    <t>FOI FEITO O JUMPER E ABERTO EM 1 VOLTA O RETORNO DE ÓLEO, DEPOIS FECHAMOS 3/4, OU SEJA A VÁLVULA TEVE UM ACRÉSCIMO DE 1/4 DE VOLTA</t>
  </si>
  <si>
    <t>CLIENTE ENTROU EM CONTATO INFORMANDO QUE A MÁQUINA ESTAVA CONGELANDO MUITO O COMPRESSOR, SENDO ASSIM ENVIAMOS O TÉCNICO POIS O COMPRESSOR ESTAVA SOFRENDO GOLPE DE LÍQUIDO, VÁLVULA DE EXPANSÃO ESTAVA EM 1 VOLTA E MEIA</t>
  </si>
  <si>
    <t>VÁLVULA DE EXPANSÃO FICOU EM MEIA VOLTA E EQUIPAMENTO FICOU OPERANDO BEM, TAMBÉM FOI ABERTO O COMPRESSOR PARA VER SE NÃO ESTAVA DANIFICADO</t>
  </si>
  <si>
    <t>FOI ABERTO 1/2 VOLTA A EXPANSÃO E O EQUIPAMENTO NÃO DESARMOU MAIS, TOTALIZANDO 3/4 DE 1 VOLTA NA EXPANSÃO COM A PRESSÃO DE SUCÇÃO  PRÓXIMO A 2.0 BAR</t>
  </si>
  <si>
    <t>CLIENTE ENTROU EM CONTATO INFORMANDO QUE A MÁQUINA DESARMOU POR BAIXO NIVEL DE ÓLEO, MAS O OILPACK ESTAVA CHEIO, FOI IDENTIFICADO QUE O FILTRO DA LINHA DE ÓLEO E O FILTRO DA BOIA DE ÓLEO ESTAVA OBSTRUIDOS DEVIDO A SUJEIRA QUE HOUVE NA QUEBRA DO COMPRESSOR POR FALTA DE ATUAÇÃO DA BOIA DE ÓLEO E DELTA P</t>
  </si>
  <si>
    <t>CLIENTE ENTROU EM CONTATO INFORMANDO QUE A MÁQUINA FICA DESARMANDO POR PRESSÃO DE DESCARGA ALTA, SENDO ASSIM VAMOS MECHER NA PROGRAMAÇÃO PARA VER SE RESOLVE</t>
  </si>
  <si>
    <t>CLIENTE ENTROU EM CONTATO INFORMANDO QUE SUA MOTOBOMBA DO CONDENSADOR HAVIA TRAVADO E NÃO ACIONAVA MAIS</t>
  </si>
  <si>
    <t>REALIZAMOS A TROCA DA MOTOBOMBA DO CLIENTE</t>
  </si>
  <si>
    <t>FOI REBOBINADA A MOTOBOMBA DO CLIENTE</t>
  </si>
  <si>
    <t>FOI TROCADO AS CELULAS DE CARGA DO EQUIPAMENTO</t>
  </si>
  <si>
    <t>CLIENTE ENTROU EM CONTATO INFORMANDO QUE A MÁQUINA ESTAVA DESARMANDO POR BAIXO NÍVEL DE ÓLEO NO COMPRESSOR</t>
  </si>
  <si>
    <t>A SOLUÇÃO NO MOMENTO FOI ADICIONAR 2.5 L DE ÓLEO NO COMPRESSOR</t>
  </si>
  <si>
    <t>CLIENTE ENTROU EM CONTATO INFORMANDO QUE A MÁQUINA ESTAVA DESARMANDO POR PRESSÃO DE ÓLEO</t>
  </si>
  <si>
    <t xml:space="preserve">CLIENTE ENTROU EM CONTATO INFORMANDO QUE ESTAVA COM VAZAMENTO DE GÁS NO TUBO FLEXÍVEL DA DESCARGA </t>
  </si>
  <si>
    <t>CLIENTE ENTROU EM CONTATO INFORMANDO QUE O OILPACK ESTAVA CHEIO E A MÁQUINA HAVIA DESARMADO POR BAIXO NÍVEL DE ÓLEO,  SENDO ASSIM AO ABRIR O FILTRO DA BOIA DE ÓLEO FOI CONSTATADO QUE ESTAVA OBSTRUIDO</t>
  </si>
  <si>
    <t>CLIENTE ENTROU EM CONTATO INFORMANDO QUE A MÁQUINA HAVIA DESARMADO POR BAIXO NÍVEL DE ÓLEO AO INICIAR A PRODUÇÃO, OIL PACK E BOIA DE ÓLEO ESTAVAM VAZIOS</t>
  </si>
  <si>
    <t>FOI LIMPADO O FILTRO DA BOIA DE ÓLEO E FEITO VÁCUO NO COMPRESSOR</t>
  </si>
  <si>
    <t>HORÍMETRO</t>
  </si>
  <si>
    <t>CLIENTE  ENTROU EM CONTATO INFORMANDO QUE A MÁQUINA ESTAVA COM VAZAMENTO DE GÁS NA TUBULAÇÃO DO GÁS QUENTE</t>
  </si>
  <si>
    <t>CLIENTE ENTROU EM CONTATO INFORMANDO QUE A MÁQUINA HAVIA ENTRADO EM CURTO SUA PEDALEIRA</t>
  </si>
  <si>
    <t>FOI MEXIDO NA PROGRAMAÇÃO PARA QUE A MÁQUINA DESARME COM 16,8 BAR</t>
  </si>
  <si>
    <t>FOI ABERTO 1 VOLTA DO RETORNO DE ÓLEO E O ÓLEO ENCHEU O OILPACK, DEPOIS VOLTAMOS A VÁLVULA NA POSIÇÃO DEIXADA NO STARTUP</t>
  </si>
  <si>
    <t>CLIENTE ENTROU EM CONTATO INFORMANDO QUE A MÁQUINA ESTAVA DESARMANDO POR BAIXO NÍVEL DE ÓLEO, MÁQUINA ESTAVA 2 DIAS DESLIGADA</t>
  </si>
  <si>
    <t>FOI FEITO APENAS O JUMPER NO QUADRO ELETRICO E APÓS 4 CICLOS O ÓLEO RETORNOU</t>
  </si>
  <si>
    <t>FOI TROCADO A CURVA DA TUBULAÇÃO DE DESARGA E ADICIONADO GÁS</t>
  </si>
  <si>
    <t>FOI FEITA A SOLDA NOVAMENTE NA TUBULAÇÃO DO GÁS QUENTE DO EQUIPAMENTO</t>
  </si>
  <si>
    <t>FOI COLOCADO UM BOTÃO INTERRUPTOR PARA O CLIENTE TRABALHAR E VAMOS ENVIAR UMA PEDALEIRA EM BREVE</t>
  </si>
  <si>
    <t>CLIENTE ENTROU EM CONTATO INFORMANDO QUE ESTAVA COM VAZAMENTO NA CUBA DA MÁQUINA, BEM NA SOLDA ONDE CONECTA A MANGUEIRA DE ABASTECIMENTO, CONFORME IA SOLDANDO IA RACHANDO O TUBO, COM ISSO FOI CORTADO O TUBO E SOLDADO UMA NOVA TUBULAÇÃO</t>
  </si>
  <si>
    <t>FOI TROCADO A TUBULAÇÃO E SOLDADO NOVAMENTE O ENGATE DE ENTRADA DE AGUA DA CUBA</t>
  </si>
  <si>
    <t>CLIENTE ENTROU EM CONTATO INFORMANDO QUE A MÁQUINA ESTAVA DESARMANDO POR PRESSÃO DE ÓLEO, SENDO ASSIM COMO TIVEMOS ESSE PROBLEMA ANTERIOR RESOLVEMOS ENVIAR UM TÉCNICO AO CLIENTE</t>
  </si>
  <si>
    <t>RETIRAMOS O DELTA P E VERIFICAMOS QUE A ROSCA ESTA COMIDA, SENDO ASSIM PAULO PASSOU VEDA ROSCA E CONSEGUIU DEIXAR A MÁQUINA EM FUNCIONAMENTO</t>
  </si>
  <si>
    <t>CLIENTE ENTROU EM CONTATO INFORMANDO QUE A MÁQUINA ESTAVA DESARMANDO POR PRESSÃO DE ÓLEO NO DEGELO</t>
  </si>
  <si>
    <t>COMO A MÁQUINA DO CLIENTE HAVIA QUEBRADO QUANDO CHEGOU LÁ O TÉCNICO NO STARTUP ACOMPANHOU A SOLDA NA TUBULAÇÃO DO RL E FOI FEITO O VACUO NO SISTEMA</t>
  </si>
  <si>
    <t>FOI FEITA A SOLDA, VACUO NO SISTEMA E ADICIONADO 22 BOTIJAS DE GÁS PARA RODAR O EQUIPAMENTO</t>
  </si>
  <si>
    <t>CLIENTE ENTROU EM CONTATO INFORMANDO QUE A MÁQUINA ESTAVA COM PROBLEMAS NA VANF E QUE ELA ESTAVA TRAVANDO NO MOMENTO DO DEGELO, SENDO ASSIM VAMOS ENVIAR OUTRA VÁLVULA</t>
  </si>
  <si>
    <t>FOI TROCADA A VANF DO CLIENTE E A MÁQUINA SEGUE EM FUNCIONAMENTO</t>
  </si>
  <si>
    <t>CLIENTE ENTROU EM CONTATO INFORMANDO QUE A MÁQUINA HAVIA APRESENTADO FALTA DE ÓLEO DA MÁQUINA, MÁQUINA FICOU PARADA POR 2 DIAS</t>
  </si>
  <si>
    <t>FOI ADICIONADO 2 LITROS DE ÓLEO E ABERTO 1/4 O RETORNO DE ÓLEO</t>
  </si>
  <si>
    <t>CLIENTE ENTROU EM CONTATO INFORMANDO QUE A PEDALEIRA HAVIA PARADO DE FUNCIONAR, SENDO ASSIM VAMOS ENVIAR OUTRA PEDALEIRA AO CLIENTE</t>
  </si>
  <si>
    <t>FOI TROCADO VANA E VANF DA MÁQUINA, FEITO REGULAGEM DA EXPANSÃO. LIMPEZA DA SOLENOIDE DA LINHA DE LÍQUIDO E REGULADO A BOIA DE NÍVEL</t>
  </si>
  <si>
    <t>CLIENTE ENTROU EM CONTATO INFORMANDO QUE NOVAMENTE A MÁQUINA VOLTOU A SOFRER GOLPE DE LÍQUIDO NO COMPRESSOR, E ESTAVA COM QUEDA NA PRODUÇÃO</t>
  </si>
  <si>
    <t>CLIENTE ENTROU EM CONTATO INFORMANDO QUE A MÁQUINA ESTAVA DESARMANDO CONSTANTEMENTE POR DESCARGA ALTA, E QUE A MÁQUINA ESTAVA COM QUEDA NA PRODUÇÃO, FOI ENONTRADO VAZAMENTO NO NA CURVA DA TUBULAÇÃO DE DESCARGA DO COMPRESSOR</t>
  </si>
  <si>
    <t>FOI ADICIONADO ÓLEO NO EQUIPAMENTO MAIS SERÁ TROCADO A BOMBA DE ÓLEO DO COMPRESSOR EM BREVE</t>
  </si>
  <si>
    <t>CLIENTE ENTROU EM CONTATO INFORMANDO QUE A MÁQUINA ESTAVA DESARMANDO POR PRESSÃO DE ÓLEO, POIS A BOMBA DE ÓLEO ESTÁ COM FOLGA</t>
  </si>
  <si>
    <t xml:space="preserve">CLIENTE ENTROU EM CONTATO INFORMANDO QUE A MAQUINA ESTAVA COM PROBLEMAS DE VAZAMENTO DE MUITO OLEO PELO SELO MECANICO DO COMPRESSOR OCASIONANDO BAIXO NIVEL DE OLEO NO COMPRESSOR </t>
  </si>
  <si>
    <t xml:space="preserve">TROCA SO SELO MECANICO, ENVIADO AO CLIENTE E SOLICITADO QUE SEJA TROCADO </t>
  </si>
  <si>
    <t>BANN QUIMICA</t>
  </si>
  <si>
    <t>GELO PESSIN</t>
  </si>
  <si>
    <t>PEDALEIRA DO CLIENTE FOI TROCADA</t>
  </si>
  <si>
    <t>CLIENTE ENTROU EM CONTATO QUE A ENSACADORA ESTAVA APARECENDO A MENSAGEM CÓDGIGO NA TELA, COM ALGUMAS VERIFICAÇÕES DO ROGÉRIO FOI SUGERIDO A TROCA DO PAINEL DA ENSACADORA QUE  ESTAVA COM PROBLEMAS</t>
  </si>
  <si>
    <t>CLIENTE ENTROU EM CONTATO INFORMANDO QUE A MÁQUINA ESTAVA APRESENTANDO BAIXO NÍVEL DE ÓLEO NO COMPRESSOR MAIS O OIL PACK ESTAVA CHEIO, SENDO ASSIM FIZEMOS O TESTE NA SOLENOIDE DA BOIA DE ÓLEO E ELA NÃO ESTAVA IMANTANDO, SINAL QUE A BOIA ESTÁ COM PROBLEMAS</t>
  </si>
  <si>
    <t>FOI TROCADA A MÁQUINA DO CLIENTE</t>
  </si>
  <si>
    <t>CLIENTE ENTROU EM CONTATO INFORMANDO QUE A MÁQUINA ESTAVA DESARMANDO PELO BRITADOR, COM ISSO VERIFICAMOS QUE AS CORREIAS NÃO ESTAVAM BEM TENSIONADAS</t>
  </si>
  <si>
    <t>FOI ESTICADO A CORREIA DO BRITADOR</t>
  </si>
  <si>
    <t>FOI TROCADA A BOIA DE ÓLEO DO COMPRESSOR</t>
  </si>
  <si>
    <t>CLIENTE ENTROU EM CONTATO INFORMANDO QUE A MÁQUINA ESTAVA DESARMANDO CONSTANTEMENTE E TODA HORA TINHA QUE LIMPAR OS FILTROS DEVIDO A SUJEIRA, VAMOS REALIZAR A TROCA DE ÓLEO PARA LIMPEZA DO SISTEMA</t>
  </si>
  <si>
    <t>FOI TROCADO ÓLEO E FILTROS DA MÁQUINA PARA LIMPEZA DO SISTEMA</t>
  </si>
  <si>
    <t>CLIENTE ENTROU EM CONTATO INFORMANDO QUE COMEÇOU UM VAZAMENTO NA TUBULAÇÃO DO GÁS QUENTE, BEM NO MEIO DO TUBO</t>
  </si>
  <si>
    <t>A SOLUÇÃO NO MOMENTO FOI SOLDAR NOVAMENTE A TUBULAÇÃO DO GÁS QUENTE</t>
  </si>
  <si>
    <t>CLIENTE ENTROU EM CONTATO INFORMANDO QUE TODA SEMANA ESTÁ PARANDO A MÁQUINA PARA FAZER MANUTENÇÃO NA BOIA DE ÓLEO POIS ELA ESTÁ OBSTRUINDO POR SUJEIRA, DISSE QUE PRECISAVAMOS LIMPAR O SISTEMA E A SOLUÇÃO FOI REALIZAR A TROCA DE ÓLEO</t>
  </si>
  <si>
    <t>FOI TROCADO ÓLEO E FILTROS DA MÁQUINA E ADICIONADO 6 BOTIJA DE GÁS NO EQUIPAMENTO</t>
  </si>
  <si>
    <t>JUMPEAMOS E ABRIMOS 1/4 O RETORNO DE ÓLEO DO CLIENTE E A LUZ DA BOIA FICOU VERDE E VOLTAMOS PARA POSIÇÃO ORIGINAL</t>
  </si>
  <si>
    <t>FOI TROCADO O FLEXÍVEL E ADICIONADO 5 BOTIJAS DE GÁS</t>
  </si>
  <si>
    <t>CLIENTE ENTROU EM CONTATO INFORMANDO QUE A MÁQUINA ESTAVA PARADA POR BAIXO NÍVEL DE ÓLEO, FIZEMOS O JUMPER MAIS O ÓLEO NÃO RETORNOU PARA O COMPRESSOR, SINAL QUE HAVIA SUJEIRA NO RETORNO DE ÓLEO</t>
  </si>
  <si>
    <t>FOI ABERTO 1/4 O RETORNO DE ÓLEO E APÓS 3 CICLOS O ÓLEO RETORNOU PARA O COMPRESSOR</t>
  </si>
  <si>
    <t>FOI REARMADO O DISJUNTOR E A MÁQUINA SEGUIU O FUNCIONAMENTO</t>
  </si>
  <si>
    <t>CLIENTE ENTROU EM CONTATO INFORMANDO QUE A MÁQUINA ESTAVA DESLIGANDO  POR BAIXO NIVEL DE ÓLEO</t>
  </si>
  <si>
    <t>CLIENTE ENTROU EM CONTATO INFORMANDO QUE A MÁQUINA NÃO ESTA DANDO PRODUÇÃO, NECESSÁRIO TROCA DA POLIA E TROCA DAS CORREIAS QUE ESTÃO COM PROBLEMA TAMBÉM</t>
  </si>
  <si>
    <t>CLIENTE ENTROU EM CONTATO INFORMANDO QUE ESTÁ COM QUEDA NA PRODUÇÃO</t>
  </si>
  <si>
    <t>CLIENTE ENTROU EM CONTATO INFORMANDO QUE A MAQUINA NOVAMENTE DEU BAIXO NÍVEL DE ÓLEO E O OILPACK CHEIO, ABRIMOS A BOIA DE ÓLEO E FOI VERIFICADO QUE ESTAVA OBSTRUIDO POR SUJEIRA</t>
  </si>
  <si>
    <t>CLIENTE ENTROU EM CONTATO INFORMANDO QUE A MÁQUINA APARECEU A FALHA DE DESCARGA ALTA , FOI ANALISADO E VIMOS QUE O SENSOR DE DESCARGA ESTAVA COM PROBLEMAS</t>
  </si>
  <si>
    <t>CLIENTE ENTROU EM CONTATO INFORMANDO QUE A MÁQUINA ESTÁ DESARMANDO POR BAIXO NÍVEL DE ÓLEO, MÁQUINA ESTAVA FUNCIONANDO NORMALMENTE, POSSIVEL SUJEIRA OBSTRUIU A PASSAGEM DO RETORNO DE ÓLEO</t>
  </si>
  <si>
    <t>CLIENTE ENTROU EM CONTATO INFORMANDO QUE O DISJUNTOR DO COMPRESSOR HAVIA DESARMANDO, DISSE QUE HAVIA DADO UM PICO DE ENERGIA NA SUA FÁBRICA</t>
  </si>
  <si>
    <t>CLIENTE ENTROU EM CONTATO INFORMANDO QUE A MÁQUINA ESTAVA VAZANDO ÁGUA PELO GERADOR, OPERADOR DO CLIENTE HAVIA MUDADO O TEMPO DE DEGELO PARA APENAS 50 SEGUNDOS</t>
  </si>
  <si>
    <t>CLIENTE ENTROU EM CONTATO INFORMANDO QUE A LUZ DA BOIA ELETRONICA NÃO ESTAVA ASCENDENDO</t>
  </si>
  <si>
    <t>MÁQUINA DO CLIENTE APÓS STARTUP ESTAVA COM PROBLEMAS NA RETENÇÃO, SENDO ASSIM  VAI PRECISAR PRODUZIR DUAS NOVAS RETENÇÕES</t>
  </si>
  <si>
    <t>CLIENTE ENTROU EM CONTATO INFORMANDO QUE A MÁQUINA APRESENTOU BAIXO NÍVEL DE ÓLEO NO COMPRESSOR, MÁQUINA ESTAVA EM FUNCIONAMENTO O DIA TODO E DESARMOU NO FIM DO DIA</t>
  </si>
  <si>
    <t>FOI FEITO O JUMPER E ABRIMOS MEIA VOLTA O RETORNO DE ÓLEO, APÓS 4 CICLOS A MÁQUINA RETORNOU  O ÓLEO PARA O COMPRESSOR</t>
  </si>
  <si>
    <t>MÁQUINA CHEGOU NO CLIENTE COM A TUBULAÇÃO DE SUCÇÃO QUEBRADA, NA LINHA ESTA INSTALADA UM FLEXIVEL</t>
  </si>
  <si>
    <t>FOI FEITO A SOLDA DA TUBULAÇÃO DE SUCÇÃO DA MÁQUINA</t>
  </si>
  <si>
    <t>VALDECIR</t>
  </si>
  <si>
    <t>CLIENTE ENTROU EM CONTATO INFORMANDO QUE A MÁQUINA APRESENTOU VAZAMENTO NOVAMENTE NO QUADRO DO GÁS QUENTE, SENDO ASSIM VAI SER PRECISO REALIZAR A SUBSTITUIÇÃO DA TUBULAÇÃO POIS ELA ESTA RACHANDO CONFORME VAI SOLDANDO</t>
  </si>
  <si>
    <t>CLIENTE ENTROU EM CONTATO INFORMANDO QUE A MÁQUINA DESARMOU O DISJUNTOR DO COMPRESSOR, TAMBÉM INFORMOU QUE TEVE UM PICO DE ENERGIA NA FÁBRICA E APÓS RETORNAR ESTAVA A FALHA NO PAINEL</t>
  </si>
  <si>
    <t>FOI REARMADO O DISJUNTOR E MÁQUINA FICOU EM FUNCIONAMENTO</t>
  </si>
  <si>
    <t>CLIENTE HAVIA PERDIDO MUITO ÓLEO PELO QUADRO DO GÁS QUENTE E UM ATENDIMENTO ANTERIOR, SENDO ASSIM A MÁQUINA ACUSOU BAIXO NÍVEL DE ÓLEO E O NÍVEL DE GÁS ESTÁ BAIXO, NÃO AJUDANDO O ÓLEO A RETORNAR PARA O COMPRESSOR</t>
  </si>
  <si>
    <t>FOI ADICIONADO 5 L DE ÓLEO NA MÁQUINA E 4 BOTIJAS DE GÁS</t>
  </si>
  <si>
    <t>FOI TROCADO O PAINEL E A CÉLULA DE CARGA</t>
  </si>
  <si>
    <t>MÁQUINA DO CLIENTE ESTAVA DESARMANDO SEM APRESENTAR FALHAS, PRESSÕES ESTAVAM NORMAIS SEM DISJUNTORES DESARMADOS</t>
  </si>
  <si>
    <t>DEIXAMOS A MÁQUINA DESLIGADA UM DIA, NO OUTRO FICOU EM OPERAÇÃO NORMALMENTE</t>
  </si>
  <si>
    <t>FOI FEITA A LIMPEZA DO FILTRO DA BOIA E A MÁQUINA FICOU EM FUNCIONAMENTO</t>
  </si>
  <si>
    <t>FOI AJUSTADO O TEMPO DE DEGELO PARA 3 MINUTOS NOVAMENTE</t>
  </si>
  <si>
    <t>FOI FEITA A SOLDA DEPOIS DE MUITO ESFORÇO, ADICIONADO 12 BOTIJAS DE GÁS E TROCADO ÓLEO E FILTROS DA MÁQUINA</t>
  </si>
  <si>
    <t>MECHEMOS NA CAIXINHA DO COMPRESSOR E FIZEMOS A LIGAÇÃO NOVAMENTE, APÓS ISSO A BOIA COMEÇOU A FUNCIONAR</t>
  </si>
  <si>
    <t>CLIENTE ENTROU EM CONTATO INFORMANDO QUE ESTAVA COM VAZAMENTO DE GÁS NA TUBULAÇÃO DE SUCÇÃO DO COMPRESSOR, O VAZAMENTO ESTAVA PRÓXIMO A VÁLVULA</t>
  </si>
  <si>
    <t>FOI SUBSTITUIDA TODA A TUBULAÇÃO DO QUADRO DO GÁS QUENTE E ADICIONADO 5 BOTIJAS DE GÁS NA MÁQUINA E 5L DE ÓLEO</t>
  </si>
  <si>
    <t>CLIENTE ENTROU EM CONTATO QUE A MÁQUINA DESARMOU NOVAMENTE POR BAIXO NÍVEL DE ÓLEO, COLOCAMOS 2L DE ÓLEO NO COMPRESSOR MAIS O MESMO APRESENTOU BAIXO NIVEL DE ÓLEO NOVAMENTE, NIVEL DE GÁS ESTAVA BAIXO NO RL E MÁQUINA SEM PONTOS DE CONGELAMENTO, DESDE O VAZAMENTO NO QUADRO DO GÁS QUENTE NÃO FOI REPOSTO O GÁS NA MÁQUINA</t>
  </si>
  <si>
    <t>FOI ADICIONADO 3 BOTIJAS DE GÁS NA MÁQUINA E 2 L DE ÓLEO NO EQUIPAMENTO</t>
  </si>
  <si>
    <t>CLIENTE INFORMOU QUE FICOU COM A MÁQUINA PARADA DOIS DIAS, AO INICIAR A PRODUÇÃO ELA DESARMOU POR BAIXO NÍVEL DE ÓLEO NO COMPRESSOR</t>
  </si>
  <si>
    <t>FOI FEITO O JUMPER NO EQUIPAMENTO E APÓS 4 CICLOS A MÁQUINA RETORNOU O ÓLEO, TIRAMOS O JUMPER E A MÁQUINA FICOU EM FUNCIONAMENTO</t>
  </si>
  <si>
    <t>CLIENTE ENTROU EM CONTATO INFORMANDO QUE ESTAVA TOMANDO CHOQUE NA BASE DO EQUIPAMENTO, E QUE ESTAVA CHEGANDO 120 VOLTS NELA, FOI IDENTIFICADO PROBLEMA NA BOBINA SOLENOIDE DA BOIA DE ÓLEO QUE ESTAVA INCLUSIVE DERRETIDA, CONSTATANDO O LOCAL QUE ESTAVA VINDO O CHOQUE</t>
  </si>
  <si>
    <t>CAUSA PRÓXIMA</t>
  </si>
  <si>
    <t>CLASSIFICAÇÃO</t>
  </si>
  <si>
    <t>ORIGEM</t>
  </si>
  <si>
    <t>CLIENTES</t>
  </si>
  <si>
    <t>ATENDIMENTO</t>
  </si>
  <si>
    <t>CATEGORIA P.EM GARANTIA</t>
  </si>
  <si>
    <t>COMPONENTE - PEG</t>
  </si>
  <si>
    <t>FORNECEDOR - PEG</t>
  </si>
  <si>
    <t>Intervalo</t>
  </si>
  <si>
    <t>Parcelas</t>
  </si>
  <si>
    <t>CLIENTES EM ATENDIMENTO</t>
  </si>
  <si>
    <t xml:space="preserve">CLASSIFICAÇÃO - GASTOS ASS. TEC </t>
  </si>
  <si>
    <t xml:space="preserve">ORIGEM - GASTOS ASS. TEC </t>
  </si>
  <si>
    <t>DESPESAS COM ASSISTENCIA TECNICA</t>
  </si>
  <si>
    <t>Aluguel de Veiculo - Assistencia Tecnica</t>
  </si>
  <si>
    <t>Combustível - Assistência Técnica</t>
  </si>
  <si>
    <t>Estacionamento - Assistência Técnica</t>
  </si>
  <si>
    <t>SDR</t>
  </si>
  <si>
    <t>Frete - Assistência Técnica</t>
  </si>
  <si>
    <t>Hospedagem - Assistencia Técnica</t>
  </si>
  <si>
    <t>OUTRO</t>
  </si>
  <si>
    <t>Manutencao conservação - Ferramental - Assistencia  Tecnica</t>
  </si>
  <si>
    <t>Passagem Aerea / Terrestre - Assistencia Tecnica</t>
  </si>
  <si>
    <t>FILTRO</t>
  </si>
  <si>
    <t>Pedagio - Assistência Técnica</t>
  </si>
  <si>
    <t>INDEFINIDO</t>
  </si>
  <si>
    <t>FLUIDO REFRIGERANTE</t>
  </si>
  <si>
    <t>Refeicao - Assistência Técnica</t>
  </si>
  <si>
    <t>Terceirizado - Assistência Técnica</t>
  </si>
  <si>
    <t>ERRO TÉCNICO TERCEIRIZADO</t>
  </si>
  <si>
    <t>PROBLEMA NA PEDALEIRA</t>
  </si>
  <si>
    <t>PRESSÃO DE ÓLEO BAIXA</t>
  </si>
  <si>
    <t>PROBLEMA NA CÉLULA DE CARGA</t>
  </si>
  <si>
    <t>GOLPE DE LÍQUIDO</t>
  </si>
  <si>
    <t>ESTEIRA TRANSPORTADORA</t>
  </si>
  <si>
    <t>PROBLEMA NO DISJUNTOR</t>
  </si>
  <si>
    <t xml:space="preserve">CLIENTE </t>
  </si>
  <si>
    <t>N° SÉRIE</t>
  </si>
  <si>
    <t xml:space="preserve">TIPO DE EQUIPAMENTO </t>
  </si>
  <si>
    <t xml:space="preserve">EQUIPAMENTO </t>
  </si>
  <si>
    <t xml:space="preserve">REGIAO </t>
  </si>
  <si>
    <t xml:space="preserve">CIDADE </t>
  </si>
  <si>
    <t xml:space="preserve">UF </t>
  </si>
  <si>
    <t xml:space="preserve">PESSOA DE CONTATO </t>
  </si>
  <si>
    <t xml:space="preserve">DATA DE FATAURAMENTO </t>
  </si>
  <si>
    <t xml:space="preserve">CONCLUSÃO STARTUP </t>
  </si>
  <si>
    <t>TÉRMINO DA GARANTIA</t>
  </si>
  <si>
    <t xml:space="preserve">PERIODO DE GARANTIA </t>
  </si>
  <si>
    <t>QUALIDADE</t>
  </si>
  <si>
    <t>MTI - 12.000GTS</t>
  </si>
  <si>
    <t xml:space="preserve">GUARULHOS </t>
  </si>
  <si>
    <t xml:space="preserve">SP </t>
  </si>
  <si>
    <t>ACESSORIO</t>
  </si>
  <si>
    <t>EMS - 1</t>
  </si>
  <si>
    <t>TR - 1</t>
  </si>
  <si>
    <t>BASE</t>
  </si>
  <si>
    <t>MTI - 7.000GTS</t>
  </si>
  <si>
    <t>WENSESLAU</t>
  </si>
  <si>
    <t>PR</t>
  </si>
  <si>
    <t>MTI - 10.000GE</t>
  </si>
  <si>
    <t xml:space="preserve">SÃO PAULO </t>
  </si>
  <si>
    <t>ROSCA TRANSPORTADORA</t>
  </si>
  <si>
    <t>SÃO PAULO</t>
  </si>
  <si>
    <t>SP</t>
  </si>
  <si>
    <t>MTI - 4.000GTS</t>
  </si>
  <si>
    <t>CERQUILHO</t>
  </si>
  <si>
    <t>ARARAS</t>
  </si>
  <si>
    <t>MTI - 2.500GES</t>
  </si>
  <si>
    <t xml:space="preserve">ARAGUARI </t>
  </si>
  <si>
    <t>MG</t>
  </si>
  <si>
    <t>MTI - 2.500GTS</t>
  </si>
  <si>
    <t>PARANAVAI</t>
  </si>
  <si>
    <t>MTI - 40.000GE</t>
  </si>
  <si>
    <t>BRODOWSKI</t>
  </si>
  <si>
    <t xml:space="preserve">COMPONENTE </t>
  </si>
  <si>
    <t>RL - 1000</t>
  </si>
  <si>
    <t>STARTUP Ñ REALIZADO</t>
  </si>
  <si>
    <t>CENTRAL DE COMANDO MTI 12.000 GT</t>
  </si>
  <si>
    <t>REFORMA</t>
  </si>
  <si>
    <t xml:space="preserve">REFORMA RL </t>
  </si>
  <si>
    <t>CE - 250</t>
  </si>
  <si>
    <t>CENTROESTE</t>
  </si>
  <si>
    <t>CERES</t>
  </si>
  <si>
    <t xml:space="preserve">GO </t>
  </si>
  <si>
    <t>MTI - 22.000GT</t>
  </si>
  <si>
    <t>UBERLANDIA</t>
  </si>
  <si>
    <t xml:space="preserve">MG </t>
  </si>
  <si>
    <t>MTI - 24.000GE</t>
  </si>
  <si>
    <t>NOVA VIÇOSA</t>
  </si>
  <si>
    <t>BA</t>
  </si>
  <si>
    <t>SOPRADOR</t>
  </si>
  <si>
    <t>ECLUSA</t>
  </si>
  <si>
    <t>ROSCA</t>
  </si>
  <si>
    <t>QUADRO ELETRICO</t>
  </si>
  <si>
    <t>COMPRESSOR</t>
  </si>
  <si>
    <t xml:space="preserve">GOIANIA </t>
  </si>
  <si>
    <t>MTI - 1.000GTS</t>
  </si>
  <si>
    <t>ITABERAÍ</t>
  </si>
  <si>
    <t>GO</t>
  </si>
  <si>
    <t>INHUMAS</t>
  </si>
  <si>
    <t>IPIRA</t>
  </si>
  <si>
    <t>CE - 400</t>
  </si>
  <si>
    <t>IPATINGA</t>
  </si>
  <si>
    <t>MTI - 4.000GES</t>
  </si>
  <si>
    <t xml:space="preserve">BARREIRINHAS </t>
  </si>
  <si>
    <t>MA</t>
  </si>
  <si>
    <t>BASE MTI - 4.000GTS</t>
  </si>
  <si>
    <t>TEIXEIRA DE FREITAS</t>
  </si>
  <si>
    <t>EMS-2</t>
  </si>
  <si>
    <t>SANTA FÉ DO SUL</t>
  </si>
  <si>
    <t>SÃO BERNARDO DO CAMPO</t>
  </si>
  <si>
    <t>RL - 750</t>
  </si>
  <si>
    <t xml:space="preserve">BOITUVA </t>
  </si>
  <si>
    <t>SANTOS</t>
  </si>
  <si>
    <t>VINHEDO</t>
  </si>
  <si>
    <t>GOVERNADOR VALADARES</t>
  </si>
  <si>
    <t>CUBA 22.000 GT</t>
  </si>
  <si>
    <t xml:space="preserve">RIBERÃO PRETO </t>
  </si>
  <si>
    <t>MTI - 7.000GE (GERADOR ESPECIAL)</t>
  </si>
  <si>
    <t>PONTA GROSSA</t>
  </si>
  <si>
    <t>ER</t>
  </si>
  <si>
    <t xml:space="preserve">ITAIPU </t>
  </si>
  <si>
    <t>GUARUJA</t>
  </si>
  <si>
    <t>ARAPUTANGA</t>
  </si>
  <si>
    <t>MT</t>
  </si>
  <si>
    <t>EMS - 0</t>
  </si>
  <si>
    <t>GERADOR MTI - 12.000GT</t>
  </si>
  <si>
    <t>ANAPOLIS</t>
  </si>
  <si>
    <t>BLOCO DE CONDENSADOR 110.000</t>
  </si>
  <si>
    <t xml:space="preserve">BARRA DOS COQUEIROS </t>
  </si>
  <si>
    <t>SE</t>
  </si>
  <si>
    <t xml:space="preserve">MARABA </t>
  </si>
  <si>
    <t>PA</t>
  </si>
  <si>
    <t>LUZIANA</t>
  </si>
  <si>
    <t>74629R</t>
  </si>
  <si>
    <t>TRES MARIAS</t>
  </si>
  <si>
    <t>MTI - 12.000GT</t>
  </si>
  <si>
    <t>IPIAÇU</t>
  </si>
  <si>
    <t>MTI - 7.000GES</t>
  </si>
  <si>
    <t xml:space="preserve">COSTA MARQUES </t>
  </si>
  <si>
    <t>TO</t>
  </si>
  <si>
    <t>MAQUINA USADA CALABRIA</t>
  </si>
  <si>
    <t>RL - 200</t>
  </si>
  <si>
    <t>ILHA SOLTEIRA</t>
  </si>
  <si>
    <t>CUBATÃO</t>
  </si>
  <si>
    <t>CORUMBA</t>
  </si>
  <si>
    <t>MS</t>
  </si>
  <si>
    <t>E - 600</t>
  </si>
  <si>
    <t>BASE MTI - 7.000GES</t>
  </si>
  <si>
    <t>CAPIVARI</t>
  </si>
  <si>
    <t>FARROUPILHA</t>
  </si>
  <si>
    <t>RS</t>
  </si>
  <si>
    <t>BASE MTI - 1.000GTS</t>
  </si>
  <si>
    <t>CE - 150</t>
  </si>
  <si>
    <t>COTIA</t>
  </si>
  <si>
    <t>170x CHUVEIROS GT</t>
  </si>
  <si>
    <t>INTERCAMBIADOR 10 GT</t>
  </si>
  <si>
    <t>RONDONÓPOLIS</t>
  </si>
  <si>
    <t>MTI - 10.000GTS</t>
  </si>
  <si>
    <t xml:space="preserve">PIRANHAS </t>
  </si>
  <si>
    <t>BASE MTI - 10.000GTS</t>
  </si>
  <si>
    <t>URUGUAI</t>
  </si>
  <si>
    <t>UR</t>
  </si>
  <si>
    <t>SÃO VICENTE</t>
  </si>
  <si>
    <t>CAMPO GRANDE</t>
  </si>
  <si>
    <t xml:space="preserve">DOURADOS </t>
  </si>
  <si>
    <t>JARU</t>
  </si>
  <si>
    <t>RO</t>
  </si>
  <si>
    <t>GERADOR DE GELO - MTI 2.500 GE</t>
  </si>
  <si>
    <t>SAO PAULO</t>
  </si>
  <si>
    <t>MAC 32.000 GT</t>
  </si>
  <si>
    <t xml:space="preserve">SÃO LUIS </t>
  </si>
  <si>
    <t xml:space="preserve">MA </t>
  </si>
  <si>
    <t>E - 300</t>
  </si>
  <si>
    <t>MARECHAL DEODORO</t>
  </si>
  <si>
    <t xml:space="preserve">AL </t>
  </si>
  <si>
    <t>MARANHÃO</t>
  </si>
  <si>
    <t xml:space="preserve">SÃO BERNARDO DO CAMPO </t>
  </si>
  <si>
    <t>CAJURU</t>
  </si>
  <si>
    <t>MTI - 22.000GT (GERADOR ESPECIAL)</t>
  </si>
  <si>
    <t>CE - 200</t>
  </si>
  <si>
    <t>SANTA CRUZ DE LA SIERRA</t>
  </si>
  <si>
    <t>BOL</t>
  </si>
  <si>
    <t>JIJOCA DE JERICOACOARA</t>
  </si>
  <si>
    <t>CE</t>
  </si>
  <si>
    <t>MTI - 32.000 GT</t>
  </si>
  <si>
    <t>ITAPIRA</t>
  </si>
  <si>
    <t xml:space="preserve">GERADOR DE 7.000 GT </t>
  </si>
  <si>
    <t xml:space="preserve">PORTO VELHO </t>
  </si>
  <si>
    <t xml:space="preserve">RO </t>
  </si>
  <si>
    <t>BLOCO DE CONDENSADOR 300.000</t>
  </si>
  <si>
    <t xml:space="preserve">ARES </t>
  </si>
  <si>
    <t>RN</t>
  </si>
  <si>
    <t>TUBOS</t>
  </si>
  <si>
    <t xml:space="preserve">SÃO VICENTE </t>
  </si>
  <si>
    <t>NOVO AIRÃO</t>
  </si>
  <si>
    <t>AM</t>
  </si>
  <si>
    <t>FORTALEZA</t>
  </si>
  <si>
    <t>33481 - A</t>
  </si>
  <si>
    <t>CORBELLA</t>
  </si>
  <si>
    <t>ANANINDEUA</t>
  </si>
  <si>
    <t>GUARAPUAVA</t>
  </si>
  <si>
    <t xml:space="preserve">GUARUJA </t>
  </si>
  <si>
    <t>ENTRE RIOS</t>
  </si>
  <si>
    <t>ARG</t>
  </si>
  <si>
    <t>EMBALADORA</t>
  </si>
  <si>
    <t>EMBALADORA E ESTEIRA</t>
  </si>
  <si>
    <t>URUGUAY</t>
  </si>
  <si>
    <t>URU</t>
  </si>
  <si>
    <t>MAC 7.000 GT</t>
  </si>
  <si>
    <t xml:space="preserve">DIADEMA </t>
  </si>
  <si>
    <t>DIADEMA</t>
  </si>
  <si>
    <t>CONCÓRDIA</t>
  </si>
  <si>
    <t>SC</t>
  </si>
  <si>
    <t>QUIRINOPOLIS</t>
  </si>
  <si>
    <t>PRIMAVERA DO LESTE</t>
  </si>
  <si>
    <t>VALINHOS</t>
  </si>
  <si>
    <t>GRAVATAI</t>
  </si>
  <si>
    <t xml:space="preserve">IRAJA </t>
  </si>
  <si>
    <t xml:space="preserve">RJ </t>
  </si>
  <si>
    <t>GERADOR DE GELO MTI - 22.000GT</t>
  </si>
  <si>
    <t xml:space="preserve"> TEIXEIRA DE FREITAS</t>
  </si>
  <si>
    <t>NOVA SERRANA</t>
  </si>
  <si>
    <t>CAMPO MOURAO</t>
  </si>
  <si>
    <t xml:space="preserve">SÃO JOSE DO RIO PARDO </t>
  </si>
  <si>
    <t>ESTEIRA</t>
  </si>
  <si>
    <t xml:space="preserve">SAÕ JOSE DO RIO PARDO </t>
  </si>
  <si>
    <t xml:space="preserve">LAGOA SANTA </t>
  </si>
  <si>
    <t>MAC 15.000 GE</t>
  </si>
  <si>
    <t xml:space="preserve">PARANAGUA </t>
  </si>
  <si>
    <t>MOSSORO</t>
  </si>
  <si>
    <t xml:space="preserve">CACOAL </t>
  </si>
  <si>
    <t xml:space="preserve">SÃO CARLOS </t>
  </si>
  <si>
    <t>JANDIRA</t>
  </si>
  <si>
    <t>GURUPI</t>
  </si>
  <si>
    <t xml:space="preserve">TO </t>
  </si>
  <si>
    <t>MAC 2.500 GT</t>
  </si>
  <si>
    <t>CONCHAL</t>
  </si>
  <si>
    <t>TRINDADE</t>
  </si>
  <si>
    <t>SORRISO</t>
  </si>
  <si>
    <t xml:space="preserve">RIO BRANCO </t>
  </si>
  <si>
    <t>AC</t>
  </si>
  <si>
    <t xml:space="preserve">VILHENA </t>
  </si>
  <si>
    <t xml:space="preserve">CAMAÇARI </t>
  </si>
  <si>
    <t>COROMANDEL</t>
  </si>
  <si>
    <t>TAMPA ENSACADORA EMS1</t>
  </si>
  <si>
    <t>ITUPEVA</t>
  </si>
  <si>
    <t xml:space="preserve">ITAJAI </t>
  </si>
  <si>
    <t xml:space="preserve">GURUPI </t>
  </si>
  <si>
    <t>RECIPIENTE DE LIQUIDO 1.000 L</t>
  </si>
  <si>
    <t>AIMORÉS</t>
  </si>
  <si>
    <t xml:space="preserve">CONFRESA </t>
  </si>
  <si>
    <t xml:space="preserve">AGUA DE SANTA BARBARA </t>
  </si>
  <si>
    <t>FORMOSA</t>
  </si>
  <si>
    <t>BRASÍLIA</t>
  </si>
  <si>
    <t>DF</t>
  </si>
  <si>
    <t xml:space="preserve">BRASILIA </t>
  </si>
  <si>
    <t>LENÇOIS PAULISTA</t>
  </si>
  <si>
    <t>BASE MTI - 7.000GTS</t>
  </si>
  <si>
    <t>DIAMANTINA</t>
  </si>
  <si>
    <t>PORANGATU</t>
  </si>
  <si>
    <t>MAC 4.000 GT</t>
  </si>
  <si>
    <t xml:space="preserve">PATO BRANCO </t>
  </si>
  <si>
    <t>GERADOR DE 32.000 GT</t>
  </si>
  <si>
    <t>MANAUS</t>
  </si>
  <si>
    <t xml:space="preserve">AM </t>
  </si>
  <si>
    <t xml:space="preserve">RIO DE JANEIRO </t>
  </si>
  <si>
    <t>RJ</t>
  </si>
  <si>
    <t>GERADOR MTI - 17.000GT</t>
  </si>
  <si>
    <t xml:space="preserve">PETROLINA </t>
  </si>
  <si>
    <t>PE</t>
  </si>
  <si>
    <t>NATAL</t>
  </si>
  <si>
    <t>E - 80</t>
  </si>
  <si>
    <t>MANACAPURU</t>
  </si>
  <si>
    <t>ROSCA TRANSP</t>
  </si>
  <si>
    <t>MTI - 7.000GT (GERADOR)</t>
  </si>
  <si>
    <t>CAMPO DO BRITO</t>
  </si>
  <si>
    <t>SALVADOR</t>
  </si>
  <si>
    <t>MTI - 7.000GT</t>
  </si>
  <si>
    <t>TANGARA DA SERRA</t>
  </si>
  <si>
    <t xml:space="preserve">CAMPO GRANDE </t>
  </si>
  <si>
    <t>MTI - 17.000GT</t>
  </si>
  <si>
    <t>PARAGUAY</t>
  </si>
  <si>
    <t>PGY</t>
  </si>
  <si>
    <t>MTI - 20.000GE</t>
  </si>
  <si>
    <t>MAXARANGUAPE</t>
  </si>
  <si>
    <t>MTI - 60.000GE</t>
  </si>
  <si>
    <t>MONTEVIDEO</t>
  </si>
  <si>
    <t>URY</t>
  </si>
  <si>
    <t>EMS-3</t>
  </si>
  <si>
    <t>BLOCO DE CONDENSADOR 200.000</t>
  </si>
  <si>
    <t xml:space="preserve">XINGUARA </t>
  </si>
  <si>
    <t>MACAÍBA</t>
  </si>
  <si>
    <t>CE - 750</t>
  </si>
  <si>
    <t>RL - 2000</t>
  </si>
  <si>
    <t>COMPRESSOR MYCOM 6WB</t>
  </si>
  <si>
    <t>QUADRO ELÉTRICO 40GE</t>
  </si>
  <si>
    <t>CARUARU</t>
  </si>
  <si>
    <t>PB</t>
  </si>
  <si>
    <t>CE - 800</t>
  </si>
  <si>
    <t>CF RESFRIAMENTO</t>
  </si>
  <si>
    <t>SANTA LUZIA DO NORTE</t>
  </si>
  <si>
    <t>AL</t>
  </si>
  <si>
    <t>CE - 600</t>
  </si>
  <si>
    <t>2x FECHAMENTO CONDENSADOR</t>
  </si>
  <si>
    <t>LEME</t>
  </si>
  <si>
    <t xml:space="preserve">LUIS EDUARDO MAGALHAES </t>
  </si>
  <si>
    <t>RIO DE JANEIRO</t>
  </si>
  <si>
    <t>CUNHA</t>
  </si>
  <si>
    <t>MTI - 30.000GE</t>
  </si>
  <si>
    <t>21/01/019</t>
  </si>
  <si>
    <t>MTI - 40.000GT</t>
  </si>
  <si>
    <t>OSASCO</t>
  </si>
  <si>
    <t>SÃO JOSE DEL REI</t>
  </si>
  <si>
    <t>POÇOS DE CALDAS</t>
  </si>
  <si>
    <t>JAU</t>
  </si>
  <si>
    <t>CORRENTE</t>
  </si>
  <si>
    <t>PI</t>
  </si>
  <si>
    <t>CONDENSADOR 1.200.000</t>
  </si>
  <si>
    <t>SINOP</t>
  </si>
  <si>
    <t>BAURU</t>
  </si>
  <si>
    <t>TAILANDIA</t>
  </si>
  <si>
    <t>SOROCABA</t>
  </si>
  <si>
    <t xml:space="preserve">TRES LAGOAS </t>
  </si>
  <si>
    <t xml:space="preserve">MS </t>
  </si>
  <si>
    <t>BASE MTI - 12.000GTS</t>
  </si>
  <si>
    <t>MACAÉ</t>
  </si>
  <si>
    <t>MACAE</t>
  </si>
  <si>
    <t xml:space="preserve">SÃO GONZALO </t>
  </si>
  <si>
    <t>31/04/2020</t>
  </si>
  <si>
    <t>MTI - 3.200GES</t>
  </si>
  <si>
    <t>BASE MTI - 3.200GES</t>
  </si>
  <si>
    <t>BOA VISTA</t>
  </si>
  <si>
    <t>RR</t>
  </si>
  <si>
    <t>E - 1000</t>
  </si>
  <si>
    <t>ITAUNA</t>
  </si>
  <si>
    <t>PGM 40.000 GTS</t>
  </si>
  <si>
    <t>PALMAS</t>
  </si>
  <si>
    <t>COMANDATUBA</t>
  </si>
  <si>
    <t>VILA VELHA</t>
  </si>
  <si>
    <t>ES</t>
  </si>
  <si>
    <t>UBERABA</t>
  </si>
  <si>
    <t>ITACARÉ</t>
  </si>
  <si>
    <t>CANGUÇU</t>
  </si>
  <si>
    <t>ANDIRÁ</t>
  </si>
  <si>
    <t>PASSO FUNDO</t>
  </si>
  <si>
    <t>MTI  - 1.000GTS</t>
  </si>
  <si>
    <t>MTI  - 10.000GES</t>
  </si>
  <si>
    <t>MTI -15.000GES</t>
  </si>
  <si>
    <t xml:space="preserve">PAULINIA </t>
  </si>
  <si>
    <t xml:space="preserve">ALMIRANTE TAMANDARÉ </t>
  </si>
  <si>
    <t>PORTO ALEGRE</t>
  </si>
  <si>
    <t>ERECHIM</t>
  </si>
  <si>
    <t>NOVA FRIBURGO</t>
  </si>
  <si>
    <t>SÃO JOSE DOS CAMPOS</t>
  </si>
  <si>
    <t>BASE MTI - 2.500GTS</t>
  </si>
  <si>
    <t>SÃO DOMINGOS</t>
  </si>
  <si>
    <t>EMBALADORA EICE</t>
  </si>
  <si>
    <t>PINHEIRAL</t>
  </si>
  <si>
    <t>ITAPERUNA</t>
  </si>
  <si>
    <t>SÃO GONÇALO</t>
  </si>
  <si>
    <t>MTI - 5.000GES</t>
  </si>
  <si>
    <t>DUQUE DE CAXIAS</t>
  </si>
  <si>
    <t>IPAUSSU</t>
  </si>
  <si>
    <t>CENTROOESTE</t>
  </si>
  <si>
    <t>CAMPOS BELOS</t>
  </si>
  <si>
    <t>MORADA NOVA</t>
  </si>
  <si>
    <t>PRAIA GRANDE</t>
  </si>
  <si>
    <t>E-1000</t>
  </si>
  <si>
    <t>MTI-2.500GTS</t>
  </si>
  <si>
    <t>ALTO DA BALANÇA</t>
  </si>
  <si>
    <t>MTI-1.000GTS</t>
  </si>
  <si>
    <t>MTI- 7.000 GES</t>
  </si>
  <si>
    <t>MARACAÇUME</t>
  </si>
  <si>
    <t>MTI - 20.000GT</t>
  </si>
  <si>
    <t>RIO GRANDE</t>
  </si>
  <si>
    <t>CATEGORIA</t>
  </si>
  <si>
    <t>UN</t>
  </si>
  <si>
    <t>DESCRIÇÃO</t>
  </si>
  <si>
    <t>DATA SOLICITAÇÃO</t>
  </si>
  <si>
    <t>VALOR TOTAL</t>
  </si>
  <si>
    <t>DATA CHEGADA</t>
  </si>
  <si>
    <t>DEZEMBRO</t>
  </si>
  <si>
    <t>GÁS</t>
  </si>
  <si>
    <t>Gás</t>
  </si>
  <si>
    <t>GÁS REFRIGERANTE R22 EOS CILINDRO DE 13,6KG</t>
  </si>
  <si>
    <t>MTI 4.000-GTS</t>
  </si>
  <si>
    <t>FEV</t>
  </si>
  <si>
    <t>ÓLEO</t>
  </si>
  <si>
    <t>Óleo</t>
  </si>
  <si>
    <t>OLEO SEMI SINTETICO MINERAL/ALQUILBENZENO B5.2 5 LITROS</t>
  </si>
  <si>
    <t>Nucleo Secador</t>
  </si>
  <si>
    <t>NUCLEO DANFOSS DC–48</t>
  </si>
  <si>
    <t>JAN</t>
  </si>
  <si>
    <t/>
  </si>
  <si>
    <t>Nucleo Sucção</t>
  </si>
  <si>
    <t>NUCLEO DANFOSS F–48</t>
  </si>
  <si>
    <t>INSERIR N° OS</t>
  </si>
  <si>
    <t>GÁS REFRIGERANTE R404A  CILINDRO DE 10,9KG</t>
  </si>
  <si>
    <t>Sensor</t>
  </si>
  <si>
    <t>TRANSMISSOR DE PRESSÃO T2000 0-25BAR 4-20mA 10-30VDC 1/4" - LEF00</t>
  </si>
  <si>
    <t xml:space="preserve">Separador de Óleo </t>
  </si>
  <si>
    <t>SEP. ÓLEO – OIL PACK – 2 1/8” 6” – VAIPR002101</t>
  </si>
  <si>
    <t>Ventilador</t>
  </si>
  <si>
    <t xml:space="preserve">REBOBINAMENTO VENTILADOR </t>
  </si>
  <si>
    <t xml:space="preserve">FILTRO SECADOR  48 - F </t>
  </si>
  <si>
    <t>Flexivel</t>
  </si>
  <si>
    <t>TUBO FLEXIVEL (TRANÇA EM COBRE) COM TERMINAL EM COBRE Ø2.1/8” MACHO x L–440 mm</t>
  </si>
  <si>
    <t>Nitrogênio</t>
  </si>
  <si>
    <t xml:space="preserve">NITROGENIO PARA PRESSURIZAÇÃO DO EQUIPAMENTO </t>
  </si>
  <si>
    <t>Peças Compressor Aberto</t>
  </si>
  <si>
    <t>PEÇAS COMPRESSOR SABROE 104S</t>
  </si>
  <si>
    <t>DOCUMENTAÇÃO</t>
  </si>
  <si>
    <t xml:space="preserve">Documento Exportação </t>
  </si>
  <si>
    <t xml:space="preserve">DOCUMENTAÇÃO DE EXPORTAÇÃO </t>
  </si>
  <si>
    <t xml:space="preserve">Bóia de Óleo </t>
  </si>
  <si>
    <t>ADAPTADOR PARA BOIA ELETRONICA AWA - CE4/BE5/BE6</t>
  </si>
  <si>
    <t>BOIA ELETRONICA - 230VAC 50/60Hz OLC AWA</t>
  </si>
  <si>
    <t xml:space="preserve">CERTIFICADO DO TRATAMENTO FITOSSANITÁRIO HT - FUMIGAÇÃO CAIXA DE MADEIRA ENVIO DA POLIA </t>
  </si>
  <si>
    <t>FRETE</t>
  </si>
  <si>
    <t>Frete</t>
  </si>
  <si>
    <t xml:space="preserve">ENVIO DE PEÇAS GELO SANTA </t>
  </si>
  <si>
    <t xml:space="preserve">ENVIO DE PEÇAS GELO CRIN </t>
  </si>
  <si>
    <t>Válvula</t>
  </si>
  <si>
    <t>VALVULA DE RETENÇÃO 32.000-GT</t>
  </si>
  <si>
    <t xml:space="preserve">FRETE ENVIO DE MATERIAL </t>
  </si>
  <si>
    <t xml:space="preserve">FRETE PEÇAS EM GARANTIA (TROCA DE COMPRESSOR) </t>
  </si>
  <si>
    <t xml:space="preserve">SOLENOIDE VR10 RETORNO DE OLEO </t>
  </si>
  <si>
    <t>EOS SEMI SINTETICO MINERAL/ALQUILBENZENO BSE.32- 5 LITROS</t>
  </si>
  <si>
    <t>Motobomba Condensador</t>
  </si>
  <si>
    <t>CARACOL DA MOTOBOMBA BC 92-S 2.1/2</t>
  </si>
  <si>
    <t>REEMBOLSO CLIENTE - VENTILADOR 154031 – FN050–4DQ.4I.V7P1 – ZIEHL–ABEGG</t>
  </si>
  <si>
    <t>Peças Compressor Semi</t>
  </si>
  <si>
    <t>QUITAÇÃO DE DIVIDA - CARLOS HENRIQUE</t>
  </si>
  <si>
    <t>MOTOR WEG 150CV 4 POLOS 220/380</t>
  </si>
  <si>
    <t>Motor</t>
  </si>
  <si>
    <t xml:space="preserve">MOTOR DO TRITURADOR </t>
  </si>
  <si>
    <t xml:space="preserve">FRETE ENVIO DO TRIRURADOR </t>
  </si>
  <si>
    <t>MATERIAL ELÉTRICO</t>
  </si>
  <si>
    <t xml:space="preserve">Material Elétrico </t>
  </si>
  <si>
    <t>RELE SOBRECARGA AZ RW17-1D3-D028</t>
  </si>
  <si>
    <t>MINIDISJUNTOR MDW-C10-1</t>
  </si>
  <si>
    <t xml:space="preserve">FILTRO T/SMC 100 </t>
  </si>
  <si>
    <t>LT</t>
  </si>
  <si>
    <t xml:space="preserve">OLEO CAPELA 68 </t>
  </si>
  <si>
    <t xml:space="preserve">JUNTA DO CABEÇOTE </t>
  </si>
  <si>
    <t xml:space="preserve">JUNTA DA CAMISA </t>
  </si>
  <si>
    <t>KG</t>
  </si>
  <si>
    <t>GÁS DE LIMPEZA 141B</t>
  </si>
  <si>
    <t xml:space="preserve">Filtro de Óleo </t>
  </si>
  <si>
    <t xml:space="preserve">FILTRO DE LINHA DE OLEO - FO 83 -RAC </t>
  </si>
  <si>
    <t xml:space="preserve">RELE F.F. S 01 MC 0,5 2020/380 ALTRONIC </t>
  </si>
  <si>
    <t>MOTOR DO TRITURADOR W322 IR3 1,5 CV 6P 4T B14D L100L IP5560 HZ</t>
  </si>
  <si>
    <t>SOFT STARTER BRSSW070045T5SZ</t>
  </si>
  <si>
    <t>Parafusos</t>
  </si>
  <si>
    <t>ARRUELA DE PRESSAO 7116</t>
  </si>
  <si>
    <t>ARRUELA E ARRUELAS DE PRESSAO 7116</t>
  </si>
  <si>
    <t xml:space="preserve">CABO 1,5 MM - QUADRO </t>
  </si>
  <si>
    <t>CABO FLEXIVEL 2X2.5</t>
  </si>
  <si>
    <t>CABO FLEXIVEL 3X1,5</t>
  </si>
  <si>
    <t xml:space="preserve">FRETE ENVIO DA BOIA DO OLEO </t>
  </si>
  <si>
    <t xml:space="preserve">UBER PARA IDA LEVAR BOIA NA AZUL CARGO </t>
  </si>
  <si>
    <t xml:space="preserve">UBER PARA IDA LEVAR BOIA NA AZUL CARGO (VOLTA) </t>
  </si>
  <si>
    <t>COMBUSTIVEL BUSCAR MATERIAL EM MANAUS</t>
  </si>
  <si>
    <t xml:space="preserve">FRETE ENVIO RECICLADORA DE GAS </t>
  </si>
  <si>
    <t xml:space="preserve">ANEL PARA BOIA DE OLEO </t>
  </si>
  <si>
    <t xml:space="preserve">ENVIO DE MATERIAL PARA GELO IMM </t>
  </si>
  <si>
    <t>MATERIAL MECANICO</t>
  </si>
  <si>
    <t xml:space="preserve">FRETE ENVIO POLIA PARA ANGOLA </t>
  </si>
  <si>
    <t>INVERSOR DE FREQUENCIA CFW300A06P0S2NB20</t>
  </si>
  <si>
    <t xml:space="preserve">COMBUSTIVEL IDA CORREIO LEVAR PEÇAS GELO CRIADOR </t>
  </si>
  <si>
    <t xml:space="preserve">ENVIO DE PEÇAS GELO CRIADOR PELO CORREIO </t>
  </si>
  <si>
    <t>FRETE DO GÁS</t>
  </si>
  <si>
    <t>Motobomba Gerador</t>
  </si>
  <si>
    <t>MOTOBOMBA CENTRÍFUGA BC98 1/3CV MONOFÁSICA 220V 4,5M3/H X 2MCA, SUCÇÃO Ø3/4", RECALQUE Ø3/4" IP–21</t>
  </si>
  <si>
    <t>REGISTRO DO VISOR DE LIQUIDO 1/4" X 90º</t>
  </si>
  <si>
    <t>TARUGO DE TEFLON Ø 90 MM x 200MM</t>
  </si>
  <si>
    <t>CONJUNTO DO FRILTRO DA SUCÇÃO</t>
  </si>
  <si>
    <t>REBOBINAMENTO DO MOTOR 75CV</t>
  </si>
  <si>
    <t xml:space="preserve">FRENTE ENVIO PEÇAS FRIGORIFICO VITORIA </t>
  </si>
  <si>
    <t>FRENTE ENVIO PEÇAS GELO IMM</t>
  </si>
  <si>
    <t xml:space="preserve">CORREIO ENVIO DE PEÇAS </t>
  </si>
  <si>
    <t xml:space="preserve">FRETE LEVAR COMPRESSOR PARA BITZER </t>
  </si>
  <si>
    <t>Polia</t>
  </si>
  <si>
    <t>POLIA Ø120 – 3 CANAIS B – ALUMINIO – Furo interno Ø20 H7 – Chavetado DIN–6885 - CUBA</t>
  </si>
  <si>
    <t xml:space="preserve">TEFLON Ø135 x 100mm - VANA </t>
  </si>
  <si>
    <t xml:space="preserve">FILTRO DE LINHA DE OLEO - FO 83 – BITZER – VACPR10031 </t>
  </si>
  <si>
    <t xml:space="preserve">GALÃO DE OLEO B5.2 – Bitzer </t>
  </si>
  <si>
    <t>FRETE ENVIO MOTOR ELETRICO</t>
  </si>
  <si>
    <t>CONSERTO DA SOFT STARTER</t>
  </si>
  <si>
    <t>CONJUNTO ACIONAMENTO COMPLETO( ESTOJO ) PARA 2"</t>
  </si>
  <si>
    <t>KIT REPARO COMPLETO PARA VÁLVULA AODG/PODG 5''</t>
  </si>
  <si>
    <t xml:space="preserve">ENVIO DE PEÇAS EM GARANTIA </t>
  </si>
  <si>
    <t xml:space="preserve">ENVIO DE OLEO </t>
  </si>
  <si>
    <t xml:space="preserve">TINTA PARA PINTURA DAS VALVULAS ABERTAS </t>
  </si>
  <si>
    <t>FRETE RETORNO MOTOR ELETRICO</t>
  </si>
  <si>
    <t>CORREIO ENVIO DE PEÇAS EM GARANTIA</t>
  </si>
  <si>
    <t>CAMISA USINADA T/SMC 100 S/L</t>
  </si>
  <si>
    <t>PISTAO T/SMC 100 S</t>
  </si>
  <si>
    <t>BUCHA DE BIELA T/SMC 100</t>
  </si>
  <si>
    <t>PINO DE PISTAO T/SMC 100</t>
  </si>
  <si>
    <t xml:space="preserve">ENVIO DE PEÇAS EM GARANTIA FRIGORIFICO VITORIA </t>
  </si>
  <si>
    <t>Pedaleira</t>
  </si>
  <si>
    <t>PEDALEIRA METALTEX TFS–303</t>
  </si>
  <si>
    <t xml:space="preserve">ENVIO DE PEÇAS AO CLIENTE - BOMBA </t>
  </si>
  <si>
    <t xml:space="preserve">ENVIO DE PEÇAS AO CLIENTE - SENSOR </t>
  </si>
  <si>
    <t>DISJUNTOR MOTOR MPW18</t>
  </si>
  <si>
    <t>BLOCO CONTATOP ACBF-11</t>
  </si>
  <si>
    <t xml:space="preserve">FRETE ENVIO DE OLEO DE BELEM PARA BARABA (GARANTIA NO STARTUP) </t>
  </si>
  <si>
    <t xml:space="preserve">OLEO B5.2 ORIGINAL BITZER </t>
  </si>
  <si>
    <t>ANEIS DE OLEO SMC-100</t>
  </si>
  <si>
    <t>ANEIS DE COMPRESSAO SMC-100</t>
  </si>
  <si>
    <t>JUNTAS DO CABECOTE SMC-104/106/108 MKII</t>
  </si>
  <si>
    <t xml:space="preserve">FRETE DE ENVIO DO VISOR DE VIDRO DO RL </t>
  </si>
  <si>
    <t xml:space="preserve">BUSCAR PEÇAS NO URSÃO </t>
  </si>
  <si>
    <t>DISCO DE SUCCAO 100 BAIXA</t>
  </si>
  <si>
    <t>DISCO DE DESCARGA/100-ALTA-SUCCAO-65</t>
  </si>
  <si>
    <t xml:space="preserve">ENVIO DO MOTOR DO TRITURADOR </t>
  </si>
  <si>
    <t xml:space="preserve">FRETE DE BUSCAR POLIA EM RECIFE </t>
  </si>
  <si>
    <t xml:space="preserve">FRETE DE LEVAR POLIA E PEÇAS NO CLIENTE </t>
  </si>
  <si>
    <t xml:space="preserve">GARRAFAS DE AMONIA </t>
  </si>
  <si>
    <t>JOGO DE JUNTA MADEF 3C 16X11</t>
  </si>
  <si>
    <t>CONJ. VALV. SUC/PRES. 16X11 NH3</t>
  </si>
  <si>
    <t>BUCHA DO MANCAL L.S - STD - AMONIA - 16X11</t>
  </si>
  <si>
    <t>BUCHA DO MANCAL L.B - STD - AMONIA - 16X11</t>
  </si>
  <si>
    <t xml:space="preserve">FRETE DE LEVAR A POLIA </t>
  </si>
  <si>
    <t>PORCA PARLOCK DA BIELA 16X111</t>
  </si>
  <si>
    <t xml:space="preserve">REPARO DA VALVULA SOLENOIDE </t>
  </si>
  <si>
    <t xml:space="preserve">FRETE BUSCAR POLIA </t>
  </si>
  <si>
    <t xml:space="preserve">VALVULA  DE BLOQUEIO 2" ANGULAR </t>
  </si>
  <si>
    <t xml:space="preserve">VALVULA DE BLOQUEIO 4" RETA </t>
  </si>
  <si>
    <t>VALVULA RETENCAO (CHAPA)</t>
  </si>
  <si>
    <t xml:space="preserve">CONECÇÃO DO SENSOR </t>
  </si>
  <si>
    <t xml:space="preserve">FRETE ENVIO  DE PEÇAS </t>
  </si>
  <si>
    <t>VÁLVULA DE BLOQUEIO (AO) 1.1/2´´ ANGULAR,GLOBO,SOLDA</t>
  </si>
  <si>
    <t xml:space="preserve">FRETE BUSCAR PEÇAS SANCASUL </t>
  </si>
  <si>
    <t>FRETE BUSCAR PEÇAS URSÃO</t>
  </si>
  <si>
    <t xml:space="preserve">VALVULA  </t>
  </si>
  <si>
    <t xml:space="preserve">FRETE ENVIO SENSOR - AZUL CARGO </t>
  </si>
  <si>
    <t xml:space="preserve">COMBUSTIVEL BUSCAR MATERIAL </t>
  </si>
  <si>
    <t>COMBUSTIVEL BUSCAR MATERIAL NO AEROPORTO</t>
  </si>
  <si>
    <t>FILTRO DE SUCÇÃO 48-DC</t>
  </si>
  <si>
    <t>FRETE BUSCAR PEÇA NA BITZER</t>
  </si>
  <si>
    <t>FILTRO DE ÓLEO</t>
  </si>
  <si>
    <t>OLEO BSE.32</t>
  </si>
  <si>
    <t>FITA HELLERMAN</t>
  </si>
  <si>
    <t>PLUG MACHO</t>
  </si>
  <si>
    <t>TINTA PARA PINTURA DAS TUBULAÇÕES</t>
  </si>
  <si>
    <t>FRETE LEVAR PEÇA NA AZUL CARGO</t>
  </si>
  <si>
    <t xml:space="preserve">PEDAGIO LEVAR PEÇAS CORREIO  QUERO GELO </t>
  </si>
  <si>
    <t xml:space="preserve">SOLENOIDE VR26 GAS QUENTE </t>
  </si>
  <si>
    <t>FRETE BUSCAR A MÁQUINA</t>
  </si>
  <si>
    <t>FRETE LEVAR SENSOR NA AZUL CARGO</t>
  </si>
  <si>
    <t>SENSOR DE PRESSÃO T2000</t>
  </si>
  <si>
    <t xml:space="preserve">FRETE  </t>
  </si>
  <si>
    <t xml:space="preserve">ROLAMENTO BOMBA DO GERADOR </t>
  </si>
  <si>
    <t xml:space="preserve">ROLAMENTO BOMBA DO CONDENSADOR </t>
  </si>
  <si>
    <t xml:space="preserve">REFEIÇÃO IR BUSCAR MATERIAL </t>
  </si>
  <si>
    <t xml:space="preserve">DISCO DE CORTE </t>
  </si>
  <si>
    <t xml:space="preserve">VARETAS DE SOLDA E ARGONIO SOLDAR </t>
  </si>
  <si>
    <t xml:space="preserve">SOLENOIDE GAS QUENTE </t>
  </si>
  <si>
    <t xml:space="preserve">FRETE GIROFLEX </t>
  </si>
  <si>
    <t>POLIA MADEF 3C11X08</t>
  </si>
  <si>
    <t>MOTOR ELETRICO DE INDUÇÃO BXT 71C 4 220/380-60 LP55 CLF B5</t>
  </si>
  <si>
    <t>FRETE LEVAR MOTOR PARA O CLIENTE</t>
  </si>
  <si>
    <t>FRETE BUSCAR SENSOR NA PRESSURE</t>
  </si>
  <si>
    <t>TRANSFORMADOR PARA TESTAR A MÁQUINA</t>
  </si>
  <si>
    <t>TUBO C/C SCH40 - SAE 1020 6M</t>
  </si>
  <si>
    <t>CONVERSOR SINAL TXRAIL-USB E SENSOR NTC CABO 3M</t>
  </si>
  <si>
    <t>SEM FIM ESTAMPADO EM CH3,00 INOX 304</t>
  </si>
  <si>
    <t>VÁLVULA DE SEGURANÇA</t>
  </si>
  <si>
    <t>DISJUNTOR CAIXA MOLDADA 50A</t>
  </si>
  <si>
    <t>DEFLETOR FRONTAL 01</t>
  </si>
  <si>
    <t>CHAPARIA DA MÁQUINA</t>
  </si>
  <si>
    <t>VENTILADOR 154031 – FN050–4DQ.4I.V7P1</t>
  </si>
  <si>
    <t>TAMPÃO DO CHUVEIRINHO</t>
  </si>
  <si>
    <t>RELE WEG SOBRECARGA RW17</t>
  </si>
  <si>
    <t>ÓLEO B5.2 5 LITROS</t>
  </si>
  <si>
    <t>FRETE DESPACHAR ÓLEO EM GUARULHOS</t>
  </si>
  <si>
    <t>FRETE LEVAR BÓIA</t>
  </si>
  <si>
    <t xml:space="preserve">GALÃO DE OLEO B5.2 </t>
  </si>
  <si>
    <t>ANEL DE TEFLON DA VANA</t>
  </si>
  <si>
    <t xml:space="preserve">TROCA DO ROLAMENTO DA BOMBA DO GERADOR </t>
  </si>
  <si>
    <t>TINTA DE GALVANIZAÇÃO A FRIO SPRAY – 300M ML</t>
  </si>
  <si>
    <t>RETENTOR DA CUBA</t>
  </si>
  <si>
    <t>NUCLEO EMERSON  F - 48</t>
  </si>
  <si>
    <t>GALÃO DE ÓLEO B5.2 - 5 LTS</t>
  </si>
  <si>
    <t>LOGO MTI - 15.000 GE</t>
  </si>
  <si>
    <t>MANUTENÇÃO NA BOMBA DO CONDENSADOR</t>
  </si>
  <si>
    <t>SOLDA DO PILOTO DA VANA</t>
  </si>
  <si>
    <t>UNIÃO RED 3/8 SAE</t>
  </si>
  <si>
    <t>FEMEA GIR.FG 7/16´´</t>
  </si>
  <si>
    <t>MANGUEIRA HIDR 100 R1 1/4</t>
  </si>
  <si>
    <t>ÓLEO BSE.32 5 LTS</t>
  </si>
  <si>
    <t>SENSOR DIFERENCIAL ÓLEO P-ll 115/230V</t>
  </si>
  <si>
    <t>FRETE DESPACHAR O SENSOR NA AZULEXPRESS</t>
  </si>
  <si>
    <t xml:space="preserve">ÓLEO BSE.32 - 5 LTS </t>
  </si>
  <si>
    <t xml:space="preserve">FRETE DE BUSCAR SENSOR </t>
  </si>
  <si>
    <t>NUCLEO SECADOR 48F DANFOSS</t>
  </si>
  <si>
    <t>NUCLEO SECADOR 48DC DANFOSS</t>
  </si>
  <si>
    <t xml:space="preserve"> MOTOBOMBA CENTRÍFUGA BC91 S 1/4CV MONOFÁSICA 220V 8,2M3/H X 2MCA, SUCÇÃO Ø1.1/4", RECALQUE Ø1" IP–21</t>
  </si>
  <si>
    <t>FRETE DE LEVAR A MOTOBOMBA NO CLIENTE</t>
  </si>
  <si>
    <t>REGISTRO DRENO PARA COLOCAR NO GERADOR</t>
  </si>
  <si>
    <t>FRETE DE ENVIO DO ÓLEO</t>
  </si>
  <si>
    <t>CABOS EXT FLEX 120MM</t>
  </si>
  <si>
    <t>AUTO TRAFO 220/380V</t>
  </si>
  <si>
    <t>MATERIAL BRITADOR</t>
  </si>
  <si>
    <t xml:space="preserve">ISOLAMENTO MÁQUINA </t>
  </si>
  <si>
    <t>MATERIAL ELETRICO</t>
  </si>
  <si>
    <t>MOTO REDUTOR TIPO ROSCA SEM FIM COM PÉS</t>
  </si>
  <si>
    <t xml:space="preserve">12 M TUBO/ BARRA REDONDA </t>
  </si>
  <si>
    <t>BARRA 6M TUBO INOX304</t>
  </si>
  <si>
    <t>MANGUEIRA CRISTAL/ MANGOTE DE BORRACHA</t>
  </si>
  <si>
    <t>CORREIA B-50</t>
  </si>
  <si>
    <t>ELEMENTO FILTRANTE 48F C/SUPORTE</t>
  </si>
  <si>
    <t>TUBO VIBRAFLEX P/SOLDA 1 3/8´´</t>
  </si>
  <si>
    <t>QUADRO DE COMANDO</t>
  </si>
  <si>
    <t>DISJUNTOR MOTOR A2/ BLOCO DE CONTATO/ MINICONTATOR</t>
  </si>
  <si>
    <t>CHAPA 430 BF</t>
  </si>
  <si>
    <t>FONTE</t>
  </si>
  <si>
    <t>IHM MODELO 100 DE 7,0´´</t>
  </si>
  <si>
    <t xml:space="preserve">ADESIVO </t>
  </si>
  <si>
    <t>MATERIAS PARA CUBA</t>
  </si>
  <si>
    <t>NITROGENIO PARA PRESSURIZAÇÃO DO EQUIPAMENTO / TUBO GAS QUENTE GERADOR/ ISOLAMENTO</t>
  </si>
  <si>
    <t xml:space="preserve">SENSOR DE PRESSAO DE 0 Á 40 </t>
  </si>
  <si>
    <t xml:space="preserve">IHM ANTIGO - LGM </t>
  </si>
  <si>
    <t xml:space="preserve">FRETE LEVAR O GAS E VISOR NO CLIENTE </t>
  </si>
  <si>
    <t>DIARIA DESCARREGAMENTO MAQUINA</t>
  </si>
  <si>
    <t>S/N°OS</t>
  </si>
  <si>
    <t>FRETE LEVAR PEÇA</t>
  </si>
  <si>
    <t>FRETE TRAZER A MÁQUINA</t>
  </si>
  <si>
    <t>NITROGENIO</t>
  </si>
  <si>
    <t>CHAPA 12,7</t>
  </si>
  <si>
    <t>PARAFUSOS FIXAÇÃO</t>
  </si>
  <si>
    <t>FRETE ÓLEO PARA MOTO REDUTOR</t>
  </si>
  <si>
    <t xml:space="preserve">FRETE TINTA </t>
  </si>
  <si>
    <t>VALVULA CONCENTRICA</t>
  </si>
  <si>
    <t>SOLENOIDE DO GAS QUENTE</t>
  </si>
  <si>
    <t>FRETE ENVIO SOLENOIDE</t>
  </si>
  <si>
    <t>FRETE/GASTOS DA REFORMA DA MÁQUINA</t>
  </si>
  <si>
    <t>IHM QUADRO ELÉTRICO</t>
  </si>
  <si>
    <t>MATERIAIS PARA ENSACADORA</t>
  </si>
  <si>
    <t xml:space="preserve">FRETE PEDALEIRA   </t>
  </si>
  <si>
    <t>FRETE ENVIO CAPA CORREIA</t>
  </si>
  <si>
    <t>FRETE DE ENVIAR ÓLEO</t>
  </si>
  <si>
    <t>FRETE ENVIO DA VALVULA DE SEGURANCA</t>
  </si>
  <si>
    <t xml:space="preserve">SEPARADOR DE OLEO 7/8 - EOS </t>
  </si>
  <si>
    <t xml:space="preserve">NITROGENIO </t>
  </si>
  <si>
    <t xml:space="preserve">TINTA PARA PINTURA DA TUBULAÇÃO </t>
  </si>
  <si>
    <t xml:space="preserve">ENVIO DA VALVULA DE RETENÇÃO </t>
  </si>
  <si>
    <t xml:space="preserve">EMPILHADEIRA DESCARREGAMENTO DA MAQUINA TROCADA </t>
  </si>
  <si>
    <t>FRETE (COMBUSTIVEL)</t>
  </si>
  <si>
    <t>CARGA DE ACETILENO</t>
  </si>
  <si>
    <t xml:space="preserve">TRANSFORMADOR PARA TESTES NA MAQUINA </t>
  </si>
  <si>
    <t xml:space="preserve">ENVIO DE SENSOR DE SUCÇÃO E DESCARGA </t>
  </si>
  <si>
    <t xml:space="preserve">FLEXIVEL </t>
  </si>
  <si>
    <t xml:space="preserve">FRETE ENVIO DO FLEXIVEL </t>
  </si>
  <si>
    <t xml:space="preserve">FRETE DE ENVIO DO COMPRESSOR ( HOSPEDAGEM/ ALIMENTAÇÃO E COMBUSTIVEL) </t>
  </si>
  <si>
    <t xml:space="preserve">POLIA COMPRADA PARA ENVIO AO GELO SUL ( QUE UTILIZAMOS PARA ENVIO AO EDU GELO) </t>
  </si>
  <si>
    <t xml:space="preserve">FRETE POLIA COMPRADA PARA ENVIO AO GELO SUL ( QUE UTILIZAMOS PARA ENVIO AO EDU GELO) </t>
  </si>
  <si>
    <t xml:space="preserve">PARCELA ACORDO FRIGORIFICO VITORIA (MOTOR ELETRICO / POLIA) </t>
  </si>
  <si>
    <t xml:space="preserve">FRETE ENVIO DE GAS </t>
  </si>
  <si>
    <t xml:space="preserve">BOMBA CONDENSADOR </t>
  </si>
  <si>
    <t>GAS REFRIGERAÇÃO 404 A</t>
  </si>
  <si>
    <t>FRETE DE ENVIO DE VALVULA DE SUEGURANÇA</t>
  </si>
  <si>
    <t>MODULO SE-B1</t>
  </si>
  <si>
    <t>ROLAMENTOS DA BOMBA DAGUA</t>
  </si>
  <si>
    <t>FRETE BUSCAR MATERIAL</t>
  </si>
  <si>
    <t>FRETE BUSCAR GÁS</t>
  </si>
  <si>
    <t>VÁLVULA RETENÇÃO 7/8 NRV19 S</t>
  </si>
  <si>
    <t>FRETE IUARA</t>
  </si>
  <si>
    <t>FRETE ( LEVAR COMPRESSOR A PIRANHAS)</t>
  </si>
  <si>
    <t>SENSOR DE PRESSÃO T2000 0 A 25 BAR</t>
  </si>
  <si>
    <t>PLACA DO COMPRESSOR</t>
  </si>
  <si>
    <t>MANGUEIRA PARA RETORNO DE ÓLEO</t>
  </si>
  <si>
    <t>BOMBA DE ÓLEO DO COMPRESSOR</t>
  </si>
  <si>
    <t>VÁLVULA DE RETENÇÃO LINHA DA DESCARGA DO COMPRESSOR</t>
  </si>
  <si>
    <t>BOIA REGULADORA DE LÍQUIDO - EDC</t>
  </si>
  <si>
    <t>IMPOSTO FRETE BELMIRO</t>
  </si>
  <si>
    <t>FRETE AZUL CARGO</t>
  </si>
  <si>
    <t>ÓLEO BSE.32 1 LITRO</t>
  </si>
  <si>
    <t xml:space="preserve">ÓLEO BSE.32 </t>
  </si>
  <si>
    <t>GÁS/ÓLEO/FILTRO</t>
  </si>
  <si>
    <t>CHAPA OLHAL AMARRAÇÃO – 01GTS</t>
  </si>
  <si>
    <t>CORREIA PERFIL V A42 – CONTINENTAL</t>
  </si>
  <si>
    <t>TUBOS C/C Ø1.1/2” x 1.5 A554 (COSTURA REMOVIDA) – INOX304</t>
  </si>
  <si>
    <t>NUCLEO DC-48</t>
  </si>
  <si>
    <t>FILTRO DE LINHA DE ÓLEO OF-303</t>
  </si>
  <si>
    <t>VÁLVULA TANQUE 1/4´´ SAE</t>
  </si>
  <si>
    <t>NUCLEO F-48</t>
  </si>
  <si>
    <t>SUPORTE PARA NUCLEO</t>
  </si>
  <si>
    <t>GÁS REFRIGERANTE R404A</t>
  </si>
  <si>
    <t xml:space="preserve">FRETE LEVAR FILTRO </t>
  </si>
  <si>
    <t>MOTOBOMBA DO GERADOR</t>
  </si>
  <si>
    <t>PEÇAS PARA RETORNO DE ÓLEO DO COMPRESSOR</t>
  </si>
  <si>
    <t>SENSOR DE PRESSÃO (NOVUS)</t>
  </si>
  <si>
    <t>MOTOBOMBA DO CONDENSADOR</t>
  </si>
  <si>
    <t>SENSOR DE PRESSAO T2000 0 A 25 BAR</t>
  </si>
  <si>
    <t>NITROGENIO PARA PRESSURIZAÇÃO</t>
  </si>
  <si>
    <t>FRETE LEVAR A BOIA DE ÓLEO</t>
  </si>
  <si>
    <t>FRETE POSTAR SENSOR</t>
  </si>
  <si>
    <t xml:space="preserve">FRETE </t>
  </si>
  <si>
    <t>FRETE POSTAR PEDALEIRA</t>
  </si>
  <si>
    <t>FRETE DA POLIA</t>
  </si>
  <si>
    <t>FRETE ENVIAR A POLIA (LATAM)</t>
  </si>
  <si>
    <t>POLIA Ø230 8 CANAIS C – FERRO FUNDIDO – RAIADA – Furo interno Ø60 H7 – Chavetado DIN–6885</t>
  </si>
  <si>
    <t>FRETE ENVIO CLP</t>
  </si>
  <si>
    <t>FRETE ENVIO DAS PEÇAS DO COMPRESSOR</t>
  </si>
  <si>
    <t>FRETE  ENVIO CORREIOS</t>
  </si>
  <si>
    <t xml:space="preserve">FRETE ENVIO DA BOIA DE OLEO </t>
  </si>
  <si>
    <t>PEÇAS CONSERTO DO COMPRESSOR</t>
  </si>
  <si>
    <t>PEÇAS PARA MUDAR A TUBULAÇÃO</t>
  </si>
  <si>
    <t>FRETE ENVIO MOTOBOMBA</t>
  </si>
  <si>
    <t>ÓLEO GARGOLIE ARTIC</t>
  </si>
  <si>
    <t>SELO DE VEDAÇÃO COMPRESSOR MYCON</t>
  </si>
  <si>
    <t>FRETE ENVIO CELULA DE CARGA</t>
  </si>
  <si>
    <t>CÉLULA DE CARGA - INDIPESO</t>
  </si>
  <si>
    <t>FRETE ENVIO VÁLVULA</t>
  </si>
  <si>
    <t>VANF MÁQUINA DE 30T</t>
  </si>
  <si>
    <t>VALVULA TANQUE DO GERADOR</t>
  </si>
  <si>
    <t>DISJUNTOR MOTOR</t>
  </si>
  <si>
    <t>REBOBINAMENTO DO MOTOR DO CONDENSADOR</t>
  </si>
  <si>
    <t>CABO PP.2</t>
  </si>
  <si>
    <t xml:space="preserve">VANA </t>
  </si>
  <si>
    <t>VANF</t>
  </si>
  <si>
    <t xml:space="preserve">CONEXÃO </t>
  </si>
  <si>
    <t>ÓLEO BSE.32</t>
  </si>
  <si>
    <t>NUCLEO SECADOR DC-48</t>
  </si>
  <si>
    <t>GÁS REFRIGERANTE R22 (REEMBOLSO CLIENTE)</t>
  </si>
  <si>
    <t>CORREIAS</t>
  </si>
  <si>
    <t>FRETE ENVIAR PEÇAS</t>
  </si>
  <si>
    <t>BOMBA DE ÓLEO MYCON 8B</t>
  </si>
  <si>
    <t>MANUTENÇÃO NA SOFT STARTER</t>
  </si>
  <si>
    <t>FRETE ENVIO DE PEÇAS</t>
  </si>
  <si>
    <t>PEÇAS PARA CONSERTO DO COMPRESSOR</t>
  </si>
  <si>
    <t>MATERIAS DA TUBULAÇÃO SEPARADOR DE ÓLEO ATÉ ENTRADA DO COMPRESSOR</t>
  </si>
  <si>
    <t>MOTOBOMBA DO GERADOR (REFORMA)</t>
  </si>
  <si>
    <t>FLEXIVEL REFORMA DA MÁQUINA</t>
  </si>
  <si>
    <t>MATERIAIS FLEXIVEL E TUBULAÇÃO DA LINHA DE DESCARGA</t>
  </si>
  <si>
    <t>FRETE BAURU GELO</t>
  </si>
  <si>
    <t>MATERIAIS PARA LIMPEZA DO SISTEMA APÓS QUEBRA DO COMPRESSOR</t>
  </si>
  <si>
    <t>FRETE ENVIO DA PEDALEIRA</t>
  </si>
  <si>
    <t>REEMBOLSO AO CLIENTE - GÁS REFRIGERANTE R404A 10,9 KG</t>
  </si>
  <si>
    <t>FRETE LEVAR E BUSCA MÁQUINA</t>
  </si>
  <si>
    <t>FRETE ENVIO DA PEDALEIRA (CORREIOS)</t>
  </si>
  <si>
    <t>FRETE ENVIO DO GÁS E MOTOBOMBA</t>
  </si>
  <si>
    <t>FRETE ENVIO DA POLIA</t>
  </si>
  <si>
    <t>REBOBINAMENTO DO MOTOR BANN QUIMICA</t>
  </si>
  <si>
    <t>GÁS REFRIGERANTE R22 BOTIJA DE 13,6 KG</t>
  </si>
  <si>
    <t>FRETE ENVIO DO SELO MECANICO</t>
  </si>
  <si>
    <t>PRESSOSTATO DE ÓLEO MADEF</t>
  </si>
  <si>
    <t>FRETE TROCA DOS FREEZER (GARANTIA)</t>
  </si>
  <si>
    <t>MOTOBOMBA CENTRIFUGA CONDENSADOR MAQUINA DE 1T</t>
  </si>
  <si>
    <t>VALVULA DE SEGURANÇA 18KG (REFORMA)</t>
  </si>
  <si>
    <t>MANGUEIRA FLEXIVEL PARA O GERADOR (REFORMA)</t>
  </si>
  <si>
    <t>BOIA ELETRONICA - 230VAC 50/60Hz OLC AWA COM ADAPTADOR (REFORMA)</t>
  </si>
  <si>
    <t>CORREIAS E MANCAL PARA CUBA (REFORMA)</t>
  </si>
  <si>
    <t>SENSOR DE PRESSÃO T200 0 A 25 BAR (REFORMA)</t>
  </si>
  <si>
    <t>NUCLEO SECADOR DC-48 (REFORMA)</t>
  </si>
  <si>
    <t>NUCLEO SUCÇÃO F-48 (REFORMA)</t>
  </si>
  <si>
    <t>MATERIAL ELETRICO PARA TROCA DA VOLTAGEM DA MÁQUINA (REFORMA)</t>
  </si>
  <si>
    <t>POLIA DE FERRO 10 CANAIS - COMPRESSOR</t>
  </si>
  <si>
    <t>CORREIAS PARA POLIA</t>
  </si>
  <si>
    <t>FILTROS DC-48 PARA LIMPEZA DO SISTEMA</t>
  </si>
  <si>
    <t>FRETE GIROFLEX ATÉ OS CORREIOS</t>
  </si>
  <si>
    <t>FRETE ENVIO AZUL CARGO</t>
  </si>
  <si>
    <t>FRETE ENVIO PEÇAS ENSACADORA</t>
  </si>
  <si>
    <t>GARANTIA - FREEZER PEÇAS VIA CORREIO</t>
  </si>
  <si>
    <t>MODULO SE-B1 (BAURU GELO)</t>
  </si>
  <si>
    <t>FRETE DE BUSCAR OS MATERIAIS</t>
  </si>
  <si>
    <t>TUBO SCHEDULE 10 - DIAMETRO 3/4 - ESPESSURA 2.2MM - 3M</t>
  </si>
  <si>
    <t>CURVAS 90° SCHEDULE 10 - 3/4 ESPESSURA 2.2 MM</t>
  </si>
  <si>
    <t>BOIA ELETRONICA AWA 220V 50/60 HZ</t>
  </si>
  <si>
    <t>CLIENTE ENTROU EM CONTATO INFORMANDO QUE AO VERIFICAR A VÁLVULA DE ENTRADA DO CONDENSADOR VIU QUE ESTAVA FORMANDO GOTAS DE ÓLEO EM TORNO DA VÁLVULA, SUGERI AO CLIENTE APERTAR OS PARAFUSOS E ELE INFORMOU QUE CADA PARAFUSO DEU 1/4 DE VOLTA PARA APERTAR</t>
  </si>
  <si>
    <t>A SOLUÇÃO NO MOMENTO FOI REALIZAR O APERTO DOS PARAFUSOS E O VAZAMENTO FOI SANADO</t>
  </si>
  <si>
    <t>CLIENTE ENTROU EM CONTATO INFORMANDO QUE A MÁQUINA ESTAVA DESARMANDO A MOTOBOMBA, AO ANALISAR O EQUIPAMENTO FOI INFORMADO PELO CLIENTE QUE MECHERAM NA SUA ENERGIA, COM ISSO A MOTOBOMBA ESTAVA ROTACIONANDO NO SENTIDO INVERSO, COM ISSO IDENTIFICAMOS O PROBLEMA.</t>
  </si>
  <si>
    <t>FOI INVERTIDO A FASE DA REDE E A MÁQUINA FICOU EM FUNCIONAMENTO.</t>
  </si>
  <si>
    <t>CUSTO UN</t>
  </si>
  <si>
    <t>06/03/2021</t>
  </si>
  <si>
    <t>08/03/2021</t>
  </si>
  <si>
    <t>09/03/2021</t>
  </si>
  <si>
    <t>12/03/2021</t>
  </si>
  <si>
    <t>13/03/2021</t>
  </si>
  <si>
    <t>19/03/2021</t>
  </si>
  <si>
    <t>20/03/2021</t>
  </si>
  <si>
    <t>22/03/2021</t>
  </si>
  <si>
    <t>31/06/2021</t>
  </si>
  <si>
    <t>12/08/2021</t>
  </si>
  <si>
    <t>10/09/2021</t>
  </si>
  <si>
    <t>16/08/2021</t>
  </si>
  <si>
    <t>21/09/2021</t>
  </si>
  <si>
    <t>13/08/2021</t>
  </si>
  <si>
    <t>27/09/2021</t>
  </si>
  <si>
    <t>1</t>
  </si>
  <si>
    <t>465,00</t>
  </si>
  <si>
    <t>FRETE ENVIO DA BOIA DE NÍVEL GELO MAX - AEREO</t>
  </si>
  <si>
    <t>MTI- 4.000GTS</t>
  </si>
  <si>
    <t>MONTES CLAROS</t>
  </si>
  <si>
    <t>TESTE</t>
  </si>
  <si>
    <t>DATA COMPETENCIA</t>
  </si>
  <si>
    <t>VALOR 1</t>
  </si>
  <si>
    <t>DATA PAGAMENTO 1</t>
  </si>
  <si>
    <t>VALOR 2</t>
  </si>
  <si>
    <t>DATA PAGAMENTO 2</t>
  </si>
  <si>
    <t>VALOR 3</t>
  </si>
  <si>
    <t>DATA PAGAMENTO 3</t>
  </si>
  <si>
    <t>MÊS 1</t>
  </si>
  <si>
    <t>MÊS 2</t>
  </si>
  <si>
    <t>MÊS 3</t>
  </si>
  <si>
    <t>3</t>
  </si>
  <si>
    <t>CLIENTE ENTROU EM CONTATO INFORMANDO QUE A MÁQUINA ESTAVA DESARMANDO A BOMBA DO CONDENSADOR TODA HORA, SENDO ASSIM CONSTATAMOS PROBLEMAS NO DISJUNTOR MOTOR DA MOTOBOMBA</t>
  </si>
  <si>
    <t>FOI TROCADO O DISJUNTOR MOTOR DA MOTOBOMBA</t>
  </si>
  <si>
    <t>FOI TROCADO O SENSOR DA BOIA DE NÍVEL DO SEPARADOR DE LIQUIDO</t>
  </si>
  <si>
    <t>CLIENTE ENTROU EM CONTATO INFORMANDO QUE A MÁQUINA APRESENTOU PRESSÃO DE SUCÇÃO BAIXA, APÓS FICAR PARADA POR UM CERTO TEMPO, FIZEMOS TODOS OS TESTES NECESSÁRIOS E VERIFICAMOS QUE O PROBLEMA ESTAVA NO SENSOR DA BOIA DE NÍVEL DO SEPARADOR DE LIQUIDO</t>
  </si>
  <si>
    <t>FOI TROCADO APENAS A BOBINA SOLENOIDE DA MÁQUINA</t>
  </si>
  <si>
    <t>CLIENTE ENTROU EM CONTATO INFORMANDO QUE A MÁQUINA ESTAVA DESARMANDO POR FALTA DE ÓLEO NO EQUIPAMENTO, INFORMOU QUE A MÁQUINA ESTAVA PARADA POR UMA SEMANA</t>
  </si>
  <si>
    <t>CLIENTE ENTROU EM CONTATO QUE A MOTOBOMBA DO CONDENSADOR ESTAVA DESARMANDO O DISJUNTOR TODA HORA, AO LEVAR PARA ANÁLISE A MOTOBOMBA HAVIA TRAVADO OS ROLAMENTOS</t>
  </si>
  <si>
    <t>FOI TROCADO OS ROLAMENTOS DA MOTOBOMBA</t>
  </si>
  <si>
    <t>CLIENTE ENTROU EM CONTATO INFORMANDO QUE AO LIGAR A MÁQUINA ESTAVA DESARMANDO O DISJUNTOR DO COMPRESSOR E FAZENDO UM RUIDO ANTES DE DESARMAR, CONTESTEI O CLIENTE DIVERSAS VEZES PARA VERIFICARMOS SE NÃO ERA FALTAD DE FASE  E O CLIENTE INFORMAVA QUE NÃO. PORÉM QUANDO O CLIENTE DESLIGOU O DISJUNTOR GERAL DA SUA ENERGIA E LIGOU NOVAMENTE A MÁQUINA PARTIU</t>
  </si>
  <si>
    <t>FOI DESARMADO E REARMADO O DISJUNTOR DA ENERGIA DO CLEINTE</t>
  </si>
  <si>
    <t>VAZAMENTO NA ENTRADA DA TUBULAÇÃO DO CHAPÉU GERADOR</t>
  </si>
  <si>
    <t>FOI FEITA A SOLDA DA TUBULAÇÃO</t>
  </si>
  <si>
    <t xml:space="preserve">Foi sem o pen drive do quadro_x000D_
- Modulo térmico SE/B1 desconectado – ocasionando falha de Sobretemperatura do compressor_x000D_
- Posição da Válvula errada da cuba_x000D_
- Foi sem parafusos brocantes da tampa do condensador_x000D_
- Vazamento de água no condensar_x000D_
</t>
  </si>
  <si>
    <t>TODOS OS PROBLEMAS DESCRITOS FORAM SOLUCIONADOS NO STARTUP</t>
  </si>
  <si>
    <t>CLIENTE ENTROU EM CONTATO INFORMANDO QUE A MÁQUINA APRESENTOU BAIXO NÍVEL DE ÓLEO, AO ENVIAR O TÉCNICO FOI CONTASTADO PROBLEMAS DE ÓLEO DEVIDO A FALTA DE FLUIDO REFRIGERANTE O SUFICIENTE PARA O RETORNO, NÃO FOI ENCONTRADO VAZAMENTOS, APENAS VAZAMENTO NO STARTUP</t>
  </si>
  <si>
    <t>FOI ADICIONADO 3 BOTIJAS DE GÁS NO EQUIPAMENTO E A MÁQUINA COMEÇOU A RETORNAR O ÓLEO BEM</t>
  </si>
  <si>
    <t>20/01/2022</t>
  </si>
  <si>
    <t>CLIENTE ENTROU EM CONTATO INFORMANDO QUE A MÁQUINA ESTAVA APRESENTANDO PRESSÃO DE SUCÇÃO BAIXA, SENDO ASSIM ENVIAMOS O TÉCNICO. AO CHEGAR LÁ O TÉCNICO CONSTATOU PROBLEMAS NO MACAQUINHO DA BOIA DE NÍVEL, RETIROU O CONTATO LIMPOU NOVAMENTE E MONTOU NOVAMENTE.</t>
  </si>
  <si>
    <t>FOI RETIRADO O CONTATO DO MACAQUINHO E LIMPADO, APÓS MONTAGEM VOLTOU A FUNCIONAR NORMALMENTE.</t>
  </si>
  <si>
    <t>21/01/2022</t>
  </si>
  <si>
    <t>CLIENTE ENTROU EM CONTATO INFORMANDO QUE A MÁQUINA ESTAVA PARADA A 1 SEMANA, APÓS ISSO FOI PARTIR E APRESENTOU BAIXO NÍVEL DE ÓLEO</t>
  </si>
  <si>
    <t>FOI FEITO O JUMPER NA MÁQUINA E APÓS 4 CICLOS O ÓLEO RETORNOU</t>
  </si>
  <si>
    <t>26/01/2022</t>
  </si>
  <si>
    <t>CLIENTE ENTROU EM CONTATO INFORMANDO QUE O SENSOR DE SUCÇÃO HAVIA QUEIMADO, SOLICITOU O ENVIO DO COMPONENTE</t>
  </si>
  <si>
    <t>FOI TROCADO O SENSOR DE SUCÇÃO</t>
  </si>
  <si>
    <t>CLIENTE ENTROU EM CONTATO INFORMANDO QUE A MÁQUINA ESTAVA FUNCIONANDO NORMAL E ACUSOU BAIXO NÍVEL DE ÓLEO, RETORNO DE ÓLEO ESTAVA CONGELANDO APENAS ATE A SOLENOIDE</t>
  </si>
  <si>
    <t>FOI FEITO O JUMPER NA MAQUINA E ABERTO EM 1 VOLTA O RETORNO DE ÓLEO , DEPOIS DE 4 CICLOS O ÓLEO RETORNOU</t>
  </si>
  <si>
    <t>CLIENTE ENTROU EM CONTATO INFORMANDO QUE A MÁQUINA ESTAVA DESARMANDO PELA BOMBA DO GERADOR, DESARMOU 2X E CLIENTE NÃO TEVE PICO DE ENERGIA</t>
  </si>
  <si>
    <t xml:space="preserve">FOI REARMAADO O DISJUNTOR PELA SEGUNDA VEZ E DEPOIS NÃO DESARMOU MAIS </t>
  </si>
  <si>
    <t>Tubulação</t>
  </si>
  <si>
    <t>FRETE ENVIO SENSOR DE PRESSÃO</t>
  </si>
  <si>
    <t xml:space="preserve">FRETE LEVAR GÁS </t>
  </si>
  <si>
    <t>REFORMA PSICULTURA TRES MARIAS</t>
  </si>
  <si>
    <t>FRETE ENVIO DA BOIA ELETRONICA</t>
  </si>
  <si>
    <t>MOTOREDUTOR DO BRITADOR</t>
  </si>
  <si>
    <t>TESTE 1</t>
  </si>
  <si>
    <t>TESTE 2</t>
  </si>
  <si>
    <t>TESTE 3</t>
  </si>
  <si>
    <t>TESTE 4</t>
  </si>
  <si>
    <t>TESTE 5</t>
  </si>
  <si>
    <t>TESTE 6</t>
  </si>
  <si>
    <t>TESTE 7</t>
  </si>
  <si>
    <t>TESTE 8</t>
  </si>
  <si>
    <t>TESTE 9</t>
  </si>
  <si>
    <t>TESTE 10</t>
  </si>
  <si>
    <t>TESTE 11</t>
  </si>
  <si>
    <t>TESTE 12</t>
  </si>
  <si>
    <t>TESTE 13</t>
  </si>
  <si>
    <t>TESTE 14</t>
  </si>
  <si>
    <t>TESTE 15</t>
  </si>
  <si>
    <t>TESTE 16</t>
  </si>
  <si>
    <t>TESTE 17</t>
  </si>
  <si>
    <t>TESTE 18</t>
  </si>
  <si>
    <t>TESTE 19</t>
  </si>
  <si>
    <t>TESTE 20</t>
  </si>
  <si>
    <t>TESTE 21</t>
  </si>
  <si>
    <t>TESTE 22</t>
  </si>
  <si>
    <t>TESTE 23</t>
  </si>
  <si>
    <t>TESTE 24</t>
  </si>
  <si>
    <t>TESTE 25</t>
  </si>
  <si>
    <t>TESTE 26</t>
  </si>
  <si>
    <t>TESTE 27</t>
  </si>
  <si>
    <t>TESTE 28</t>
  </si>
  <si>
    <t>TESTE 29</t>
  </si>
  <si>
    <t>TESTE 30</t>
  </si>
  <si>
    <t>TESTE 31</t>
  </si>
  <si>
    <t>TESTE 32</t>
  </si>
  <si>
    <t>TESTE 33</t>
  </si>
  <si>
    <t>TESTE 34</t>
  </si>
  <si>
    <t>TESTE 35</t>
  </si>
  <si>
    <t>TESTE 36</t>
  </si>
  <si>
    <t>TESTE 37</t>
  </si>
  <si>
    <t>TESTE 38</t>
  </si>
  <si>
    <t>TESTE 39</t>
  </si>
  <si>
    <t>TESTE 40</t>
  </si>
  <si>
    <t>TESTE 41</t>
  </si>
  <si>
    <t>TESTE 42</t>
  </si>
  <si>
    <t>TESTE 43</t>
  </si>
  <si>
    <t>TESTE 44</t>
  </si>
  <si>
    <t>TESTE 45</t>
  </si>
  <si>
    <t>TESTE 46</t>
  </si>
  <si>
    <t>TESTE 47</t>
  </si>
  <si>
    <t>TESTE 48</t>
  </si>
  <si>
    <t>TESTE 49</t>
  </si>
  <si>
    <t>TESTE 50</t>
  </si>
  <si>
    <t>TESTE 51</t>
  </si>
  <si>
    <t>TESTE 52</t>
  </si>
  <si>
    <t>TESTE 53</t>
  </si>
  <si>
    <t>TESTE 54</t>
  </si>
  <si>
    <t>TESTE 55</t>
  </si>
  <si>
    <t>TESTE 56</t>
  </si>
  <si>
    <t>TESTE 57</t>
  </si>
  <si>
    <t>TESTE 58</t>
  </si>
  <si>
    <t>TESTE 59</t>
  </si>
  <si>
    <t>TESTE 60</t>
  </si>
  <si>
    <t>TESTE 61</t>
  </si>
  <si>
    <t>TESTE 62</t>
  </si>
  <si>
    <t>TESTE 63</t>
  </si>
  <si>
    <t>TESTE 64</t>
  </si>
  <si>
    <t>TESTE 65</t>
  </si>
  <si>
    <t>TESTE 66</t>
  </si>
  <si>
    <t>TESTE 67</t>
  </si>
  <si>
    <t>TESTE 68</t>
  </si>
  <si>
    <t>TESTE 69</t>
  </si>
  <si>
    <t>TESTE 70</t>
  </si>
  <si>
    <t>TESTE 71</t>
  </si>
  <si>
    <t>TESTE 72</t>
  </si>
  <si>
    <t>TESTE 73</t>
  </si>
  <si>
    <t>TESTE 74</t>
  </si>
  <si>
    <t>TESTE 75</t>
  </si>
  <si>
    <t>TESTE 76</t>
  </si>
  <si>
    <t>TESTE 77</t>
  </si>
  <si>
    <t>TESTE 78</t>
  </si>
  <si>
    <t>TESTE 79</t>
  </si>
  <si>
    <t>TESTE 80</t>
  </si>
  <si>
    <t>TESTE 81</t>
  </si>
  <si>
    <t>TESTE 82</t>
  </si>
  <si>
    <t>TESTE 83</t>
  </si>
  <si>
    <t>TESTE 84</t>
  </si>
  <si>
    <t>TESTE 85</t>
  </si>
  <si>
    <t>TESTE 86</t>
  </si>
  <si>
    <t>TESTE 87</t>
  </si>
  <si>
    <t>TESTE 88</t>
  </si>
  <si>
    <t>TESTE 89</t>
  </si>
  <si>
    <t>TESTE 90</t>
  </si>
  <si>
    <t>TESTE 91</t>
  </si>
  <si>
    <t>TESTE 92</t>
  </si>
  <si>
    <t>TESTE 93</t>
  </si>
  <si>
    <t>TESTE 94</t>
  </si>
  <si>
    <t>TESTE 95</t>
  </si>
  <si>
    <t>TESTE 96</t>
  </si>
  <si>
    <t>TESTE 97</t>
  </si>
  <si>
    <t>TESTE 98</t>
  </si>
  <si>
    <t>TESTE 99</t>
  </si>
  <si>
    <t>TESTE 100</t>
  </si>
  <si>
    <t>TESTE 101</t>
  </si>
  <si>
    <t>TESTE 102</t>
  </si>
  <si>
    <t>TESTE 103</t>
  </si>
  <si>
    <t>TESTE 104</t>
  </si>
  <si>
    <t>TESTE 105</t>
  </si>
  <si>
    <t>TESTE 106</t>
  </si>
  <si>
    <t>TESTE 107</t>
  </si>
  <si>
    <t>TESTE 108</t>
  </si>
  <si>
    <t>TESTE 109</t>
  </si>
  <si>
    <t>TESTE 110</t>
  </si>
  <si>
    <t>TESTE 111</t>
  </si>
  <si>
    <t>TESTE 112</t>
  </si>
  <si>
    <t>TESTE 113</t>
  </si>
  <si>
    <t>TESTE 114</t>
  </si>
  <si>
    <t>TESTE 115</t>
  </si>
  <si>
    <t>TESTE 116</t>
  </si>
  <si>
    <t>TESTE 117</t>
  </si>
  <si>
    <t>TESTE 118</t>
  </si>
  <si>
    <t>TESTE 119</t>
  </si>
  <si>
    <t>TESTE 120</t>
  </si>
  <si>
    <t>TESTE 121</t>
  </si>
  <si>
    <t>TESTE 122</t>
  </si>
  <si>
    <t>TESTE 123</t>
  </si>
  <si>
    <t>TESTE 124</t>
  </si>
  <si>
    <t>TESTE 125</t>
  </si>
  <si>
    <t>TESTE 126</t>
  </si>
  <si>
    <t>TESTE 127</t>
  </si>
  <si>
    <t>TESTE 128</t>
  </si>
  <si>
    <t>TESTE 129</t>
  </si>
  <si>
    <t>TESTE 130</t>
  </si>
  <si>
    <t>TESTE 131</t>
  </si>
  <si>
    <t>TESTE 132</t>
  </si>
  <si>
    <t>TESTE 133</t>
  </si>
  <si>
    <t>TESTE 134</t>
  </si>
  <si>
    <t>TESTE 135</t>
  </si>
  <si>
    <t>TESTE 136</t>
  </si>
  <si>
    <t>TESTE 137</t>
  </si>
  <si>
    <t>TESTE 138</t>
  </si>
  <si>
    <t>TESTE 139</t>
  </si>
  <si>
    <t>TESTE 140</t>
  </si>
  <si>
    <t>TESTE 141</t>
  </si>
  <si>
    <t>TESTE 142</t>
  </si>
  <si>
    <t>TESTE 143</t>
  </si>
  <si>
    <t>TESTE 144</t>
  </si>
  <si>
    <t>TESTE 145</t>
  </si>
  <si>
    <t>TESTE 146</t>
  </si>
  <si>
    <t>TESTE 147</t>
  </si>
  <si>
    <t>TESTE 148</t>
  </si>
  <si>
    <t>TESTE 149</t>
  </si>
  <si>
    <t>TESTE 150</t>
  </si>
  <si>
    <t>TESTE 151</t>
  </si>
  <si>
    <t>TESTE 152</t>
  </si>
  <si>
    <t>TESTE 153</t>
  </si>
  <si>
    <t>TESTE 154</t>
  </si>
  <si>
    <t>TESTE 155</t>
  </si>
  <si>
    <t>TESTE 156</t>
  </si>
  <si>
    <t>TESTE 157</t>
  </si>
  <si>
    <t>TESTE 158</t>
  </si>
  <si>
    <t>TESTE 159</t>
  </si>
  <si>
    <t>TESTE 160</t>
  </si>
  <si>
    <t>TESTE 161</t>
  </si>
  <si>
    <t>TESTE 162</t>
  </si>
  <si>
    <t>TESTE 163</t>
  </si>
  <si>
    <t>TESTE 164</t>
  </si>
  <si>
    <t>TESTE 165</t>
  </si>
  <si>
    <t>TESTE 166</t>
  </si>
  <si>
    <t>TESTE 167</t>
  </si>
  <si>
    <t>TESTE 168</t>
  </si>
  <si>
    <t>TESTE 169</t>
  </si>
  <si>
    <t>TESTE 170</t>
  </si>
  <si>
    <t>TESTE 171</t>
  </si>
  <si>
    <t>TESTE 172</t>
  </si>
  <si>
    <t>TESTE 173</t>
  </si>
  <si>
    <t>TESTE 174</t>
  </si>
  <si>
    <t>TESTE 175</t>
  </si>
  <si>
    <t>TESTE 176</t>
  </si>
  <si>
    <t>TESTE 177</t>
  </si>
  <si>
    <t>TESTE 178</t>
  </si>
  <si>
    <t>TESTE 179</t>
  </si>
  <si>
    <t>TESTE 180</t>
  </si>
  <si>
    <t>TESTE 181</t>
  </si>
  <si>
    <t>TESTE 182</t>
  </si>
  <si>
    <t>TESTE 183</t>
  </si>
  <si>
    <t>TESTE 184</t>
  </si>
  <si>
    <t>TESTE 185</t>
  </si>
  <si>
    <t>TESTE 186</t>
  </si>
  <si>
    <t>TESTE 187</t>
  </si>
  <si>
    <t>TESTE 188</t>
  </si>
  <si>
    <t>TESTE 189</t>
  </si>
  <si>
    <t>TESTE 190</t>
  </si>
  <si>
    <t>TESTE 191</t>
  </si>
  <si>
    <t>TESTE 192</t>
  </si>
  <si>
    <t>TESTE 193</t>
  </si>
  <si>
    <t>TESTE 194</t>
  </si>
  <si>
    <t>TESTE 195</t>
  </si>
  <si>
    <t>TESTE 196</t>
  </si>
  <si>
    <t>TESTE 197</t>
  </si>
  <si>
    <t>TESTE 198</t>
  </si>
  <si>
    <t>TESTE 199</t>
  </si>
  <si>
    <t>TESTE 200</t>
  </si>
  <si>
    <t>TESTE 201</t>
  </si>
  <si>
    <t>TESTE 202</t>
  </si>
  <si>
    <t>TESTE 203</t>
  </si>
  <si>
    <t>TESTE 204</t>
  </si>
  <si>
    <t>TESTE 205</t>
  </si>
  <si>
    <t>TESTE 206</t>
  </si>
  <si>
    <t>TESTE 207</t>
  </si>
  <si>
    <t>TESTE 208</t>
  </si>
  <si>
    <t>TESTE 209</t>
  </si>
  <si>
    <t>TESTE 210</t>
  </si>
  <si>
    <t>TESTE 211</t>
  </si>
  <si>
    <t>TESTE 212</t>
  </si>
  <si>
    <t>TESTE 213</t>
  </si>
  <si>
    <t>TESTE 214</t>
  </si>
  <si>
    <t>TESTE 215</t>
  </si>
  <si>
    <t>TESTE 216</t>
  </si>
  <si>
    <t>TESTE 217</t>
  </si>
  <si>
    <t>TESTE 218</t>
  </si>
  <si>
    <t>TESTE 219</t>
  </si>
  <si>
    <t>TESTE 220</t>
  </si>
  <si>
    <t>TESTE 221</t>
  </si>
  <si>
    <t>TESTE 222</t>
  </si>
  <si>
    <t>TESTE 223</t>
  </si>
  <si>
    <t>TESTE 224</t>
  </si>
  <si>
    <t>TESTE 225</t>
  </si>
  <si>
    <t>TESTE 226</t>
  </si>
  <si>
    <t>TESTE 227</t>
  </si>
  <si>
    <t>TESTE 228</t>
  </si>
  <si>
    <t>TESTE 229</t>
  </si>
  <si>
    <t>TESTE 230</t>
  </si>
  <si>
    <t>TESTE 231</t>
  </si>
  <si>
    <t>TESTE 232</t>
  </si>
  <si>
    <t>TESTE 233</t>
  </si>
  <si>
    <t>TESTE 234</t>
  </si>
  <si>
    <t>TESTE 235</t>
  </si>
  <si>
    <t>TESTE 236</t>
  </si>
  <si>
    <t>TESTE 237</t>
  </si>
  <si>
    <t>TESTE 238</t>
  </si>
  <si>
    <t>TESTE 239</t>
  </si>
  <si>
    <t>TESTE 240</t>
  </si>
  <si>
    <t>TESTE 241</t>
  </si>
  <si>
    <t>TESTE 242</t>
  </si>
  <si>
    <t>TESTE 243</t>
  </si>
  <si>
    <t>TESTE 244</t>
  </si>
  <si>
    <t>TESTE 245</t>
  </si>
  <si>
    <t>TESTE 246</t>
  </si>
  <si>
    <t>TESTE 247</t>
  </si>
  <si>
    <t>TESTE 248</t>
  </si>
  <si>
    <t>TESTE 249</t>
  </si>
  <si>
    <t>TESTE 250</t>
  </si>
  <si>
    <t>TESTE 251</t>
  </si>
  <si>
    <t>TESTE 252</t>
  </si>
  <si>
    <t>TESTE 253</t>
  </si>
  <si>
    <t>TESTE 254</t>
  </si>
  <si>
    <t>TESTE 255</t>
  </si>
  <si>
    <t>TESTE 256</t>
  </si>
  <si>
    <t>TESTE 257</t>
  </si>
  <si>
    <t>TESTE 258</t>
  </si>
  <si>
    <t>TESTE 259</t>
  </si>
  <si>
    <t>TESTE 260</t>
  </si>
  <si>
    <t>TESTE 261</t>
  </si>
  <si>
    <t>TESTE 262</t>
  </si>
  <si>
    <t>TESTE 263</t>
  </si>
  <si>
    <t>TESTE 264</t>
  </si>
  <si>
    <t>TESTE 265</t>
  </si>
  <si>
    <t>TESTE 266</t>
  </si>
  <si>
    <t>TESTE 267</t>
  </si>
  <si>
    <t>TESTE 268</t>
  </si>
  <si>
    <t>TESTE 269</t>
  </si>
  <si>
    <t>TESTE 270</t>
  </si>
  <si>
    <t>TESTE 271</t>
  </si>
  <si>
    <t>TESTE 272</t>
  </si>
  <si>
    <t>TESTE 273</t>
  </si>
  <si>
    <t>TESTE 274</t>
  </si>
  <si>
    <t>TESTE 275</t>
  </si>
  <si>
    <t>TESTE 276</t>
  </si>
  <si>
    <t>TESTE 277</t>
  </si>
  <si>
    <t>TESTE 278</t>
  </si>
  <si>
    <t>TESTE 279</t>
  </si>
  <si>
    <t>TESTE 280</t>
  </si>
  <si>
    <t>TESTE 281</t>
  </si>
  <si>
    <t>TESTE 282</t>
  </si>
  <si>
    <t>TESTE 283</t>
  </si>
  <si>
    <t>TESTE 284</t>
  </si>
  <si>
    <t>TESTE 285</t>
  </si>
  <si>
    <t>TESTE 286</t>
  </si>
  <si>
    <t>TESTE 287</t>
  </si>
  <si>
    <t>TESTE 288</t>
  </si>
  <si>
    <t>TESTE 289</t>
  </si>
  <si>
    <t>TESTE 290</t>
  </si>
  <si>
    <t>TESTE 291</t>
  </si>
  <si>
    <t>TESTE 292</t>
  </si>
  <si>
    <t>TESTE 293</t>
  </si>
  <si>
    <t>TESTE 294</t>
  </si>
  <si>
    <t>TESTE 295</t>
  </si>
  <si>
    <t>TESTE 296</t>
  </si>
  <si>
    <t>TESTE 297</t>
  </si>
  <si>
    <t>TESTE 298</t>
  </si>
  <si>
    <t>TESTE 299</t>
  </si>
  <si>
    <t>TESTE 300</t>
  </si>
  <si>
    <t>TESTE 301</t>
  </si>
  <si>
    <t>TESTE 302</t>
  </si>
  <si>
    <t>TESTE 303</t>
  </si>
  <si>
    <t>TESTE 304</t>
  </si>
  <si>
    <t>TESTE 305</t>
  </si>
  <si>
    <t>TESTE 306</t>
  </si>
  <si>
    <t>TESTE 307</t>
  </si>
  <si>
    <t>TESTE 308</t>
  </si>
  <si>
    <t>TESTE 309</t>
  </si>
  <si>
    <t>TESTE 310</t>
  </si>
  <si>
    <t>TESTE 311</t>
  </si>
  <si>
    <t>TESTE 312</t>
  </si>
  <si>
    <t>TESTE 313</t>
  </si>
  <si>
    <t>TESTE 314</t>
  </si>
  <si>
    <t>TESTE 315</t>
  </si>
  <si>
    <t>TESTE 316</t>
  </si>
  <si>
    <t>TESTE 317</t>
  </si>
  <si>
    <t>TESTE 318</t>
  </si>
  <si>
    <t>TESTE 319</t>
  </si>
  <si>
    <t>TESTE 320</t>
  </si>
  <si>
    <t>TESTE 321</t>
  </si>
  <si>
    <t>TESTE 322</t>
  </si>
  <si>
    <t>TESTE 323</t>
  </si>
  <si>
    <t>TESTE 324</t>
  </si>
  <si>
    <t>TESTE 325</t>
  </si>
  <si>
    <t>TESTE 326</t>
  </si>
  <si>
    <t>TESTE 327</t>
  </si>
  <si>
    <t>TESTE 328</t>
  </si>
  <si>
    <t>TESTE 329</t>
  </si>
  <si>
    <t>TESTE 330</t>
  </si>
  <si>
    <t>TESTE 331</t>
  </si>
  <si>
    <t>TESTE 332</t>
  </si>
  <si>
    <t>TESTE 333</t>
  </si>
  <si>
    <t>TESTE 334</t>
  </si>
  <si>
    <t>TESTE 335</t>
  </si>
  <si>
    <t>TESTE 336</t>
  </si>
  <si>
    <t>TESTE 337</t>
  </si>
  <si>
    <t>TESTE 338</t>
  </si>
  <si>
    <t>TESTE 339</t>
  </si>
  <si>
    <t>TESTE 340</t>
  </si>
  <si>
    <t>TESTE 341</t>
  </si>
  <si>
    <t>TESTE 342</t>
  </si>
  <si>
    <t>TESTE 343</t>
  </si>
  <si>
    <t>TESTE 344</t>
  </si>
  <si>
    <t>TESTE 345</t>
  </si>
  <si>
    <t>TESTE 346</t>
  </si>
  <si>
    <t>TESTE 347</t>
  </si>
  <si>
    <t>TESTE 348</t>
  </si>
  <si>
    <t>TESTE 349</t>
  </si>
  <si>
    <t>TESTE 350</t>
  </si>
  <si>
    <t>TESTE 351</t>
  </si>
  <si>
    <t>TESTE 352</t>
  </si>
  <si>
    <t>TESTE 353</t>
  </si>
  <si>
    <t>TESTE 354</t>
  </si>
  <si>
    <t>TESTE 355</t>
  </si>
  <si>
    <t>TESTE 356</t>
  </si>
  <si>
    <t>TESTE 357</t>
  </si>
  <si>
    <t>TESTE 358</t>
  </si>
  <si>
    <t>TESTE 359</t>
  </si>
  <si>
    <t>TESTE 360</t>
  </si>
  <si>
    <t>TESTE 361</t>
  </si>
  <si>
    <t>TESTE 362</t>
  </si>
  <si>
    <t>TESTE 363</t>
  </si>
  <si>
    <t>TESTE 364</t>
  </si>
  <si>
    <t>TESTE 365</t>
  </si>
  <si>
    <t>TESTE 366</t>
  </si>
  <si>
    <t>TESTE 367</t>
  </si>
  <si>
    <t>TESTE 368</t>
  </si>
  <si>
    <t>TESTE 369</t>
  </si>
  <si>
    <t>TESTE 370</t>
  </si>
  <si>
    <t>TESTE 371</t>
  </si>
  <si>
    <t>TESTE 372</t>
  </si>
  <si>
    <t>TESTE 373</t>
  </si>
  <si>
    <t>TESTE 374</t>
  </si>
  <si>
    <t>TESTE 375</t>
  </si>
  <si>
    <t>TESTE 376</t>
  </si>
  <si>
    <t>TESTE 377</t>
  </si>
  <si>
    <t>TESTE 378</t>
  </si>
  <si>
    <t>TESTE 379</t>
  </si>
  <si>
    <t>TESTE 380</t>
  </si>
  <si>
    <t>TESTE 381</t>
  </si>
  <si>
    <t>TESTE 382</t>
  </si>
  <si>
    <t>TESTE 383</t>
  </si>
  <si>
    <t>TESTE 384</t>
  </si>
  <si>
    <t>TESTE 385</t>
  </si>
  <si>
    <t>TESTE 386</t>
  </si>
  <si>
    <t>TESTE 387</t>
  </si>
  <si>
    <t>TESTE 388</t>
  </si>
  <si>
    <t>TESTE 389</t>
  </si>
  <si>
    <t>TESTE 390</t>
  </si>
  <si>
    <t>TESTE 391</t>
  </si>
  <si>
    <t>TESTE 392</t>
  </si>
  <si>
    <t>TESTE 393</t>
  </si>
  <si>
    <t>TESTE 394</t>
  </si>
  <si>
    <t>TESTE 395</t>
  </si>
  <si>
    <t>TESTE 396</t>
  </si>
  <si>
    <t>TESTE 397</t>
  </si>
  <si>
    <t>TESTE 398</t>
  </si>
  <si>
    <t>TESTE 399</t>
  </si>
  <si>
    <t>TESTE 400</t>
  </si>
  <si>
    <t>TESTE 401</t>
  </si>
  <si>
    <t>TESTE 402</t>
  </si>
  <si>
    <t>TESTE 403</t>
  </si>
  <si>
    <t>TESTE 404</t>
  </si>
  <si>
    <t>TESTE 405</t>
  </si>
  <si>
    <t>TESTE 406</t>
  </si>
  <si>
    <t>TESTE 407</t>
  </si>
  <si>
    <t>TESTE 408</t>
  </si>
  <si>
    <t>TESTE 409</t>
  </si>
  <si>
    <t>TESTE 410</t>
  </si>
  <si>
    <t>TESTE 411</t>
  </si>
  <si>
    <t>TESTE 412</t>
  </si>
  <si>
    <t>TESTE 413</t>
  </si>
  <si>
    <t>TESTE 414</t>
  </si>
  <si>
    <t>TESTE 415</t>
  </si>
  <si>
    <t>TESTE 416</t>
  </si>
  <si>
    <t>TESTE 417</t>
  </si>
  <si>
    <t>NÃO TEVE</t>
  </si>
  <si>
    <t>TESTE 418</t>
  </si>
  <si>
    <t>TESTE 419</t>
  </si>
  <si>
    <t>TESTE 420</t>
  </si>
  <si>
    <t>TESTE 421</t>
  </si>
  <si>
    <t>TESTE 422</t>
  </si>
  <si>
    <t>TESTE 423</t>
  </si>
  <si>
    <t>MTI - 30.000GT</t>
  </si>
  <si>
    <t>PORTO NACIONAL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</si>
</sst>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R$&quot;* #,##0.00_-;\-&quot;R$&quot;* #,##0.00_-;_-&quot;R$&quot;* &quot;-&quot;??_-;_-@_-"/>
    <numFmt numFmtId="165"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8"/>
      <name val="Calibri"/>
      <family val="2"/>
      <scheme val="minor"/>
    </font>
    <font>
      <b/>
      <sz val="11"/>
      <color theme="0"/>
      <name val="Calibri Light"/>
      <family val="2"/>
    </font>
    <font>
      <b/>
      <sz val="20"/>
      <color theme="0"/>
      <name val="Calibri Light"/>
      <family val="2"/>
    </font>
    <font>
      <sz val="11"/>
      <color theme="1"/>
      <name val="Calibri Light"/>
      <family val="2"/>
    </font>
    <font>
      <b/>
      <sz val="11"/>
      <color theme="1"/>
      <name val="Calibri Light"/>
      <family val="2"/>
    </font>
    <font>
      <b/>
      <sz val="10"/>
      <color theme="1"/>
      <name val="Calibri Light"/>
      <family val="2"/>
    </font>
    <font>
      <sz val="10"/>
      <color theme="1"/>
      <name val="Calibri Light"/>
      <family val="2"/>
    </font>
    <font>
      <b/>
      <sz val="10"/>
      <color theme="0"/>
      <name val="Calibri Light"/>
      <family val="2"/>
    </font>
    <font>
      <b/>
      <sz val="10"/>
      <name val="Calibri Light"/>
      <family val="2"/>
    </font>
    <font>
      <b/>
      <sz val="9"/>
      <color indexed="81"/>
      <name val="Segoe UI"/>
      <family val="2"/>
    </font>
    <font>
      <sz val="9"/>
      <color indexed="81"/>
      <name val="Segoe UI"/>
      <family val="2"/>
    </font>
    <font>
      <sz val="10"/>
      <name val="Calibri Light"/>
      <family val="2"/>
    </font>
    <font>
      <sz val="11"/>
      <name val="Calibri"/>
      <family val="2"/>
      <scheme val="minor"/>
    </font>
    <font>
      <sz val="9"/>
      <color theme="1"/>
      <name val="Abadi"/>
      <family val="2"/>
    </font>
  </fonts>
  <fills count="33">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4" tint="-0.49998474074526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bgColor indexed="64"/>
      </patternFill>
    </fill>
    <fill>
      <patternFill patternType="solid">
        <fgColor rgb="FFFFFF00"/>
        <bgColor indexed="64"/>
      </patternFill>
    </fill>
    <fill>
      <patternFill patternType="solid">
        <fgColor theme="0" tint="-0.499984740745262"/>
        <bgColor indexed="64"/>
      </patternFill>
    </fill>
    <fill>
      <patternFill patternType="solid">
        <fgColor rgb="FFFF0000"/>
        <bgColor indexed="64"/>
      </patternFill>
    </fill>
    <fill>
      <patternFill patternType="solid">
        <fgColor rgb="FFFF5050"/>
        <bgColor indexed="64"/>
      </patternFill>
    </fill>
    <fill>
      <patternFill patternType="solid">
        <fgColor rgb="FFCC3C3C"/>
        <bgColor indexed="64"/>
      </patternFill>
    </fill>
    <fill>
      <patternFill patternType="solid">
        <fgColor theme="7" tint="0.79998168889431442"/>
        <bgColor indexed="64"/>
      </patternFill>
    </fill>
    <fill>
      <patternFill patternType="solid">
        <fgColor rgb="FF9933FF"/>
        <bgColor indexed="64"/>
      </patternFill>
    </fill>
    <fill>
      <patternFill patternType="solid">
        <fgColor theme="7"/>
        <bgColor indexed="64"/>
      </patternFill>
    </fill>
    <fill>
      <patternFill patternType="solid">
        <fgColor rgb="FF009999"/>
        <bgColor indexed="64"/>
      </patternFill>
    </fill>
    <fill>
      <patternFill patternType="solid">
        <fgColor theme="0" tint="-0.14999847407452621"/>
        <bgColor theme="0" tint="-0.14999847407452621"/>
      </patternFill>
    </fill>
    <fill>
      <patternFill patternType="solid">
        <fgColor theme="7" tint="0.79998168889431442"/>
        <bgColor theme="7" tint="0.79998168889431442"/>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rgb="FFCAAFFF"/>
      </left>
      <right style="thin">
        <color rgb="FFCAAFFF"/>
      </right>
      <top style="thin">
        <color rgb="FFCAAFFF"/>
      </top>
      <bottom style="thin">
        <color rgb="FFCAAFFF"/>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34998626667073579"/>
      </left>
      <right style="thin">
        <color theme="1" tint="0.34998626667073579"/>
      </right>
      <top/>
      <bottom style="thin">
        <color theme="1" tint="0.34998626667073579"/>
      </bottom>
      <diagonal/>
    </border>
    <border>
      <left style="thin">
        <color theme="1" tint="0.499984740745262"/>
      </left>
      <right style="thin">
        <color theme="1" tint="0.499984740745262"/>
      </right>
      <top style="thin">
        <color theme="1" tint="0.499984740745262"/>
      </top>
      <bottom/>
      <diagonal/>
    </border>
    <border>
      <left style="thin">
        <color theme="1" tint="0.34998626667073579"/>
      </left>
      <right style="thin">
        <color theme="1" tint="0.34998626667073579"/>
      </right>
      <top style="thin">
        <color theme="1" tint="0.34998626667073579"/>
      </top>
      <bottom/>
      <diagonal/>
    </border>
    <border>
      <left style="thin">
        <color theme="9"/>
      </left>
      <right style="thin">
        <color theme="9"/>
      </right>
      <top style="thin">
        <color theme="9"/>
      </top>
      <bottom/>
      <diagonal/>
    </border>
    <border>
      <left style="thin">
        <color theme="9"/>
      </left>
      <right style="thin">
        <color theme="9"/>
      </right>
      <top style="thin">
        <color theme="9"/>
      </top>
      <bottom style="thin">
        <color theme="9"/>
      </bottom>
      <diagonal/>
    </border>
    <border>
      <left/>
      <right style="hair">
        <color theme="0" tint="-0.249977111117893"/>
      </right>
      <top style="hair">
        <color theme="0" tint="-0.249977111117893"/>
      </top>
      <bottom style="hair">
        <color theme="0" tint="-0.249977111117893"/>
      </bottom>
      <diagonal/>
    </border>
    <border>
      <left style="thin">
        <color theme="1"/>
      </left>
      <right style="thin">
        <color theme="1"/>
      </right>
      <top style="thin">
        <color theme="1"/>
      </top>
      <bottom style="thin">
        <color theme="1"/>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right style="thin">
        <color theme="1" tint="0.499984740745262"/>
      </right>
      <top style="thin">
        <color theme="1" tint="0.499984740745262"/>
      </top>
      <bottom/>
      <diagonal/>
    </border>
    <border>
      <left style="thin">
        <color rgb="FFCAAFFF"/>
      </left>
      <right style="thin">
        <color rgb="FFCAAFFF"/>
      </right>
      <top style="thin">
        <color rgb="FFCAAFFF"/>
      </top>
      <bottom/>
      <diagonal/>
    </border>
  </borders>
  <cellStyleXfs count="4">
    <xf numFmtId="0" fontId="0" fillId="0" borderId="0"/>
    <xf numFmtId="16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cellStyleXfs>
  <cellXfs count="187">
    <xf numFmtId="0" fontId="0" fillId="0" borderId="0" xfId="0"/>
    <xf numFmtId="0" fontId="0" fillId="0" borderId="0" xfId="0" applyAlignment="1">
      <alignment horizontal="center" vertical="center"/>
    </xf>
    <xf numFmtId="0" fontId="0" fillId="2" borderId="0" xfId="0" applyFill="1" applyAlignment="1">
      <alignment horizontal="center"/>
    </xf>
    <xf numFmtId="0" fontId="3" fillId="13" borderId="0" xfId="0" applyFont="1" applyFill="1" applyAlignment="1">
      <alignment horizontal="center" vertical="center"/>
    </xf>
    <xf numFmtId="9" fontId="0" fillId="0" borderId="0" xfId="2" applyFont="1" applyAlignment="1">
      <alignment horizontal="center" vertical="center"/>
    </xf>
    <xf numFmtId="9" fontId="3" fillId="0" borderId="0" xfId="2" applyFont="1" applyFill="1" applyAlignment="1">
      <alignment horizontal="center" vertical="center"/>
    </xf>
    <xf numFmtId="0" fontId="2" fillId="20" borderId="0" xfId="0" applyFont="1" applyFill="1" applyAlignment="1">
      <alignment horizontal="center" vertical="center"/>
    </xf>
    <xf numFmtId="0" fontId="5" fillId="14" borderId="0" xfId="0" quotePrefix="1" applyFont="1" applyFill="1" applyBorder="1" applyAlignment="1" applyProtection="1">
      <alignment horizontal="center" vertical="center"/>
    </xf>
    <xf numFmtId="0" fontId="7" fillId="0" borderId="0" xfId="0" applyFont="1" applyAlignment="1">
      <alignment horizontal="center" vertical="center"/>
    </xf>
    <xf numFmtId="0" fontId="11" fillId="14" borderId="0" xfId="0" quotePrefix="1" applyFont="1" applyFill="1" applyBorder="1" applyAlignment="1" applyProtection="1">
      <alignment horizontal="center" vertical="center"/>
    </xf>
    <xf numFmtId="0" fontId="9" fillId="0" borderId="0" xfId="0" applyFont="1" applyAlignment="1">
      <alignment horizontal="center" vertical="center"/>
    </xf>
    <xf numFmtId="49" fontId="6" fillId="14" borderId="0" xfId="0" applyNumberFormat="1" applyFont="1" applyFill="1" applyBorder="1" applyAlignment="1" applyProtection="1">
      <alignment vertical="center"/>
    </xf>
    <xf numFmtId="164" fontId="6" fillId="14" borderId="0" xfId="1" applyFont="1" applyFill="1" applyBorder="1" applyAlignment="1" applyProtection="1">
      <alignment vertical="center"/>
    </xf>
    <xf numFmtId="0" fontId="7" fillId="0" borderId="0" xfId="0" applyFont="1" applyAlignment="1">
      <alignment vertical="center"/>
    </xf>
    <xf numFmtId="0" fontId="7" fillId="0" borderId="0" xfId="0" applyFont="1" applyFill="1" applyBorder="1" applyAlignment="1" applyProtection="1">
      <alignment vertical="center"/>
      <protection locked="0"/>
    </xf>
    <xf numFmtId="0" fontId="7" fillId="0" borderId="0" xfId="0" applyFont="1" applyFill="1" applyAlignment="1">
      <alignment vertical="center"/>
    </xf>
    <xf numFmtId="164" fontId="7" fillId="0" borderId="0" xfId="1" applyFont="1" applyFill="1" applyAlignment="1">
      <alignment vertical="center"/>
    </xf>
    <xf numFmtId="0" fontId="9" fillId="6" borderId="3" xfId="0" applyNumberFormat="1" applyFont="1" applyFill="1" applyBorder="1" applyAlignment="1">
      <alignment horizontal="center" vertical="center"/>
    </xf>
    <xf numFmtId="14" fontId="9" fillId="6" borderId="3" xfId="0" applyNumberFormat="1" applyFont="1" applyFill="1" applyBorder="1" applyAlignment="1">
      <alignment horizontal="center" vertical="center"/>
    </xf>
    <xf numFmtId="14" fontId="9" fillId="8" borderId="3" xfId="0" applyNumberFormat="1" applyFont="1" applyFill="1" applyBorder="1" applyAlignment="1">
      <alignment horizontal="center" vertical="center"/>
    </xf>
    <xf numFmtId="14" fontId="9" fillId="4" borderId="3" xfId="0" applyNumberFormat="1" applyFont="1" applyFill="1" applyBorder="1" applyAlignment="1">
      <alignment horizontal="center" vertical="center"/>
    </xf>
    <xf numFmtId="14" fontId="5" fillId="9" borderId="4" xfId="0" applyNumberFormat="1" applyFont="1" applyFill="1" applyBorder="1" applyAlignment="1">
      <alignment horizontal="center" vertical="center"/>
    </xf>
    <xf numFmtId="14" fontId="5" fillId="23" borderId="4" xfId="0" applyNumberFormat="1" applyFont="1" applyFill="1" applyBorder="1" applyAlignment="1">
      <alignment horizontal="center" vertical="center"/>
    </xf>
    <xf numFmtId="14" fontId="8" fillId="5" borderId="4" xfId="0" applyNumberFormat="1" applyFont="1" applyFill="1" applyBorder="1" applyAlignment="1">
      <alignment horizontal="center" vertical="center"/>
    </xf>
    <xf numFmtId="165" fontId="8" fillId="7" borderId="4" xfId="0" applyNumberFormat="1" applyFont="1" applyFill="1" applyBorder="1" applyAlignment="1">
      <alignment horizontal="center" vertical="center"/>
    </xf>
    <xf numFmtId="9" fontId="8" fillId="10" borderId="4" xfId="2" applyFont="1" applyFill="1" applyBorder="1" applyAlignment="1">
      <alignment horizontal="center" vertical="center"/>
    </xf>
    <xf numFmtId="0" fontId="8" fillId="3" borderId="5"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17" borderId="4" xfId="0" applyFont="1" applyFill="1" applyBorder="1" applyAlignment="1">
      <alignment horizontal="center" vertical="center" wrapText="1"/>
    </xf>
    <xf numFmtId="0" fontId="8" fillId="5" borderId="4" xfId="0" applyFont="1" applyFill="1" applyBorder="1" applyAlignment="1">
      <alignment horizontal="center" vertical="center" wrapText="1"/>
    </xf>
    <xf numFmtId="0" fontId="8" fillId="11" borderId="4" xfId="0" applyFont="1" applyFill="1" applyBorder="1" applyAlignment="1">
      <alignment horizontal="center" vertical="center" wrapText="1"/>
    </xf>
    <xf numFmtId="164" fontId="8" fillId="17" borderId="4" xfId="1" applyFont="1" applyFill="1" applyBorder="1" applyAlignment="1">
      <alignment horizontal="center" vertical="center" wrapText="1"/>
    </xf>
    <xf numFmtId="14" fontId="9" fillId="16" borderId="7" xfId="0" applyNumberFormat="1" applyFont="1" applyFill="1" applyBorder="1" applyAlignment="1">
      <alignment horizontal="center" vertical="center"/>
    </xf>
    <xf numFmtId="1" fontId="9" fillId="16" borderId="7" xfId="0" applyNumberFormat="1" applyFont="1" applyFill="1" applyBorder="1" applyAlignment="1">
      <alignment horizontal="center" vertical="center"/>
    </xf>
    <xf numFmtId="0" fontId="9" fillId="6" borderId="7" xfId="0" applyNumberFormat="1" applyFont="1" applyFill="1" applyBorder="1" applyAlignment="1">
      <alignment horizontal="center" vertical="center"/>
    </xf>
    <xf numFmtId="14" fontId="9" fillId="6" borderId="7" xfId="0" applyNumberFormat="1" applyFont="1" applyFill="1" applyBorder="1" applyAlignment="1">
      <alignment horizontal="center" vertical="center"/>
    </xf>
    <xf numFmtId="14" fontId="9" fillId="8" borderId="7" xfId="0" applyNumberFormat="1" applyFont="1" applyFill="1" applyBorder="1" applyAlignment="1">
      <alignment horizontal="center" vertical="center"/>
    </xf>
    <xf numFmtId="14" fontId="9" fillId="4" borderId="7" xfId="0" applyNumberFormat="1" applyFont="1" applyFill="1" applyBorder="1" applyAlignment="1">
      <alignment horizontal="center" vertical="center"/>
    </xf>
    <xf numFmtId="14" fontId="9" fillId="4" borderId="7" xfId="1" applyNumberFormat="1" applyFont="1" applyFill="1" applyBorder="1" applyAlignment="1">
      <alignment horizontal="center" vertical="center"/>
    </xf>
    <xf numFmtId="2" fontId="5" fillId="23" borderId="4" xfId="0" applyNumberFormat="1" applyFont="1" applyFill="1" applyBorder="1" applyAlignment="1">
      <alignment horizontal="center" vertical="center" wrapText="1"/>
    </xf>
    <xf numFmtId="0" fontId="10" fillId="2" borderId="7" xfId="0" applyFont="1" applyFill="1" applyBorder="1" applyAlignment="1">
      <alignment horizontal="center" vertical="center"/>
    </xf>
    <xf numFmtId="0" fontId="10" fillId="11" borderId="7" xfId="0" applyFont="1" applyFill="1" applyBorder="1" applyAlignment="1">
      <alignment horizontal="center" vertical="center"/>
    </xf>
    <xf numFmtId="0" fontId="10" fillId="16" borderId="7" xfId="0" applyFont="1" applyFill="1" applyBorder="1" applyAlignment="1">
      <alignment horizontal="center" vertical="center"/>
    </xf>
    <xf numFmtId="0" fontId="10" fillId="24" borderId="7" xfId="0" applyFont="1" applyFill="1" applyBorder="1" applyAlignment="1">
      <alignment horizontal="center" vertical="center"/>
    </xf>
    <xf numFmtId="0" fontId="10" fillId="0" borderId="7" xfId="0" applyFont="1" applyBorder="1" applyAlignment="1">
      <alignment vertical="center"/>
    </xf>
    <xf numFmtId="0" fontId="10" fillId="3" borderId="7" xfId="0" applyFont="1" applyFill="1" applyBorder="1" applyAlignment="1">
      <alignment horizontal="center" vertical="center"/>
    </xf>
    <xf numFmtId="0" fontId="10" fillId="3" borderId="7" xfId="0" applyFont="1" applyFill="1" applyBorder="1" applyAlignment="1" applyProtection="1">
      <alignment horizontal="center" vertical="center"/>
    </xf>
    <xf numFmtId="164" fontId="10" fillId="16" borderId="7" xfId="1" applyFont="1" applyFill="1" applyBorder="1" applyAlignment="1">
      <alignment vertical="center"/>
    </xf>
    <xf numFmtId="0" fontId="10" fillId="0" borderId="0" xfId="0" applyFont="1" applyFill="1" applyAlignment="1">
      <alignment vertical="center"/>
    </xf>
    <xf numFmtId="0" fontId="10" fillId="0" borderId="7" xfId="0" applyFont="1" applyBorder="1" applyAlignment="1">
      <alignment horizontal="center" vertical="center"/>
    </xf>
    <xf numFmtId="0" fontId="10" fillId="0" borderId="0" xfId="0" applyFont="1" applyFill="1" applyAlignment="1">
      <alignment horizontal="center" vertical="center"/>
    </xf>
    <xf numFmtId="0" fontId="10" fillId="12" borderId="7" xfId="0" applyFont="1" applyFill="1" applyBorder="1" applyAlignment="1">
      <alignment vertical="center"/>
    </xf>
    <xf numFmtId="0" fontId="10" fillId="12" borderId="0" xfId="0" applyFont="1" applyFill="1" applyAlignment="1">
      <alignment vertical="center"/>
    </xf>
    <xf numFmtId="0" fontId="10" fillId="11" borderId="3" xfId="0" applyFont="1" applyFill="1" applyBorder="1" applyAlignment="1">
      <alignment horizontal="center" vertical="center"/>
    </xf>
    <xf numFmtId="0" fontId="10" fillId="16" borderId="3" xfId="0" applyFont="1" applyFill="1" applyBorder="1" applyAlignment="1">
      <alignment horizontal="center" vertical="center"/>
    </xf>
    <xf numFmtId="0" fontId="10" fillId="24" borderId="3" xfId="0" applyFont="1" applyFill="1" applyBorder="1" applyAlignment="1">
      <alignment horizontal="center" vertical="center"/>
    </xf>
    <xf numFmtId="0" fontId="10" fillId="16" borderId="3" xfId="0" applyFont="1" applyFill="1" applyBorder="1" applyAlignment="1">
      <alignment horizontal="center" vertical="center" wrapText="1"/>
    </xf>
    <xf numFmtId="0" fontId="10" fillId="0" borderId="0" xfId="0" applyFont="1" applyAlignment="1">
      <alignment vertical="center"/>
    </xf>
    <xf numFmtId="49" fontId="6" fillId="14" borderId="0" xfId="0" applyNumberFormat="1" applyFont="1" applyFill="1" applyBorder="1" applyAlignment="1" applyProtection="1">
      <alignment horizontal="center" vertical="center" wrapText="1"/>
    </xf>
    <xf numFmtId="0" fontId="10" fillId="16" borderId="7" xfId="0" applyFont="1" applyFill="1" applyBorder="1" applyAlignment="1">
      <alignment horizontal="center" vertical="center" wrapText="1"/>
    </xf>
    <xf numFmtId="0" fontId="10" fillId="16" borderId="7" xfId="0" applyFont="1" applyFill="1" applyBorder="1" applyAlignment="1">
      <alignment horizontal="center" wrapText="1"/>
    </xf>
    <xf numFmtId="0" fontId="7" fillId="0" borderId="0" xfId="0" applyFont="1" applyAlignment="1">
      <alignment horizontal="center" vertical="center" wrapText="1"/>
    </xf>
    <xf numFmtId="0" fontId="10" fillId="16" borderId="3" xfId="0" applyFont="1" applyFill="1" applyBorder="1" applyAlignment="1">
      <alignment horizontal="left" vertical="center" wrapText="1"/>
    </xf>
    <xf numFmtId="0" fontId="10" fillId="16" borderId="3" xfId="0" applyFont="1" applyFill="1" applyBorder="1" applyAlignment="1">
      <alignment wrapText="1"/>
    </xf>
    <xf numFmtId="0" fontId="12" fillId="6" borderId="7" xfId="0" applyNumberFormat="1" applyFont="1" applyFill="1" applyBorder="1" applyAlignment="1">
      <alignment horizontal="center" vertical="center"/>
    </xf>
    <xf numFmtId="14" fontId="12" fillId="6" borderId="7" xfId="0" applyNumberFormat="1" applyFont="1" applyFill="1" applyBorder="1" applyAlignment="1">
      <alignment horizontal="center" vertical="center"/>
    </xf>
    <xf numFmtId="14" fontId="12" fillId="8" borderId="7" xfId="0" applyNumberFormat="1" applyFont="1" applyFill="1" applyBorder="1" applyAlignment="1">
      <alignment horizontal="center" vertical="center"/>
    </xf>
    <xf numFmtId="14" fontId="12" fillId="4" borderId="7" xfId="1" applyNumberFormat="1" applyFont="1" applyFill="1" applyBorder="1" applyAlignment="1">
      <alignment horizontal="center" vertical="center"/>
    </xf>
    <xf numFmtId="0" fontId="15" fillId="11"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5" fillId="16" borderId="7" xfId="0" applyFont="1" applyFill="1" applyBorder="1" applyAlignment="1">
      <alignment horizontal="center" vertical="center"/>
    </xf>
    <xf numFmtId="0" fontId="15" fillId="24" borderId="7" xfId="0" applyFont="1" applyFill="1" applyBorder="1" applyAlignment="1">
      <alignment horizontal="center" vertical="center"/>
    </xf>
    <xf numFmtId="0" fontId="15" fillId="0" borderId="7" xfId="0" applyFont="1" applyBorder="1" applyAlignment="1">
      <alignment vertical="center"/>
    </xf>
    <xf numFmtId="0" fontId="15" fillId="3" borderId="7" xfId="0" applyFont="1" applyFill="1" applyBorder="1" applyAlignment="1">
      <alignment horizontal="center" vertical="center"/>
    </xf>
    <xf numFmtId="0" fontId="15" fillId="3" borderId="7" xfId="0" applyFont="1" applyFill="1" applyBorder="1" applyAlignment="1" applyProtection="1">
      <alignment horizontal="center" vertical="center"/>
    </xf>
    <xf numFmtId="0" fontId="15" fillId="0" borderId="0" xfId="0" applyFont="1" applyFill="1" applyAlignment="1">
      <alignment vertical="center"/>
    </xf>
    <xf numFmtId="14" fontId="12" fillId="4" borderId="7" xfId="0" applyNumberFormat="1" applyFont="1" applyFill="1" applyBorder="1" applyAlignment="1">
      <alignment horizontal="center" vertical="center"/>
    </xf>
    <xf numFmtId="0" fontId="0" fillId="0" borderId="0" xfId="0"/>
    <xf numFmtId="0" fontId="6" fillId="14" borderId="0" xfId="0" quotePrefix="1" applyNumberFormat="1" applyFont="1" applyFill="1" applyBorder="1" applyAlignment="1" applyProtection="1">
      <alignment horizontal="left" vertical="center"/>
    </xf>
    <xf numFmtId="0" fontId="5" fillId="9" borderId="4" xfId="0" applyNumberFormat="1" applyFont="1" applyFill="1" applyBorder="1" applyAlignment="1">
      <alignment horizontal="center" vertical="center"/>
    </xf>
    <xf numFmtId="0" fontId="15" fillId="2" borderId="7" xfId="0" applyNumberFormat="1" applyFont="1" applyFill="1" applyBorder="1" applyAlignment="1">
      <alignment horizontal="center" vertical="center"/>
    </xf>
    <xf numFmtId="0" fontId="10" fillId="2" borderId="7" xfId="0" applyNumberFormat="1" applyFont="1" applyFill="1" applyBorder="1" applyAlignment="1">
      <alignment horizontal="center" vertical="center"/>
    </xf>
    <xf numFmtId="0" fontId="10" fillId="2" borderId="3" xfId="0" applyNumberFormat="1" applyFont="1" applyFill="1" applyBorder="1" applyAlignment="1">
      <alignment horizontal="center" vertical="center"/>
    </xf>
    <xf numFmtId="0" fontId="10" fillId="2" borderId="0" xfId="0" applyNumberFormat="1" applyFont="1" applyFill="1" applyBorder="1" applyAlignment="1">
      <alignment horizontal="center" vertical="center"/>
    </xf>
    <xf numFmtId="0" fontId="10" fillId="2" borderId="1" xfId="0" applyNumberFormat="1" applyFont="1" applyFill="1" applyBorder="1" applyAlignment="1">
      <alignment horizontal="center" vertical="center"/>
    </xf>
    <xf numFmtId="0" fontId="10" fillId="2" borderId="8" xfId="0" applyNumberFormat="1" applyFont="1" applyFill="1" applyBorder="1" applyAlignment="1">
      <alignment horizontal="center" vertical="center"/>
    </xf>
    <xf numFmtId="0" fontId="7" fillId="0" borderId="0" xfId="0" applyNumberFormat="1" applyFont="1" applyAlignment="1">
      <alignment horizontal="center" vertical="center"/>
    </xf>
    <xf numFmtId="0" fontId="10" fillId="2" borderId="9" xfId="0" applyNumberFormat="1" applyFont="1" applyFill="1" applyBorder="1" applyAlignment="1">
      <alignment horizontal="center" vertical="center"/>
    </xf>
    <xf numFmtId="14" fontId="9" fillId="6" borderId="9" xfId="0" applyNumberFormat="1" applyFont="1" applyFill="1" applyBorder="1" applyAlignment="1">
      <alignment horizontal="center" vertical="center"/>
    </xf>
    <xf numFmtId="14" fontId="9" fillId="8" borderId="9" xfId="0" applyNumberFormat="1" applyFont="1" applyFill="1" applyBorder="1" applyAlignment="1">
      <alignment horizontal="center" vertical="center"/>
    </xf>
    <xf numFmtId="14" fontId="9" fillId="4" borderId="9" xfId="0" applyNumberFormat="1" applyFont="1" applyFill="1" applyBorder="1" applyAlignment="1">
      <alignment horizontal="center" vertical="center"/>
    </xf>
    <xf numFmtId="0" fontId="10" fillId="11" borderId="9" xfId="0" applyFont="1" applyFill="1" applyBorder="1" applyAlignment="1">
      <alignment horizontal="center" vertical="center"/>
    </xf>
    <xf numFmtId="0" fontId="10" fillId="16" borderId="9" xfId="0" applyFont="1" applyFill="1" applyBorder="1" applyAlignment="1">
      <alignment horizontal="center" vertical="center" wrapText="1"/>
    </xf>
    <xf numFmtId="0" fontId="10" fillId="16" borderId="9" xfId="0" applyFont="1" applyFill="1" applyBorder="1" applyAlignment="1">
      <alignment horizontal="center" vertical="center"/>
    </xf>
    <xf numFmtId="0" fontId="10" fillId="24" borderId="9" xfId="0" applyFont="1" applyFill="1" applyBorder="1" applyAlignment="1">
      <alignment horizontal="center" vertical="center"/>
    </xf>
    <xf numFmtId="0" fontId="10" fillId="0" borderId="9" xfId="0" applyFont="1" applyBorder="1" applyAlignment="1">
      <alignment vertical="center"/>
    </xf>
    <xf numFmtId="0" fontId="10" fillId="2" borderId="9" xfId="0" applyFont="1" applyFill="1" applyBorder="1" applyAlignment="1">
      <alignment horizontal="center" vertical="center"/>
    </xf>
    <xf numFmtId="0" fontId="9" fillId="6" borderId="1" xfId="0" applyNumberFormat="1" applyFont="1" applyFill="1" applyBorder="1" applyAlignment="1">
      <alignment horizontal="center" vertical="center"/>
    </xf>
    <xf numFmtId="0" fontId="9" fillId="6" borderId="10" xfId="0" applyNumberFormat="1" applyFont="1" applyFill="1" applyBorder="1" applyAlignment="1">
      <alignment horizontal="center" vertical="center"/>
    </xf>
    <xf numFmtId="0" fontId="10" fillId="16" borderId="9" xfId="0" applyFont="1" applyFill="1" applyBorder="1" applyAlignment="1">
      <alignment wrapText="1"/>
    </xf>
    <xf numFmtId="0" fontId="10" fillId="16" borderId="9" xfId="0" applyFont="1" applyFill="1" applyBorder="1" applyAlignment="1">
      <alignment horizontal="left" vertical="center" wrapText="1"/>
    </xf>
    <xf numFmtId="0" fontId="10" fillId="18" borderId="3" xfId="0" applyFont="1" applyFill="1" applyBorder="1" applyAlignment="1">
      <alignment horizontal="center" vertical="center"/>
    </xf>
    <xf numFmtId="0" fontId="10" fillId="21" borderId="9" xfId="0" applyFont="1" applyFill="1" applyBorder="1" applyAlignment="1">
      <alignment horizontal="center" vertical="center"/>
    </xf>
    <xf numFmtId="0" fontId="7" fillId="15" borderId="0" xfId="0" applyFont="1" applyFill="1" applyAlignment="1">
      <alignment vertical="center"/>
    </xf>
    <xf numFmtId="0" fontId="10" fillId="18" borderId="9" xfId="0" applyFont="1" applyFill="1" applyBorder="1" applyAlignment="1">
      <alignment horizontal="center" vertical="center"/>
    </xf>
    <xf numFmtId="0" fontId="10" fillId="19" borderId="0" xfId="0" applyFont="1" applyFill="1" applyAlignment="1">
      <alignment vertical="center"/>
    </xf>
    <xf numFmtId="0" fontId="10" fillId="19" borderId="0" xfId="0" applyFont="1" applyFill="1" applyAlignment="1">
      <alignment horizontal="center" vertical="center"/>
    </xf>
    <xf numFmtId="0" fontId="10" fillId="2" borderId="7" xfId="0" quotePrefix="1" applyNumberFormat="1" applyFont="1" applyFill="1" applyBorder="1" applyAlignment="1">
      <alignment horizontal="center" vertical="center"/>
    </xf>
    <xf numFmtId="3" fontId="9" fillId="16" borderId="7" xfId="0" applyNumberFormat="1" applyFont="1" applyFill="1" applyBorder="1" applyAlignment="1">
      <alignment horizontal="center" vertical="center"/>
    </xf>
    <xf numFmtId="0" fontId="10" fillId="5" borderId="9" xfId="0" applyFont="1" applyFill="1" applyBorder="1" applyAlignment="1">
      <alignment horizontal="center" vertical="center"/>
    </xf>
    <xf numFmtId="0" fontId="10" fillId="25" borderId="9" xfId="0" applyFont="1" applyFill="1" applyBorder="1" applyAlignment="1">
      <alignment horizontal="center" vertical="center"/>
    </xf>
    <xf numFmtId="0" fontId="0" fillId="12" borderId="11" xfId="0" applyFill="1" applyBorder="1" applyAlignment="1">
      <alignment horizontal="center"/>
    </xf>
    <xf numFmtId="9" fontId="0" fillId="12" borderId="11" xfId="2" applyFont="1" applyFill="1" applyBorder="1" applyAlignment="1">
      <alignment horizontal="center" vertical="center"/>
    </xf>
    <xf numFmtId="0" fontId="16" fillId="12" borderId="11" xfId="0" applyFont="1" applyFill="1" applyBorder="1" applyAlignment="1">
      <alignment horizontal="center"/>
    </xf>
    <xf numFmtId="0" fontId="0" fillId="12" borderId="12" xfId="0" applyFill="1" applyBorder="1" applyAlignment="1">
      <alignment horizontal="center"/>
    </xf>
    <xf numFmtId="0" fontId="10" fillId="22" borderId="9" xfId="0" applyFont="1" applyFill="1" applyBorder="1" applyAlignment="1">
      <alignment horizontal="center" vertical="center"/>
    </xf>
    <xf numFmtId="0" fontId="10" fillId="21" borderId="7" xfId="0" applyNumberFormat="1" applyFont="1" applyFill="1" applyBorder="1" applyAlignment="1">
      <alignment horizontal="center" vertical="center"/>
    </xf>
    <xf numFmtId="0" fontId="10" fillId="21" borderId="7" xfId="0" applyFont="1" applyFill="1" applyBorder="1" applyAlignment="1">
      <alignment horizontal="center" vertical="center"/>
    </xf>
    <xf numFmtId="14" fontId="9" fillId="21" borderId="7" xfId="0" applyNumberFormat="1" applyFont="1" applyFill="1" applyBorder="1" applyAlignment="1">
      <alignment horizontal="center" vertical="center"/>
    </xf>
    <xf numFmtId="1" fontId="9" fillId="21" borderId="7" xfId="0" applyNumberFormat="1" applyFont="1" applyFill="1" applyBorder="1" applyAlignment="1">
      <alignment horizontal="center" vertical="center"/>
    </xf>
    <xf numFmtId="0" fontId="9" fillId="21" borderId="7" xfId="0" applyNumberFormat="1" applyFont="1" applyFill="1" applyBorder="1" applyAlignment="1">
      <alignment horizontal="center" vertical="center"/>
    </xf>
    <xf numFmtId="14" fontId="9" fillId="21" borderId="7" xfId="1" applyNumberFormat="1" applyFont="1" applyFill="1" applyBorder="1" applyAlignment="1">
      <alignment horizontal="center" vertical="center"/>
    </xf>
    <xf numFmtId="0" fontId="10" fillId="21" borderId="7" xfId="0" applyFont="1" applyFill="1" applyBorder="1" applyAlignment="1">
      <alignment horizontal="center" vertical="center" wrapText="1"/>
    </xf>
    <xf numFmtId="0" fontId="10" fillId="21" borderId="7" xfId="0" applyFont="1" applyFill="1" applyBorder="1" applyAlignment="1">
      <alignment vertical="center"/>
    </xf>
    <xf numFmtId="0" fontId="10" fillId="21" borderId="7" xfId="0" applyFont="1" applyFill="1" applyBorder="1" applyAlignment="1" applyProtection="1">
      <alignment horizontal="center" vertical="center"/>
    </xf>
    <xf numFmtId="0" fontId="10" fillId="21" borderId="0" xfId="0" applyFont="1" applyFill="1" applyAlignment="1">
      <alignment vertical="center"/>
    </xf>
    <xf numFmtId="3" fontId="9" fillId="21" borderId="7" xfId="0" applyNumberFormat="1" applyFont="1" applyFill="1" applyBorder="1" applyAlignment="1">
      <alignment horizontal="center" vertical="center"/>
    </xf>
    <xf numFmtId="0" fontId="10" fillId="21" borderId="0" xfId="0" applyFont="1" applyFill="1" applyAlignment="1">
      <alignment horizontal="center" vertical="center"/>
    </xf>
    <xf numFmtId="0" fontId="10" fillId="21" borderId="3" xfId="0" applyNumberFormat="1" applyFont="1" applyFill="1" applyBorder="1" applyAlignment="1">
      <alignment horizontal="center" vertical="center"/>
    </xf>
    <xf numFmtId="0" fontId="9" fillId="21" borderId="3" xfId="0" applyNumberFormat="1" applyFont="1" applyFill="1" applyBorder="1" applyAlignment="1">
      <alignment horizontal="center" vertical="center"/>
    </xf>
    <xf numFmtId="14" fontId="9" fillId="21" borderId="3" xfId="0" applyNumberFormat="1" applyFont="1" applyFill="1" applyBorder="1" applyAlignment="1">
      <alignment horizontal="center" vertical="center"/>
    </xf>
    <xf numFmtId="0" fontId="10" fillId="21" borderId="3" xfId="0" applyFont="1" applyFill="1" applyBorder="1" applyAlignment="1">
      <alignment horizontal="center" vertical="center"/>
    </xf>
    <xf numFmtId="0" fontId="10" fillId="21" borderId="3" xfId="0" applyFont="1" applyFill="1" applyBorder="1" applyAlignment="1">
      <alignment horizontal="left" vertical="center" wrapText="1"/>
    </xf>
    <xf numFmtId="0" fontId="10" fillId="21" borderId="3" xfId="0" applyFont="1" applyFill="1" applyBorder="1" applyAlignment="1">
      <alignment horizontal="center" vertical="center" wrapText="1"/>
    </xf>
    <xf numFmtId="0" fontId="7" fillId="21" borderId="0" xfId="0" applyFont="1" applyFill="1" applyAlignment="1">
      <alignment vertical="center"/>
    </xf>
    <xf numFmtId="0" fontId="10" fillId="21" borderId="9" xfId="0" applyNumberFormat="1" applyFont="1" applyFill="1" applyBorder="1" applyAlignment="1">
      <alignment horizontal="center" vertical="center"/>
    </xf>
    <xf numFmtId="0" fontId="9" fillId="21" borderId="1" xfId="0" applyNumberFormat="1" applyFont="1" applyFill="1" applyBorder="1" applyAlignment="1">
      <alignment horizontal="center" vertical="center"/>
    </xf>
    <xf numFmtId="14" fontId="9" fillId="21" borderId="9" xfId="0" applyNumberFormat="1" applyFont="1" applyFill="1" applyBorder="1" applyAlignment="1">
      <alignment horizontal="center" vertical="center"/>
    </xf>
    <xf numFmtId="0" fontId="10" fillId="21" borderId="9" xfId="0" applyFont="1" applyFill="1" applyBorder="1" applyAlignment="1">
      <alignment horizontal="left" vertical="center" wrapText="1"/>
    </xf>
    <xf numFmtId="0" fontId="10" fillId="21" borderId="9" xfId="0" applyFont="1" applyFill="1" applyBorder="1" applyAlignment="1">
      <alignment horizontal="center" vertical="center" wrapText="1"/>
    </xf>
    <xf numFmtId="0" fontId="10" fillId="21" borderId="9" xfId="0" applyFont="1" applyFill="1" applyBorder="1" applyAlignment="1">
      <alignment vertical="center"/>
    </xf>
    <xf numFmtId="0" fontId="10" fillId="19" borderId="9" xfId="0" applyFont="1" applyFill="1" applyBorder="1" applyAlignment="1">
      <alignment horizontal="center" vertical="center"/>
    </xf>
    <xf numFmtId="0" fontId="17" fillId="2" borderId="13" xfId="0" applyFont="1" applyFill="1" applyBorder="1" applyAlignment="1">
      <alignment horizontal="center" vertical="center"/>
    </xf>
    <xf numFmtId="0" fontId="10" fillId="7" borderId="7" xfId="0" applyFont="1" applyFill="1" applyBorder="1" applyAlignment="1">
      <alignment horizontal="center" vertical="center"/>
    </xf>
    <xf numFmtId="0" fontId="10" fillId="26" borderId="9" xfId="0" applyFont="1" applyFill="1" applyBorder="1" applyAlignment="1">
      <alignment horizontal="center" vertical="center"/>
    </xf>
    <xf numFmtId="0" fontId="11" fillId="14" borderId="0" xfId="0" quotePrefix="1" applyNumberFormat="1" applyFont="1" applyFill="1" applyBorder="1" applyAlignment="1" applyProtection="1">
      <alignment horizontal="center" vertical="center"/>
    </xf>
    <xf numFmtId="0" fontId="5" fillId="23" borderId="4" xfId="0" applyNumberFormat="1" applyFont="1" applyFill="1" applyBorder="1" applyAlignment="1">
      <alignment horizontal="center" vertical="center"/>
    </xf>
    <xf numFmtId="0" fontId="9" fillId="16" borderId="7" xfId="0" applyNumberFormat="1" applyFont="1" applyFill="1" applyBorder="1" applyAlignment="1">
      <alignment horizontal="center" vertical="center"/>
    </xf>
    <xf numFmtId="0" fontId="9" fillId="0" borderId="0" xfId="0" applyNumberFormat="1" applyFont="1" applyAlignment="1">
      <alignment horizontal="center" vertical="center"/>
    </xf>
    <xf numFmtId="0" fontId="10" fillId="2" borderId="7" xfId="0" applyNumberFormat="1" applyFont="1" applyFill="1" applyBorder="1" applyAlignment="1">
      <alignment horizontal="center" vertical="center" wrapText="1"/>
    </xf>
    <xf numFmtId="0" fontId="2" fillId="27" borderId="0" xfId="0" applyFont="1" applyFill="1" applyAlignment="1" applyProtection="1">
      <alignment horizontal="center" vertical="center" wrapText="1"/>
      <protection locked="0"/>
    </xf>
    <xf numFmtId="0" fontId="3" fillId="0" borderId="0" xfId="0" applyFont="1" applyAlignment="1">
      <alignment horizontal="center" vertical="center"/>
    </xf>
    <xf numFmtId="0" fontId="0" fillId="0" borderId="0" xfId="0" applyAlignment="1">
      <alignment horizontal="center"/>
    </xf>
    <xf numFmtId="0" fontId="0" fillId="12" borderId="0" xfId="0" applyFill="1" applyAlignment="1">
      <alignment horizontal="center"/>
    </xf>
    <xf numFmtId="0" fontId="0" fillId="28" borderId="14" xfId="0" applyFill="1" applyBorder="1" applyAlignment="1">
      <alignment horizontal="center"/>
    </xf>
    <xf numFmtId="0" fontId="0" fillId="29" borderId="15" xfId="0" applyFill="1" applyBorder="1" applyAlignment="1">
      <alignment horizontal="center"/>
    </xf>
    <xf numFmtId="0" fontId="0" fillId="30" borderId="0" xfId="0" applyFill="1" applyAlignment="1">
      <alignment horizontal="center" vertical="center"/>
    </xf>
    <xf numFmtId="0" fontId="16" fillId="12" borderId="14" xfId="0" applyFont="1" applyFill="1" applyBorder="1" applyAlignment="1">
      <alignment horizontal="center"/>
    </xf>
    <xf numFmtId="0" fontId="0" fillId="0" borderId="15" xfId="0" applyBorder="1" applyAlignment="1">
      <alignment horizontal="center"/>
    </xf>
    <xf numFmtId="0" fontId="0" fillId="0" borderId="14" xfId="0" applyBorder="1" applyAlignment="1">
      <alignment horizontal="center"/>
    </xf>
    <xf numFmtId="0" fontId="16" fillId="31" borderId="14" xfId="0" applyFont="1" applyFill="1" applyBorder="1" applyAlignment="1">
      <alignment horizontal="center"/>
    </xf>
    <xf numFmtId="0" fontId="0" fillId="12" borderId="15" xfId="0" applyFill="1" applyBorder="1" applyAlignment="1">
      <alignment horizontal="center"/>
    </xf>
    <xf numFmtId="0" fontId="3" fillId="0" borderId="0" xfId="0" applyFont="1" applyAlignment="1">
      <alignment horizontal="center"/>
    </xf>
    <xf numFmtId="0" fontId="0" fillId="32" borderId="0" xfId="0" applyFill="1"/>
    <xf numFmtId="0" fontId="0" fillId="0" borderId="0" xfId="0" applyNumberFormat="1"/>
    <xf numFmtId="14" fontId="0" fillId="0" borderId="0" xfId="0" applyNumberFormat="1"/>
    <xf numFmtId="14" fontId="9" fillId="16" borderId="9" xfId="0" applyNumberFormat="1" applyFont="1" applyFill="1" applyBorder="1" applyAlignment="1">
      <alignment horizontal="center" vertical="center"/>
    </xf>
    <xf numFmtId="3" fontId="9" fillId="16" borderId="9" xfId="0" applyNumberFormat="1" applyFont="1" applyFill="1" applyBorder="1" applyAlignment="1">
      <alignment horizontal="center" vertical="center"/>
    </xf>
    <xf numFmtId="0" fontId="10" fillId="3" borderId="9" xfId="0" applyFont="1" applyFill="1" applyBorder="1" applyAlignment="1">
      <alignment horizontal="center" vertical="center"/>
    </xf>
    <xf numFmtId="0" fontId="10" fillId="3" borderId="9" xfId="0" applyFont="1" applyFill="1" applyBorder="1" applyAlignment="1" applyProtection="1">
      <alignment horizontal="center" vertical="center"/>
    </xf>
    <xf numFmtId="0" fontId="10" fillId="2" borderId="9" xfId="0" applyNumberFormat="1" applyFont="1" applyFill="1" applyBorder="1" applyAlignment="1" applyProtection="1">
      <alignment horizontal="center" vertical="center"/>
    </xf>
    <xf numFmtId="0" fontId="9" fillId="16" borderId="9" xfId="0" applyNumberFormat="1" applyFont="1" applyFill="1" applyBorder="1" applyAlignment="1" applyProtection="1">
      <alignment horizontal="center" vertical="center"/>
    </xf>
    <xf numFmtId="0" fontId="9" fillId="6" borderId="4" xfId="0" applyNumberFormat="1" applyFont="1" applyFill="1" applyBorder="1" applyAlignment="1" applyProtection="1">
      <alignment horizontal="center" vertical="center"/>
    </xf>
    <xf numFmtId="14" fontId="9" fillId="6" borderId="9" xfId="0" applyNumberFormat="1" applyFont="1" applyFill="1" applyBorder="1" applyAlignment="1" applyProtection="1">
      <alignment horizontal="center" vertical="center"/>
    </xf>
    <xf numFmtId="14" fontId="9" fillId="8" borderId="9" xfId="0" applyNumberFormat="1" applyFont="1" applyFill="1" applyBorder="1" applyAlignment="1" applyProtection="1">
      <alignment horizontal="center" vertical="center"/>
    </xf>
    <xf numFmtId="0" fontId="10" fillId="11" borderId="9" xfId="0" applyFont="1" applyFill="1" applyBorder="1" applyAlignment="1" applyProtection="1">
      <alignment horizontal="center" vertical="center"/>
    </xf>
    <xf numFmtId="0" fontId="9" fillId="6" borderId="16" xfId="0" applyNumberFormat="1" applyFont="1" applyFill="1" applyBorder="1" applyAlignment="1">
      <alignment horizontal="center" vertical="center"/>
    </xf>
    <xf numFmtId="164" fontId="10" fillId="16" borderId="2" xfId="1" applyFont="1" applyFill="1" applyBorder="1" applyAlignment="1">
      <alignment horizontal="center" vertical="center" wrapText="1"/>
    </xf>
    <xf numFmtId="164" fontId="10" fillId="16" borderId="9" xfId="1" applyNumberFormat="1" applyFont="1" applyFill="1" applyBorder="1" applyAlignment="1">
      <alignment vertical="center"/>
    </xf>
    <xf numFmtId="0" fontId="9" fillId="16" borderId="9"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16" xfId="0" applyFont="1" applyFill="1" applyBorder="1" applyAlignment="1">
      <alignment horizontal="center" vertical="center"/>
    </xf>
    <xf numFmtId="14" fontId="6" fillId="14" borderId="0" xfId="0" applyNumberFormat="1" applyFont="1" applyFill="1" applyBorder="1" applyAlignment="1" applyProtection="1">
      <alignment vertical="center"/>
    </xf>
    <xf numFmtId="14" fontId="7" fillId="0" borderId="0" xfId="0" applyNumberFormat="1" applyFont="1" applyAlignment="1">
      <alignment horizontal="center" vertical="center"/>
    </xf>
    <xf numFmtId="0" fontId="10" fillId="15" borderId="9" xfId="0" applyFont="1" applyFill="1" applyBorder="1" applyAlignment="1">
      <alignment horizontal="center" vertical="center"/>
    </xf>
    <xf numFmtId="164" fontId="10" fillId="16" borderId="17" xfId="1" applyNumberFormat="1" applyFont="1" applyFill="1" applyBorder="1" applyAlignment="1">
      <alignment horizontal="center" vertical="center"/>
    </xf>
  </cellXfs>
  <cellStyles count="4">
    <cellStyle name="Moeda" xfId="1" builtinId="4"/>
    <cellStyle name="Moeda 2" xfId="3" xr:uid="{C97734BF-BDF8-4ECF-B1E7-594C82D7B19A}"/>
    <cellStyle name="Normal" xfId="0" builtinId="0"/>
    <cellStyle name="Porcentagem" xfId="2" builtinId="5"/>
  </cellStyles>
  <dxfs count="61">
    <dxf>
      <numFmt numFmtId="0" formatCode="General"/>
    </dxf>
    <dxf>
      <numFmt numFmtId="0" formatCode="General"/>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Light"/>
        <family val="2"/>
        <scheme val="none"/>
      </font>
      <numFmt numFmtId="164" formatCode="_-&quot;R$&quot;* #,##0.00_-;\-&quot;R$&quot;* #,##0.00_-;_-&quot;R$&quot;* &quot;-&quot;??_-;_-@_-"/>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rgb="FFCAAFFF"/>
        </left>
        <right style="thin">
          <color rgb="FFCAAFFF"/>
        </right>
        <top style="thin">
          <color rgb="FFCAAFFF"/>
        </top>
        <bottom style="thin">
          <color rgb="FFCAAFFF"/>
        </bottom>
        <vertical/>
        <horizontal/>
      </border>
    </dxf>
    <dxf>
      <font>
        <b val="0"/>
        <i val="0"/>
        <strike val="0"/>
        <condense val="0"/>
        <extend val="0"/>
        <outline val="0"/>
        <shadow val="0"/>
        <u val="none"/>
        <vertAlign val="baseline"/>
        <sz val="10"/>
        <color theme="1"/>
        <name val="Calibri Light"/>
        <family val="2"/>
        <scheme val="none"/>
      </font>
      <numFmt numFmtId="164" formatCode="_-&quot;R$&quot;* #,##0.00_-;\-&quot;R$&quot;* #,##0.00_-;_-&quot;R$&quot;* &quot;-&quot;??_-;_-@_-"/>
      <fill>
        <patternFill patternType="solid">
          <fgColor indexed="64"/>
          <bgColor theme="5" tint="0.79998168889431442"/>
        </patternFill>
      </fil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rgb="FF00B050"/>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0.249977111117893"/>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0.249977111117893"/>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protection locked="1" hidden="0"/>
    </dxf>
    <dxf>
      <font>
        <b val="0"/>
        <i val="0"/>
        <strike val="0"/>
        <condense val="0"/>
        <extend val="0"/>
        <outline val="0"/>
        <shadow val="0"/>
        <u val="none"/>
        <vertAlign val="baseline"/>
        <sz val="10"/>
        <color theme="1"/>
        <name val="Calibri Light"/>
        <family val="2"/>
        <scheme val="none"/>
      </font>
      <fill>
        <patternFill patternType="solid">
          <fgColor indexed="64"/>
          <bgColor theme="0" tint="-0.249977111117893"/>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5" tint="0.79998168889431442"/>
        </patternFill>
      </fill>
      <alignment horizontal="left" vertical="center" textRotation="0" wrapText="1"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0.14999847407452621"/>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i val="0"/>
        <strike val="0"/>
        <condense val="0"/>
        <extend val="0"/>
        <outline val="0"/>
        <shadow val="0"/>
        <u val="none"/>
        <vertAlign val="baseline"/>
        <sz val="10"/>
        <color theme="1"/>
        <name val="Calibri Light"/>
        <family val="2"/>
        <scheme val="none"/>
      </font>
      <numFmt numFmtId="19" formatCode="dd/mm/yyyy"/>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i val="0"/>
        <strike val="0"/>
        <condense val="0"/>
        <extend val="0"/>
        <outline val="0"/>
        <shadow val="0"/>
        <u val="none"/>
        <vertAlign val="baseline"/>
        <sz val="10"/>
        <color theme="1"/>
        <name val="Calibri Light"/>
        <family val="2"/>
        <scheme val="none"/>
      </font>
      <numFmt numFmtId="19" formatCode="dd/mm/yyyy"/>
      <fill>
        <patternFill patternType="solid">
          <fgColor indexed="64"/>
          <bgColor theme="8" tint="0.59999389629810485"/>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vertical/>
        <horizontal/>
      </border>
    </dxf>
    <dxf>
      <font>
        <b/>
        <i val="0"/>
        <strike val="0"/>
        <condense val="0"/>
        <extend val="0"/>
        <outline val="0"/>
        <shadow val="0"/>
        <u val="none"/>
        <vertAlign val="baseline"/>
        <sz val="10"/>
        <color theme="1"/>
        <name val="Calibri Light"/>
        <family val="2"/>
        <scheme val="none"/>
      </font>
      <numFmt numFmtId="19" formatCode="dd/mm/yyyy"/>
      <fill>
        <patternFill patternType="solid">
          <fgColor indexed="64"/>
          <bgColor theme="7" tint="0.59999389629810485"/>
        </patternFill>
      </fill>
      <alignment horizontal="center" vertical="center"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border>
    </dxf>
    <dxf>
      <font>
        <b/>
        <i val="0"/>
        <strike val="0"/>
        <condense val="0"/>
        <extend val="0"/>
        <outline val="0"/>
        <shadow val="0"/>
        <u val="none"/>
        <vertAlign val="baseline"/>
        <sz val="10"/>
        <color theme="1"/>
        <name val="Calibri Light"/>
        <family val="2"/>
        <scheme val="none"/>
      </font>
      <numFmt numFmtId="0" formatCode="General"/>
      <fill>
        <patternFill patternType="solid">
          <fgColor indexed="64"/>
          <bgColor theme="7" tint="0.59999389629810485"/>
        </patternFill>
      </fill>
      <alignment horizontal="center" vertical="center" textRotation="0" wrapText="0" indent="0" justifyLastLine="0" shrinkToFit="0" readingOrder="0"/>
      <border diagonalUp="0" diagonalDown="0">
        <left/>
        <right style="thin">
          <color theme="1" tint="0.499984740745262"/>
        </right>
        <top style="thin">
          <color theme="1" tint="0.499984740745262"/>
        </top>
        <bottom/>
        <vertical/>
        <horizontal/>
      </border>
    </dxf>
    <dxf>
      <font>
        <b/>
        <i val="0"/>
        <strike val="0"/>
        <condense val="0"/>
        <extend val="0"/>
        <outline val="0"/>
        <shadow val="0"/>
        <u val="none"/>
        <vertAlign val="baseline"/>
        <sz val="10"/>
        <color theme="1"/>
        <name val="Calibri Light"/>
        <family val="2"/>
        <scheme val="none"/>
      </font>
      <numFmt numFmtId="0" formatCode="General"/>
      <fill>
        <patternFill patternType="solid">
          <fgColor indexed="64"/>
          <bgColor theme="7"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Calibri Light"/>
        <family val="2"/>
        <scheme val="none"/>
      </font>
      <numFmt numFmtId="3" formatCode="#,##0"/>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i val="0"/>
        <strike val="0"/>
        <condense val="0"/>
        <extend val="0"/>
        <outline val="0"/>
        <shadow val="0"/>
        <u val="none"/>
        <vertAlign val="baseline"/>
        <sz val="10"/>
        <color theme="1"/>
        <name val="Calibri Light"/>
        <family val="2"/>
        <scheme val="none"/>
      </font>
      <numFmt numFmtId="0" formatCode="General"/>
      <fill>
        <patternFill patternType="solid">
          <fgColor indexed="64"/>
          <bgColor theme="5" tint="0.79998168889431442"/>
        </patternFill>
      </fill>
      <alignment horizontal="center" vertical="center" textRotation="0" wrapText="0" indent="0" justifyLastLine="0" shrinkToFit="0" readingOrder="0"/>
      <border diagonalUp="0" diagonalDown="0" outline="0">
        <left style="thin">
          <color theme="1" tint="0.499984740745262"/>
        </left>
        <right style="thin">
          <color theme="1" tint="0.499984740745262"/>
        </right>
        <top style="thin">
          <color theme="1" tint="0.499984740745262"/>
        </top>
        <bottom style="thin">
          <color theme="1" tint="0.499984740745262"/>
        </bottom>
      </border>
    </dxf>
    <dxf>
      <font>
        <b/>
        <i val="0"/>
        <strike val="0"/>
        <condense val="0"/>
        <extend val="0"/>
        <outline val="0"/>
        <shadow val="0"/>
        <u val="none"/>
        <vertAlign val="baseline"/>
        <sz val="10"/>
        <color theme="1"/>
        <name val="Calibri Light"/>
        <family val="2"/>
        <scheme val="none"/>
      </font>
      <numFmt numFmtId="19" formatCode="dd/mm/yyyy"/>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i val="0"/>
        <strike val="0"/>
        <condense val="0"/>
        <extend val="0"/>
        <outline val="0"/>
        <shadow val="0"/>
        <u val="none"/>
        <vertAlign val="baseline"/>
        <sz val="10"/>
        <color theme="1"/>
        <name val="Calibri Light"/>
        <family val="2"/>
        <scheme val="none"/>
      </font>
      <numFmt numFmtId="19" formatCode="dd/mm/yyyy"/>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val="0"/>
        <i val="0"/>
        <strike val="0"/>
        <condense val="0"/>
        <extend val="0"/>
        <outline val="0"/>
        <shadow val="0"/>
        <u val="none"/>
        <vertAlign val="baseline"/>
        <sz val="10"/>
        <color theme="1"/>
        <name val="Calibri Light"/>
        <family val="2"/>
        <scheme val="none"/>
      </font>
      <numFmt numFmtId="0" formatCode="General"/>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theme="1" tint="0.499984740745262"/>
        </left>
        <right style="thin">
          <color theme="1" tint="0.499984740745262"/>
        </right>
        <top style="thin">
          <color theme="1" tint="0.499984740745262"/>
        </top>
        <bottom style="thin">
          <color theme="1" tint="0.499984740745262"/>
        </bottom>
        <vertical/>
        <horizontal/>
      </border>
    </dxf>
    <dxf>
      <font>
        <b/>
        <i val="0"/>
        <strike val="0"/>
        <condense val="0"/>
        <extend val="0"/>
        <outline val="0"/>
        <shadow val="0"/>
        <u val="none"/>
        <vertAlign val="baseline"/>
        <sz val="11"/>
        <color theme="1"/>
        <name val="Calibri Light"/>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66FF99"/>
      <color rgb="FFB2B2B2"/>
      <color rgb="FF00FF00"/>
      <color rgb="FFFF5050"/>
      <color rgb="FF9933FF"/>
      <color rgb="FFF43CEB"/>
      <color rgb="FFCAAFFF"/>
      <color rgb="FFCC3C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35297</xdr:colOff>
      <xdr:row>0</xdr:row>
      <xdr:rowOff>121584</xdr:rowOff>
    </xdr:from>
    <xdr:to>
      <xdr:col>18</xdr:col>
      <xdr:colOff>405092</xdr:colOff>
      <xdr:row>19</xdr:row>
      <xdr:rowOff>26334</xdr:rowOff>
    </xdr:to>
    <xdr:grpSp>
      <xdr:nvGrpSpPr>
        <xdr:cNvPr id="33" name="Agrupar 32">
          <a:extLst>
            <a:ext uri="{FF2B5EF4-FFF2-40B4-BE49-F238E27FC236}">
              <a16:creationId xmlns:a16="http://schemas.microsoft.com/office/drawing/2014/main" id="{F3ABE6F7-1DFC-4914-8657-552BE8D6AA8F}"/>
            </a:ext>
          </a:extLst>
        </xdr:cNvPr>
        <xdr:cNvGrpSpPr/>
      </xdr:nvGrpSpPr>
      <xdr:grpSpPr>
        <a:xfrm>
          <a:off x="1254497" y="121584"/>
          <a:ext cx="10123395" cy="3524250"/>
          <a:chOff x="1344705" y="116542"/>
          <a:chExt cx="10051677" cy="3524250"/>
        </a:xfrm>
      </xdr:grpSpPr>
      <xdr:sp macro="" textlink="">
        <xdr:nvSpPr>
          <xdr:cNvPr id="20" name="Retângulo: Cantos Arredondados 19">
            <a:extLst>
              <a:ext uri="{FF2B5EF4-FFF2-40B4-BE49-F238E27FC236}">
                <a16:creationId xmlns:a16="http://schemas.microsoft.com/office/drawing/2014/main" id="{54A0BA0C-CE84-4177-9FEE-D87A01C98DB1}"/>
              </a:ext>
            </a:extLst>
          </xdr:cNvPr>
          <xdr:cNvSpPr/>
        </xdr:nvSpPr>
        <xdr:spPr>
          <a:xfrm>
            <a:off x="1344705" y="116542"/>
            <a:ext cx="10051677" cy="3524250"/>
          </a:xfrm>
          <a:prstGeom prst="roundRect">
            <a:avLst/>
          </a:prstGeom>
          <a:solidFill>
            <a:schemeClr val="tx1">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32" name="Agrupar 31">
            <a:extLst>
              <a:ext uri="{FF2B5EF4-FFF2-40B4-BE49-F238E27FC236}">
                <a16:creationId xmlns:a16="http://schemas.microsoft.com/office/drawing/2014/main" id="{C2D668AF-A589-4044-84A2-58EC6BF498A9}"/>
              </a:ext>
            </a:extLst>
          </xdr:cNvPr>
          <xdr:cNvGrpSpPr/>
        </xdr:nvGrpSpPr>
        <xdr:grpSpPr>
          <a:xfrm>
            <a:off x="2508478" y="882787"/>
            <a:ext cx="7724130" cy="1991760"/>
            <a:chOff x="2262790" y="882787"/>
            <a:chExt cx="7724130" cy="1991760"/>
          </a:xfrm>
        </xdr:grpSpPr>
        <xdr:grpSp>
          <xdr:nvGrpSpPr>
            <xdr:cNvPr id="4" name="Agrupar 3">
              <a:extLst>
                <a:ext uri="{FF2B5EF4-FFF2-40B4-BE49-F238E27FC236}">
                  <a16:creationId xmlns:a16="http://schemas.microsoft.com/office/drawing/2014/main" id="{791BDD12-7473-4C91-B9D6-2A012B79EFA3}"/>
                </a:ext>
              </a:extLst>
            </xdr:cNvPr>
            <xdr:cNvGrpSpPr/>
          </xdr:nvGrpSpPr>
          <xdr:grpSpPr>
            <a:xfrm>
              <a:off x="4866519" y="923060"/>
              <a:ext cx="2459047" cy="1911214"/>
              <a:chOff x="3500646" y="137903"/>
              <a:chExt cx="2476976" cy="1911214"/>
            </a:xfrm>
          </xdr:grpSpPr>
          <xdr:sp macro="" textlink="">
            <xdr:nvSpPr>
              <xdr:cNvPr id="5" name="Retângulo: Cantos Arredondados 4">
                <a:extLst>
                  <a:ext uri="{FF2B5EF4-FFF2-40B4-BE49-F238E27FC236}">
                    <a16:creationId xmlns:a16="http://schemas.microsoft.com/office/drawing/2014/main" id="{7866233E-AD0A-4760-BFBD-4674CE27FC20}"/>
                  </a:ext>
                </a:extLst>
              </xdr:cNvPr>
              <xdr:cNvSpPr/>
            </xdr:nvSpPr>
            <xdr:spPr>
              <a:xfrm>
                <a:off x="3500646" y="137903"/>
                <a:ext cx="2476976" cy="1911214"/>
              </a:xfrm>
              <a:prstGeom prst="round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 name="Retângulo: Cantos Arredondados 5">
                <a:extLst>
                  <a:ext uri="{FF2B5EF4-FFF2-40B4-BE49-F238E27FC236}">
                    <a16:creationId xmlns:a16="http://schemas.microsoft.com/office/drawing/2014/main" id="{869590B3-3B23-4EE0-B54B-1CC647E11D9A}"/>
                  </a:ext>
                </a:extLst>
              </xdr:cNvPr>
              <xdr:cNvSpPr/>
            </xdr:nvSpPr>
            <xdr:spPr>
              <a:xfrm>
                <a:off x="4082099" y="243262"/>
                <a:ext cx="1314070" cy="3192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900" b="1" baseline="0">
                    <a:latin typeface="Segoe UI" panose="020B0502040204020203" pitchFamily="34" charset="0"/>
                    <a:cs typeface="Segoe UI" panose="020B0502040204020203" pitchFamily="34" charset="0"/>
                  </a:rPr>
                  <a:t>LANÇAMENTOS</a:t>
                </a:r>
                <a:endParaRPr lang="en-GB" sz="900" b="1">
                  <a:latin typeface="Segoe UI" panose="020B0502040204020203" pitchFamily="34" charset="0"/>
                  <a:cs typeface="Segoe UI" panose="020B0502040204020203" pitchFamily="34" charset="0"/>
                </a:endParaRPr>
              </a:p>
            </xdr:txBody>
          </xdr:sp>
          <xdr:sp macro="[0]!peças_em_garantia" textlink="">
            <xdr:nvSpPr>
              <xdr:cNvPr id="7" name="Retângulo: Cantos Arredondados 6">
                <a:extLst>
                  <a:ext uri="{FF2B5EF4-FFF2-40B4-BE49-F238E27FC236}">
                    <a16:creationId xmlns:a16="http://schemas.microsoft.com/office/drawing/2014/main" id="{2995E270-8B83-4705-AFFD-8C74B0C1BFAC}"/>
                  </a:ext>
                </a:extLst>
              </xdr:cNvPr>
              <xdr:cNvSpPr/>
            </xdr:nvSpPr>
            <xdr:spPr>
              <a:xfrm>
                <a:off x="3645831" y="538370"/>
                <a:ext cx="2219739" cy="42241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Segoe UI" panose="020B0502040204020203" pitchFamily="34" charset="0"/>
                    <a:cs typeface="Segoe UI" panose="020B0502040204020203" pitchFamily="34" charset="0"/>
                  </a:rPr>
                  <a:t>PEÇAS</a:t>
                </a:r>
                <a:r>
                  <a:rPr lang="en-GB" sz="1400" baseline="0">
                    <a:latin typeface="Segoe UI" panose="020B0502040204020203" pitchFamily="34" charset="0"/>
                    <a:cs typeface="Segoe UI" panose="020B0502040204020203" pitchFamily="34" charset="0"/>
                  </a:rPr>
                  <a:t> EM GARANTIA</a:t>
                </a:r>
                <a:endParaRPr lang="en-GB" sz="1400">
                  <a:latin typeface="Segoe UI" panose="020B0502040204020203" pitchFamily="34" charset="0"/>
                  <a:cs typeface="Segoe UI" panose="020B0502040204020203" pitchFamily="34" charset="0"/>
                </a:endParaRPr>
              </a:p>
            </xdr:txBody>
          </xdr:sp>
          <xdr:sp macro="[0]!gastos_ass_tecnica" textlink="">
            <xdr:nvSpPr>
              <xdr:cNvPr id="8" name="Retângulo: Cantos Arredondados 7">
                <a:extLst>
                  <a:ext uri="{FF2B5EF4-FFF2-40B4-BE49-F238E27FC236}">
                    <a16:creationId xmlns:a16="http://schemas.microsoft.com/office/drawing/2014/main" id="{D2D662F3-29D8-4210-A18F-C3AE41E1006A}"/>
                  </a:ext>
                </a:extLst>
              </xdr:cNvPr>
              <xdr:cNvSpPr/>
            </xdr:nvSpPr>
            <xdr:spPr>
              <a:xfrm>
                <a:off x="3645831" y="1159566"/>
                <a:ext cx="2219739" cy="662608"/>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tx1"/>
                    </a:solidFill>
                    <a:latin typeface="Segoe UI" panose="020B0502040204020203" pitchFamily="34" charset="0"/>
                    <a:cs typeface="Segoe UI" panose="020B0502040204020203" pitchFamily="34" charset="0"/>
                  </a:rPr>
                  <a:t>GASTOS</a:t>
                </a:r>
                <a:r>
                  <a:rPr lang="en-GB" sz="1400" baseline="0">
                    <a:solidFill>
                      <a:schemeClr val="tx1"/>
                    </a:solidFill>
                    <a:latin typeface="Segoe UI" panose="020B0502040204020203" pitchFamily="34" charset="0"/>
                    <a:cs typeface="Segoe UI" panose="020B0502040204020203" pitchFamily="34" charset="0"/>
                  </a:rPr>
                  <a:t> COM ASSITÊNCIA </a:t>
                </a:r>
                <a:endParaRPr lang="en-GB" sz="1400">
                  <a:solidFill>
                    <a:schemeClr val="tx1"/>
                  </a:solidFill>
                  <a:latin typeface="Segoe UI" panose="020B0502040204020203" pitchFamily="34" charset="0"/>
                  <a:cs typeface="Segoe UI" panose="020B0502040204020203" pitchFamily="34" charset="0"/>
                </a:endParaRPr>
              </a:p>
            </xdr:txBody>
          </xdr:sp>
        </xdr:grpSp>
        <xdr:grpSp>
          <xdr:nvGrpSpPr>
            <xdr:cNvPr id="22" name="Agrupar 21">
              <a:extLst>
                <a:ext uri="{FF2B5EF4-FFF2-40B4-BE49-F238E27FC236}">
                  <a16:creationId xmlns:a16="http://schemas.microsoft.com/office/drawing/2014/main" id="{01A2F3C8-87BC-4527-A330-F7D64B810FDC}"/>
                </a:ext>
              </a:extLst>
            </xdr:cNvPr>
            <xdr:cNvGrpSpPr/>
          </xdr:nvGrpSpPr>
          <xdr:grpSpPr>
            <a:xfrm>
              <a:off x="7527874" y="923060"/>
              <a:ext cx="2459046" cy="1911214"/>
              <a:chOff x="5486400" y="587030"/>
              <a:chExt cx="2476976" cy="1911214"/>
            </a:xfrm>
          </xdr:grpSpPr>
          <xdr:sp macro="" textlink="">
            <xdr:nvSpPr>
              <xdr:cNvPr id="13" name="Retângulo: Cantos Arredondados 12">
                <a:extLst>
                  <a:ext uri="{FF2B5EF4-FFF2-40B4-BE49-F238E27FC236}">
                    <a16:creationId xmlns:a16="http://schemas.microsoft.com/office/drawing/2014/main" id="{2226E087-1BDA-4382-9722-1266D8449024}"/>
                  </a:ext>
                </a:extLst>
              </xdr:cNvPr>
              <xdr:cNvSpPr/>
            </xdr:nvSpPr>
            <xdr:spPr>
              <a:xfrm>
                <a:off x="5486400" y="587030"/>
                <a:ext cx="2476976" cy="1911214"/>
              </a:xfrm>
              <a:prstGeom prst="roundRect">
                <a:avLst/>
              </a:prstGeom>
              <a:solidFill>
                <a:srgbClr val="66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Abrir_PEG" textlink="">
            <xdr:nvSpPr>
              <xdr:cNvPr id="14" name="Retângulo: Cantos Arredondados 13">
                <a:extLst>
                  <a:ext uri="{FF2B5EF4-FFF2-40B4-BE49-F238E27FC236}">
                    <a16:creationId xmlns:a16="http://schemas.microsoft.com/office/drawing/2014/main" id="{2B6BADA5-3297-48A8-8137-3DE4077069CD}"/>
                  </a:ext>
                </a:extLst>
              </xdr:cNvPr>
              <xdr:cNvSpPr/>
            </xdr:nvSpPr>
            <xdr:spPr>
              <a:xfrm>
                <a:off x="5615019" y="910880"/>
                <a:ext cx="2219739" cy="422411"/>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Segoe UI" panose="020B0502040204020203" pitchFamily="34" charset="0"/>
                    <a:cs typeface="Segoe UI" panose="020B0502040204020203" pitchFamily="34" charset="0"/>
                  </a:rPr>
                  <a:t>PEÇAS</a:t>
                </a:r>
                <a:r>
                  <a:rPr lang="en-GB" sz="1400" baseline="0">
                    <a:latin typeface="Segoe UI" panose="020B0502040204020203" pitchFamily="34" charset="0"/>
                    <a:cs typeface="Segoe UI" panose="020B0502040204020203" pitchFamily="34" charset="0"/>
                  </a:rPr>
                  <a:t> EM GARANTIA</a:t>
                </a:r>
                <a:endParaRPr lang="en-GB" sz="1400">
                  <a:latin typeface="Segoe UI" panose="020B0502040204020203" pitchFamily="34" charset="0"/>
                  <a:cs typeface="Segoe UI" panose="020B0502040204020203" pitchFamily="34" charset="0"/>
                </a:endParaRPr>
              </a:p>
            </xdr:txBody>
          </xdr:sp>
          <xdr:sp macro="[0]!Abrir_GAT" textlink="">
            <xdr:nvSpPr>
              <xdr:cNvPr id="15" name="Retângulo: Cantos Arredondados 14">
                <a:extLst>
                  <a:ext uri="{FF2B5EF4-FFF2-40B4-BE49-F238E27FC236}">
                    <a16:creationId xmlns:a16="http://schemas.microsoft.com/office/drawing/2014/main" id="{9536A845-756D-4CFA-AE39-87FD9E19AEDB}"/>
                  </a:ext>
                </a:extLst>
              </xdr:cNvPr>
              <xdr:cNvSpPr/>
            </xdr:nvSpPr>
            <xdr:spPr>
              <a:xfrm>
                <a:off x="5615019" y="1532076"/>
                <a:ext cx="2219739" cy="662608"/>
              </a:xfrm>
              <a:prstGeom prst="round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tx1"/>
                    </a:solidFill>
                    <a:latin typeface="Segoe UI" panose="020B0502040204020203" pitchFamily="34" charset="0"/>
                    <a:cs typeface="Segoe UI" panose="020B0502040204020203" pitchFamily="34" charset="0"/>
                  </a:rPr>
                  <a:t>GASTOS</a:t>
                </a:r>
                <a:r>
                  <a:rPr lang="en-GB" sz="1400" baseline="0">
                    <a:solidFill>
                      <a:schemeClr val="tx1"/>
                    </a:solidFill>
                    <a:latin typeface="Segoe UI" panose="020B0502040204020203" pitchFamily="34" charset="0"/>
                    <a:cs typeface="Segoe UI" panose="020B0502040204020203" pitchFamily="34" charset="0"/>
                  </a:rPr>
                  <a:t> COM ASSITÊNCIA </a:t>
                </a:r>
                <a:endParaRPr lang="en-GB" sz="1400">
                  <a:solidFill>
                    <a:schemeClr val="tx1"/>
                  </a:solidFill>
                  <a:latin typeface="Segoe UI" panose="020B0502040204020203" pitchFamily="34" charset="0"/>
                  <a:cs typeface="Segoe UI" panose="020B0502040204020203" pitchFamily="34" charset="0"/>
                </a:endParaRPr>
              </a:p>
            </xdr:txBody>
          </xdr:sp>
          <xdr:sp macro="" textlink="">
            <xdr:nvSpPr>
              <xdr:cNvPr id="16" name="Retângulo: Cantos Arredondados 15">
                <a:extLst>
                  <a:ext uri="{FF2B5EF4-FFF2-40B4-BE49-F238E27FC236}">
                    <a16:creationId xmlns:a16="http://schemas.microsoft.com/office/drawing/2014/main" id="{9276543F-7D3F-4C81-8B16-A68588704CC2}"/>
                  </a:ext>
                </a:extLst>
              </xdr:cNvPr>
              <xdr:cNvSpPr/>
            </xdr:nvSpPr>
            <xdr:spPr>
              <a:xfrm>
                <a:off x="6076950" y="634655"/>
                <a:ext cx="1314070" cy="3192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000" b="1" baseline="0">
                    <a:solidFill>
                      <a:sysClr val="windowText" lastClr="000000"/>
                    </a:solidFill>
                    <a:latin typeface="Segoe UI" panose="020B0502040204020203" pitchFamily="34" charset="0"/>
                    <a:cs typeface="Segoe UI" panose="020B0502040204020203" pitchFamily="34" charset="0"/>
                  </a:rPr>
                  <a:t>ATALHOS</a:t>
                </a:r>
                <a:endParaRPr lang="en-GB" sz="1000" b="1">
                  <a:solidFill>
                    <a:sysClr val="windowText" lastClr="000000"/>
                  </a:solidFill>
                  <a:latin typeface="Segoe UI" panose="020B0502040204020203" pitchFamily="34" charset="0"/>
                  <a:cs typeface="Segoe UI" panose="020B0502040204020203" pitchFamily="34" charset="0"/>
                </a:endParaRPr>
              </a:p>
            </xdr:txBody>
          </xdr:sp>
        </xdr:grpSp>
        <xdr:grpSp>
          <xdr:nvGrpSpPr>
            <xdr:cNvPr id="25" name="Agrupar 24">
              <a:extLst>
                <a:ext uri="{FF2B5EF4-FFF2-40B4-BE49-F238E27FC236}">
                  <a16:creationId xmlns:a16="http://schemas.microsoft.com/office/drawing/2014/main" id="{D1D4221B-BE27-4D9A-8F62-36E163797BA2}"/>
                </a:ext>
              </a:extLst>
            </xdr:cNvPr>
            <xdr:cNvGrpSpPr/>
          </xdr:nvGrpSpPr>
          <xdr:grpSpPr>
            <a:xfrm>
              <a:off x="2262790" y="882787"/>
              <a:ext cx="2401421" cy="1991760"/>
              <a:chOff x="2276237" y="837166"/>
              <a:chExt cx="2419350" cy="1991760"/>
            </a:xfrm>
          </xdr:grpSpPr>
          <xdr:sp macro="" textlink="">
            <xdr:nvSpPr>
              <xdr:cNvPr id="9" name="Retângulo: Cantos Arredondados 8">
                <a:extLst>
                  <a:ext uri="{FF2B5EF4-FFF2-40B4-BE49-F238E27FC236}">
                    <a16:creationId xmlns:a16="http://schemas.microsoft.com/office/drawing/2014/main" id="{BC355090-0BAA-4293-B908-FC8D0618DA4F}"/>
                  </a:ext>
                </a:extLst>
              </xdr:cNvPr>
              <xdr:cNvSpPr/>
            </xdr:nvSpPr>
            <xdr:spPr>
              <a:xfrm>
                <a:off x="2276237" y="837166"/>
                <a:ext cx="2419350" cy="19917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Retângulo: Cantos Arredondados 9">
                <a:extLst>
                  <a:ext uri="{FF2B5EF4-FFF2-40B4-BE49-F238E27FC236}">
                    <a16:creationId xmlns:a16="http://schemas.microsoft.com/office/drawing/2014/main" id="{827C1614-4C34-465F-847F-7A8604343031}"/>
                  </a:ext>
                </a:extLst>
              </xdr:cNvPr>
              <xdr:cNvSpPr/>
            </xdr:nvSpPr>
            <xdr:spPr>
              <a:xfrm>
                <a:off x="2828877" y="942525"/>
                <a:ext cx="1314070" cy="31923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900" b="1" baseline="0">
                    <a:latin typeface="Segoe UI" panose="020B0502040204020203" pitchFamily="34" charset="0"/>
                    <a:cs typeface="Segoe UI" panose="020B0502040204020203" pitchFamily="34" charset="0"/>
                  </a:rPr>
                  <a:t>ATENDIMENTOS</a:t>
                </a:r>
                <a:endParaRPr lang="en-GB" sz="900" b="1">
                  <a:latin typeface="Segoe UI" panose="020B0502040204020203" pitchFamily="34" charset="0"/>
                  <a:cs typeface="Segoe UI" panose="020B0502040204020203" pitchFamily="34" charset="0"/>
                </a:endParaRPr>
              </a:p>
            </xdr:txBody>
          </xdr:sp>
          <xdr:sp macro="[0]!novo_atendimento" textlink="">
            <xdr:nvSpPr>
              <xdr:cNvPr id="11" name="Retângulo: Cantos Arredondados 10">
                <a:extLst>
                  <a:ext uri="{FF2B5EF4-FFF2-40B4-BE49-F238E27FC236}">
                    <a16:creationId xmlns:a16="http://schemas.microsoft.com/office/drawing/2014/main" id="{E5498EA3-C202-4284-8AB8-3D039447F979}"/>
                  </a:ext>
                </a:extLst>
              </xdr:cNvPr>
              <xdr:cNvSpPr/>
            </xdr:nvSpPr>
            <xdr:spPr>
              <a:xfrm>
                <a:off x="2763005" y="1382084"/>
                <a:ext cx="1445814" cy="42241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chemeClr val="tx1"/>
                    </a:solidFill>
                    <a:latin typeface="Segoe UI" panose="020B0502040204020203" pitchFamily="34" charset="0"/>
                    <a:cs typeface="Segoe UI" panose="020B0502040204020203" pitchFamily="34" charset="0"/>
                  </a:rPr>
                  <a:t>NOVO</a:t>
                </a:r>
              </a:p>
            </xdr:txBody>
          </xdr:sp>
          <xdr:sp macro="[0]!consultar_atendimentos" textlink="">
            <xdr:nvSpPr>
              <xdr:cNvPr id="12" name="Retângulo: Cantos Arredondados 11">
                <a:extLst>
                  <a:ext uri="{FF2B5EF4-FFF2-40B4-BE49-F238E27FC236}">
                    <a16:creationId xmlns:a16="http://schemas.microsoft.com/office/drawing/2014/main" id="{9DE31FD9-4F82-479A-AEAD-B15E2C6607B6}"/>
                  </a:ext>
                </a:extLst>
              </xdr:cNvPr>
              <xdr:cNvSpPr/>
            </xdr:nvSpPr>
            <xdr:spPr>
              <a:xfrm>
                <a:off x="2685920" y="1924821"/>
                <a:ext cx="1599985" cy="477943"/>
              </a:xfrm>
              <a:prstGeom prst="round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latin typeface="Segoe UI" panose="020B0502040204020203" pitchFamily="34" charset="0"/>
                    <a:cs typeface="Segoe UI" panose="020B0502040204020203" pitchFamily="34" charset="0"/>
                  </a:rPr>
                  <a:t>ATENDIMENTOS</a:t>
                </a:r>
              </a:p>
            </xdr:txBody>
          </xdr:sp>
        </xdr:grp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1333499</xdr:colOff>
      <xdr:row>0</xdr:row>
      <xdr:rowOff>23812</xdr:rowOff>
    </xdr:from>
    <xdr:to>
      <xdr:col>9</xdr:col>
      <xdr:colOff>47624</xdr:colOff>
      <xdr:row>0</xdr:row>
      <xdr:rowOff>440531</xdr:rowOff>
    </xdr:to>
    <xdr:sp macro="" textlink="">
      <xdr:nvSpPr>
        <xdr:cNvPr id="2" name="Retângulo 1">
          <a:extLst>
            <a:ext uri="{FF2B5EF4-FFF2-40B4-BE49-F238E27FC236}">
              <a16:creationId xmlns:a16="http://schemas.microsoft.com/office/drawing/2014/main" id="{F75F954A-3DDC-4407-A3D1-97DFE53C823D}"/>
            </a:ext>
          </a:extLst>
        </xdr:cNvPr>
        <xdr:cNvSpPr/>
      </xdr:nvSpPr>
      <xdr:spPr>
        <a:xfrm>
          <a:off x="6644639" y="23812"/>
          <a:ext cx="954405" cy="4167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TI%20-%20CONTROLE%20EQUIPAMENTOS%20EM%20GARANTI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TROLE%20PE&#199;AS%20GARANTI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NTROLE%20DE%20GASTOS%20COM%20ASSIST&#202;NCIA%20T&#201;CNIC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ARANTIA"/>
      <sheetName val="VALIDAÇÃO"/>
      <sheetName val="Planilha1"/>
    </sheetNames>
    <sheetDataSet>
      <sheetData sheetId="0">
        <row r="1">
          <cell r="C1"/>
          <cell r="E1"/>
        </row>
        <row r="2">
          <cell r="B2" t="str">
            <v xml:space="preserve">DATA ATUAL </v>
          </cell>
          <cell r="C2">
            <v>44598</v>
          </cell>
          <cell r="E2"/>
          <cell r="M2" t="str">
            <v>CAMPO COM FÓRMULA</v>
          </cell>
        </row>
        <row r="3">
          <cell r="B3" t="str">
            <v xml:space="preserve">CLIENTE </v>
          </cell>
          <cell r="C3" t="str">
            <v>N° SÉRIE</v>
          </cell>
          <cell r="E3" t="str">
            <v xml:space="preserve">EQUIPAMENTO </v>
          </cell>
          <cell r="F3" t="str">
            <v xml:space="preserve">REGIAO </v>
          </cell>
          <cell r="G3" t="str">
            <v xml:space="preserve">CIDADE </v>
          </cell>
          <cell r="H3" t="str">
            <v xml:space="preserve">UF </v>
          </cell>
          <cell r="J3" t="str">
            <v>DATA DE VENDA</v>
          </cell>
          <cell r="L3" t="str">
            <v xml:space="preserve">CONCLUSÃO STARTUP </v>
          </cell>
          <cell r="M3" t="str">
            <v>TÉRMINO DA GARANTIA</v>
          </cell>
        </row>
        <row r="4">
          <cell r="B4" t="str">
            <v>TESTE 1</v>
          </cell>
          <cell r="C4">
            <v>17344</v>
          </cell>
          <cell r="E4" t="str">
            <v>MTI - 12.000GTS</v>
          </cell>
          <cell r="F4" t="str">
            <v>SUDESTE</v>
          </cell>
          <cell r="G4" t="str">
            <v xml:space="preserve">GUARULHOS </v>
          </cell>
          <cell r="H4" t="str">
            <v xml:space="preserve">SP </v>
          </cell>
          <cell r="J4">
            <v>43769</v>
          </cell>
          <cell r="L4">
            <v>44064</v>
          </cell>
          <cell r="M4">
            <v>44429</v>
          </cell>
        </row>
        <row r="5">
          <cell r="B5" t="str">
            <v>TESTE 2</v>
          </cell>
          <cell r="C5">
            <v>53603</v>
          </cell>
          <cell r="E5" t="str">
            <v>EMS - 1</v>
          </cell>
          <cell r="F5" t="str">
            <v>SUDESTE</v>
          </cell>
          <cell r="G5" t="str">
            <v xml:space="preserve">GUARULHOS </v>
          </cell>
          <cell r="H5" t="str">
            <v xml:space="preserve">SP </v>
          </cell>
          <cell r="J5">
            <v>43769</v>
          </cell>
          <cell r="L5">
            <v>44064</v>
          </cell>
          <cell r="M5">
            <v>44429</v>
          </cell>
        </row>
        <row r="6">
          <cell r="B6" t="str">
            <v>TESTE 3</v>
          </cell>
          <cell r="C6">
            <v>37320</v>
          </cell>
          <cell r="E6" t="str">
            <v>TR - 1</v>
          </cell>
          <cell r="F6" t="str">
            <v>SUDESTE</v>
          </cell>
          <cell r="G6" t="str">
            <v xml:space="preserve">GUARULHOS </v>
          </cell>
          <cell r="H6" t="str">
            <v xml:space="preserve">SP </v>
          </cell>
          <cell r="J6">
            <v>43769</v>
          </cell>
          <cell r="L6">
            <v>44064</v>
          </cell>
          <cell r="M6">
            <v>44429</v>
          </cell>
        </row>
        <row r="7">
          <cell r="B7" t="str">
            <v>TESTE 4</v>
          </cell>
          <cell r="C7">
            <v>9788</v>
          </cell>
          <cell r="E7" t="str">
            <v>BASE</v>
          </cell>
          <cell r="F7" t="str">
            <v>SUDESTE</v>
          </cell>
          <cell r="G7" t="str">
            <v xml:space="preserve">GUARULHOS </v>
          </cell>
          <cell r="H7" t="str">
            <v xml:space="preserve">SP </v>
          </cell>
          <cell r="J7">
            <v>43769</v>
          </cell>
          <cell r="L7">
            <v>44064</v>
          </cell>
          <cell r="M7">
            <v>44429</v>
          </cell>
        </row>
        <row r="8">
          <cell r="B8" t="str">
            <v>TESTE 5</v>
          </cell>
          <cell r="C8">
            <v>46637</v>
          </cell>
          <cell r="E8" t="str">
            <v>MTI - 7.000GTS</v>
          </cell>
          <cell r="F8" t="str">
            <v>SUDESTE</v>
          </cell>
          <cell r="G8" t="str">
            <v>WENSESLAU</v>
          </cell>
          <cell r="H8" t="str">
            <v>PR</v>
          </cell>
          <cell r="J8">
            <v>43951</v>
          </cell>
          <cell r="L8">
            <v>44176</v>
          </cell>
          <cell r="M8">
            <v>44541</v>
          </cell>
        </row>
        <row r="9">
          <cell r="B9" t="str">
            <v>TESTE 6</v>
          </cell>
          <cell r="C9">
            <v>83055</v>
          </cell>
          <cell r="E9" t="str">
            <v>EMS - 1</v>
          </cell>
          <cell r="F9" t="str">
            <v>SUDESTE</v>
          </cell>
          <cell r="G9" t="str">
            <v>WENSESLAU</v>
          </cell>
          <cell r="H9" t="str">
            <v>PR</v>
          </cell>
          <cell r="J9">
            <v>43951</v>
          </cell>
          <cell r="L9">
            <v>44176</v>
          </cell>
          <cell r="M9">
            <v>44541</v>
          </cell>
        </row>
        <row r="10">
          <cell r="B10" t="str">
            <v>TESTE 7</v>
          </cell>
          <cell r="C10">
            <v>61411</v>
          </cell>
          <cell r="E10" t="str">
            <v>TR - 1</v>
          </cell>
          <cell r="F10" t="str">
            <v>SUDESTE</v>
          </cell>
          <cell r="G10" t="str">
            <v>WENSESLAU</v>
          </cell>
          <cell r="H10" t="str">
            <v>PR</v>
          </cell>
          <cell r="J10">
            <v>43951</v>
          </cell>
          <cell r="L10">
            <v>44176</v>
          </cell>
          <cell r="M10">
            <v>44541</v>
          </cell>
        </row>
        <row r="11">
          <cell r="B11" t="str">
            <v>TESTE 8</v>
          </cell>
          <cell r="C11">
            <v>74384</v>
          </cell>
          <cell r="E11" t="str">
            <v>MTI - 10.000GE</v>
          </cell>
          <cell r="F11" t="str">
            <v>SUDESTE</v>
          </cell>
          <cell r="G11" t="str">
            <v xml:space="preserve">SÃO PAULO </v>
          </cell>
          <cell r="H11" t="str">
            <v xml:space="preserve">SP </v>
          </cell>
          <cell r="J11">
            <v>44064</v>
          </cell>
          <cell r="L11">
            <v>44286</v>
          </cell>
          <cell r="M11">
            <v>44651</v>
          </cell>
        </row>
        <row r="12">
          <cell r="B12" t="str">
            <v>TESTE 9</v>
          </cell>
          <cell r="C12">
            <v>53085</v>
          </cell>
          <cell r="E12" t="str">
            <v>ROSCA TRANSPORTADORA</v>
          </cell>
          <cell r="F12" t="str">
            <v>SUDESTE</v>
          </cell>
          <cell r="G12" t="str">
            <v>SÃO PAULO</v>
          </cell>
          <cell r="H12" t="str">
            <v>SP</v>
          </cell>
          <cell r="J12">
            <v>43738</v>
          </cell>
          <cell r="L12">
            <v>43815</v>
          </cell>
          <cell r="M12">
            <v>44180</v>
          </cell>
        </row>
        <row r="13">
          <cell r="B13" t="str">
            <v>TESTE 10</v>
          </cell>
          <cell r="C13">
            <v>50354</v>
          </cell>
          <cell r="E13" t="str">
            <v>MTI - 4.000GTS</v>
          </cell>
          <cell r="F13" t="str">
            <v>SUDESTE</v>
          </cell>
          <cell r="G13" t="str">
            <v>CERQUILHO</v>
          </cell>
          <cell r="H13" t="str">
            <v>SP</v>
          </cell>
          <cell r="J13">
            <v>44074</v>
          </cell>
          <cell r="L13">
            <v>44143</v>
          </cell>
          <cell r="M13">
            <v>44508</v>
          </cell>
        </row>
        <row r="14">
          <cell r="B14" t="str">
            <v>TESTE 11</v>
          </cell>
          <cell r="C14">
            <v>6150</v>
          </cell>
          <cell r="E14" t="str">
            <v>EMS - 1</v>
          </cell>
          <cell r="F14" t="str">
            <v>SUDESTE</v>
          </cell>
          <cell r="G14" t="str">
            <v>CERQUILHO</v>
          </cell>
          <cell r="H14" t="str">
            <v>SP</v>
          </cell>
          <cell r="J14">
            <v>44074</v>
          </cell>
          <cell r="L14">
            <v>44143</v>
          </cell>
          <cell r="M14">
            <v>44508</v>
          </cell>
        </row>
        <row r="15">
          <cell r="B15" t="str">
            <v>TESTE 12</v>
          </cell>
          <cell r="C15">
            <v>56452</v>
          </cell>
          <cell r="E15" t="str">
            <v>TR - 1</v>
          </cell>
          <cell r="F15" t="str">
            <v>SUDESTE</v>
          </cell>
          <cell r="G15" t="str">
            <v>CERQUILHO</v>
          </cell>
          <cell r="H15" t="str">
            <v>SP</v>
          </cell>
          <cell r="J15">
            <v>44074</v>
          </cell>
          <cell r="L15">
            <v>44143</v>
          </cell>
          <cell r="M15">
            <v>44508</v>
          </cell>
        </row>
        <row r="16">
          <cell r="B16" t="str">
            <v>TESTE 13</v>
          </cell>
          <cell r="C16">
            <v>62662</v>
          </cell>
          <cell r="E16" t="str">
            <v>BASE</v>
          </cell>
          <cell r="F16" t="str">
            <v>SUDESTE</v>
          </cell>
          <cell r="G16" t="str">
            <v>CERQUILHO</v>
          </cell>
          <cell r="H16" t="str">
            <v>SP</v>
          </cell>
          <cell r="J16">
            <v>44074</v>
          </cell>
          <cell r="L16">
            <v>44143</v>
          </cell>
          <cell r="M16">
            <v>44508</v>
          </cell>
        </row>
        <row r="17">
          <cell r="B17" t="str">
            <v>TESTE 14</v>
          </cell>
          <cell r="C17">
            <v>41641</v>
          </cell>
          <cell r="E17" t="str">
            <v>MTI - 12.000GTS</v>
          </cell>
          <cell r="F17" t="str">
            <v>SUDESTE</v>
          </cell>
          <cell r="G17" t="str">
            <v>ARARAS</v>
          </cell>
          <cell r="H17" t="str">
            <v>SP</v>
          </cell>
          <cell r="J17">
            <v>44173</v>
          </cell>
          <cell r="L17">
            <v>44364</v>
          </cell>
          <cell r="M17">
            <v>44729</v>
          </cell>
        </row>
        <row r="18">
          <cell r="B18" t="str">
            <v>TESTE 15</v>
          </cell>
          <cell r="C18">
            <v>25471</v>
          </cell>
          <cell r="E18" t="str">
            <v>EMS - 1</v>
          </cell>
          <cell r="F18" t="str">
            <v>SUDESTE</v>
          </cell>
          <cell r="G18" t="str">
            <v>ARARAS</v>
          </cell>
          <cell r="H18" t="str">
            <v>SP</v>
          </cell>
          <cell r="J18">
            <v>44173</v>
          </cell>
          <cell r="L18">
            <v>44364</v>
          </cell>
          <cell r="M18">
            <v>44729</v>
          </cell>
        </row>
        <row r="19">
          <cell r="B19" t="str">
            <v>TESTE 16</v>
          </cell>
          <cell r="C19">
            <v>71145</v>
          </cell>
          <cell r="E19" t="str">
            <v>TR - 1</v>
          </cell>
          <cell r="F19" t="str">
            <v>SUDESTE</v>
          </cell>
          <cell r="G19" t="str">
            <v>ARARAS</v>
          </cell>
          <cell r="H19" t="str">
            <v>SP</v>
          </cell>
          <cell r="J19">
            <v>44173</v>
          </cell>
          <cell r="L19">
            <v>44364</v>
          </cell>
          <cell r="M19">
            <v>44729</v>
          </cell>
        </row>
        <row r="20">
          <cell r="B20" t="str">
            <v>TESTE 17</v>
          </cell>
          <cell r="C20">
            <v>33385</v>
          </cell>
          <cell r="E20" t="str">
            <v>MTI - 2.500GES</v>
          </cell>
          <cell r="F20" t="str">
            <v>SUDESTE</v>
          </cell>
          <cell r="G20" t="str">
            <v xml:space="preserve">ARAGUARI </v>
          </cell>
          <cell r="H20" t="str">
            <v>MG</v>
          </cell>
          <cell r="J20">
            <v>43980</v>
          </cell>
          <cell r="L20">
            <v>44335</v>
          </cell>
          <cell r="M20">
            <v>44700</v>
          </cell>
        </row>
        <row r="21">
          <cell r="B21" t="str">
            <v>TESTE 18</v>
          </cell>
          <cell r="C21">
            <v>3001104</v>
          </cell>
          <cell r="E21" t="str">
            <v>MTI - 2.500GTS</v>
          </cell>
          <cell r="F21" t="str">
            <v>SUDESTE</v>
          </cell>
          <cell r="G21" t="str">
            <v>PARANAVAI</v>
          </cell>
          <cell r="H21" t="str">
            <v>PR</v>
          </cell>
          <cell r="J21">
            <v>43378</v>
          </cell>
          <cell r="L21">
            <v>43699</v>
          </cell>
          <cell r="M21">
            <v>44064</v>
          </cell>
        </row>
        <row r="22">
          <cell r="B22" t="str">
            <v>TESTE 19</v>
          </cell>
          <cell r="C22">
            <v>3000192</v>
          </cell>
          <cell r="E22" t="str">
            <v>EMS - 1</v>
          </cell>
          <cell r="F22" t="str">
            <v>SUDESTE</v>
          </cell>
          <cell r="G22" t="str">
            <v>PARANAVAI</v>
          </cell>
          <cell r="H22" t="str">
            <v>PR</v>
          </cell>
          <cell r="J22">
            <v>43378</v>
          </cell>
          <cell r="L22">
            <v>43699</v>
          </cell>
          <cell r="M22">
            <v>44064</v>
          </cell>
        </row>
        <row r="23">
          <cell r="B23" t="str">
            <v>TESTE 20</v>
          </cell>
          <cell r="C23">
            <v>3000228</v>
          </cell>
          <cell r="E23" t="str">
            <v>TR - 1</v>
          </cell>
          <cell r="F23" t="str">
            <v>SUDESTE</v>
          </cell>
          <cell r="G23" t="str">
            <v>PARANAVAI</v>
          </cell>
          <cell r="H23" t="str">
            <v>PR</v>
          </cell>
          <cell r="J23">
            <v>43378</v>
          </cell>
          <cell r="L23">
            <v>43699</v>
          </cell>
          <cell r="M23">
            <v>44064</v>
          </cell>
        </row>
        <row r="24">
          <cell r="B24" t="str">
            <v>TESTE 21</v>
          </cell>
          <cell r="C24">
            <v>99928</v>
          </cell>
          <cell r="E24" t="str">
            <v>MTI - 40.000GE</v>
          </cell>
          <cell r="F24" t="str">
            <v>SUDESTE</v>
          </cell>
          <cell r="G24" t="str">
            <v>BRODOWSKI</v>
          </cell>
          <cell r="H24" t="str">
            <v>SP</v>
          </cell>
          <cell r="J24">
            <v>43524</v>
          </cell>
          <cell r="L24">
            <v>43756</v>
          </cell>
          <cell r="M24">
            <v>44121</v>
          </cell>
        </row>
        <row r="25">
          <cell r="B25" t="str">
            <v>TESTE 22</v>
          </cell>
          <cell r="C25">
            <v>22645</v>
          </cell>
          <cell r="E25" t="str">
            <v>RL - 1000</v>
          </cell>
          <cell r="F25" t="str">
            <v>SUDESTE</v>
          </cell>
          <cell r="G25" t="str">
            <v>BRODOWSKI</v>
          </cell>
          <cell r="H25" t="str">
            <v>SP</v>
          </cell>
          <cell r="J25">
            <v>43994</v>
          </cell>
          <cell r="L25" t="str">
            <v>STARTUP Ñ REALIZADO</v>
          </cell>
          <cell r="M25">
            <v>0</v>
          </cell>
        </row>
        <row r="26">
          <cell r="B26" t="str">
            <v>TESTE 23</v>
          </cell>
          <cell r="C26">
            <v>85117</v>
          </cell>
          <cell r="E26" t="str">
            <v>CENTRAL DE COMANDO MTI 12.000 GT</v>
          </cell>
          <cell r="F26" t="str">
            <v>SUDESTE</v>
          </cell>
          <cell r="G26" t="str">
            <v>BRODOWSKI</v>
          </cell>
          <cell r="H26" t="str">
            <v>SP</v>
          </cell>
          <cell r="J26">
            <v>43921</v>
          </cell>
          <cell r="L26" t="str">
            <v>STARTUP Ñ REALIZADO</v>
          </cell>
          <cell r="M26">
            <v>0</v>
          </cell>
        </row>
        <row r="27">
          <cell r="B27" t="str">
            <v>TESTE 24</v>
          </cell>
          <cell r="C27" t="str">
            <v>-</v>
          </cell>
          <cell r="E27" t="str">
            <v xml:space="preserve">REFORMA RL </v>
          </cell>
          <cell r="F27" t="str">
            <v>SUDESTE</v>
          </cell>
          <cell r="G27" t="str">
            <v>BRODOWSKI</v>
          </cell>
          <cell r="H27" t="str">
            <v>SP</v>
          </cell>
          <cell r="J27" t="str">
            <v>-</v>
          </cell>
          <cell r="L27">
            <v>44259</v>
          </cell>
          <cell r="M27">
            <v>44624</v>
          </cell>
        </row>
        <row r="28">
          <cell r="B28" t="str">
            <v>TESTE 25</v>
          </cell>
          <cell r="C28">
            <v>37826</v>
          </cell>
          <cell r="E28" t="str">
            <v>CE - 250</v>
          </cell>
          <cell r="F28" t="str">
            <v>SUDESTE</v>
          </cell>
          <cell r="G28" t="str">
            <v>BRODOWSKI</v>
          </cell>
          <cell r="H28" t="str">
            <v>SP</v>
          </cell>
          <cell r="J28">
            <v>43981</v>
          </cell>
          <cell r="L28" t="str">
            <v>STARTUP Ñ REALIZADO</v>
          </cell>
          <cell r="M28">
            <v>0</v>
          </cell>
        </row>
        <row r="29">
          <cell r="B29" t="str">
            <v>TESTE 26</v>
          </cell>
          <cell r="C29">
            <v>48063</v>
          </cell>
          <cell r="E29" t="str">
            <v>MTI - 4.000GTS</v>
          </cell>
          <cell r="F29" t="str">
            <v>CENTROESTE</v>
          </cell>
          <cell r="G29" t="str">
            <v>CERES</v>
          </cell>
          <cell r="H29" t="str">
            <v xml:space="preserve">GO </v>
          </cell>
          <cell r="J29">
            <v>44012</v>
          </cell>
          <cell r="L29">
            <v>44210</v>
          </cell>
          <cell r="M29">
            <v>44575</v>
          </cell>
        </row>
        <row r="30">
          <cell r="B30" t="str">
            <v>TESTE 27</v>
          </cell>
          <cell r="C30">
            <v>69334</v>
          </cell>
          <cell r="E30" t="str">
            <v>TR - 1</v>
          </cell>
          <cell r="F30" t="str">
            <v>CENTROESTE</v>
          </cell>
          <cell r="G30" t="str">
            <v>CERES</v>
          </cell>
          <cell r="H30" t="str">
            <v xml:space="preserve">GO </v>
          </cell>
          <cell r="J30">
            <v>44012</v>
          </cell>
          <cell r="L30">
            <v>44210</v>
          </cell>
          <cell r="M30">
            <v>44575</v>
          </cell>
        </row>
        <row r="31">
          <cell r="B31" t="str">
            <v>TESTE 28</v>
          </cell>
          <cell r="C31">
            <v>86434</v>
          </cell>
          <cell r="E31" t="str">
            <v>EMS - 1</v>
          </cell>
          <cell r="F31" t="str">
            <v>CENTROESTE</v>
          </cell>
          <cell r="G31" t="str">
            <v>CERES</v>
          </cell>
          <cell r="H31" t="str">
            <v xml:space="preserve">GO </v>
          </cell>
          <cell r="J31">
            <v>44012</v>
          </cell>
          <cell r="L31">
            <v>44210</v>
          </cell>
          <cell r="M31">
            <v>44575</v>
          </cell>
        </row>
        <row r="32">
          <cell r="B32" t="str">
            <v>TESTE 29</v>
          </cell>
          <cell r="C32">
            <v>78369</v>
          </cell>
          <cell r="E32" t="str">
            <v>BASE</v>
          </cell>
          <cell r="F32" t="str">
            <v>CENTROESTE</v>
          </cell>
          <cell r="G32" t="str">
            <v>CERES</v>
          </cell>
          <cell r="H32" t="str">
            <v xml:space="preserve">GO </v>
          </cell>
          <cell r="J32">
            <v>44012</v>
          </cell>
          <cell r="L32">
            <v>44210</v>
          </cell>
          <cell r="M32">
            <v>44575</v>
          </cell>
        </row>
        <row r="33">
          <cell r="B33" t="str">
            <v>TESTE 30</v>
          </cell>
          <cell r="C33">
            <v>99916</v>
          </cell>
          <cell r="E33" t="str">
            <v>MTI - 22.000GT</v>
          </cell>
          <cell r="F33" t="str">
            <v>SUDESTE</v>
          </cell>
          <cell r="G33" t="str">
            <v>UBERLANDIA</v>
          </cell>
          <cell r="H33" t="str">
            <v xml:space="preserve">MG </v>
          </cell>
          <cell r="J33">
            <v>43159</v>
          </cell>
          <cell r="L33">
            <v>43720</v>
          </cell>
          <cell r="M33">
            <v>44085</v>
          </cell>
        </row>
        <row r="34">
          <cell r="B34" t="str">
            <v>TESTE 31</v>
          </cell>
          <cell r="C34">
            <v>3002319</v>
          </cell>
          <cell r="E34" t="str">
            <v>MTI - 24.000GE</v>
          </cell>
          <cell r="F34" t="str">
            <v>NORDESTE</v>
          </cell>
          <cell r="G34" t="str">
            <v>NOVA VIÇOSA</v>
          </cell>
          <cell r="H34" t="str">
            <v>BA</v>
          </cell>
          <cell r="J34">
            <v>43355</v>
          </cell>
          <cell r="L34">
            <v>44168</v>
          </cell>
          <cell r="M34">
            <v>44533</v>
          </cell>
        </row>
        <row r="35">
          <cell r="B35" t="str">
            <v>TESTE 32</v>
          </cell>
          <cell r="C35">
            <v>3002393</v>
          </cell>
          <cell r="E35" t="str">
            <v>SOPRADOR</v>
          </cell>
          <cell r="F35" t="str">
            <v>NORDESTE</v>
          </cell>
          <cell r="G35" t="str">
            <v>NOVA VIÇOSA</v>
          </cell>
          <cell r="H35" t="str">
            <v>BA</v>
          </cell>
          <cell r="J35">
            <v>43355</v>
          </cell>
          <cell r="L35">
            <v>44168</v>
          </cell>
          <cell r="M35">
            <v>44533</v>
          </cell>
        </row>
        <row r="36">
          <cell r="B36" t="str">
            <v>TESTE 33</v>
          </cell>
          <cell r="C36">
            <v>99917</v>
          </cell>
          <cell r="E36" t="str">
            <v>ECLUSA</v>
          </cell>
          <cell r="F36" t="str">
            <v>NORDESTE</v>
          </cell>
          <cell r="G36" t="str">
            <v>NOVA VIÇOSA</v>
          </cell>
          <cell r="H36" t="str">
            <v>BA</v>
          </cell>
          <cell r="J36">
            <v>43355</v>
          </cell>
          <cell r="L36">
            <v>44168</v>
          </cell>
          <cell r="M36">
            <v>44533</v>
          </cell>
        </row>
        <row r="37">
          <cell r="B37" t="str">
            <v>TESTE 34</v>
          </cell>
          <cell r="C37">
            <v>99918</v>
          </cell>
          <cell r="E37" t="str">
            <v>ROSCA</v>
          </cell>
          <cell r="F37" t="str">
            <v>NORDESTE</v>
          </cell>
          <cell r="G37" t="str">
            <v>NOVA VIÇOSA</v>
          </cell>
          <cell r="H37" t="str">
            <v>BA</v>
          </cell>
          <cell r="J37">
            <v>43355</v>
          </cell>
          <cell r="L37">
            <v>44168</v>
          </cell>
          <cell r="M37">
            <v>44533</v>
          </cell>
        </row>
        <row r="38">
          <cell r="B38" t="str">
            <v>TESTE 35</v>
          </cell>
          <cell r="C38">
            <v>99919</v>
          </cell>
          <cell r="E38" t="str">
            <v>QUADRO ELETRICO</v>
          </cell>
          <cell r="F38" t="str">
            <v>NORDESTE</v>
          </cell>
          <cell r="G38" t="str">
            <v>NOVA VIÇOSA</v>
          </cell>
          <cell r="H38" t="str">
            <v>BA</v>
          </cell>
          <cell r="J38">
            <v>43355</v>
          </cell>
          <cell r="L38">
            <v>44168</v>
          </cell>
          <cell r="M38">
            <v>44533</v>
          </cell>
        </row>
        <row r="39">
          <cell r="B39" t="str">
            <v>TESTE 36</v>
          </cell>
          <cell r="C39">
            <v>99920</v>
          </cell>
          <cell r="E39" t="str">
            <v>COMPRESSOR</v>
          </cell>
          <cell r="F39" t="str">
            <v>NORDESTE</v>
          </cell>
          <cell r="G39" t="str">
            <v>NOVA VIÇOSA</v>
          </cell>
          <cell r="H39" t="str">
            <v>BA</v>
          </cell>
          <cell r="J39">
            <v>43355</v>
          </cell>
          <cell r="L39">
            <v>44168</v>
          </cell>
          <cell r="M39">
            <v>44533</v>
          </cell>
        </row>
        <row r="40">
          <cell r="B40" t="str">
            <v>TESTE 37</v>
          </cell>
          <cell r="C40">
            <v>24353</v>
          </cell>
          <cell r="E40" t="str">
            <v>MTI - 7.000GTS</v>
          </cell>
          <cell r="F40" t="str">
            <v>CENTROESTE</v>
          </cell>
          <cell r="G40" t="str">
            <v xml:space="preserve">GOIANIA </v>
          </cell>
          <cell r="H40" t="str">
            <v xml:space="preserve">GO </v>
          </cell>
          <cell r="J40">
            <v>44196</v>
          </cell>
          <cell r="L40">
            <v>44295</v>
          </cell>
          <cell r="M40">
            <v>44660</v>
          </cell>
        </row>
        <row r="41">
          <cell r="B41" t="str">
            <v>TESTE 38</v>
          </cell>
          <cell r="C41">
            <v>9687</v>
          </cell>
          <cell r="E41" t="str">
            <v>EMS - 1</v>
          </cell>
          <cell r="F41" t="str">
            <v>CENTROESTE</v>
          </cell>
          <cell r="G41" t="str">
            <v xml:space="preserve">GOIANIA </v>
          </cell>
          <cell r="H41" t="str">
            <v xml:space="preserve">GO </v>
          </cell>
          <cell r="J41">
            <v>44196</v>
          </cell>
          <cell r="L41">
            <v>44295</v>
          </cell>
          <cell r="M41">
            <v>44660</v>
          </cell>
        </row>
        <row r="42">
          <cell r="B42" t="str">
            <v>TESTE 39</v>
          </cell>
          <cell r="C42">
            <v>26130</v>
          </cell>
          <cell r="E42" t="str">
            <v>TR - 1</v>
          </cell>
          <cell r="F42" t="str">
            <v>CENTROESTE</v>
          </cell>
          <cell r="G42" t="str">
            <v xml:space="preserve">GOIANIA </v>
          </cell>
          <cell r="H42" t="str">
            <v xml:space="preserve">GO </v>
          </cell>
          <cell r="J42">
            <v>44196</v>
          </cell>
          <cell r="L42">
            <v>44295</v>
          </cell>
          <cell r="M42">
            <v>44660</v>
          </cell>
        </row>
        <row r="43">
          <cell r="B43" t="str">
            <v>TESTE 40</v>
          </cell>
          <cell r="C43">
            <v>38373</v>
          </cell>
          <cell r="E43" t="str">
            <v>MTI - 1.000GTS</v>
          </cell>
          <cell r="F43" t="str">
            <v>CENTROESTE</v>
          </cell>
          <cell r="G43" t="str">
            <v>ITABERAÍ</v>
          </cell>
          <cell r="H43" t="str">
            <v>GO</v>
          </cell>
          <cell r="J43">
            <v>44165</v>
          </cell>
          <cell r="L43">
            <v>44299</v>
          </cell>
          <cell r="M43">
            <v>44664</v>
          </cell>
        </row>
        <row r="44">
          <cell r="B44" t="str">
            <v>TESTE 41</v>
          </cell>
          <cell r="C44">
            <v>3002674</v>
          </cell>
          <cell r="E44" t="str">
            <v>MTI - 4.000GTS</v>
          </cell>
          <cell r="F44" t="str">
            <v>CENTROESTE</v>
          </cell>
          <cell r="G44" t="str">
            <v>INHUMAS</v>
          </cell>
          <cell r="H44" t="str">
            <v>GO</v>
          </cell>
          <cell r="J44">
            <v>43315</v>
          </cell>
          <cell r="L44">
            <v>43517</v>
          </cell>
          <cell r="M44">
            <v>43882</v>
          </cell>
        </row>
        <row r="45">
          <cell r="B45" t="str">
            <v>TESTE 42</v>
          </cell>
          <cell r="C45">
            <v>3001104</v>
          </cell>
          <cell r="E45" t="str">
            <v>MTI - 2.500GTS</v>
          </cell>
          <cell r="F45" t="str">
            <v>NORDESTE</v>
          </cell>
          <cell r="G45" t="str">
            <v>IPIRA</v>
          </cell>
          <cell r="H45" t="str">
            <v>BA</v>
          </cell>
          <cell r="J45">
            <v>42962</v>
          </cell>
          <cell r="L45">
            <v>43630</v>
          </cell>
          <cell r="M45">
            <v>43995</v>
          </cell>
        </row>
        <row r="46">
          <cell r="B46" t="str">
            <v>TESTE 43</v>
          </cell>
          <cell r="C46">
            <v>99921</v>
          </cell>
          <cell r="E46" t="str">
            <v>CE - 400</v>
          </cell>
          <cell r="F46" t="str">
            <v>SUDESTE</v>
          </cell>
          <cell r="G46" t="str">
            <v>IPATINGA</v>
          </cell>
          <cell r="H46" t="str">
            <v xml:space="preserve">MG </v>
          </cell>
          <cell r="J46">
            <v>43550</v>
          </cell>
          <cell r="L46">
            <v>43783</v>
          </cell>
          <cell r="M46">
            <v>44148</v>
          </cell>
        </row>
        <row r="47">
          <cell r="B47" t="str">
            <v>TESTE 44</v>
          </cell>
          <cell r="C47">
            <v>31792</v>
          </cell>
          <cell r="E47" t="str">
            <v>MTI - 4.000GES</v>
          </cell>
          <cell r="F47" t="str">
            <v>NORDESTE</v>
          </cell>
          <cell r="G47" t="str">
            <v xml:space="preserve">BARREIRINHAS </v>
          </cell>
          <cell r="H47" t="str">
            <v>MA</v>
          </cell>
          <cell r="J47">
            <v>44165</v>
          </cell>
          <cell r="L47">
            <v>44263</v>
          </cell>
          <cell r="M47">
            <v>44628</v>
          </cell>
        </row>
        <row r="48">
          <cell r="B48" t="str">
            <v>TESTE 45</v>
          </cell>
          <cell r="C48">
            <v>13339</v>
          </cell>
          <cell r="E48" t="str">
            <v>BASE MTI - 4.000GTS</v>
          </cell>
          <cell r="F48" t="str">
            <v>NORDESTE</v>
          </cell>
          <cell r="G48" t="str">
            <v xml:space="preserve">BARREIRINHAS </v>
          </cell>
          <cell r="H48" t="str">
            <v>MA</v>
          </cell>
          <cell r="J48">
            <v>44165</v>
          </cell>
          <cell r="L48">
            <v>44263</v>
          </cell>
          <cell r="M48">
            <v>44628</v>
          </cell>
        </row>
        <row r="49">
          <cell r="B49" t="str">
            <v>TESTE 46</v>
          </cell>
          <cell r="C49">
            <v>93755</v>
          </cell>
          <cell r="E49" t="str">
            <v>MTI - 2.500GTS</v>
          </cell>
          <cell r="F49" t="str">
            <v>SUDESTE</v>
          </cell>
          <cell r="G49" t="str">
            <v>IPATINGA</v>
          </cell>
          <cell r="H49" t="str">
            <v xml:space="preserve">MG </v>
          </cell>
          <cell r="J49">
            <v>43615</v>
          </cell>
          <cell r="L49">
            <v>43783</v>
          </cell>
          <cell r="M49">
            <v>44148</v>
          </cell>
        </row>
        <row r="50">
          <cell r="B50" t="str">
            <v>TESTE 47</v>
          </cell>
          <cell r="C50">
            <v>92314</v>
          </cell>
          <cell r="E50" t="str">
            <v>MTI - 22.000GT</v>
          </cell>
          <cell r="F50" t="str">
            <v>NORDESTE</v>
          </cell>
          <cell r="G50" t="str">
            <v>TEIXEIRA DE FREITAS</v>
          </cell>
          <cell r="H50" t="str">
            <v>BA</v>
          </cell>
          <cell r="J50">
            <v>43591</v>
          </cell>
          <cell r="L50">
            <v>43798</v>
          </cell>
          <cell r="M50">
            <v>44163</v>
          </cell>
        </row>
        <row r="51">
          <cell r="B51" t="str">
            <v>TESTE 48</v>
          </cell>
          <cell r="C51">
            <v>92314</v>
          </cell>
          <cell r="E51" t="str">
            <v>EMS-2</v>
          </cell>
          <cell r="F51" t="str">
            <v>NORDESTE</v>
          </cell>
          <cell r="G51" t="str">
            <v>TEIXEIRA DE FREITAS</v>
          </cell>
          <cell r="H51" t="str">
            <v>BA</v>
          </cell>
          <cell r="J51">
            <v>43591</v>
          </cell>
          <cell r="L51">
            <v>43798</v>
          </cell>
          <cell r="M51">
            <v>44163</v>
          </cell>
        </row>
        <row r="52">
          <cell r="B52" t="str">
            <v>TESTE 49</v>
          </cell>
          <cell r="C52">
            <v>92314</v>
          </cell>
          <cell r="E52" t="str">
            <v>TR - 1</v>
          </cell>
          <cell r="F52" t="str">
            <v>NORDESTE</v>
          </cell>
          <cell r="G52" t="str">
            <v>TEIXEIRA DE FREITAS</v>
          </cell>
          <cell r="H52" t="str">
            <v>BA</v>
          </cell>
          <cell r="J52">
            <v>43591</v>
          </cell>
          <cell r="L52">
            <v>43798</v>
          </cell>
          <cell r="M52">
            <v>44163</v>
          </cell>
        </row>
        <row r="53">
          <cell r="B53" t="str">
            <v>TESTE 50</v>
          </cell>
          <cell r="C53">
            <v>31524</v>
          </cell>
          <cell r="E53" t="str">
            <v>MTI - 4.000GTS</v>
          </cell>
          <cell r="F53" t="str">
            <v>SUDESTE</v>
          </cell>
          <cell r="G53" t="str">
            <v>SANTA FÉ DO SUL</v>
          </cell>
          <cell r="H53" t="str">
            <v>SP</v>
          </cell>
          <cell r="J53">
            <v>43675</v>
          </cell>
          <cell r="L53">
            <v>43896</v>
          </cell>
          <cell r="M53">
            <v>44261</v>
          </cell>
        </row>
        <row r="54">
          <cell r="B54" t="str">
            <v>TESTE 51</v>
          </cell>
          <cell r="C54">
            <v>31524</v>
          </cell>
          <cell r="E54" t="str">
            <v>EMS - 1</v>
          </cell>
          <cell r="F54" t="str">
            <v>SUDESTE</v>
          </cell>
          <cell r="G54" t="str">
            <v>SANTA FÉ DO SUL</v>
          </cell>
          <cell r="H54" t="str">
            <v>SP</v>
          </cell>
          <cell r="J54">
            <v>43675</v>
          </cell>
          <cell r="L54">
            <v>43896</v>
          </cell>
          <cell r="M54">
            <v>44261</v>
          </cell>
        </row>
        <row r="55">
          <cell r="B55" t="str">
            <v>TESTE 52</v>
          </cell>
          <cell r="C55">
            <v>31524</v>
          </cell>
          <cell r="E55" t="str">
            <v>TR - 1</v>
          </cell>
          <cell r="F55" t="str">
            <v>SUDESTE</v>
          </cell>
          <cell r="G55" t="str">
            <v>SANTA FÉ DO SUL</v>
          </cell>
          <cell r="H55" t="str">
            <v>SP</v>
          </cell>
          <cell r="J55">
            <v>43675</v>
          </cell>
          <cell r="L55">
            <v>43896</v>
          </cell>
          <cell r="M55">
            <v>44261</v>
          </cell>
        </row>
        <row r="56">
          <cell r="B56" t="str">
            <v>TESTE 53</v>
          </cell>
          <cell r="C56">
            <v>99932</v>
          </cell>
          <cell r="E56" t="str">
            <v>CE - 250</v>
          </cell>
          <cell r="F56" t="str">
            <v>SUDESTE</v>
          </cell>
          <cell r="G56" t="str">
            <v>SÃO BERNARDO DO CAMPO</v>
          </cell>
          <cell r="H56" t="str">
            <v>SP</v>
          </cell>
          <cell r="J56">
            <v>43668</v>
          </cell>
          <cell r="L56">
            <v>43710</v>
          </cell>
          <cell r="M56">
            <v>44075</v>
          </cell>
        </row>
        <row r="57">
          <cell r="B57" t="str">
            <v>TESTE 54</v>
          </cell>
          <cell r="C57">
            <v>53205</v>
          </cell>
          <cell r="E57" t="str">
            <v>RL - 750</v>
          </cell>
          <cell r="F57" t="str">
            <v>SUDESTE</v>
          </cell>
          <cell r="G57" t="str">
            <v xml:space="preserve">BOITUVA </v>
          </cell>
          <cell r="H57" t="str">
            <v>SP</v>
          </cell>
          <cell r="J57">
            <v>44089</v>
          </cell>
          <cell r="L57">
            <v>44147</v>
          </cell>
          <cell r="M57">
            <v>44512</v>
          </cell>
        </row>
        <row r="58">
          <cell r="B58" t="str">
            <v>TESTE 55</v>
          </cell>
          <cell r="C58">
            <v>67710</v>
          </cell>
          <cell r="E58" t="str">
            <v>MTI - 4.000GTS</v>
          </cell>
          <cell r="F58" t="str">
            <v>SUDESTE</v>
          </cell>
          <cell r="G58" t="str">
            <v>SANTOS</v>
          </cell>
          <cell r="H58" t="str">
            <v>SP</v>
          </cell>
          <cell r="J58">
            <v>43735</v>
          </cell>
          <cell r="L58">
            <v>43805</v>
          </cell>
          <cell r="M58">
            <v>44170</v>
          </cell>
        </row>
        <row r="59">
          <cell r="B59" t="str">
            <v>TESTE 56</v>
          </cell>
          <cell r="C59">
            <v>37350</v>
          </cell>
          <cell r="E59" t="str">
            <v>MTI - 7.000GTS</v>
          </cell>
          <cell r="F59" t="str">
            <v>SUDESTE</v>
          </cell>
          <cell r="G59" t="str">
            <v>VINHEDO</v>
          </cell>
          <cell r="H59" t="str">
            <v>SP</v>
          </cell>
          <cell r="J59">
            <v>43738</v>
          </cell>
          <cell r="L59">
            <v>43979</v>
          </cell>
          <cell r="M59">
            <v>44344</v>
          </cell>
        </row>
        <row r="60">
          <cell r="B60" t="str">
            <v>TESTE 57</v>
          </cell>
          <cell r="C60">
            <v>93607</v>
          </cell>
          <cell r="E60" t="str">
            <v>EMS - 1</v>
          </cell>
          <cell r="F60" t="str">
            <v>SUDESTE</v>
          </cell>
          <cell r="G60" t="str">
            <v>VINHEDO</v>
          </cell>
          <cell r="H60" t="str">
            <v>SP</v>
          </cell>
          <cell r="J60">
            <v>43738</v>
          </cell>
          <cell r="L60">
            <v>43979</v>
          </cell>
          <cell r="M60">
            <v>44344</v>
          </cell>
        </row>
        <row r="61">
          <cell r="B61" t="str">
            <v>TESTE 58</v>
          </cell>
          <cell r="C61">
            <v>51077</v>
          </cell>
          <cell r="E61" t="str">
            <v>TR - 1</v>
          </cell>
          <cell r="F61" t="str">
            <v>SUDESTE</v>
          </cell>
          <cell r="G61" t="str">
            <v>VINHEDO</v>
          </cell>
          <cell r="H61" t="str">
            <v>SP</v>
          </cell>
          <cell r="J61">
            <v>43738</v>
          </cell>
          <cell r="L61">
            <v>43979</v>
          </cell>
          <cell r="M61">
            <v>44344</v>
          </cell>
        </row>
        <row r="62">
          <cell r="B62" t="str">
            <v>TESTE 59</v>
          </cell>
          <cell r="C62">
            <v>67301</v>
          </cell>
          <cell r="E62" t="str">
            <v>MTI - 4.000GTS</v>
          </cell>
          <cell r="F62" t="str">
            <v>SUDESTE</v>
          </cell>
          <cell r="G62" t="str">
            <v>GOVERNADOR VALADARES</v>
          </cell>
          <cell r="H62" t="str">
            <v>MG</v>
          </cell>
          <cell r="J62">
            <v>44051</v>
          </cell>
          <cell r="L62">
            <v>44232</v>
          </cell>
          <cell r="M62">
            <v>44597</v>
          </cell>
        </row>
        <row r="63">
          <cell r="B63" t="str">
            <v>TESTE 60</v>
          </cell>
          <cell r="C63">
            <v>90066</v>
          </cell>
          <cell r="E63" t="str">
            <v>EMS - 1</v>
          </cell>
          <cell r="F63" t="str">
            <v>SUDESTE</v>
          </cell>
          <cell r="G63" t="str">
            <v>GOVERNADOR VALADARES</v>
          </cell>
          <cell r="H63" t="str">
            <v>MG</v>
          </cell>
          <cell r="J63">
            <v>44051</v>
          </cell>
          <cell r="L63">
            <v>44232</v>
          </cell>
          <cell r="M63">
            <v>44597</v>
          </cell>
        </row>
        <row r="64">
          <cell r="B64" t="str">
            <v>TESTE 61</v>
          </cell>
          <cell r="C64">
            <v>77248</v>
          </cell>
          <cell r="E64" t="str">
            <v>TR - 1</v>
          </cell>
          <cell r="F64" t="str">
            <v>SUDESTE</v>
          </cell>
          <cell r="G64" t="str">
            <v>GOVERNADOR VALADARES</v>
          </cell>
          <cell r="H64" t="str">
            <v>MG</v>
          </cell>
          <cell r="J64">
            <v>44051</v>
          </cell>
          <cell r="L64">
            <v>44232</v>
          </cell>
          <cell r="M64">
            <v>44597</v>
          </cell>
        </row>
        <row r="65">
          <cell r="B65" t="str">
            <v>TESTE 62</v>
          </cell>
          <cell r="C65">
            <v>68685</v>
          </cell>
          <cell r="E65" t="str">
            <v>CUBA 22.000 GT</v>
          </cell>
          <cell r="F65" t="str">
            <v>SUDESTE</v>
          </cell>
          <cell r="G65" t="str">
            <v xml:space="preserve">RIBERÃO PRETO </v>
          </cell>
          <cell r="H65" t="str">
            <v xml:space="preserve">SP </v>
          </cell>
          <cell r="J65">
            <v>43907</v>
          </cell>
          <cell r="L65">
            <v>43979</v>
          </cell>
          <cell r="M65">
            <v>44344</v>
          </cell>
        </row>
        <row r="66">
          <cell r="B66" t="str">
            <v>TESTE 63</v>
          </cell>
          <cell r="C66">
            <v>99929</v>
          </cell>
          <cell r="E66" t="str">
            <v>MTI - 7.000GE (GERADOR ESPECIAL)</v>
          </cell>
          <cell r="F66" t="str">
            <v>SUDESTE</v>
          </cell>
          <cell r="G66" t="str">
            <v>PONTA GROSSA</v>
          </cell>
          <cell r="H66" t="str">
            <v>PR</v>
          </cell>
          <cell r="J66">
            <v>43668</v>
          </cell>
          <cell r="L66">
            <v>43757</v>
          </cell>
          <cell r="M66">
            <v>44122</v>
          </cell>
        </row>
        <row r="67">
          <cell r="B67" t="str">
            <v>TESTE 64</v>
          </cell>
          <cell r="C67">
            <v>99930</v>
          </cell>
          <cell r="E67" t="str">
            <v>EMS - 1</v>
          </cell>
          <cell r="F67" t="str">
            <v>SUDESTE</v>
          </cell>
          <cell r="G67" t="str">
            <v>ER</v>
          </cell>
          <cell r="H67" t="str">
            <v>PR</v>
          </cell>
          <cell r="J67">
            <v>43668</v>
          </cell>
          <cell r="L67">
            <v>43757</v>
          </cell>
          <cell r="M67">
            <v>44122</v>
          </cell>
        </row>
        <row r="68">
          <cell r="B68" t="str">
            <v>TESTE 65</v>
          </cell>
          <cell r="C68">
            <v>76725</v>
          </cell>
          <cell r="E68" t="str">
            <v>MTI - 12.000GTS</v>
          </cell>
          <cell r="F68" t="str">
            <v>SUDESTE</v>
          </cell>
          <cell r="G68" t="str">
            <v xml:space="preserve">ITAIPU </v>
          </cell>
          <cell r="H68" t="str">
            <v xml:space="preserve">SP </v>
          </cell>
          <cell r="J68">
            <v>43882</v>
          </cell>
          <cell r="L68">
            <v>44338</v>
          </cell>
          <cell r="M68">
            <v>44703</v>
          </cell>
        </row>
        <row r="69">
          <cell r="B69" t="str">
            <v>TESTE 66</v>
          </cell>
          <cell r="C69">
            <v>54512</v>
          </cell>
          <cell r="E69" t="str">
            <v>EMS - 1</v>
          </cell>
          <cell r="F69" t="str">
            <v>SUDESTE</v>
          </cell>
          <cell r="G69" t="str">
            <v xml:space="preserve">ITAIPU </v>
          </cell>
          <cell r="H69" t="str">
            <v xml:space="preserve">SP </v>
          </cell>
          <cell r="J69">
            <v>43882</v>
          </cell>
          <cell r="L69">
            <v>44338</v>
          </cell>
          <cell r="M69">
            <v>44703</v>
          </cell>
        </row>
        <row r="70">
          <cell r="B70" t="str">
            <v>TESTE 67</v>
          </cell>
          <cell r="C70">
            <v>55194</v>
          </cell>
          <cell r="E70" t="str">
            <v>TR - 1</v>
          </cell>
          <cell r="F70" t="str">
            <v>SUDESTE</v>
          </cell>
          <cell r="G70" t="str">
            <v xml:space="preserve">ITAIPU </v>
          </cell>
          <cell r="H70" t="str">
            <v xml:space="preserve">SP </v>
          </cell>
          <cell r="J70">
            <v>43882</v>
          </cell>
          <cell r="L70">
            <v>44338</v>
          </cell>
          <cell r="M70">
            <v>44703</v>
          </cell>
        </row>
        <row r="71">
          <cell r="B71" t="str">
            <v>TESTE 68</v>
          </cell>
          <cell r="C71">
            <v>94662</v>
          </cell>
          <cell r="E71" t="str">
            <v>MTI - 4.000GTS</v>
          </cell>
          <cell r="F71" t="str">
            <v>SUDESTE</v>
          </cell>
          <cell r="G71" t="str">
            <v>GUARUJA</v>
          </cell>
          <cell r="H71" t="str">
            <v>SP</v>
          </cell>
          <cell r="J71">
            <v>44187</v>
          </cell>
          <cell r="L71" t="str">
            <v>STARTUP Ñ REALIZADO</v>
          </cell>
          <cell r="M71">
            <v>0</v>
          </cell>
        </row>
        <row r="72">
          <cell r="B72" t="str">
            <v>TESTE 69</v>
          </cell>
          <cell r="C72">
            <v>17456</v>
          </cell>
          <cell r="E72" t="str">
            <v>EMS - 1</v>
          </cell>
          <cell r="F72" t="str">
            <v>SUDESTE</v>
          </cell>
          <cell r="G72" t="str">
            <v>GUARUJA</v>
          </cell>
          <cell r="H72" t="str">
            <v>SP</v>
          </cell>
          <cell r="J72">
            <v>44187</v>
          </cell>
          <cell r="L72" t="str">
            <v>STARTUP Ñ REALIZADO</v>
          </cell>
          <cell r="M72">
            <v>0</v>
          </cell>
        </row>
        <row r="73">
          <cell r="B73" t="str">
            <v>TESTE 70</v>
          </cell>
          <cell r="C73">
            <v>25628</v>
          </cell>
          <cell r="E73" t="str">
            <v>MTI - 1.000GTS</v>
          </cell>
          <cell r="F73" t="str">
            <v>CENTROESTE</v>
          </cell>
          <cell r="G73" t="str">
            <v>ARAPUTANGA</v>
          </cell>
          <cell r="H73" t="str">
            <v>MT</v>
          </cell>
          <cell r="J73">
            <v>44043</v>
          </cell>
          <cell r="L73">
            <v>44176</v>
          </cell>
          <cell r="M73">
            <v>44541</v>
          </cell>
        </row>
        <row r="74">
          <cell r="B74" t="str">
            <v>TESTE 71</v>
          </cell>
          <cell r="C74">
            <v>60938</v>
          </cell>
          <cell r="E74" t="str">
            <v>EMS - 0</v>
          </cell>
          <cell r="F74" t="str">
            <v>CENTROESTE</v>
          </cell>
          <cell r="G74" t="str">
            <v>ARAPUTANGA</v>
          </cell>
          <cell r="H74" t="str">
            <v>MT</v>
          </cell>
          <cell r="J74">
            <v>44043</v>
          </cell>
          <cell r="L74">
            <v>44176</v>
          </cell>
          <cell r="M74">
            <v>44541</v>
          </cell>
        </row>
        <row r="75">
          <cell r="B75" t="str">
            <v>TESTE 72</v>
          </cell>
          <cell r="C75">
            <v>22463</v>
          </cell>
          <cell r="E75" t="str">
            <v>GERADOR MTI - 12.000GT</v>
          </cell>
          <cell r="F75" t="str">
            <v>CENTROESTE</v>
          </cell>
          <cell r="G75" t="str">
            <v>ANAPOLIS</v>
          </cell>
          <cell r="H75" t="str">
            <v xml:space="preserve">GO </v>
          </cell>
          <cell r="J75">
            <v>44113</v>
          </cell>
          <cell r="L75">
            <v>44166</v>
          </cell>
          <cell r="M75">
            <v>44531</v>
          </cell>
        </row>
        <row r="76">
          <cell r="B76" t="str">
            <v>TESTE 73</v>
          </cell>
          <cell r="C76">
            <v>16973</v>
          </cell>
          <cell r="E76" t="str">
            <v>BLOCO DE CONDENSADOR 110.000</v>
          </cell>
          <cell r="F76" t="str">
            <v>NORDESTE</v>
          </cell>
          <cell r="G76" t="str">
            <v xml:space="preserve">BARRA DOS COQUEIROS </v>
          </cell>
          <cell r="H76" t="str">
            <v>SE</v>
          </cell>
          <cell r="J76">
            <v>43819</v>
          </cell>
          <cell r="L76">
            <v>43878</v>
          </cell>
          <cell r="M76">
            <v>44243</v>
          </cell>
        </row>
        <row r="77">
          <cell r="B77" t="str">
            <v>TESTE 74</v>
          </cell>
          <cell r="C77">
            <v>74047</v>
          </cell>
          <cell r="E77" t="str">
            <v>MTI - 4.000GTS</v>
          </cell>
          <cell r="F77" t="str">
            <v>NORTE</v>
          </cell>
          <cell r="G77" t="str">
            <v xml:space="preserve">MARABA </v>
          </cell>
          <cell r="H77" t="str">
            <v>PA</v>
          </cell>
          <cell r="J77">
            <v>43982</v>
          </cell>
          <cell r="L77">
            <v>44296</v>
          </cell>
          <cell r="M77">
            <v>44661</v>
          </cell>
        </row>
        <row r="78">
          <cell r="B78" t="str">
            <v>TESTE 75</v>
          </cell>
          <cell r="C78">
            <v>40155</v>
          </cell>
          <cell r="E78" t="str">
            <v>EMS - 1</v>
          </cell>
          <cell r="F78" t="str">
            <v>NORTE</v>
          </cell>
          <cell r="G78" t="str">
            <v xml:space="preserve">MARABA </v>
          </cell>
          <cell r="H78" t="str">
            <v>PA</v>
          </cell>
          <cell r="J78">
            <v>43982</v>
          </cell>
          <cell r="L78">
            <v>44296</v>
          </cell>
          <cell r="M78">
            <v>44661</v>
          </cell>
        </row>
        <row r="79">
          <cell r="B79" t="str">
            <v>TESTE 76</v>
          </cell>
          <cell r="C79">
            <v>86086</v>
          </cell>
          <cell r="E79" t="str">
            <v>MTI - 1.000GTS</v>
          </cell>
          <cell r="F79" t="str">
            <v>CENTROESTE</v>
          </cell>
          <cell r="G79" t="str">
            <v>LUZIANA</v>
          </cell>
          <cell r="H79" t="str">
            <v xml:space="preserve">GO </v>
          </cell>
          <cell r="J79">
            <v>43982</v>
          </cell>
          <cell r="L79">
            <v>44007</v>
          </cell>
          <cell r="M79">
            <v>44372</v>
          </cell>
        </row>
        <row r="80">
          <cell r="B80" t="str">
            <v>TESTE 77</v>
          </cell>
          <cell r="C80" t="str">
            <v>74629R</v>
          </cell>
          <cell r="E80" t="str">
            <v>MTI - 1.000GTS</v>
          </cell>
          <cell r="F80" t="str">
            <v>SUDESTE</v>
          </cell>
          <cell r="G80" t="str">
            <v>TRES MARIAS</v>
          </cell>
          <cell r="H80" t="str">
            <v>MG</v>
          </cell>
          <cell r="J80">
            <v>44265</v>
          </cell>
          <cell r="L80">
            <v>44396</v>
          </cell>
          <cell r="M80">
            <v>44761</v>
          </cell>
        </row>
        <row r="81">
          <cell r="B81" t="str">
            <v>TESTE 78</v>
          </cell>
          <cell r="C81">
            <v>97866</v>
          </cell>
          <cell r="E81" t="str">
            <v>MTI - 12.000GT</v>
          </cell>
          <cell r="F81" t="str">
            <v>SUDESTE</v>
          </cell>
          <cell r="G81" t="str">
            <v>IPIAÇU</v>
          </cell>
          <cell r="H81" t="str">
            <v>MG</v>
          </cell>
          <cell r="J81">
            <v>43364</v>
          </cell>
          <cell r="L81">
            <v>43946</v>
          </cell>
          <cell r="M81">
            <v>44311</v>
          </cell>
        </row>
        <row r="82">
          <cell r="B82" t="str">
            <v>TESTE 79</v>
          </cell>
          <cell r="C82">
            <v>40541</v>
          </cell>
          <cell r="E82" t="str">
            <v>EMS - 1</v>
          </cell>
          <cell r="F82" t="str">
            <v>SUDESTE</v>
          </cell>
          <cell r="G82" t="str">
            <v>IPIAÇU</v>
          </cell>
          <cell r="H82" t="str">
            <v>MG</v>
          </cell>
          <cell r="J82">
            <v>43809</v>
          </cell>
          <cell r="L82">
            <v>43845</v>
          </cell>
          <cell r="M82">
            <v>44210</v>
          </cell>
        </row>
        <row r="83">
          <cell r="B83" t="str">
            <v>TESTE 80</v>
          </cell>
          <cell r="C83">
            <v>40541</v>
          </cell>
          <cell r="E83" t="str">
            <v>TR - 1</v>
          </cell>
          <cell r="F83" t="str">
            <v>SUDESTE</v>
          </cell>
          <cell r="G83" t="str">
            <v>IPIAÇU</v>
          </cell>
          <cell r="H83" t="str">
            <v>MG</v>
          </cell>
          <cell r="J83">
            <v>43809</v>
          </cell>
          <cell r="L83">
            <v>43845</v>
          </cell>
          <cell r="M83">
            <v>44210</v>
          </cell>
        </row>
        <row r="84">
          <cell r="B84" t="str">
            <v>TESTE 81</v>
          </cell>
          <cell r="C84">
            <v>39661</v>
          </cell>
          <cell r="E84" t="str">
            <v>MTI - 7.000GES</v>
          </cell>
          <cell r="F84" t="str">
            <v>CENTROESTE</v>
          </cell>
          <cell r="G84" t="str">
            <v xml:space="preserve">COSTA MARQUES </v>
          </cell>
          <cell r="H84" t="str">
            <v>TO</v>
          </cell>
          <cell r="J84">
            <v>44042</v>
          </cell>
          <cell r="L84" t="str">
            <v>STARTUP Ñ REALIZADO</v>
          </cell>
          <cell r="M84">
            <v>0</v>
          </cell>
        </row>
        <row r="85">
          <cell r="B85" t="str">
            <v>TESTE 82</v>
          </cell>
          <cell r="C85" t="str">
            <v>-</v>
          </cell>
          <cell r="E85" t="str">
            <v>MAQUINA USADA CALABRIA</v>
          </cell>
          <cell r="F85" t="str">
            <v>SUDESTE</v>
          </cell>
          <cell r="G85" t="str">
            <v xml:space="preserve">SÃO PAULO </v>
          </cell>
          <cell r="H85" t="str">
            <v>SP</v>
          </cell>
          <cell r="J85">
            <v>44155</v>
          </cell>
          <cell r="L85" t="str">
            <v>STARTUP Ñ REALIZADO</v>
          </cell>
          <cell r="M85">
            <v>0</v>
          </cell>
        </row>
        <row r="86">
          <cell r="B86" t="str">
            <v>TESTE 83</v>
          </cell>
          <cell r="C86">
            <v>99940</v>
          </cell>
          <cell r="E86" t="str">
            <v>RL - 200</v>
          </cell>
          <cell r="F86" t="str">
            <v>SUDESTE</v>
          </cell>
          <cell r="G86" t="str">
            <v>ILHA SOLTEIRA</v>
          </cell>
          <cell r="H86" t="str">
            <v>SP</v>
          </cell>
          <cell r="J86">
            <v>43699</v>
          </cell>
          <cell r="L86">
            <v>43770</v>
          </cell>
          <cell r="M86">
            <v>44135</v>
          </cell>
        </row>
        <row r="87">
          <cell r="B87" t="str">
            <v>TESTE 84</v>
          </cell>
          <cell r="C87">
            <v>26413</v>
          </cell>
          <cell r="E87" t="str">
            <v>CE - 250</v>
          </cell>
          <cell r="F87" t="str">
            <v>SUDESTE</v>
          </cell>
          <cell r="G87" t="str">
            <v>ILHA SOLTEIRA</v>
          </cell>
          <cell r="H87" t="str">
            <v>SP</v>
          </cell>
          <cell r="J87">
            <v>43718</v>
          </cell>
          <cell r="L87">
            <v>43770</v>
          </cell>
          <cell r="M87">
            <v>44135</v>
          </cell>
        </row>
        <row r="88">
          <cell r="B88" t="str">
            <v>TESTE 85</v>
          </cell>
          <cell r="C88">
            <v>99911</v>
          </cell>
          <cell r="E88" t="str">
            <v>MTI - 7.000GTS</v>
          </cell>
          <cell r="F88" t="str">
            <v>SUDESTE</v>
          </cell>
          <cell r="G88" t="str">
            <v>CUBATÃO</v>
          </cell>
          <cell r="H88" t="str">
            <v>SP</v>
          </cell>
          <cell r="J88">
            <v>43591</v>
          </cell>
          <cell r="L88">
            <v>43804</v>
          </cell>
          <cell r="M88">
            <v>44169</v>
          </cell>
        </row>
        <row r="89">
          <cell r="B89" t="str">
            <v>TESTE 86</v>
          </cell>
          <cell r="C89">
            <v>99912</v>
          </cell>
          <cell r="E89" t="str">
            <v>EMS - 1</v>
          </cell>
          <cell r="F89" t="str">
            <v>SUDESTE</v>
          </cell>
          <cell r="G89" t="str">
            <v>CUBATÃO</v>
          </cell>
          <cell r="H89" t="str">
            <v>SP</v>
          </cell>
          <cell r="J89">
            <v>43591</v>
          </cell>
          <cell r="L89">
            <v>43804</v>
          </cell>
          <cell r="M89">
            <v>44169</v>
          </cell>
        </row>
        <row r="90">
          <cell r="B90" t="str">
            <v>TESTE 87</v>
          </cell>
          <cell r="C90">
            <v>99913</v>
          </cell>
          <cell r="E90" t="str">
            <v>TR - 1</v>
          </cell>
          <cell r="F90" t="str">
            <v>SUDESTE</v>
          </cell>
          <cell r="G90" t="str">
            <v>CUBATÃO</v>
          </cell>
          <cell r="H90" t="str">
            <v>SP</v>
          </cell>
          <cell r="J90">
            <v>43591</v>
          </cell>
          <cell r="L90">
            <v>43804</v>
          </cell>
          <cell r="M90">
            <v>44169</v>
          </cell>
        </row>
        <row r="91">
          <cell r="B91" t="str">
            <v>TESTE 88</v>
          </cell>
          <cell r="C91">
            <v>33481</v>
          </cell>
          <cell r="E91" t="str">
            <v>MTI - 7.000GES</v>
          </cell>
          <cell r="F91" t="str">
            <v>CENTROESTE</v>
          </cell>
          <cell r="G91" t="str">
            <v>CORUMBA</v>
          </cell>
          <cell r="H91" t="str">
            <v>MS</v>
          </cell>
          <cell r="J91">
            <v>44165</v>
          </cell>
          <cell r="L91">
            <v>44416</v>
          </cell>
          <cell r="M91">
            <v>44781</v>
          </cell>
        </row>
        <row r="92">
          <cell r="B92" t="str">
            <v>TESTE 89</v>
          </cell>
          <cell r="C92">
            <v>56694</v>
          </cell>
          <cell r="E92" t="str">
            <v>E - 600</v>
          </cell>
          <cell r="F92" t="str">
            <v>CENTROESTE</v>
          </cell>
          <cell r="G92" t="str">
            <v>CORUMBA</v>
          </cell>
          <cell r="H92" t="str">
            <v>MS</v>
          </cell>
          <cell r="J92">
            <v>44235</v>
          </cell>
          <cell r="L92">
            <v>44416</v>
          </cell>
          <cell r="M92">
            <v>44781</v>
          </cell>
        </row>
        <row r="93">
          <cell r="B93" t="str">
            <v>TESTE 90</v>
          </cell>
          <cell r="C93">
            <v>38941</v>
          </cell>
          <cell r="E93" t="str">
            <v>BASE MTI - 7.000GES</v>
          </cell>
          <cell r="F93" t="str">
            <v>CENTROESTE</v>
          </cell>
          <cell r="G93" t="str">
            <v>CORUMBA</v>
          </cell>
          <cell r="H93" t="str">
            <v>MS</v>
          </cell>
          <cell r="J93">
            <v>44235</v>
          </cell>
          <cell r="L93">
            <v>44416</v>
          </cell>
          <cell r="M93">
            <v>44781</v>
          </cell>
        </row>
        <row r="94">
          <cell r="B94" t="str">
            <v>TESTE 91</v>
          </cell>
          <cell r="C94">
            <v>26351</v>
          </cell>
          <cell r="E94" t="str">
            <v>MTI - 1.000GTS</v>
          </cell>
          <cell r="F94" t="str">
            <v>SUDESTE</v>
          </cell>
          <cell r="G94" t="str">
            <v>CAPIVARI</v>
          </cell>
          <cell r="H94" t="str">
            <v>SP</v>
          </cell>
          <cell r="J94">
            <v>44123</v>
          </cell>
          <cell r="L94">
            <v>44239</v>
          </cell>
          <cell r="M94">
            <v>44604</v>
          </cell>
        </row>
        <row r="95">
          <cell r="B95" t="str">
            <v>TESTE 92</v>
          </cell>
          <cell r="C95">
            <v>81358</v>
          </cell>
          <cell r="E95" t="str">
            <v>EMS - 1</v>
          </cell>
          <cell r="F95" t="str">
            <v>SUDESTE</v>
          </cell>
          <cell r="G95" t="str">
            <v>CAPIVARI</v>
          </cell>
          <cell r="H95" t="str">
            <v>SP</v>
          </cell>
          <cell r="J95">
            <v>44123</v>
          </cell>
          <cell r="L95">
            <v>44239</v>
          </cell>
          <cell r="M95">
            <v>44604</v>
          </cell>
        </row>
        <row r="96">
          <cell r="B96" t="str">
            <v>TESTE 93</v>
          </cell>
          <cell r="C96">
            <v>60159</v>
          </cell>
          <cell r="E96" t="str">
            <v>MTI - 1.000GTS</v>
          </cell>
          <cell r="F96" t="str">
            <v>SUDESTE</v>
          </cell>
          <cell r="G96" t="str">
            <v>FARROUPILHA</v>
          </cell>
          <cell r="H96" t="str">
            <v>RS</v>
          </cell>
          <cell r="J96">
            <v>44343</v>
          </cell>
          <cell r="L96">
            <v>44435</v>
          </cell>
          <cell r="M96">
            <v>44800</v>
          </cell>
        </row>
        <row r="97">
          <cell r="B97" t="str">
            <v>TESTE 94</v>
          </cell>
          <cell r="C97">
            <v>43305</v>
          </cell>
          <cell r="E97" t="str">
            <v>BASE MTI - 1.000GTS</v>
          </cell>
          <cell r="F97" t="str">
            <v>SUDESTE</v>
          </cell>
          <cell r="G97" t="str">
            <v>FARROUPILHA</v>
          </cell>
          <cell r="H97" t="str">
            <v>RS</v>
          </cell>
          <cell r="J97">
            <v>44435</v>
          </cell>
          <cell r="L97">
            <v>44435</v>
          </cell>
          <cell r="M97">
            <v>44800</v>
          </cell>
        </row>
        <row r="98">
          <cell r="B98" t="str">
            <v>TESTE 95</v>
          </cell>
          <cell r="C98">
            <v>57230</v>
          </cell>
          <cell r="E98" t="str">
            <v>CE - 150</v>
          </cell>
          <cell r="F98" t="str">
            <v>SUDESTE</v>
          </cell>
          <cell r="G98" t="str">
            <v>COTIA</v>
          </cell>
          <cell r="H98" t="str">
            <v>SP</v>
          </cell>
          <cell r="J98">
            <v>43727</v>
          </cell>
          <cell r="L98">
            <v>44097</v>
          </cell>
          <cell r="M98">
            <v>44462</v>
          </cell>
        </row>
        <row r="99">
          <cell r="B99" t="str">
            <v>TESTE 96</v>
          </cell>
          <cell r="C99">
            <v>57230</v>
          </cell>
          <cell r="E99" t="str">
            <v>170x CHUVEIROS GT</v>
          </cell>
          <cell r="F99" t="str">
            <v>SUDESTE</v>
          </cell>
          <cell r="G99" t="str">
            <v>COTIA</v>
          </cell>
          <cell r="H99" t="str">
            <v>SP</v>
          </cell>
          <cell r="J99">
            <v>43727</v>
          </cell>
          <cell r="L99">
            <v>44097</v>
          </cell>
          <cell r="M99">
            <v>44462</v>
          </cell>
        </row>
        <row r="100">
          <cell r="B100" t="str">
            <v>TESTE 97</v>
          </cell>
          <cell r="C100">
            <v>57230</v>
          </cell>
          <cell r="E100" t="str">
            <v>INTERCAMBIADOR 10 GT</v>
          </cell>
          <cell r="F100" t="str">
            <v>SUDESTE</v>
          </cell>
          <cell r="G100" t="str">
            <v>COTIA</v>
          </cell>
          <cell r="H100" t="str">
            <v>SP</v>
          </cell>
          <cell r="J100">
            <v>43727</v>
          </cell>
          <cell r="L100">
            <v>44097</v>
          </cell>
          <cell r="M100">
            <v>44462</v>
          </cell>
        </row>
        <row r="101">
          <cell r="B101" t="str">
            <v>TESTE 98</v>
          </cell>
          <cell r="C101">
            <v>83536</v>
          </cell>
          <cell r="E101" t="str">
            <v>MTI - 12.000GTS</v>
          </cell>
          <cell r="F101" t="str">
            <v>CENTROESTE</v>
          </cell>
          <cell r="G101" t="str">
            <v>RONDONÓPOLIS</v>
          </cell>
          <cell r="H101" t="str">
            <v>MT</v>
          </cell>
          <cell r="J101">
            <v>44175</v>
          </cell>
          <cell r="L101">
            <v>44408</v>
          </cell>
          <cell r="M101">
            <v>44773</v>
          </cell>
        </row>
        <row r="102">
          <cell r="B102" t="str">
            <v>TESTE 99</v>
          </cell>
          <cell r="C102">
            <v>47659</v>
          </cell>
          <cell r="E102" t="str">
            <v>EMS - 1</v>
          </cell>
          <cell r="F102" t="str">
            <v>CENTROESTE</v>
          </cell>
          <cell r="G102" t="str">
            <v>RONDONÓPOLIS</v>
          </cell>
          <cell r="H102" t="str">
            <v>MT</v>
          </cell>
          <cell r="J102">
            <v>44175</v>
          </cell>
          <cell r="L102">
            <v>44408</v>
          </cell>
          <cell r="M102">
            <v>44773</v>
          </cell>
        </row>
        <row r="103">
          <cell r="B103" t="str">
            <v>TESTE 100</v>
          </cell>
          <cell r="C103">
            <v>11264</v>
          </cell>
          <cell r="E103" t="str">
            <v>TR - 1</v>
          </cell>
          <cell r="F103" t="str">
            <v>CENTROESTE</v>
          </cell>
          <cell r="G103" t="str">
            <v>RONDONÓPOLIS</v>
          </cell>
          <cell r="H103" t="str">
            <v>MT</v>
          </cell>
          <cell r="J103">
            <v>44175</v>
          </cell>
          <cell r="L103">
            <v>44408</v>
          </cell>
          <cell r="M103">
            <v>44773</v>
          </cell>
        </row>
        <row r="104">
          <cell r="B104" t="str">
            <v>TESTE 101</v>
          </cell>
          <cell r="C104">
            <v>28435</v>
          </cell>
          <cell r="E104" t="str">
            <v>MTI - 10.000GTS</v>
          </cell>
          <cell r="F104" t="str">
            <v>CENTROESTE</v>
          </cell>
          <cell r="G104" t="str">
            <v xml:space="preserve">PIRANHAS </v>
          </cell>
          <cell r="H104" t="str">
            <v>GO</v>
          </cell>
          <cell r="J104">
            <v>44180</v>
          </cell>
          <cell r="L104">
            <v>44388</v>
          </cell>
          <cell r="M104">
            <v>44753</v>
          </cell>
        </row>
        <row r="105">
          <cell r="B105" t="str">
            <v>TESTE 102</v>
          </cell>
          <cell r="C105">
            <v>55078</v>
          </cell>
          <cell r="E105" t="str">
            <v>E - 600</v>
          </cell>
          <cell r="F105" t="str">
            <v>CENTROESTE</v>
          </cell>
          <cell r="G105" t="str">
            <v xml:space="preserve">PIRANHAS </v>
          </cell>
          <cell r="H105" t="str">
            <v>GO</v>
          </cell>
          <cell r="J105">
            <v>44180</v>
          </cell>
          <cell r="L105">
            <v>44388</v>
          </cell>
          <cell r="M105">
            <v>44753</v>
          </cell>
        </row>
        <row r="106">
          <cell r="B106" t="str">
            <v>TESTE 103</v>
          </cell>
          <cell r="C106">
            <v>82561</v>
          </cell>
          <cell r="E106" t="str">
            <v>TR - 1</v>
          </cell>
          <cell r="F106" t="str">
            <v>CENTROESTE</v>
          </cell>
          <cell r="G106" t="str">
            <v xml:space="preserve">PIRANHAS </v>
          </cell>
          <cell r="H106" t="str">
            <v>GO</v>
          </cell>
          <cell r="J106">
            <v>44180</v>
          </cell>
          <cell r="L106">
            <v>44388</v>
          </cell>
          <cell r="M106">
            <v>44753</v>
          </cell>
        </row>
        <row r="107">
          <cell r="B107" t="str">
            <v>TESTE 104</v>
          </cell>
          <cell r="C107">
            <v>98074</v>
          </cell>
          <cell r="E107" t="str">
            <v>BASE MTI - 10.000GTS</v>
          </cell>
          <cell r="F107" t="str">
            <v>CENTROESTE</v>
          </cell>
          <cell r="G107" t="str">
            <v xml:space="preserve">PIRANHAS </v>
          </cell>
          <cell r="H107" t="str">
            <v>GO</v>
          </cell>
          <cell r="J107">
            <v>44180</v>
          </cell>
          <cell r="L107">
            <v>44388</v>
          </cell>
          <cell r="M107">
            <v>44753</v>
          </cell>
        </row>
        <row r="108">
          <cell r="B108" t="str">
            <v>TESTE 105</v>
          </cell>
          <cell r="C108">
            <v>28388</v>
          </cell>
          <cell r="E108" t="str">
            <v>MTI - 4.000GTS</v>
          </cell>
          <cell r="F108" t="str">
            <v xml:space="preserve">INTERNACIONAL </v>
          </cell>
          <cell r="G108" t="str">
            <v>URUGUAI</v>
          </cell>
          <cell r="H108" t="str">
            <v>UR</v>
          </cell>
          <cell r="J108">
            <v>43713</v>
          </cell>
          <cell r="L108">
            <v>43902</v>
          </cell>
          <cell r="M108">
            <v>44267</v>
          </cell>
        </row>
        <row r="109">
          <cell r="B109" t="str">
            <v>TESTE 106</v>
          </cell>
          <cell r="C109">
            <v>28388</v>
          </cell>
          <cell r="E109" t="str">
            <v>EMS - 1</v>
          </cell>
          <cell r="F109" t="str">
            <v xml:space="preserve">INTERNACIONAL </v>
          </cell>
          <cell r="G109" t="str">
            <v>URUGUAI</v>
          </cell>
          <cell r="H109" t="str">
            <v>UR</v>
          </cell>
          <cell r="J109">
            <v>43713</v>
          </cell>
          <cell r="L109">
            <v>43902</v>
          </cell>
          <cell r="M109">
            <v>44267</v>
          </cell>
        </row>
        <row r="110">
          <cell r="B110" t="str">
            <v>TESTE 107</v>
          </cell>
          <cell r="C110">
            <v>28388</v>
          </cell>
          <cell r="E110" t="str">
            <v>TR - 1</v>
          </cell>
          <cell r="F110" t="str">
            <v xml:space="preserve">INTERNACIONAL </v>
          </cell>
          <cell r="G110" t="str">
            <v>URUGUAI</v>
          </cell>
          <cell r="H110" t="str">
            <v>UR</v>
          </cell>
          <cell r="J110">
            <v>43713</v>
          </cell>
          <cell r="L110">
            <v>43902</v>
          </cell>
          <cell r="M110">
            <v>44267</v>
          </cell>
        </row>
        <row r="111">
          <cell r="B111" t="str">
            <v>TESTE 108</v>
          </cell>
          <cell r="C111">
            <v>3001192</v>
          </cell>
          <cell r="E111" t="str">
            <v>MTI - 4.000GTS</v>
          </cell>
          <cell r="F111" t="str">
            <v>SUDESTE</v>
          </cell>
          <cell r="G111" t="str">
            <v>SÃO VICENTE</v>
          </cell>
          <cell r="H111" t="str">
            <v>SP</v>
          </cell>
          <cell r="J111">
            <v>43396</v>
          </cell>
          <cell r="L111">
            <v>43688</v>
          </cell>
          <cell r="M111">
            <v>44053</v>
          </cell>
        </row>
        <row r="112">
          <cell r="B112" t="str">
            <v>TESTE 109</v>
          </cell>
          <cell r="C112">
            <v>3000192</v>
          </cell>
          <cell r="E112" t="str">
            <v>EMS - 1</v>
          </cell>
          <cell r="F112" t="str">
            <v>SUDESTE</v>
          </cell>
          <cell r="G112" t="str">
            <v>SÃO VICENTE</v>
          </cell>
          <cell r="H112" t="str">
            <v>SP</v>
          </cell>
          <cell r="J112">
            <v>43396</v>
          </cell>
          <cell r="L112">
            <v>43688</v>
          </cell>
          <cell r="M112">
            <v>44053</v>
          </cell>
        </row>
        <row r="113">
          <cell r="B113" t="str">
            <v>TESTE 110</v>
          </cell>
          <cell r="C113">
            <v>3000228</v>
          </cell>
          <cell r="E113" t="str">
            <v>TR - 1</v>
          </cell>
          <cell r="F113" t="str">
            <v>SUDESTE</v>
          </cell>
          <cell r="G113" t="str">
            <v>SÃO VICENTE</v>
          </cell>
          <cell r="H113" t="str">
            <v>SP</v>
          </cell>
          <cell r="J113">
            <v>43396</v>
          </cell>
          <cell r="L113">
            <v>43688</v>
          </cell>
          <cell r="M113">
            <v>44053</v>
          </cell>
        </row>
        <row r="114">
          <cell r="B114" t="str">
            <v>TESTE 111</v>
          </cell>
          <cell r="C114">
            <v>16345</v>
          </cell>
          <cell r="E114" t="str">
            <v>MTI - 12.000GTS</v>
          </cell>
          <cell r="F114" t="str">
            <v>SUDESTE</v>
          </cell>
          <cell r="G114" t="str">
            <v>SÃO VICENTE</v>
          </cell>
          <cell r="H114" t="str">
            <v>SP</v>
          </cell>
          <cell r="J114">
            <v>43661</v>
          </cell>
          <cell r="L114">
            <v>43823</v>
          </cell>
          <cell r="M114">
            <v>44188</v>
          </cell>
        </row>
        <row r="115">
          <cell r="B115" t="str">
            <v>TESTE 112</v>
          </cell>
          <cell r="C115">
            <v>3001903</v>
          </cell>
          <cell r="E115" t="str">
            <v>MTI - 7.000GTS</v>
          </cell>
          <cell r="F115" t="str">
            <v>CENTROESTE</v>
          </cell>
          <cell r="G115" t="str">
            <v>CAMPO GRANDE</v>
          </cell>
          <cell r="H115" t="str">
            <v>MS</v>
          </cell>
          <cell r="J115">
            <v>43609</v>
          </cell>
          <cell r="L115">
            <v>43612</v>
          </cell>
          <cell r="M115">
            <v>43977</v>
          </cell>
        </row>
        <row r="116">
          <cell r="B116" t="str">
            <v>TESTE 113</v>
          </cell>
          <cell r="C116">
            <v>3000192</v>
          </cell>
          <cell r="E116" t="str">
            <v>EMS - 1</v>
          </cell>
          <cell r="F116" t="str">
            <v>CENTROESTE</v>
          </cell>
          <cell r="G116" t="str">
            <v>CAMPO GRANDE</v>
          </cell>
          <cell r="H116" t="str">
            <v>MS</v>
          </cell>
          <cell r="J116">
            <v>43609</v>
          </cell>
          <cell r="L116">
            <v>43612</v>
          </cell>
          <cell r="M116">
            <v>43977</v>
          </cell>
        </row>
        <row r="117">
          <cell r="B117" t="str">
            <v>TESTE 114</v>
          </cell>
          <cell r="C117">
            <v>3000228</v>
          </cell>
          <cell r="E117" t="str">
            <v>TR - 1</v>
          </cell>
          <cell r="F117" t="str">
            <v>CENTROESTE</v>
          </cell>
          <cell r="G117" t="str">
            <v>CAMPO GRANDE</v>
          </cell>
          <cell r="H117" t="str">
            <v>MS</v>
          </cell>
          <cell r="J117">
            <v>43609</v>
          </cell>
          <cell r="L117">
            <v>43612</v>
          </cell>
          <cell r="M117">
            <v>43977</v>
          </cell>
        </row>
        <row r="118">
          <cell r="B118" t="str">
            <v>TESTE 115</v>
          </cell>
          <cell r="C118">
            <v>9998</v>
          </cell>
          <cell r="E118" t="str">
            <v>MTI - 2.500GTS</v>
          </cell>
          <cell r="F118" t="str">
            <v>CENTROESTE</v>
          </cell>
          <cell r="G118" t="str">
            <v xml:space="preserve">DOURADOS </v>
          </cell>
          <cell r="H118" t="str">
            <v>MS</v>
          </cell>
          <cell r="J118">
            <v>43738</v>
          </cell>
          <cell r="L118">
            <v>43972</v>
          </cell>
          <cell r="M118">
            <v>44337</v>
          </cell>
        </row>
        <row r="119">
          <cell r="B119" t="str">
            <v>TESTE 116</v>
          </cell>
          <cell r="C119">
            <v>9999</v>
          </cell>
          <cell r="E119" t="str">
            <v>EMS - 1</v>
          </cell>
          <cell r="F119" t="str">
            <v>CENTROESTE</v>
          </cell>
          <cell r="G119" t="str">
            <v xml:space="preserve">DOURADOS </v>
          </cell>
          <cell r="H119" t="str">
            <v>MS</v>
          </cell>
          <cell r="J119">
            <v>43738</v>
          </cell>
          <cell r="L119">
            <v>43556</v>
          </cell>
          <cell r="M119">
            <v>43921</v>
          </cell>
        </row>
        <row r="120">
          <cell r="B120" t="str">
            <v>TESTE 117</v>
          </cell>
          <cell r="C120">
            <v>99910</v>
          </cell>
          <cell r="E120" t="str">
            <v>TR - 1</v>
          </cell>
          <cell r="F120" t="str">
            <v>CENTROESTE</v>
          </cell>
          <cell r="G120" t="str">
            <v xml:space="preserve">DOURADOS </v>
          </cell>
          <cell r="H120" t="str">
            <v>MS</v>
          </cell>
          <cell r="J120">
            <v>43739</v>
          </cell>
          <cell r="L120">
            <v>43546</v>
          </cell>
          <cell r="M120">
            <v>43911</v>
          </cell>
        </row>
        <row r="121">
          <cell r="B121" t="str">
            <v>TESTE 118</v>
          </cell>
          <cell r="C121">
            <v>55872</v>
          </cell>
          <cell r="E121" t="str">
            <v>MTI - 1.000GTS</v>
          </cell>
          <cell r="F121" t="str">
            <v>NORTE</v>
          </cell>
          <cell r="G121" t="str">
            <v>JARU</v>
          </cell>
          <cell r="H121" t="str">
            <v>RO</v>
          </cell>
          <cell r="J121">
            <v>44097</v>
          </cell>
          <cell r="L121">
            <v>44311</v>
          </cell>
          <cell r="M121">
            <v>44676</v>
          </cell>
        </row>
        <row r="122">
          <cell r="B122" t="str">
            <v>TESTE 119</v>
          </cell>
          <cell r="C122">
            <v>55441</v>
          </cell>
          <cell r="E122" t="str">
            <v>EMS - 0</v>
          </cell>
          <cell r="F122" t="str">
            <v>NORTE</v>
          </cell>
          <cell r="G122" t="str">
            <v>JARU</v>
          </cell>
          <cell r="H122" t="str">
            <v>RO</v>
          </cell>
          <cell r="J122">
            <v>44097</v>
          </cell>
          <cell r="L122">
            <v>44311</v>
          </cell>
          <cell r="M122">
            <v>44676</v>
          </cell>
        </row>
        <row r="123">
          <cell r="B123" t="str">
            <v>TESTE 120</v>
          </cell>
          <cell r="C123">
            <v>16588</v>
          </cell>
          <cell r="E123" t="str">
            <v>GERADOR DE GELO - MTI 2.500 GE</v>
          </cell>
          <cell r="F123" t="str">
            <v>SUDESTE</v>
          </cell>
          <cell r="G123" t="str">
            <v>SAO PAULO</v>
          </cell>
          <cell r="H123" t="str">
            <v xml:space="preserve">SP </v>
          </cell>
          <cell r="J123">
            <v>43906</v>
          </cell>
          <cell r="L123">
            <v>43979</v>
          </cell>
          <cell r="M123">
            <v>44344</v>
          </cell>
        </row>
        <row r="124">
          <cell r="B124" t="str">
            <v>TESTE 121</v>
          </cell>
          <cell r="C124">
            <v>9993</v>
          </cell>
          <cell r="E124" t="str">
            <v>MAC 32.000 GT</v>
          </cell>
          <cell r="F124" t="str">
            <v>SUDESTE</v>
          </cell>
          <cell r="G124" t="str">
            <v>SÃO PAULO</v>
          </cell>
          <cell r="H124" t="str">
            <v>SP</v>
          </cell>
          <cell r="J124">
            <v>42979</v>
          </cell>
          <cell r="L124">
            <v>44074</v>
          </cell>
          <cell r="M124">
            <v>44439</v>
          </cell>
        </row>
        <row r="125">
          <cell r="B125" t="str">
            <v>TESTE 122</v>
          </cell>
          <cell r="C125">
            <v>41240</v>
          </cell>
          <cell r="E125" t="str">
            <v>MTI - 4.000GTS</v>
          </cell>
          <cell r="F125" t="str">
            <v>NORDESTE</v>
          </cell>
          <cell r="G125" t="str">
            <v xml:space="preserve">SÃO LUIS </v>
          </cell>
          <cell r="H125" t="str">
            <v xml:space="preserve">MA </v>
          </cell>
          <cell r="J125">
            <v>44176</v>
          </cell>
          <cell r="L125">
            <v>44347</v>
          </cell>
          <cell r="M125">
            <v>44712</v>
          </cell>
        </row>
        <row r="126">
          <cell r="B126" t="str">
            <v>TESTE 123</v>
          </cell>
          <cell r="C126">
            <v>69371</v>
          </cell>
          <cell r="E126" t="str">
            <v>E - 300</v>
          </cell>
          <cell r="F126" t="str">
            <v>NORDESTE</v>
          </cell>
          <cell r="G126" t="str">
            <v xml:space="preserve">SÃO LUIS </v>
          </cell>
          <cell r="H126" t="str">
            <v xml:space="preserve">MA </v>
          </cell>
          <cell r="J126">
            <v>44176</v>
          </cell>
          <cell r="L126">
            <v>44347</v>
          </cell>
          <cell r="M126">
            <v>44712</v>
          </cell>
        </row>
        <row r="127">
          <cell r="B127" t="str">
            <v>TESTE 124</v>
          </cell>
          <cell r="C127">
            <v>97079</v>
          </cell>
          <cell r="E127" t="str">
            <v>TR - 1</v>
          </cell>
          <cell r="F127" t="str">
            <v>NORDESTE</v>
          </cell>
          <cell r="G127" t="str">
            <v xml:space="preserve">SÃO LUIS </v>
          </cell>
          <cell r="H127" t="str">
            <v xml:space="preserve">MA </v>
          </cell>
          <cell r="J127">
            <v>44176</v>
          </cell>
          <cell r="L127">
            <v>44347</v>
          </cell>
          <cell r="M127">
            <v>44712</v>
          </cell>
        </row>
        <row r="128">
          <cell r="B128" t="str">
            <v>TESTE 125</v>
          </cell>
          <cell r="C128">
            <v>96117</v>
          </cell>
          <cell r="E128" t="str">
            <v>MTI - 7.000GES</v>
          </cell>
          <cell r="F128" t="str">
            <v>NORDESTE</v>
          </cell>
          <cell r="G128" t="str">
            <v>MARECHAL DEODORO</v>
          </cell>
          <cell r="H128" t="str">
            <v xml:space="preserve">AL </v>
          </cell>
          <cell r="J128">
            <v>44134</v>
          </cell>
          <cell r="L128">
            <v>44316</v>
          </cell>
          <cell r="M128">
            <v>44681</v>
          </cell>
        </row>
        <row r="129">
          <cell r="B129" t="str">
            <v>TESTE 126</v>
          </cell>
          <cell r="C129">
            <v>3000217</v>
          </cell>
          <cell r="E129" t="str">
            <v>MTI - 10.000GE</v>
          </cell>
          <cell r="F129" t="str">
            <v>NORDESTE</v>
          </cell>
          <cell r="G129" t="str">
            <v>MARANHÃO</v>
          </cell>
          <cell r="H129" t="str">
            <v>MA</v>
          </cell>
          <cell r="J129">
            <v>43539</v>
          </cell>
          <cell r="L129">
            <v>43535</v>
          </cell>
          <cell r="M129">
            <v>43900</v>
          </cell>
        </row>
        <row r="130">
          <cell r="B130" t="str">
            <v>TESTE 127</v>
          </cell>
          <cell r="C130">
            <v>3000219</v>
          </cell>
          <cell r="E130" t="str">
            <v>COMPRESSOR</v>
          </cell>
          <cell r="F130" t="str">
            <v>NORDESTE</v>
          </cell>
          <cell r="G130" t="str">
            <v>MARANHÃO</v>
          </cell>
          <cell r="H130" t="str">
            <v>MA</v>
          </cell>
          <cell r="J130">
            <v>43539</v>
          </cell>
          <cell r="L130">
            <v>43535</v>
          </cell>
          <cell r="M130">
            <v>43900</v>
          </cell>
        </row>
        <row r="131">
          <cell r="B131" t="str">
            <v>TESTE 128</v>
          </cell>
          <cell r="C131">
            <v>99944</v>
          </cell>
          <cell r="E131" t="str">
            <v>MTI - 4.000GTS</v>
          </cell>
          <cell r="F131" t="str">
            <v>SUDESTE</v>
          </cell>
          <cell r="G131" t="str">
            <v xml:space="preserve">SÃO BERNARDO DO CAMPO </v>
          </cell>
          <cell r="H131" t="str">
            <v>SP</v>
          </cell>
          <cell r="J131">
            <v>43790</v>
          </cell>
          <cell r="L131">
            <v>43935</v>
          </cell>
          <cell r="M131">
            <v>44300</v>
          </cell>
        </row>
        <row r="132">
          <cell r="B132" t="str">
            <v>TESTE 129</v>
          </cell>
          <cell r="C132">
            <v>99945</v>
          </cell>
          <cell r="E132" t="str">
            <v>EMS - 1</v>
          </cell>
          <cell r="F132" t="str">
            <v>SUDESTE</v>
          </cell>
          <cell r="G132" t="str">
            <v xml:space="preserve">SÃO BERNARDO DO CAMPO </v>
          </cell>
          <cell r="H132" t="str">
            <v>SP</v>
          </cell>
          <cell r="J132">
            <v>43790</v>
          </cell>
          <cell r="L132">
            <v>43935</v>
          </cell>
          <cell r="M132">
            <v>44300</v>
          </cell>
        </row>
        <row r="133">
          <cell r="B133" t="str">
            <v>TESTE 130</v>
          </cell>
          <cell r="C133">
            <v>99946</v>
          </cell>
          <cell r="E133" t="str">
            <v>TR - 1</v>
          </cell>
          <cell r="F133" t="str">
            <v>SUDESTE</v>
          </cell>
          <cell r="G133" t="str">
            <v xml:space="preserve">SÃO BERNARDO DO CAMPO </v>
          </cell>
          <cell r="H133" t="str">
            <v>SP</v>
          </cell>
          <cell r="J133">
            <v>43790</v>
          </cell>
          <cell r="L133">
            <v>43935</v>
          </cell>
          <cell r="M133">
            <v>44300</v>
          </cell>
        </row>
        <row r="134">
          <cell r="B134" t="str">
            <v>TESTE 131</v>
          </cell>
          <cell r="C134">
            <v>23329</v>
          </cell>
          <cell r="E134" t="str">
            <v>MTI - 4.000GTS</v>
          </cell>
          <cell r="F134" t="str">
            <v>SUDESTE</v>
          </cell>
          <cell r="G134" t="str">
            <v>CAJURU</v>
          </cell>
          <cell r="H134" t="str">
            <v>SP</v>
          </cell>
          <cell r="J134">
            <v>44097</v>
          </cell>
          <cell r="L134">
            <v>44273</v>
          </cell>
          <cell r="M134">
            <v>44638</v>
          </cell>
        </row>
        <row r="135">
          <cell r="B135" t="str">
            <v>TESTE 132</v>
          </cell>
          <cell r="C135">
            <v>91710</v>
          </cell>
          <cell r="E135" t="str">
            <v>EMS - 1</v>
          </cell>
          <cell r="F135" t="str">
            <v>SUDESTE</v>
          </cell>
          <cell r="G135" t="str">
            <v>CAJURU</v>
          </cell>
          <cell r="H135" t="str">
            <v>SP</v>
          </cell>
          <cell r="J135">
            <v>44097</v>
          </cell>
          <cell r="L135">
            <v>44273</v>
          </cell>
          <cell r="M135">
            <v>44638</v>
          </cell>
        </row>
        <row r="136">
          <cell r="B136" t="str">
            <v>TESTE 133</v>
          </cell>
          <cell r="C136">
            <v>31891</v>
          </cell>
          <cell r="E136" t="str">
            <v>TR - 1</v>
          </cell>
          <cell r="F136" t="str">
            <v>SUDESTE</v>
          </cell>
          <cell r="G136" t="str">
            <v>CAJURU</v>
          </cell>
          <cell r="H136" t="str">
            <v>SP</v>
          </cell>
          <cell r="J136">
            <v>44097</v>
          </cell>
          <cell r="L136">
            <v>44273</v>
          </cell>
          <cell r="M136">
            <v>44638</v>
          </cell>
        </row>
        <row r="137">
          <cell r="B137" t="str">
            <v>TESTE 134</v>
          </cell>
          <cell r="C137">
            <v>58859</v>
          </cell>
          <cell r="E137" t="str">
            <v>BASE MTI - 4.000GTS</v>
          </cell>
          <cell r="F137" t="str">
            <v>SUDESTE</v>
          </cell>
          <cell r="G137" t="str">
            <v>CAJURU</v>
          </cell>
          <cell r="H137" t="str">
            <v>SP</v>
          </cell>
          <cell r="J137">
            <v>44097</v>
          </cell>
          <cell r="L137">
            <v>44273</v>
          </cell>
          <cell r="M137">
            <v>44638</v>
          </cell>
        </row>
        <row r="138">
          <cell r="B138" t="str">
            <v>TESTE 135</v>
          </cell>
          <cell r="C138">
            <v>99926</v>
          </cell>
          <cell r="E138" t="str">
            <v>MTI - 22.000GT (GERADOR ESPECIAL)</v>
          </cell>
          <cell r="F138" t="str">
            <v>SUDESTE</v>
          </cell>
          <cell r="G138" t="str">
            <v>SÃO PAULO</v>
          </cell>
          <cell r="H138" t="str">
            <v>SP</v>
          </cell>
          <cell r="J138">
            <v>43539</v>
          </cell>
          <cell r="L138">
            <v>43728</v>
          </cell>
          <cell r="M138">
            <v>44093</v>
          </cell>
        </row>
        <row r="139">
          <cell r="B139" t="str">
            <v>TESTE 136</v>
          </cell>
          <cell r="C139">
            <v>99941</v>
          </cell>
          <cell r="E139" t="str">
            <v>CE - 200</v>
          </cell>
          <cell r="F139" t="str">
            <v xml:space="preserve">INTERNACIONAL </v>
          </cell>
          <cell r="G139" t="str">
            <v>SANTA CRUZ DE LA SIERRA</v>
          </cell>
          <cell r="H139" t="str">
            <v>BOL</v>
          </cell>
          <cell r="J139">
            <v>43676</v>
          </cell>
          <cell r="L139">
            <v>43738</v>
          </cell>
          <cell r="M139">
            <v>44103</v>
          </cell>
        </row>
        <row r="140">
          <cell r="B140" t="str">
            <v>TESTE 137</v>
          </cell>
          <cell r="C140">
            <v>99942</v>
          </cell>
          <cell r="E140" t="str">
            <v>RL - 200</v>
          </cell>
          <cell r="F140" t="str">
            <v xml:space="preserve">INTERNACIONAL </v>
          </cell>
          <cell r="G140" t="str">
            <v>SANTA CRUZ DE LA SIERRA</v>
          </cell>
          <cell r="H140" t="str">
            <v>BOL</v>
          </cell>
          <cell r="J140">
            <v>43676</v>
          </cell>
          <cell r="L140">
            <v>43738</v>
          </cell>
          <cell r="M140">
            <v>44103</v>
          </cell>
        </row>
        <row r="141">
          <cell r="B141" t="str">
            <v>TESTE 138</v>
          </cell>
          <cell r="C141">
            <v>11535</v>
          </cell>
          <cell r="E141" t="str">
            <v>MTI - 4.000GTS</v>
          </cell>
          <cell r="F141" t="str">
            <v>NORDESTE</v>
          </cell>
          <cell r="G141" t="str">
            <v>JIJOCA DE JERICOACOARA</v>
          </cell>
          <cell r="H141" t="str">
            <v>CE</v>
          </cell>
          <cell r="J141">
            <v>43575</v>
          </cell>
          <cell r="L141">
            <v>44075</v>
          </cell>
          <cell r="M141">
            <v>44440</v>
          </cell>
        </row>
        <row r="142">
          <cell r="B142" t="str">
            <v>TESTE 139</v>
          </cell>
          <cell r="C142">
            <v>11535</v>
          </cell>
          <cell r="E142" t="str">
            <v>EMS - 1</v>
          </cell>
          <cell r="F142" t="str">
            <v>NORDESTE</v>
          </cell>
          <cell r="G142" t="str">
            <v>JIJOCA DE JERICOACOARA</v>
          </cell>
          <cell r="H142" t="str">
            <v>CE</v>
          </cell>
          <cell r="J142">
            <v>43575</v>
          </cell>
          <cell r="L142">
            <v>44075</v>
          </cell>
          <cell r="M142">
            <v>44440</v>
          </cell>
        </row>
        <row r="143">
          <cell r="B143" t="str">
            <v>TESTE 140</v>
          </cell>
          <cell r="C143">
            <v>11535</v>
          </cell>
          <cell r="E143" t="str">
            <v>TR - 1</v>
          </cell>
          <cell r="F143" t="str">
            <v>NORDESTE</v>
          </cell>
          <cell r="G143" t="str">
            <v>JIJOCA DE JERICOACOARA</v>
          </cell>
          <cell r="H143" t="str">
            <v>CE</v>
          </cell>
          <cell r="J143">
            <v>43575</v>
          </cell>
          <cell r="L143">
            <v>44075</v>
          </cell>
          <cell r="M143">
            <v>44440</v>
          </cell>
        </row>
        <row r="144">
          <cell r="B144" t="str">
            <v>TESTE 141</v>
          </cell>
          <cell r="C144">
            <v>99914</v>
          </cell>
          <cell r="E144" t="str">
            <v>MTI - 32.000 GT</v>
          </cell>
          <cell r="F144" t="str">
            <v>SUDESTE</v>
          </cell>
          <cell r="G144" t="str">
            <v>ITAPIRA</v>
          </cell>
          <cell r="H144" t="str">
            <v>SP</v>
          </cell>
          <cell r="J144">
            <v>43238</v>
          </cell>
          <cell r="L144">
            <v>43768</v>
          </cell>
          <cell r="M144">
            <v>44133</v>
          </cell>
        </row>
        <row r="145">
          <cell r="B145" t="str">
            <v>TESTE 142</v>
          </cell>
          <cell r="C145">
            <v>42312</v>
          </cell>
          <cell r="E145" t="str">
            <v xml:space="preserve">GERADOR DE 7.000 GT </v>
          </cell>
          <cell r="F145" t="str">
            <v>NORTE</v>
          </cell>
          <cell r="G145" t="str">
            <v xml:space="preserve">PORTO VELHO </v>
          </cell>
          <cell r="H145" t="str">
            <v xml:space="preserve">RO </v>
          </cell>
          <cell r="J145">
            <v>44025</v>
          </cell>
          <cell r="L145">
            <v>44085</v>
          </cell>
          <cell r="M145">
            <v>44450</v>
          </cell>
        </row>
        <row r="146">
          <cell r="B146" t="str">
            <v>TESTE 143</v>
          </cell>
          <cell r="C146">
            <v>36226</v>
          </cell>
          <cell r="E146" t="str">
            <v>BLOCO DE CONDENSADOR 300.000</v>
          </cell>
          <cell r="F146" t="str">
            <v>NORDESTE</v>
          </cell>
          <cell r="G146" t="str">
            <v xml:space="preserve">ARES </v>
          </cell>
          <cell r="H146" t="str">
            <v>RN</v>
          </cell>
          <cell r="J146">
            <v>43864</v>
          </cell>
          <cell r="L146">
            <v>44012</v>
          </cell>
          <cell r="M146">
            <v>44377</v>
          </cell>
        </row>
        <row r="147">
          <cell r="B147" t="str">
            <v>TESTE 144</v>
          </cell>
          <cell r="C147">
            <v>86183</v>
          </cell>
          <cell r="E147" t="str">
            <v>TUBOS</v>
          </cell>
          <cell r="F147" t="str">
            <v>NORDESTE</v>
          </cell>
          <cell r="G147" t="str">
            <v xml:space="preserve">ARES </v>
          </cell>
          <cell r="H147" t="str">
            <v>RN</v>
          </cell>
          <cell r="J147">
            <v>43864</v>
          </cell>
          <cell r="L147">
            <v>44012</v>
          </cell>
          <cell r="M147">
            <v>44377</v>
          </cell>
        </row>
        <row r="148">
          <cell r="B148" t="str">
            <v>TESTE 145</v>
          </cell>
          <cell r="C148">
            <v>91210</v>
          </cell>
          <cell r="E148" t="str">
            <v>MTI - 7.000GTS</v>
          </cell>
          <cell r="F148" t="str">
            <v>SUDESTE</v>
          </cell>
          <cell r="G148" t="str">
            <v xml:space="preserve">SÃO VICENTE </v>
          </cell>
          <cell r="H148" t="str">
            <v>SP</v>
          </cell>
          <cell r="J148">
            <v>43738</v>
          </cell>
          <cell r="L148">
            <v>43998</v>
          </cell>
          <cell r="M148">
            <v>44363</v>
          </cell>
        </row>
        <row r="149">
          <cell r="B149" t="str">
            <v>TESTE 146</v>
          </cell>
          <cell r="C149">
            <v>89941</v>
          </cell>
          <cell r="E149" t="str">
            <v>EMS - 1</v>
          </cell>
          <cell r="F149" t="str">
            <v>SUDESTE</v>
          </cell>
          <cell r="G149" t="str">
            <v xml:space="preserve">SÃO VICENTE </v>
          </cell>
          <cell r="H149" t="str">
            <v>SP</v>
          </cell>
          <cell r="J149">
            <v>43738</v>
          </cell>
          <cell r="L149">
            <v>43998</v>
          </cell>
          <cell r="M149">
            <v>44363</v>
          </cell>
        </row>
        <row r="150">
          <cell r="B150" t="str">
            <v>TESTE 147</v>
          </cell>
          <cell r="C150">
            <v>8034</v>
          </cell>
          <cell r="E150" t="str">
            <v>TR - 1</v>
          </cell>
          <cell r="F150" t="str">
            <v>SUDESTE</v>
          </cell>
          <cell r="G150" t="str">
            <v xml:space="preserve">SÃO VICENTE </v>
          </cell>
          <cell r="H150" t="str">
            <v>SP</v>
          </cell>
          <cell r="J150">
            <v>43738</v>
          </cell>
          <cell r="L150">
            <v>43998</v>
          </cell>
          <cell r="M150">
            <v>44363</v>
          </cell>
        </row>
        <row r="151">
          <cell r="B151" t="str">
            <v>TESTE 148</v>
          </cell>
          <cell r="C151">
            <v>82650</v>
          </cell>
          <cell r="E151" t="str">
            <v>MTI - 12.000GTS</v>
          </cell>
          <cell r="F151" t="str">
            <v>NORTE</v>
          </cell>
          <cell r="G151" t="str">
            <v>NOVO AIRÃO</v>
          </cell>
          <cell r="H151" t="str">
            <v>AM</v>
          </cell>
          <cell r="J151">
            <v>44106</v>
          </cell>
          <cell r="L151">
            <v>44244</v>
          </cell>
          <cell r="M151">
            <v>44609</v>
          </cell>
        </row>
        <row r="152">
          <cell r="B152" t="str">
            <v>TESTE 149</v>
          </cell>
          <cell r="C152">
            <v>47723</v>
          </cell>
          <cell r="E152" t="str">
            <v>EMS - 1</v>
          </cell>
          <cell r="F152" t="str">
            <v>NORTE</v>
          </cell>
          <cell r="G152" t="str">
            <v>NOVO AIRÃO</v>
          </cell>
          <cell r="H152" t="str">
            <v>AM</v>
          </cell>
          <cell r="J152">
            <v>44106</v>
          </cell>
          <cell r="L152">
            <v>44281</v>
          </cell>
          <cell r="M152">
            <v>44646</v>
          </cell>
        </row>
        <row r="153">
          <cell r="B153" t="str">
            <v>TESTE 150</v>
          </cell>
          <cell r="C153">
            <v>33905</v>
          </cell>
          <cell r="E153" t="str">
            <v>TR - 1</v>
          </cell>
          <cell r="F153" t="str">
            <v>NORTE</v>
          </cell>
          <cell r="G153" t="str">
            <v>NOVO AIRÃO</v>
          </cell>
          <cell r="H153" t="str">
            <v>AM</v>
          </cell>
          <cell r="J153">
            <v>44106</v>
          </cell>
          <cell r="L153">
            <v>44281</v>
          </cell>
          <cell r="M153">
            <v>44646</v>
          </cell>
        </row>
        <row r="154">
          <cell r="B154" t="str">
            <v>TESTE 151</v>
          </cell>
          <cell r="C154">
            <v>99915</v>
          </cell>
          <cell r="E154" t="str">
            <v>MTI - 4.000GTS</v>
          </cell>
          <cell r="F154" t="str">
            <v>NORDESTE</v>
          </cell>
          <cell r="G154" t="str">
            <v>FORTALEZA</v>
          </cell>
          <cell r="H154" t="str">
            <v>CE</v>
          </cell>
          <cell r="J154">
            <v>43586</v>
          </cell>
          <cell r="L154">
            <v>43775</v>
          </cell>
          <cell r="M154">
            <v>44140</v>
          </cell>
        </row>
        <row r="155">
          <cell r="B155" t="str">
            <v>TESTE 152</v>
          </cell>
          <cell r="C155" t="str">
            <v>33481 - A</v>
          </cell>
          <cell r="E155" t="str">
            <v>EMS - 1</v>
          </cell>
          <cell r="F155" t="str">
            <v>NORDESTE</v>
          </cell>
          <cell r="G155" t="str">
            <v>FORTALEZA</v>
          </cell>
          <cell r="H155" t="str">
            <v>CE</v>
          </cell>
          <cell r="J155">
            <v>43788</v>
          </cell>
          <cell r="L155">
            <v>43803</v>
          </cell>
          <cell r="M155">
            <v>44168</v>
          </cell>
        </row>
        <row r="156">
          <cell r="B156" t="str">
            <v>TESTE 153</v>
          </cell>
          <cell r="C156">
            <v>98224</v>
          </cell>
          <cell r="E156" t="str">
            <v>MTI - 4.000GTS</v>
          </cell>
          <cell r="F156" t="str">
            <v>SUDESTE</v>
          </cell>
          <cell r="G156" t="str">
            <v>CORBELLA</v>
          </cell>
          <cell r="H156" t="str">
            <v>PR</v>
          </cell>
          <cell r="J156">
            <v>43615</v>
          </cell>
          <cell r="L156">
            <v>43861</v>
          </cell>
          <cell r="M156">
            <v>44226</v>
          </cell>
        </row>
        <row r="157">
          <cell r="B157" t="str">
            <v>TESTE 154</v>
          </cell>
          <cell r="C157">
            <v>98224</v>
          </cell>
          <cell r="E157" t="str">
            <v>EMS - 1</v>
          </cell>
          <cell r="F157" t="str">
            <v>SUDESTE</v>
          </cell>
          <cell r="G157" t="str">
            <v>CORBELLA</v>
          </cell>
          <cell r="H157" t="str">
            <v>PR</v>
          </cell>
          <cell r="J157">
            <v>43615</v>
          </cell>
          <cell r="L157">
            <v>43861</v>
          </cell>
          <cell r="M157">
            <v>44226</v>
          </cell>
        </row>
        <row r="158">
          <cell r="B158" t="str">
            <v>TESTE 155</v>
          </cell>
          <cell r="C158">
            <v>98224</v>
          </cell>
          <cell r="E158" t="str">
            <v>TR - 1</v>
          </cell>
          <cell r="F158" t="str">
            <v>SUDESTE</v>
          </cell>
          <cell r="G158" t="str">
            <v>CORBELLA</v>
          </cell>
          <cell r="H158" t="str">
            <v>PR</v>
          </cell>
          <cell r="J158">
            <v>43615</v>
          </cell>
          <cell r="L158">
            <v>43861</v>
          </cell>
          <cell r="M158">
            <v>44226</v>
          </cell>
        </row>
        <row r="159">
          <cell r="B159" t="str">
            <v>TESTE 156</v>
          </cell>
          <cell r="C159">
            <v>38822</v>
          </cell>
          <cell r="E159" t="str">
            <v>TR - 1</v>
          </cell>
          <cell r="F159" t="str">
            <v>NORTE</v>
          </cell>
          <cell r="G159" t="str">
            <v>ANANINDEUA</v>
          </cell>
          <cell r="H159" t="str">
            <v>PA</v>
          </cell>
          <cell r="J159">
            <v>43783</v>
          </cell>
          <cell r="L159">
            <v>43847</v>
          </cell>
          <cell r="M159">
            <v>44212</v>
          </cell>
        </row>
        <row r="160">
          <cell r="B160" t="str">
            <v>TESTE 157</v>
          </cell>
          <cell r="C160">
            <v>92360</v>
          </cell>
          <cell r="E160" t="str">
            <v>EMS - 1</v>
          </cell>
          <cell r="F160" t="str">
            <v>SUDESTE</v>
          </cell>
          <cell r="G160" t="str">
            <v>GUARAPUAVA</v>
          </cell>
          <cell r="H160" t="str">
            <v>PR</v>
          </cell>
          <cell r="J160">
            <v>43727</v>
          </cell>
          <cell r="L160">
            <v>43740</v>
          </cell>
          <cell r="M160">
            <v>44105</v>
          </cell>
        </row>
        <row r="161">
          <cell r="B161" t="str">
            <v>TESTE 158</v>
          </cell>
          <cell r="C161">
            <v>92360</v>
          </cell>
          <cell r="E161" t="str">
            <v>TR - 1</v>
          </cell>
          <cell r="F161" t="str">
            <v>SUDESTE</v>
          </cell>
          <cell r="G161" t="str">
            <v>GUARAPUAVA</v>
          </cell>
          <cell r="H161" t="str">
            <v>PR</v>
          </cell>
          <cell r="J161">
            <v>43727</v>
          </cell>
          <cell r="L161">
            <v>43740</v>
          </cell>
          <cell r="M161">
            <v>44105</v>
          </cell>
        </row>
        <row r="162">
          <cell r="B162" t="str">
            <v>TESTE 159</v>
          </cell>
          <cell r="C162">
            <v>3664</v>
          </cell>
          <cell r="E162" t="str">
            <v>MTI - 2.500GTS</v>
          </cell>
          <cell r="F162" t="str">
            <v>SUDESTE</v>
          </cell>
          <cell r="G162" t="str">
            <v xml:space="preserve">GUARUJA </v>
          </cell>
          <cell r="H162" t="str">
            <v>SP</v>
          </cell>
          <cell r="J162">
            <v>43515</v>
          </cell>
          <cell r="L162">
            <v>43797</v>
          </cell>
          <cell r="M162">
            <v>44162</v>
          </cell>
        </row>
        <row r="163">
          <cell r="B163" t="str">
            <v>TESTE 160</v>
          </cell>
          <cell r="C163">
            <v>3664</v>
          </cell>
          <cell r="E163" t="str">
            <v>EMS - 1</v>
          </cell>
          <cell r="F163" t="str">
            <v>SUDESTE</v>
          </cell>
          <cell r="G163" t="str">
            <v xml:space="preserve">GUARUJA </v>
          </cell>
          <cell r="H163" t="str">
            <v>SP</v>
          </cell>
          <cell r="J163">
            <v>43515</v>
          </cell>
          <cell r="L163">
            <v>43797</v>
          </cell>
          <cell r="M163">
            <v>44162</v>
          </cell>
        </row>
        <row r="164">
          <cell r="B164" t="str">
            <v>TESTE 161</v>
          </cell>
          <cell r="C164">
            <v>3664</v>
          </cell>
          <cell r="E164" t="str">
            <v>TR - 1</v>
          </cell>
          <cell r="F164" t="str">
            <v>SUDESTE</v>
          </cell>
          <cell r="G164" t="str">
            <v xml:space="preserve">GUARUJA </v>
          </cell>
          <cell r="H164" t="str">
            <v>SP</v>
          </cell>
          <cell r="J164">
            <v>43515</v>
          </cell>
          <cell r="L164">
            <v>43797</v>
          </cell>
          <cell r="M164">
            <v>44162</v>
          </cell>
        </row>
        <row r="165">
          <cell r="B165" t="str">
            <v>TESTE 162</v>
          </cell>
          <cell r="C165">
            <v>3000228</v>
          </cell>
          <cell r="E165" t="str">
            <v>TR - 1</v>
          </cell>
          <cell r="F165" t="str">
            <v xml:space="preserve">INTERNACIONAL </v>
          </cell>
          <cell r="G165" t="str">
            <v>ENTRE RIOS</v>
          </cell>
          <cell r="H165" t="str">
            <v>ARG</v>
          </cell>
          <cell r="J165">
            <v>43661</v>
          </cell>
          <cell r="L165">
            <v>43661</v>
          </cell>
          <cell r="M165">
            <v>44026</v>
          </cell>
        </row>
        <row r="166">
          <cell r="B166" t="str">
            <v>TESTE 163</v>
          </cell>
          <cell r="C166">
            <v>99948</v>
          </cell>
          <cell r="E166" t="str">
            <v>EMBALADORA E ESTEIRA</v>
          </cell>
          <cell r="F166" t="str">
            <v xml:space="preserve">INTERNACIONAL </v>
          </cell>
          <cell r="G166" t="str">
            <v>URUGUAY</v>
          </cell>
          <cell r="H166" t="str">
            <v>URU</v>
          </cell>
          <cell r="J166">
            <v>43329</v>
          </cell>
          <cell r="L166">
            <v>43992</v>
          </cell>
          <cell r="M166">
            <v>44357</v>
          </cell>
        </row>
        <row r="167">
          <cell r="B167" t="str">
            <v>TESTE 164</v>
          </cell>
          <cell r="C167">
            <v>9997</v>
          </cell>
          <cell r="E167" t="str">
            <v>MAC 7.000 GT</v>
          </cell>
          <cell r="F167" t="str">
            <v xml:space="preserve">INTERNACIONAL </v>
          </cell>
          <cell r="G167" t="str">
            <v>SANTA CRUZ DE LA SIERRA</v>
          </cell>
          <cell r="H167" t="str">
            <v>BOL</v>
          </cell>
          <cell r="J167">
            <v>43008</v>
          </cell>
          <cell r="L167">
            <v>43605</v>
          </cell>
          <cell r="M167">
            <v>43970</v>
          </cell>
        </row>
        <row r="168">
          <cell r="B168" t="str">
            <v>TESTE 165</v>
          </cell>
          <cell r="C168">
            <v>99933</v>
          </cell>
          <cell r="E168" t="str">
            <v>MTI - 2.500GTS</v>
          </cell>
          <cell r="F168" t="str">
            <v>SUDESTE</v>
          </cell>
          <cell r="G168" t="str">
            <v>SÃO PAULO</v>
          </cell>
          <cell r="H168" t="str">
            <v>SP</v>
          </cell>
          <cell r="J168">
            <v>43626</v>
          </cell>
          <cell r="L168">
            <v>43747</v>
          </cell>
          <cell r="M168">
            <v>44112</v>
          </cell>
        </row>
        <row r="169">
          <cell r="B169" t="str">
            <v>TESTE 166</v>
          </cell>
          <cell r="C169">
            <v>99934</v>
          </cell>
          <cell r="E169" t="str">
            <v>EMS - 1</v>
          </cell>
          <cell r="F169" t="str">
            <v>SUDESTE</v>
          </cell>
          <cell r="G169" t="str">
            <v>SÃO PAULO</v>
          </cell>
          <cell r="H169" t="str">
            <v>SP</v>
          </cell>
          <cell r="J169">
            <v>43626</v>
          </cell>
          <cell r="L169">
            <v>43747</v>
          </cell>
          <cell r="M169">
            <v>44112</v>
          </cell>
        </row>
        <row r="170">
          <cell r="B170" t="str">
            <v>TESTE 167</v>
          </cell>
          <cell r="C170">
            <v>3002641</v>
          </cell>
          <cell r="E170" t="str">
            <v>MTI - 7.000GTS</v>
          </cell>
          <cell r="F170" t="str">
            <v>SUDESTE</v>
          </cell>
          <cell r="G170" t="str">
            <v xml:space="preserve">DIADEMA </v>
          </cell>
          <cell r="H170" t="str">
            <v>SP</v>
          </cell>
          <cell r="J170">
            <v>43524</v>
          </cell>
          <cell r="L170">
            <v>44211</v>
          </cell>
          <cell r="M170">
            <v>44576</v>
          </cell>
        </row>
        <row r="171">
          <cell r="B171" t="str">
            <v>TESTE 168</v>
          </cell>
          <cell r="C171">
            <v>99924</v>
          </cell>
          <cell r="E171" t="str">
            <v>EMS - 1</v>
          </cell>
          <cell r="F171" t="str">
            <v>SUDESTE</v>
          </cell>
          <cell r="G171" t="str">
            <v xml:space="preserve">DIADEMA </v>
          </cell>
          <cell r="H171" t="str">
            <v>SP</v>
          </cell>
          <cell r="J171">
            <v>43524</v>
          </cell>
          <cell r="L171">
            <v>44211</v>
          </cell>
          <cell r="M171">
            <v>44576</v>
          </cell>
        </row>
        <row r="172">
          <cell r="B172" t="str">
            <v>TESTE 169</v>
          </cell>
          <cell r="C172">
            <v>99925</v>
          </cell>
          <cell r="E172" t="str">
            <v>TR - 1</v>
          </cell>
          <cell r="F172" t="str">
            <v>SUDESTE</v>
          </cell>
          <cell r="G172" t="str">
            <v xml:space="preserve">DIADEMA </v>
          </cell>
          <cell r="H172" t="str">
            <v>SP</v>
          </cell>
          <cell r="J172">
            <v>43524</v>
          </cell>
          <cell r="L172">
            <v>44211</v>
          </cell>
          <cell r="M172">
            <v>44576</v>
          </cell>
        </row>
        <row r="173">
          <cell r="B173" t="str">
            <v>TESTE 170</v>
          </cell>
          <cell r="C173">
            <v>29292</v>
          </cell>
          <cell r="E173" t="str">
            <v>TR - 1</v>
          </cell>
          <cell r="F173" t="str">
            <v>SUDESTE</v>
          </cell>
          <cell r="G173" t="str">
            <v>DIADEMA</v>
          </cell>
          <cell r="H173" t="str">
            <v>SP</v>
          </cell>
          <cell r="J173">
            <v>43524</v>
          </cell>
          <cell r="L173">
            <v>44222</v>
          </cell>
          <cell r="M173">
            <v>44587</v>
          </cell>
        </row>
        <row r="174">
          <cell r="B174" t="str">
            <v>TESTE 171</v>
          </cell>
          <cell r="C174">
            <v>55441</v>
          </cell>
          <cell r="E174" t="str">
            <v>EMS - 0</v>
          </cell>
          <cell r="F174" t="str">
            <v>SUDESTE</v>
          </cell>
          <cell r="G174" t="str">
            <v>DIADEMA</v>
          </cell>
          <cell r="H174" t="str">
            <v>SP</v>
          </cell>
          <cell r="J174">
            <v>44104</v>
          </cell>
          <cell r="L174" t="str">
            <v>STARTUP Ñ REALIZADO</v>
          </cell>
          <cell r="M174">
            <v>0</v>
          </cell>
        </row>
        <row r="175">
          <cell r="B175" t="str">
            <v>TESTE 172</v>
          </cell>
          <cell r="C175">
            <v>3000224</v>
          </cell>
          <cell r="E175" t="str">
            <v>MAC 7.000 GT</v>
          </cell>
          <cell r="F175" t="str">
            <v>SUL</v>
          </cell>
          <cell r="G175" t="str">
            <v>CONCÓRDIA</v>
          </cell>
          <cell r="H175" t="str">
            <v>SC</v>
          </cell>
          <cell r="J175">
            <v>43059</v>
          </cell>
          <cell r="L175">
            <v>43182</v>
          </cell>
          <cell r="M175">
            <v>43547</v>
          </cell>
        </row>
        <row r="176">
          <cell r="B176" t="str">
            <v>TESTE 173</v>
          </cell>
          <cell r="C176">
            <v>44524</v>
          </cell>
          <cell r="E176" t="str">
            <v>MTI - 4.000GTS</v>
          </cell>
          <cell r="F176" t="str">
            <v>CENTROESTE</v>
          </cell>
          <cell r="G176" t="str">
            <v>QUIRINOPOLIS</v>
          </cell>
          <cell r="H176" t="str">
            <v>GO</v>
          </cell>
          <cell r="J176">
            <v>44119</v>
          </cell>
          <cell r="L176">
            <v>44246</v>
          </cell>
          <cell r="M176">
            <v>44611</v>
          </cell>
        </row>
        <row r="177">
          <cell r="B177" t="str">
            <v>TESTE 174</v>
          </cell>
          <cell r="C177">
            <v>64563</v>
          </cell>
          <cell r="E177" t="str">
            <v>BASE MTI - 4.000GTS</v>
          </cell>
          <cell r="F177" t="str">
            <v>CENTROESTE</v>
          </cell>
          <cell r="G177" t="str">
            <v>QUIRINOPOLIS</v>
          </cell>
          <cell r="H177" t="str">
            <v>GO</v>
          </cell>
          <cell r="J177">
            <v>44119</v>
          </cell>
          <cell r="L177">
            <v>44246</v>
          </cell>
          <cell r="M177">
            <v>44611</v>
          </cell>
        </row>
        <row r="178">
          <cell r="B178" t="str">
            <v>TESTE 175</v>
          </cell>
          <cell r="C178">
            <v>36932</v>
          </cell>
          <cell r="E178" t="str">
            <v>MTI - 4.000GTS</v>
          </cell>
          <cell r="F178" t="str">
            <v>CENTROESTE</v>
          </cell>
          <cell r="G178" t="str">
            <v>PRIMAVERA DO LESTE</v>
          </cell>
          <cell r="H178" t="str">
            <v>MT</v>
          </cell>
          <cell r="J178">
            <v>43668</v>
          </cell>
          <cell r="L178">
            <v>43844</v>
          </cell>
          <cell r="M178">
            <v>44209</v>
          </cell>
        </row>
        <row r="179">
          <cell r="B179" t="str">
            <v>TESTE 176</v>
          </cell>
          <cell r="C179">
            <v>36932</v>
          </cell>
          <cell r="E179" t="str">
            <v>EMS - 1</v>
          </cell>
          <cell r="F179" t="str">
            <v>CENTROESTE</v>
          </cell>
          <cell r="G179" t="str">
            <v>PRIMAVERA DO LESTE</v>
          </cell>
          <cell r="H179" t="str">
            <v>MT</v>
          </cell>
          <cell r="J179">
            <v>43668</v>
          </cell>
          <cell r="L179">
            <v>43844</v>
          </cell>
          <cell r="M179">
            <v>44209</v>
          </cell>
        </row>
        <row r="180">
          <cell r="B180" t="str">
            <v>TESTE 177</v>
          </cell>
          <cell r="C180">
            <v>36932</v>
          </cell>
          <cell r="E180" t="str">
            <v>TR - 1</v>
          </cell>
          <cell r="F180" t="str">
            <v>CENTROESTE</v>
          </cell>
          <cell r="G180" t="str">
            <v>PRIMAVERA DO LESTE</v>
          </cell>
          <cell r="H180" t="str">
            <v>MT</v>
          </cell>
          <cell r="J180">
            <v>43668</v>
          </cell>
          <cell r="L180">
            <v>43844</v>
          </cell>
          <cell r="M180">
            <v>44209</v>
          </cell>
        </row>
        <row r="181">
          <cell r="B181" t="str">
            <v>TESTE 178</v>
          </cell>
          <cell r="C181">
            <v>99935</v>
          </cell>
          <cell r="E181" t="str">
            <v>MTI - 7.000GTS</v>
          </cell>
          <cell r="F181" t="str">
            <v>SUDESTE</v>
          </cell>
          <cell r="G181" t="str">
            <v>VALINHOS</v>
          </cell>
          <cell r="H181" t="str">
            <v>SP</v>
          </cell>
          <cell r="J181">
            <v>43586</v>
          </cell>
          <cell r="L181">
            <v>43738</v>
          </cell>
          <cell r="M181">
            <v>44103</v>
          </cell>
        </row>
        <row r="182">
          <cell r="B182" t="str">
            <v>TESTE 179</v>
          </cell>
          <cell r="C182">
            <v>99936</v>
          </cell>
          <cell r="E182" t="str">
            <v>EMS - 1</v>
          </cell>
          <cell r="F182" t="str">
            <v>SUDESTE</v>
          </cell>
          <cell r="G182" t="str">
            <v>VALINHOS</v>
          </cell>
          <cell r="H182" t="str">
            <v>SP</v>
          </cell>
          <cell r="J182">
            <v>43586</v>
          </cell>
          <cell r="L182">
            <v>43738</v>
          </cell>
          <cell r="M182">
            <v>44103</v>
          </cell>
        </row>
        <row r="183">
          <cell r="B183" t="str">
            <v>TESTE 180</v>
          </cell>
          <cell r="C183">
            <v>99937</v>
          </cell>
          <cell r="E183" t="str">
            <v>TR - 1</v>
          </cell>
          <cell r="F183" t="str">
            <v>SUDESTE</v>
          </cell>
          <cell r="G183" t="str">
            <v>VALINHOS</v>
          </cell>
          <cell r="H183" t="str">
            <v>SP</v>
          </cell>
          <cell r="J183">
            <v>43586</v>
          </cell>
          <cell r="L183">
            <v>43738</v>
          </cell>
          <cell r="M183">
            <v>44103</v>
          </cell>
        </row>
        <row r="184">
          <cell r="B184" t="str">
            <v>TESTE 181</v>
          </cell>
          <cell r="C184">
            <v>3000228</v>
          </cell>
          <cell r="E184" t="str">
            <v>TR - 1</v>
          </cell>
          <cell r="F184" t="str">
            <v>SUL</v>
          </cell>
          <cell r="G184" t="str">
            <v>GRAVATAI</v>
          </cell>
          <cell r="H184" t="str">
            <v>RS</v>
          </cell>
          <cell r="J184">
            <v>43543</v>
          </cell>
          <cell r="L184">
            <v>43577</v>
          </cell>
          <cell r="M184">
            <v>43942</v>
          </cell>
        </row>
        <row r="185">
          <cell r="B185" t="str">
            <v>TESTE 182</v>
          </cell>
          <cell r="C185">
            <v>59635</v>
          </cell>
          <cell r="E185" t="str">
            <v>MTI - 12.000GTS</v>
          </cell>
          <cell r="F185" t="str">
            <v>SUDESTE</v>
          </cell>
          <cell r="G185" t="str">
            <v xml:space="preserve">IRAJA </v>
          </cell>
          <cell r="H185" t="str">
            <v xml:space="preserve">RJ </v>
          </cell>
          <cell r="J185">
            <v>44073</v>
          </cell>
          <cell r="L185">
            <v>44095</v>
          </cell>
          <cell r="M185">
            <v>44460</v>
          </cell>
        </row>
        <row r="186">
          <cell r="B186" t="str">
            <v>TESTE 183</v>
          </cell>
          <cell r="C186">
            <v>14599</v>
          </cell>
          <cell r="E186" t="str">
            <v>EMS - 1</v>
          </cell>
          <cell r="F186" t="str">
            <v>SUDESTE</v>
          </cell>
          <cell r="G186" t="str">
            <v xml:space="preserve">IRAJA </v>
          </cell>
          <cell r="H186" t="str">
            <v xml:space="preserve">RJ </v>
          </cell>
          <cell r="J186">
            <v>44073</v>
          </cell>
          <cell r="L186">
            <v>44095</v>
          </cell>
          <cell r="M186">
            <v>44460</v>
          </cell>
        </row>
        <row r="187">
          <cell r="B187" t="str">
            <v>TESTE 184</v>
          </cell>
          <cell r="C187">
            <v>94001</v>
          </cell>
          <cell r="E187" t="str">
            <v>TR - 1</v>
          </cell>
          <cell r="F187" t="str">
            <v>SUDESTE</v>
          </cell>
          <cell r="G187" t="str">
            <v xml:space="preserve">IRAJA </v>
          </cell>
          <cell r="H187" t="str">
            <v xml:space="preserve">RJ </v>
          </cell>
          <cell r="J187">
            <v>44073</v>
          </cell>
          <cell r="L187">
            <v>44095</v>
          </cell>
          <cell r="M187">
            <v>44460</v>
          </cell>
        </row>
        <row r="188">
          <cell r="B188" t="str">
            <v>TESTE 185</v>
          </cell>
          <cell r="C188">
            <v>75845</v>
          </cell>
          <cell r="E188" t="str">
            <v>GERADOR DE GELO MTI - 22.000GT</v>
          </cell>
          <cell r="F188" t="str">
            <v>NORDESTE</v>
          </cell>
          <cell r="G188" t="str">
            <v xml:space="preserve"> TEIXEIRA DE FREITAS</v>
          </cell>
          <cell r="H188" t="str">
            <v>BA</v>
          </cell>
          <cell r="J188">
            <v>44201</v>
          </cell>
          <cell r="L188">
            <v>44407</v>
          </cell>
          <cell r="M188">
            <v>44772</v>
          </cell>
        </row>
        <row r="189">
          <cell r="B189" t="str">
            <v>TESTE 186</v>
          </cell>
          <cell r="C189">
            <v>50875</v>
          </cell>
          <cell r="E189" t="str">
            <v>MTI - 7.000GTS</v>
          </cell>
          <cell r="F189" t="str">
            <v>SUDESTE</v>
          </cell>
          <cell r="G189" t="str">
            <v>NOVA SERRANA</v>
          </cell>
          <cell r="H189" t="str">
            <v>MG</v>
          </cell>
          <cell r="J189">
            <v>44075</v>
          </cell>
          <cell r="L189">
            <v>44188</v>
          </cell>
          <cell r="M189">
            <v>44553</v>
          </cell>
        </row>
        <row r="190">
          <cell r="B190" t="str">
            <v>TESTE 187</v>
          </cell>
          <cell r="C190">
            <v>46436</v>
          </cell>
          <cell r="E190" t="str">
            <v>EMS - 1</v>
          </cell>
          <cell r="F190" t="str">
            <v>SUDESTE</v>
          </cell>
          <cell r="G190" t="str">
            <v>NOVA SERRANA</v>
          </cell>
          <cell r="H190" t="str">
            <v>MG</v>
          </cell>
          <cell r="J190">
            <v>44075</v>
          </cell>
          <cell r="L190">
            <v>44188</v>
          </cell>
          <cell r="M190">
            <v>44553</v>
          </cell>
        </row>
        <row r="191">
          <cell r="B191" t="str">
            <v>TESTE 188</v>
          </cell>
          <cell r="C191">
            <v>16928</v>
          </cell>
          <cell r="E191" t="str">
            <v>TR - 1</v>
          </cell>
          <cell r="F191" t="str">
            <v>SUDESTE</v>
          </cell>
          <cell r="G191" t="str">
            <v>NOVA SERRANA</v>
          </cell>
          <cell r="H191" t="str">
            <v>MG</v>
          </cell>
          <cell r="J191">
            <v>44075</v>
          </cell>
          <cell r="L191">
            <v>44188</v>
          </cell>
          <cell r="M191">
            <v>44553</v>
          </cell>
        </row>
        <row r="192">
          <cell r="B192" t="str">
            <v>TESTE 189</v>
          </cell>
          <cell r="C192">
            <v>3000247</v>
          </cell>
          <cell r="E192" t="str">
            <v>MTI - 7.000GTS</v>
          </cell>
          <cell r="F192" t="str">
            <v>SUDESTE</v>
          </cell>
          <cell r="G192" t="str">
            <v>CAMPO MOURAO</v>
          </cell>
          <cell r="H192" t="str">
            <v>PR</v>
          </cell>
          <cell r="J192">
            <v>43496</v>
          </cell>
          <cell r="L192">
            <v>43615</v>
          </cell>
          <cell r="M192">
            <v>43980</v>
          </cell>
        </row>
        <row r="193">
          <cell r="B193" t="str">
            <v>TESTE 190</v>
          </cell>
          <cell r="C193">
            <v>3000192</v>
          </cell>
          <cell r="E193" t="str">
            <v>EMS - 1</v>
          </cell>
          <cell r="F193" t="str">
            <v>SUDESTE</v>
          </cell>
          <cell r="G193" t="str">
            <v>CAMPO MOURAO</v>
          </cell>
          <cell r="H193" t="str">
            <v>PR</v>
          </cell>
          <cell r="J193">
            <v>43496</v>
          </cell>
          <cell r="L193">
            <v>43615</v>
          </cell>
          <cell r="M193">
            <v>43980</v>
          </cell>
        </row>
        <row r="194">
          <cell r="B194" t="str">
            <v>TESTE 191</v>
          </cell>
          <cell r="C194">
            <v>75442</v>
          </cell>
          <cell r="E194" t="str">
            <v>MTI - 12.000GTS</v>
          </cell>
          <cell r="F194" t="str">
            <v>SUDESTE</v>
          </cell>
          <cell r="G194" t="str">
            <v xml:space="preserve">SÃO JOSE DO RIO PARDO </v>
          </cell>
          <cell r="H194" t="str">
            <v xml:space="preserve">SP </v>
          </cell>
          <cell r="J194">
            <v>43230</v>
          </cell>
          <cell r="L194">
            <v>44029</v>
          </cell>
          <cell r="M194">
            <v>44394</v>
          </cell>
        </row>
        <row r="195">
          <cell r="B195" t="str">
            <v>TESTE 192</v>
          </cell>
          <cell r="C195">
            <v>44615</v>
          </cell>
          <cell r="E195" t="str">
            <v>ESTEIRA</v>
          </cell>
          <cell r="F195" t="str">
            <v>SUDESTE</v>
          </cell>
          <cell r="G195" t="str">
            <v xml:space="preserve">SAÕ JOSE DO RIO PARDO </v>
          </cell>
          <cell r="H195" t="str">
            <v xml:space="preserve">SP </v>
          </cell>
          <cell r="J195">
            <v>44022</v>
          </cell>
          <cell r="L195">
            <v>44090</v>
          </cell>
          <cell r="M195">
            <v>44455</v>
          </cell>
        </row>
        <row r="196">
          <cell r="B196" t="str">
            <v>TESTE 193</v>
          </cell>
          <cell r="C196">
            <v>29209</v>
          </cell>
          <cell r="E196" t="str">
            <v>MTI - 7.000GTS</v>
          </cell>
          <cell r="F196" t="str">
            <v>SUDESTE</v>
          </cell>
          <cell r="G196" t="str">
            <v xml:space="preserve">LAGOA SANTA </v>
          </cell>
          <cell r="H196" t="str">
            <v xml:space="preserve">MG </v>
          </cell>
          <cell r="J196">
            <v>43861</v>
          </cell>
          <cell r="L196">
            <v>44130</v>
          </cell>
          <cell r="M196">
            <v>44495</v>
          </cell>
        </row>
        <row r="197">
          <cell r="B197" t="str">
            <v>TESTE 194</v>
          </cell>
          <cell r="C197">
            <v>99525</v>
          </cell>
          <cell r="E197" t="str">
            <v>EMS - 1</v>
          </cell>
          <cell r="F197" t="str">
            <v>SUDESTE</v>
          </cell>
          <cell r="G197" t="str">
            <v xml:space="preserve">LAGOA SANTA </v>
          </cell>
          <cell r="H197" t="str">
            <v xml:space="preserve">MG </v>
          </cell>
          <cell r="J197">
            <v>43861</v>
          </cell>
          <cell r="L197">
            <v>44130</v>
          </cell>
          <cell r="M197">
            <v>44495</v>
          </cell>
        </row>
        <row r="198">
          <cell r="B198" t="str">
            <v>TESTE 195</v>
          </cell>
          <cell r="C198">
            <v>28436</v>
          </cell>
          <cell r="E198" t="str">
            <v>TR - 1</v>
          </cell>
          <cell r="F198" t="str">
            <v>SUDESTE</v>
          </cell>
          <cell r="G198" t="str">
            <v xml:space="preserve">LAGOA SANTA </v>
          </cell>
          <cell r="H198" t="str">
            <v xml:space="preserve">MG </v>
          </cell>
          <cell r="J198">
            <v>43861</v>
          </cell>
          <cell r="L198">
            <v>44130</v>
          </cell>
          <cell r="M198">
            <v>44495</v>
          </cell>
        </row>
        <row r="199">
          <cell r="B199" t="str">
            <v>TESTE 196</v>
          </cell>
          <cell r="C199">
            <v>9996</v>
          </cell>
          <cell r="E199" t="str">
            <v>MAC 15.000 GE</v>
          </cell>
          <cell r="F199" t="str">
            <v>SUDESTE</v>
          </cell>
          <cell r="G199" t="str">
            <v xml:space="preserve">PARANAGUA </v>
          </cell>
          <cell r="H199" t="str">
            <v>PR</v>
          </cell>
          <cell r="J199">
            <v>42566</v>
          </cell>
          <cell r="L199">
            <v>42842</v>
          </cell>
          <cell r="M199">
            <v>43207</v>
          </cell>
        </row>
        <row r="200">
          <cell r="B200" t="str">
            <v>TESTE 197</v>
          </cell>
          <cell r="C200">
            <v>10080</v>
          </cell>
          <cell r="E200" t="str">
            <v>TR - 1</v>
          </cell>
          <cell r="F200" t="str">
            <v>NORDESTE</v>
          </cell>
          <cell r="G200" t="str">
            <v>MOSSORO</v>
          </cell>
          <cell r="H200" t="str">
            <v>RN</v>
          </cell>
          <cell r="J200">
            <v>43755</v>
          </cell>
          <cell r="L200">
            <v>43808</v>
          </cell>
          <cell r="M200">
            <v>44173</v>
          </cell>
        </row>
        <row r="201">
          <cell r="B201" t="str">
            <v>TESTE 198</v>
          </cell>
          <cell r="C201">
            <v>53238</v>
          </cell>
          <cell r="E201" t="str">
            <v>TR - 1</v>
          </cell>
          <cell r="F201" t="str">
            <v>NORTE</v>
          </cell>
          <cell r="G201" t="str">
            <v xml:space="preserve">CACOAL </v>
          </cell>
          <cell r="H201" t="str">
            <v>RO</v>
          </cell>
          <cell r="J201">
            <v>44127</v>
          </cell>
          <cell r="L201">
            <v>44147</v>
          </cell>
          <cell r="M201">
            <v>44512</v>
          </cell>
        </row>
        <row r="202">
          <cell r="B202" t="str">
            <v>TESTE 199</v>
          </cell>
          <cell r="C202">
            <v>40476</v>
          </cell>
          <cell r="E202" t="str">
            <v>MTI - 4.000GTS</v>
          </cell>
          <cell r="F202" t="str">
            <v>SUDESTE</v>
          </cell>
          <cell r="G202" t="str">
            <v xml:space="preserve">SÃO CARLOS </v>
          </cell>
          <cell r="H202" t="str">
            <v>SP</v>
          </cell>
          <cell r="J202">
            <v>44074</v>
          </cell>
          <cell r="L202">
            <v>44217</v>
          </cell>
          <cell r="M202">
            <v>44582</v>
          </cell>
        </row>
        <row r="203">
          <cell r="B203" t="str">
            <v>TESTE 200</v>
          </cell>
          <cell r="C203">
            <v>80362</v>
          </cell>
          <cell r="E203" t="str">
            <v>EMS - 1</v>
          </cell>
          <cell r="F203" t="str">
            <v>SUDESTE</v>
          </cell>
          <cell r="G203" t="str">
            <v xml:space="preserve">SÃO CARLOS </v>
          </cell>
          <cell r="H203" t="str">
            <v>SP</v>
          </cell>
          <cell r="J203">
            <v>44074</v>
          </cell>
          <cell r="L203">
            <v>44217</v>
          </cell>
          <cell r="M203">
            <v>44582</v>
          </cell>
        </row>
        <row r="204">
          <cell r="B204" t="str">
            <v>TESTE 201</v>
          </cell>
          <cell r="C204">
            <v>532381</v>
          </cell>
          <cell r="E204" t="str">
            <v>TR - 1</v>
          </cell>
          <cell r="F204" t="str">
            <v>SUDESTE</v>
          </cell>
          <cell r="G204" t="str">
            <v xml:space="preserve">SÃO CARLOS </v>
          </cell>
          <cell r="H204" t="str">
            <v>SP</v>
          </cell>
          <cell r="J204">
            <v>44074</v>
          </cell>
          <cell r="L204">
            <v>44217</v>
          </cell>
          <cell r="M204">
            <v>44582</v>
          </cell>
        </row>
        <row r="205">
          <cell r="B205" t="str">
            <v>TESTE 202</v>
          </cell>
          <cell r="C205">
            <v>57951</v>
          </cell>
          <cell r="E205" t="str">
            <v>MTI - 2.500GTS</v>
          </cell>
          <cell r="F205" t="str">
            <v>SUDESTE</v>
          </cell>
          <cell r="G205" t="str">
            <v>JANDIRA</v>
          </cell>
          <cell r="H205" t="str">
            <v xml:space="preserve">SP </v>
          </cell>
          <cell r="J205">
            <v>44134</v>
          </cell>
          <cell r="L205">
            <v>44141</v>
          </cell>
          <cell r="M205">
            <v>44506</v>
          </cell>
        </row>
        <row r="206">
          <cell r="B206" t="str">
            <v>TESTE 203</v>
          </cell>
          <cell r="C206">
            <v>43071</v>
          </cell>
          <cell r="E206" t="str">
            <v>EMS - 1</v>
          </cell>
          <cell r="F206" t="str">
            <v>SUDESTE</v>
          </cell>
          <cell r="G206" t="str">
            <v>JANDIRA</v>
          </cell>
          <cell r="H206" t="str">
            <v xml:space="preserve">SP </v>
          </cell>
          <cell r="J206">
            <v>44134</v>
          </cell>
          <cell r="L206">
            <v>44141</v>
          </cell>
          <cell r="M206">
            <v>44506</v>
          </cell>
        </row>
        <row r="207">
          <cell r="B207" t="str">
            <v>TESTE 204</v>
          </cell>
          <cell r="C207">
            <v>67213</v>
          </cell>
          <cell r="E207" t="str">
            <v>BASE</v>
          </cell>
          <cell r="F207" t="str">
            <v>SUDESTE</v>
          </cell>
          <cell r="G207" t="str">
            <v>JANDIRA</v>
          </cell>
          <cell r="H207" t="str">
            <v xml:space="preserve">SP </v>
          </cell>
          <cell r="J207">
            <v>44134</v>
          </cell>
          <cell r="L207">
            <v>44141</v>
          </cell>
          <cell r="M207">
            <v>44506</v>
          </cell>
        </row>
        <row r="208">
          <cell r="B208" t="str">
            <v>TESTE 205</v>
          </cell>
          <cell r="C208">
            <v>57409</v>
          </cell>
          <cell r="E208" t="str">
            <v>MTI - 4.000GTS</v>
          </cell>
          <cell r="F208" t="str">
            <v>CENTROESTE</v>
          </cell>
          <cell r="G208" t="str">
            <v>GURUPI</v>
          </cell>
          <cell r="H208" t="str">
            <v xml:space="preserve">TO </v>
          </cell>
          <cell r="J208">
            <v>43951</v>
          </cell>
          <cell r="L208">
            <v>44024</v>
          </cell>
          <cell r="M208">
            <v>44389</v>
          </cell>
        </row>
        <row r="209">
          <cell r="B209" t="str">
            <v>TESTE 206</v>
          </cell>
          <cell r="C209">
            <v>9995</v>
          </cell>
          <cell r="E209" t="str">
            <v>MAC 2.500 GT</v>
          </cell>
          <cell r="F209" t="str">
            <v>SUDESTE</v>
          </cell>
          <cell r="G209" t="str">
            <v>CONCHAL</v>
          </cell>
          <cell r="H209" t="str">
            <v>SP</v>
          </cell>
          <cell r="J209">
            <v>42704</v>
          </cell>
          <cell r="L209">
            <v>42993</v>
          </cell>
          <cell r="M209">
            <v>43358</v>
          </cell>
        </row>
        <row r="210">
          <cell r="B210" t="str">
            <v>TESTE 207</v>
          </cell>
          <cell r="C210">
            <v>29164</v>
          </cell>
          <cell r="E210" t="str">
            <v>TR - 1</v>
          </cell>
          <cell r="F210" t="str">
            <v>CENTROESTE</v>
          </cell>
          <cell r="G210" t="str">
            <v>TRINDADE</v>
          </cell>
          <cell r="H210" t="str">
            <v xml:space="preserve">GO </v>
          </cell>
          <cell r="J210">
            <v>44012</v>
          </cell>
          <cell r="L210">
            <v>44033</v>
          </cell>
          <cell r="M210">
            <v>44398</v>
          </cell>
        </row>
        <row r="211">
          <cell r="B211" t="str">
            <v>TESTE 208</v>
          </cell>
          <cell r="C211">
            <v>79737</v>
          </cell>
          <cell r="E211" t="str">
            <v>MTI - 4.000GTS</v>
          </cell>
          <cell r="F211" t="str">
            <v>CENTROESTE</v>
          </cell>
          <cell r="G211" t="str">
            <v>SORRISO</v>
          </cell>
          <cell r="H211" t="str">
            <v>MT</v>
          </cell>
          <cell r="J211">
            <v>44183</v>
          </cell>
          <cell r="L211">
            <v>44298</v>
          </cell>
          <cell r="M211">
            <v>44663</v>
          </cell>
        </row>
        <row r="212">
          <cell r="B212" t="str">
            <v>TESTE 209</v>
          </cell>
          <cell r="C212">
            <v>23630</v>
          </cell>
          <cell r="E212" t="str">
            <v>EMS - 1</v>
          </cell>
          <cell r="F212" t="str">
            <v>CENTROESTE</v>
          </cell>
          <cell r="G212" t="str">
            <v>SORRISO</v>
          </cell>
          <cell r="H212" t="str">
            <v>MT</v>
          </cell>
          <cell r="J212">
            <v>44183</v>
          </cell>
          <cell r="L212">
            <v>44298</v>
          </cell>
          <cell r="M212">
            <v>44663</v>
          </cell>
        </row>
        <row r="213">
          <cell r="B213" t="str">
            <v>TESTE 210</v>
          </cell>
          <cell r="C213">
            <v>48491</v>
          </cell>
          <cell r="E213" t="str">
            <v>TR - 1</v>
          </cell>
          <cell r="F213" t="str">
            <v>CENTROESTE</v>
          </cell>
          <cell r="G213" t="str">
            <v>SORRISO</v>
          </cell>
          <cell r="H213" t="str">
            <v>MT</v>
          </cell>
          <cell r="J213">
            <v>44183</v>
          </cell>
          <cell r="L213">
            <v>44298</v>
          </cell>
          <cell r="M213">
            <v>44663</v>
          </cell>
        </row>
        <row r="214">
          <cell r="B214" t="str">
            <v>TESTE 211</v>
          </cell>
          <cell r="C214">
            <v>86328</v>
          </cell>
          <cell r="E214" t="str">
            <v>MTI - 1.000GTS</v>
          </cell>
          <cell r="F214" t="str">
            <v>NORTE</v>
          </cell>
          <cell r="G214" t="str">
            <v xml:space="preserve">RIO BRANCO </v>
          </cell>
          <cell r="H214" t="str">
            <v>AC</v>
          </cell>
          <cell r="J214">
            <v>44084</v>
          </cell>
          <cell r="L214">
            <v>44179</v>
          </cell>
          <cell r="M214">
            <v>44544</v>
          </cell>
        </row>
        <row r="215">
          <cell r="B215" t="str">
            <v>TESTE 212</v>
          </cell>
          <cell r="C215">
            <v>94496</v>
          </cell>
          <cell r="E215" t="str">
            <v>EMS - 0</v>
          </cell>
          <cell r="F215" t="str">
            <v>NORTE</v>
          </cell>
          <cell r="G215" t="str">
            <v xml:space="preserve">RIO BRANCO </v>
          </cell>
          <cell r="H215" t="str">
            <v>AC</v>
          </cell>
          <cell r="J215">
            <v>44084</v>
          </cell>
          <cell r="L215">
            <v>44179</v>
          </cell>
          <cell r="M215">
            <v>44544</v>
          </cell>
        </row>
        <row r="216">
          <cell r="B216" t="str">
            <v>TESTE 213</v>
          </cell>
          <cell r="C216">
            <v>79973</v>
          </cell>
          <cell r="E216" t="str">
            <v>TR - 1</v>
          </cell>
          <cell r="F216" t="str">
            <v>NORTE</v>
          </cell>
          <cell r="G216" t="str">
            <v xml:space="preserve">RIO BRANCO </v>
          </cell>
          <cell r="H216" t="str">
            <v>AC</v>
          </cell>
          <cell r="J216">
            <v>44084</v>
          </cell>
          <cell r="L216">
            <v>44179</v>
          </cell>
          <cell r="M216">
            <v>44544</v>
          </cell>
        </row>
        <row r="217">
          <cell r="B217" t="str">
            <v>TESTE 214</v>
          </cell>
          <cell r="C217">
            <v>41473</v>
          </cell>
          <cell r="E217" t="str">
            <v>MTI - 7.000GTS</v>
          </cell>
          <cell r="F217" t="str">
            <v>NORTE</v>
          </cell>
          <cell r="G217" t="str">
            <v xml:space="preserve">VILHENA </v>
          </cell>
          <cell r="H217" t="str">
            <v>RO</v>
          </cell>
          <cell r="J217">
            <v>44012</v>
          </cell>
          <cell r="L217">
            <v>44123</v>
          </cell>
          <cell r="M217">
            <v>44488</v>
          </cell>
        </row>
        <row r="218">
          <cell r="B218" t="str">
            <v>TESTE 215</v>
          </cell>
          <cell r="C218">
            <v>30372</v>
          </cell>
          <cell r="E218" t="str">
            <v>EMS - 1</v>
          </cell>
          <cell r="F218" t="str">
            <v>NORTE</v>
          </cell>
          <cell r="G218" t="str">
            <v xml:space="preserve">VILHENA </v>
          </cell>
          <cell r="H218" t="str">
            <v>RO</v>
          </cell>
          <cell r="J218">
            <v>44012</v>
          </cell>
          <cell r="L218">
            <v>44123</v>
          </cell>
          <cell r="M218">
            <v>44488</v>
          </cell>
        </row>
        <row r="219">
          <cell r="B219" t="str">
            <v>TESTE 216</v>
          </cell>
          <cell r="C219">
            <v>36772</v>
          </cell>
          <cell r="E219" t="str">
            <v>TR - 1</v>
          </cell>
          <cell r="F219" t="str">
            <v>NORTE</v>
          </cell>
          <cell r="G219" t="str">
            <v xml:space="preserve">VILHENA </v>
          </cell>
          <cell r="H219" t="str">
            <v>RO</v>
          </cell>
          <cell r="J219">
            <v>44012</v>
          </cell>
          <cell r="L219">
            <v>44123</v>
          </cell>
          <cell r="M219">
            <v>44488</v>
          </cell>
        </row>
        <row r="220">
          <cell r="B220" t="str">
            <v>TESTE 217</v>
          </cell>
          <cell r="C220">
            <v>47498</v>
          </cell>
          <cell r="E220" t="str">
            <v>MTI - 4.000GTS</v>
          </cell>
          <cell r="F220" t="str">
            <v>NORDESTE</v>
          </cell>
          <cell r="G220" t="str">
            <v xml:space="preserve">CAMAÇARI </v>
          </cell>
          <cell r="H220" t="str">
            <v>BA</v>
          </cell>
          <cell r="J220">
            <v>43630</v>
          </cell>
          <cell r="L220">
            <v>43946</v>
          </cell>
          <cell r="M220">
            <v>44311</v>
          </cell>
        </row>
        <row r="221">
          <cell r="B221" t="str">
            <v>TESTE 218</v>
          </cell>
          <cell r="C221">
            <v>28494</v>
          </cell>
          <cell r="E221" t="str">
            <v>EMS - 1</v>
          </cell>
          <cell r="F221" t="str">
            <v>NORDESTE</v>
          </cell>
          <cell r="G221" t="str">
            <v xml:space="preserve">CAMAÇARI </v>
          </cell>
          <cell r="H221" t="str">
            <v>BA</v>
          </cell>
          <cell r="J221">
            <v>43630</v>
          </cell>
          <cell r="L221">
            <v>43946</v>
          </cell>
          <cell r="M221">
            <v>44311</v>
          </cell>
        </row>
        <row r="222">
          <cell r="B222" t="str">
            <v>TESTE 219</v>
          </cell>
          <cell r="C222">
            <v>16030</v>
          </cell>
          <cell r="E222" t="str">
            <v>TR - 1</v>
          </cell>
          <cell r="F222" t="str">
            <v>NORDESTE</v>
          </cell>
          <cell r="G222" t="str">
            <v xml:space="preserve">CAMAÇARI </v>
          </cell>
          <cell r="H222" t="str">
            <v>BA</v>
          </cell>
          <cell r="J222">
            <v>43630</v>
          </cell>
          <cell r="L222">
            <v>43946</v>
          </cell>
          <cell r="M222">
            <v>44311</v>
          </cell>
        </row>
        <row r="223">
          <cell r="B223" t="str">
            <v>TESTE 220</v>
          </cell>
          <cell r="C223">
            <v>9994</v>
          </cell>
          <cell r="E223" t="str">
            <v>MAC 2.500 GT</v>
          </cell>
          <cell r="F223" t="str">
            <v>SUDESTE</v>
          </cell>
          <cell r="G223" t="str">
            <v>COROMANDEL</v>
          </cell>
          <cell r="H223" t="str">
            <v>MG</v>
          </cell>
          <cell r="J223">
            <v>43048</v>
          </cell>
          <cell r="L223">
            <v>43280</v>
          </cell>
          <cell r="M223">
            <v>43645</v>
          </cell>
        </row>
        <row r="224">
          <cell r="B224" t="str">
            <v>TESTE 221</v>
          </cell>
          <cell r="C224">
            <v>25541</v>
          </cell>
          <cell r="E224" t="str">
            <v>MTI - 4.000GTS</v>
          </cell>
          <cell r="F224" t="str">
            <v>SUDESTE</v>
          </cell>
          <cell r="G224" t="str">
            <v>COROMANDEL</v>
          </cell>
          <cell r="H224" t="str">
            <v>MG</v>
          </cell>
          <cell r="J224">
            <v>44306</v>
          </cell>
          <cell r="L224">
            <v>44339</v>
          </cell>
          <cell r="M224">
            <v>44704</v>
          </cell>
        </row>
        <row r="225">
          <cell r="B225" t="str">
            <v>TESTE 222</v>
          </cell>
          <cell r="C225">
            <v>55616</v>
          </cell>
          <cell r="E225" t="str">
            <v>TAMPA ENSACADORA EMS1</v>
          </cell>
          <cell r="F225" t="str">
            <v>SUDESTE</v>
          </cell>
          <cell r="G225" t="str">
            <v>ITUPEVA</v>
          </cell>
          <cell r="H225" t="str">
            <v>SP</v>
          </cell>
          <cell r="J225">
            <v>43755</v>
          </cell>
          <cell r="L225">
            <v>43774</v>
          </cell>
          <cell r="M225">
            <v>44139</v>
          </cell>
        </row>
        <row r="226">
          <cell r="B226" t="str">
            <v>TESTE 223</v>
          </cell>
          <cell r="C226">
            <v>35159</v>
          </cell>
          <cell r="E226" t="str">
            <v>MTI - 1.000GTS</v>
          </cell>
          <cell r="F226" t="str">
            <v>SUL</v>
          </cell>
          <cell r="G226" t="str">
            <v xml:space="preserve">ITAJAI </v>
          </cell>
          <cell r="H226" t="str">
            <v>SC</v>
          </cell>
          <cell r="J226">
            <v>43936</v>
          </cell>
          <cell r="L226">
            <v>44112</v>
          </cell>
          <cell r="M226">
            <v>44477</v>
          </cell>
        </row>
        <row r="227">
          <cell r="B227" t="str">
            <v>TESTE 224</v>
          </cell>
          <cell r="C227">
            <v>57046</v>
          </cell>
          <cell r="E227" t="str">
            <v>EMS - 1</v>
          </cell>
          <cell r="F227" t="str">
            <v>SUL</v>
          </cell>
          <cell r="G227" t="str">
            <v xml:space="preserve">ITAJAI </v>
          </cell>
          <cell r="H227" t="str">
            <v>SC</v>
          </cell>
          <cell r="J227">
            <v>43936</v>
          </cell>
          <cell r="L227">
            <v>44112</v>
          </cell>
          <cell r="M227">
            <v>44477</v>
          </cell>
        </row>
        <row r="228">
          <cell r="B228" t="str">
            <v>TESTE 225</v>
          </cell>
          <cell r="C228">
            <v>13817</v>
          </cell>
          <cell r="E228" t="str">
            <v>TR - 1</v>
          </cell>
          <cell r="F228" t="str">
            <v>SUL</v>
          </cell>
          <cell r="G228" t="str">
            <v xml:space="preserve">ITAJAI </v>
          </cell>
          <cell r="H228" t="str">
            <v>SC</v>
          </cell>
          <cell r="J228">
            <v>43936</v>
          </cell>
          <cell r="L228">
            <v>44112</v>
          </cell>
          <cell r="M228">
            <v>44477</v>
          </cell>
        </row>
        <row r="229">
          <cell r="B229" t="str">
            <v>TESTE 226</v>
          </cell>
          <cell r="C229">
            <v>19403</v>
          </cell>
          <cell r="E229" t="str">
            <v>BASE</v>
          </cell>
          <cell r="F229" t="str">
            <v>SUL</v>
          </cell>
          <cell r="G229" t="str">
            <v xml:space="preserve">ITAJAI </v>
          </cell>
          <cell r="H229" t="str">
            <v>SC</v>
          </cell>
          <cell r="J229">
            <v>43936</v>
          </cell>
          <cell r="L229">
            <v>44112</v>
          </cell>
          <cell r="M229">
            <v>44477</v>
          </cell>
        </row>
        <row r="230">
          <cell r="B230" t="str">
            <v>TESTE 227</v>
          </cell>
          <cell r="C230">
            <v>46971</v>
          </cell>
          <cell r="E230" t="str">
            <v>MTI - 4.000GTS</v>
          </cell>
          <cell r="F230" t="str">
            <v>CENTROESTE</v>
          </cell>
          <cell r="G230" t="str">
            <v xml:space="preserve">GURUPI </v>
          </cell>
          <cell r="H230" t="str">
            <v>TO</v>
          </cell>
          <cell r="J230">
            <v>43828</v>
          </cell>
          <cell r="L230">
            <v>44148</v>
          </cell>
          <cell r="M230">
            <v>44513</v>
          </cell>
        </row>
        <row r="231">
          <cell r="B231" t="str">
            <v>TESTE 228</v>
          </cell>
          <cell r="C231">
            <v>60577</v>
          </cell>
          <cell r="E231" t="str">
            <v>EMS - 1</v>
          </cell>
          <cell r="F231" t="str">
            <v>CENTROESTE</v>
          </cell>
          <cell r="G231" t="str">
            <v xml:space="preserve">GURUPI </v>
          </cell>
          <cell r="H231" t="str">
            <v>TO</v>
          </cell>
          <cell r="J231">
            <v>43828</v>
          </cell>
          <cell r="L231">
            <v>44148</v>
          </cell>
          <cell r="M231">
            <v>44513</v>
          </cell>
        </row>
        <row r="232">
          <cell r="B232" t="str">
            <v>TESTE 229</v>
          </cell>
          <cell r="C232">
            <v>50024</v>
          </cell>
          <cell r="E232" t="str">
            <v>TR - 1</v>
          </cell>
          <cell r="F232" t="str">
            <v>CENTROESTE</v>
          </cell>
          <cell r="G232" t="str">
            <v xml:space="preserve">GURUPI </v>
          </cell>
          <cell r="H232" t="str">
            <v>TO</v>
          </cell>
          <cell r="J232">
            <v>43828</v>
          </cell>
          <cell r="L232">
            <v>44148</v>
          </cell>
          <cell r="M232">
            <v>44513</v>
          </cell>
        </row>
        <row r="233">
          <cell r="B233" t="str">
            <v>TESTE 230</v>
          </cell>
          <cell r="C233">
            <v>65803</v>
          </cell>
          <cell r="E233" t="str">
            <v>RECIPIENTE DE LIQUIDO 1.000 L</v>
          </cell>
          <cell r="F233" t="str">
            <v>NORTE</v>
          </cell>
          <cell r="G233" t="str">
            <v xml:space="preserve">PORTO VELHO </v>
          </cell>
          <cell r="H233" t="str">
            <v>RO</v>
          </cell>
          <cell r="J233">
            <v>44028</v>
          </cell>
          <cell r="L233">
            <v>44102</v>
          </cell>
          <cell r="M233">
            <v>44467</v>
          </cell>
        </row>
        <row r="234">
          <cell r="B234" t="str">
            <v>TESTE 231</v>
          </cell>
          <cell r="C234">
            <v>72824</v>
          </cell>
          <cell r="E234" t="str">
            <v>MTI - 1.000GTS</v>
          </cell>
          <cell r="F234" t="str">
            <v>SUDESTE</v>
          </cell>
          <cell r="G234" t="str">
            <v>AIMORÉS</v>
          </cell>
          <cell r="H234" t="str">
            <v>MG</v>
          </cell>
          <cell r="J234">
            <v>44074</v>
          </cell>
          <cell r="L234">
            <v>44316</v>
          </cell>
          <cell r="M234">
            <v>44681</v>
          </cell>
        </row>
        <row r="235">
          <cell r="B235" t="str">
            <v>TESTE 232</v>
          </cell>
          <cell r="C235">
            <v>85866</v>
          </cell>
          <cell r="E235" t="str">
            <v>EMS - 1</v>
          </cell>
          <cell r="F235" t="str">
            <v>SUDESTE</v>
          </cell>
          <cell r="G235" t="str">
            <v>AIMORÉS</v>
          </cell>
          <cell r="H235" t="str">
            <v>MG</v>
          </cell>
          <cell r="J235">
            <v>44104</v>
          </cell>
          <cell r="L235">
            <v>44316</v>
          </cell>
          <cell r="M235">
            <v>44681</v>
          </cell>
        </row>
        <row r="236">
          <cell r="B236" t="str">
            <v>TESTE 233</v>
          </cell>
          <cell r="C236">
            <v>39649</v>
          </cell>
          <cell r="E236" t="str">
            <v>TR - 1</v>
          </cell>
          <cell r="F236" t="str">
            <v>SUDESTE</v>
          </cell>
          <cell r="G236" t="str">
            <v>AIMORÉS</v>
          </cell>
          <cell r="H236" t="str">
            <v>MG</v>
          </cell>
          <cell r="J236">
            <v>44104</v>
          </cell>
          <cell r="L236">
            <v>44316</v>
          </cell>
          <cell r="M236">
            <v>44681</v>
          </cell>
        </row>
        <row r="237">
          <cell r="B237" t="str">
            <v>TESTE 234</v>
          </cell>
          <cell r="C237">
            <v>70059</v>
          </cell>
          <cell r="E237" t="str">
            <v>MTI - 2.500GTS</v>
          </cell>
          <cell r="F237" t="str">
            <v>CENTROESTE</v>
          </cell>
          <cell r="G237" t="str">
            <v xml:space="preserve">CONFRESA </v>
          </cell>
          <cell r="H237" t="str">
            <v>MT</v>
          </cell>
          <cell r="J237">
            <v>43706</v>
          </cell>
          <cell r="L237">
            <v>43893</v>
          </cell>
          <cell r="M237">
            <v>44258</v>
          </cell>
        </row>
        <row r="238">
          <cell r="B238" t="str">
            <v>TESTE 235</v>
          </cell>
          <cell r="C238">
            <v>58778</v>
          </cell>
          <cell r="E238" t="str">
            <v>EMS - 1</v>
          </cell>
          <cell r="F238" t="str">
            <v>CENTROESTE</v>
          </cell>
          <cell r="G238" t="str">
            <v xml:space="preserve">CONFRESA </v>
          </cell>
          <cell r="H238" t="str">
            <v>MT</v>
          </cell>
          <cell r="J238">
            <v>43706</v>
          </cell>
          <cell r="L238">
            <v>43893</v>
          </cell>
          <cell r="M238">
            <v>44258</v>
          </cell>
        </row>
        <row r="239">
          <cell r="B239" t="str">
            <v>TESTE 236</v>
          </cell>
          <cell r="C239">
            <v>99943</v>
          </cell>
          <cell r="E239" t="str">
            <v>TR - 1</v>
          </cell>
          <cell r="F239" t="str">
            <v>CENTROESTE</v>
          </cell>
          <cell r="G239" t="str">
            <v xml:space="preserve">CONFRESA </v>
          </cell>
          <cell r="H239" t="str">
            <v>MT</v>
          </cell>
          <cell r="J239">
            <v>43706</v>
          </cell>
          <cell r="L239">
            <v>43893</v>
          </cell>
          <cell r="M239">
            <v>44258</v>
          </cell>
        </row>
        <row r="240">
          <cell r="B240" t="str">
            <v>TESTE 237</v>
          </cell>
          <cell r="C240">
            <v>3713</v>
          </cell>
          <cell r="E240" t="str">
            <v>MTI - 7.000GTS</v>
          </cell>
          <cell r="F240" t="str">
            <v>SUDESTE</v>
          </cell>
          <cell r="G240" t="str">
            <v xml:space="preserve">AGUA DE SANTA BARBARA </v>
          </cell>
          <cell r="H240" t="str">
            <v xml:space="preserve">SP </v>
          </cell>
          <cell r="J240">
            <v>43707</v>
          </cell>
          <cell r="L240">
            <v>44168</v>
          </cell>
          <cell r="M240">
            <v>44533</v>
          </cell>
        </row>
        <row r="241">
          <cell r="B241" t="str">
            <v>TESTE 238</v>
          </cell>
          <cell r="C241">
            <v>33398</v>
          </cell>
          <cell r="E241" t="str">
            <v>EMS - 1</v>
          </cell>
          <cell r="F241" t="str">
            <v>SUDESTE</v>
          </cell>
          <cell r="G241" t="str">
            <v xml:space="preserve">AGUA DE SANTA BARBARA </v>
          </cell>
          <cell r="H241" t="str">
            <v xml:space="preserve">SP </v>
          </cell>
          <cell r="J241">
            <v>43707</v>
          </cell>
          <cell r="L241">
            <v>44168</v>
          </cell>
          <cell r="M241">
            <v>44533</v>
          </cell>
        </row>
        <row r="242">
          <cell r="B242" t="str">
            <v>TESTE 239</v>
          </cell>
          <cell r="C242">
            <v>29164</v>
          </cell>
          <cell r="E242" t="str">
            <v>TR - 1</v>
          </cell>
          <cell r="F242" t="str">
            <v>SUDESTE</v>
          </cell>
          <cell r="G242" t="str">
            <v xml:space="preserve">AGUA DE SANTA BARBARA </v>
          </cell>
          <cell r="H242" t="str">
            <v xml:space="preserve">SP </v>
          </cell>
          <cell r="J242">
            <v>43707</v>
          </cell>
          <cell r="L242">
            <v>44168</v>
          </cell>
          <cell r="M242">
            <v>44533</v>
          </cell>
        </row>
        <row r="243">
          <cell r="B243" t="str">
            <v>TESTE 240</v>
          </cell>
          <cell r="C243">
            <v>73892</v>
          </cell>
          <cell r="E243" t="str">
            <v>MTI - 1.000GTS</v>
          </cell>
          <cell r="F243" t="str">
            <v>CENTROESTE</v>
          </cell>
          <cell r="G243" t="str">
            <v>FORMOSA</v>
          </cell>
          <cell r="H243" t="str">
            <v>GO</v>
          </cell>
          <cell r="J243">
            <v>44298</v>
          </cell>
          <cell r="L243">
            <v>44336</v>
          </cell>
          <cell r="M243">
            <v>44701</v>
          </cell>
        </row>
        <row r="244">
          <cell r="B244" t="str">
            <v>TESTE 241</v>
          </cell>
          <cell r="C244">
            <v>78217</v>
          </cell>
          <cell r="E244" t="str">
            <v>E - 300</v>
          </cell>
          <cell r="F244" t="str">
            <v>CENTROESTE</v>
          </cell>
          <cell r="G244" t="str">
            <v>FORMOSA</v>
          </cell>
          <cell r="H244" t="str">
            <v>GO</v>
          </cell>
          <cell r="J244">
            <v>44335</v>
          </cell>
          <cell r="L244">
            <v>44408</v>
          </cell>
          <cell r="M244">
            <v>44773</v>
          </cell>
        </row>
        <row r="245">
          <cell r="B245" t="str">
            <v>TESTE 242</v>
          </cell>
          <cell r="C245">
            <v>69511</v>
          </cell>
          <cell r="E245" t="str">
            <v>TR - 1</v>
          </cell>
          <cell r="F245" t="str">
            <v>CENTROESTE</v>
          </cell>
          <cell r="G245" t="str">
            <v>FORMOSA</v>
          </cell>
          <cell r="H245" t="str">
            <v>GO</v>
          </cell>
          <cell r="J245">
            <v>44335</v>
          </cell>
          <cell r="L245">
            <v>44408</v>
          </cell>
          <cell r="M245">
            <v>44773</v>
          </cell>
        </row>
        <row r="246">
          <cell r="B246" t="str">
            <v>TESTE 243</v>
          </cell>
          <cell r="C246">
            <v>3002629</v>
          </cell>
          <cell r="E246" t="str">
            <v>MTI - 2.500GTS</v>
          </cell>
          <cell r="F246" t="str">
            <v>CENTROESTE</v>
          </cell>
          <cell r="G246" t="str">
            <v>BRASÍLIA</v>
          </cell>
          <cell r="H246" t="str">
            <v>DF</v>
          </cell>
          <cell r="J246">
            <v>43616</v>
          </cell>
          <cell r="L246">
            <v>43714</v>
          </cell>
          <cell r="M246">
            <v>44079</v>
          </cell>
        </row>
        <row r="247">
          <cell r="B247" t="str">
            <v>TESTE 244</v>
          </cell>
          <cell r="C247">
            <v>57531</v>
          </cell>
          <cell r="E247" t="str">
            <v>MTI - 2.500GTS</v>
          </cell>
          <cell r="F247" t="str">
            <v>CENTROESTE</v>
          </cell>
          <cell r="G247" t="str">
            <v xml:space="preserve">BRASILIA </v>
          </cell>
          <cell r="H247" t="str">
            <v>DF</v>
          </cell>
          <cell r="J247">
            <v>43980</v>
          </cell>
          <cell r="L247">
            <v>44035</v>
          </cell>
          <cell r="M247">
            <v>44400</v>
          </cell>
        </row>
        <row r="248">
          <cell r="B248" t="str">
            <v>TESTE 245</v>
          </cell>
          <cell r="C248">
            <v>51854</v>
          </cell>
          <cell r="E248" t="str">
            <v>MTI - 7.000GTS</v>
          </cell>
          <cell r="F248" t="str">
            <v>SUDESTE</v>
          </cell>
          <cell r="G248" t="str">
            <v>LENÇOIS PAULISTA</v>
          </cell>
          <cell r="H248" t="str">
            <v>SP</v>
          </cell>
          <cell r="J248">
            <v>44271</v>
          </cell>
          <cell r="L248">
            <v>44422</v>
          </cell>
          <cell r="M248">
            <v>44787</v>
          </cell>
        </row>
        <row r="249">
          <cell r="B249" t="str">
            <v>TESTE 246</v>
          </cell>
          <cell r="C249">
            <v>66689</v>
          </cell>
          <cell r="E249" t="str">
            <v>BASE MTI - 7.000GTS</v>
          </cell>
          <cell r="F249" t="str">
            <v>SUDESTE</v>
          </cell>
          <cell r="G249" t="str">
            <v>LENÇOIS PAULISTA</v>
          </cell>
          <cell r="H249" t="str">
            <v>SP</v>
          </cell>
          <cell r="J249">
            <v>44398</v>
          </cell>
          <cell r="L249">
            <v>44422</v>
          </cell>
          <cell r="M249">
            <v>44787</v>
          </cell>
        </row>
        <row r="250">
          <cell r="B250" t="str">
            <v>TESTE 247</v>
          </cell>
          <cell r="C250">
            <v>69918</v>
          </cell>
          <cell r="E250" t="str">
            <v>MTI - 1.000GTS</v>
          </cell>
          <cell r="F250" t="str">
            <v>SUDESTE</v>
          </cell>
          <cell r="G250" t="str">
            <v>DIAMANTINA</v>
          </cell>
          <cell r="H250" t="str">
            <v>MG</v>
          </cell>
          <cell r="J250">
            <v>44196</v>
          </cell>
          <cell r="L250">
            <v>44351</v>
          </cell>
          <cell r="M250">
            <v>44716</v>
          </cell>
        </row>
        <row r="251">
          <cell r="B251" t="str">
            <v>TESTE 248</v>
          </cell>
          <cell r="C251">
            <v>40046</v>
          </cell>
          <cell r="E251" t="str">
            <v>MTI - 4.000GTS</v>
          </cell>
          <cell r="F251" t="str">
            <v>CENTROESTE</v>
          </cell>
          <cell r="G251" t="str">
            <v>PORANGATU</v>
          </cell>
          <cell r="H251" t="str">
            <v xml:space="preserve">GO </v>
          </cell>
          <cell r="J251">
            <v>44078</v>
          </cell>
          <cell r="L251">
            <v>44148</v>
          </cell>
          <cell r="M251">
            <v>44513</v>
          </cell>
        </row>
        <row r="252">
          <cell r="B252" t="str">
            <v>TESTE 249</v>
          </cell>
          <cell r="C252">
            <v>59748</v>
          </cell>
          <cell r="E252" t="str">
            <v>EMS - 1</v>
          </cell>
          <cell r="F252" t="str">
            <v>CENTROESTE</v>
          </cell>
          <cell r="G252" t="str">
            <v>PORANGATU</v>
          </cell>
          <cell r="H252" t="str">
            <v xml:space="preserve">GO </v>
          </cell>
          <cell r="J252">
            <v>44078</v>
          </cell>
          <cell r="L252">
            <v>44148</v>
          </cell>
          <cell r="M252">
            <v>44513</v>
          </cell>
        </row>
        <row r="253">
          <cell r="B253" t="str">
            <v>TESTE 250</v>
          </cell>
          <cell r="C253">
            <v>70359</v>
          </cell>
          <cell r="E253" t="str">
            <v>TR - 1</v>
          </cell>
          <cell r="F253" t="str">
            <v>CENTROESTE</v>
          </cell>
          <cell r="G253" t="str">
            <v>PORANGATU</v>
          </cell>
          <cell r="H253" t="str">
            <v xml:space="preserve">GO </v>
          </cell>
          <cell r="J253">
            <v>44078</v>
          </cell>
          <cell r="L253">
            <v>44148</v>
          </cell>
          <cell r="M253">
            <v>44513</v>
          </cell>
        </row>
        <row r="254">
          <cell r="B254" t="str">
            <v>TESTE 251</v>
          </cell>
          <cell r="C254">
            <v>3001107</v>
          </cell>
          <cell r="E254" t="str">
            <v>MAC 4.000 GT</v>
          </cell>
          <cell r="F254" t="str">
            <v>SUDESTE</v>
          </cell>
          <cell r="G254" t="str">
            <v xml:space="preserve">PATO BRANCO </v>
          </cell>
          <cell r="H254" t="str">
            <v>PR</v>
          </cell>
          <cell r="J254">
            <v>43081</v>
          </cell>
          <cell r="L254">
            <v>43346</v>
          </cell>
          <cell r="M254">
            <v>43711</v>
          </cell>
        </row>
        <row r="255">
          <cell r="B255" t="str">
            <v>TESTE 252</v>
          </cell>
          <cell r="C255">
            <v>57868</v>
          </cell>
          <cell r="E255" t="str">
            <v>GERADOR DE 32.000 GT</v>
          </cell>
          <cell r="F255" t="str">
            <v>NORTE</v>
          </cell>
          <cell r="G255" t="str">
            <v>MANAUS</v>
          </cell>
          <cell r="H255" t="str">
            <v xml:space="preserve">AM </v>
          </cell>
          <cell r="J255">
            <v>44043</v>
          </cell>
          <cell r="L255">
            <v>44134</v>
          </cell>
          <cell r="M255">
            <v>44499</v>
          </cell>
        </row>
        <row r="256">
          <cell r="B256" t="str">
            <v>TESTE 253</v>
          </cell>
          <cell r="C256">
            <v>77067</v>
          </cell>
          <cell r="E256" t="str">
            <v>GERADOR MTI - 12.000GT</v>
          </cell>
          <cell r="F256" t="str">
            <v>SUDESTE</v>
          </cell>
          <cell r="G256" t="str">
            <v xml:space="preserve">RIO DE JANEIRO </v>
          </cell>
          <cell r="H256" t="str">
            <v>RJ</v>
          </cell>
          <cell r="J256">
            <v>44225</v>
          </cell>
          <cell r="L256">
            <v>44273</v>
          </cell>
          <cell r="M256">
            <v>44638</v>
          </cell>
        </row>
        <row r="257">
          <cell r="B257" t="str">
            <v>TESTE 254</v>
          </cell>
          <cell r="C257">
            <v>64907</v>
          </cell>
          <cell r="E257" t="str">
            <v>GERADOR MTI - 17.000GT</v>
          </cell>
          <cell r="F257" t="str">
            <v>NORDESTE</v>
          </cell>
          <cell r="G257" t="str">
            <v xml:space="preserve">PETROLINA </v>
          </cell>
          <cell r="H257" t="str">
            <v>PE</v>
          </cell>
          <cell r="J257">
            <v>44148</v>
          </cell>
          <cell r="L257">
            <v>44254</v>
          </cell>
          <cell r="M257">
            <v>44619</v>
          </cell>
        </row>
        <row r="258">
          <cell r="B258" t="str">
            <v>TESTE 255</v>
          </cell>
          <cell r="C258">
            <v>27393</v>
          </cell>
          <cell r="E258" t="str">
            <v>MTI - 1.000GTS</v>
          </cell>
          <cell r="F258" t="str">
            <v>NORDESTE</v>
          </cell>
          <cell r="G258" t="str">
            <v>NATAL</v>
          </cell>
          <cell r="H258" t="str">
            <v>RN</v>
          </cell>
          <cell r="J258">
            <v>44207</v>
          </cell>
          <cell r="L258">
            <v>44364</v>
          </cell>
          <cell r="M258">
            <v>44729</v>
          </cell>
        </row>
        <row r="259">
          <cell r="B259" t="str">
            <v>TESTE 256</v>
          </cell>
          <cell r="C259">
            <v>88574</v>
          </cell>
          <cell r="E259" t="str">
            <v>E - 80</v>
          </cell>
          <cell r="F259" t="str">
            <v>NORDESTE</v>
          </cell>
          <cell r="G259" t="str">
            <v>NATAL</v>
          </cell>
          <cell r="H259" t="str">
            <v>RN</v>
          </cell>
          <cell r="J259">
            <v>44207</v>
          </cell>
          <cell r="L259">
            <v>44364</v>
          </cell>
          <cell r="M259">
            <v>44729</v>
          </cell>
        </row>
        <row r="260">
          <cell r="B260" t="str">
            <v>TESTE 257</v>
          </cell>
          <cell r="C260">
            <v>88927</v>
          </cell>
          <cell r="E260" t="str">
            <v>TR - 1</v>
          </cell>
          <cell r="F260" t="str">
            <v>NORDESTE</v>
          </cell>
          <cell r="G260" t="str">
            <v>NATAL</v>
          </cell>
          <cell r="H260" t="str">
            <v>RN</v>
          </cell>
          <cell r="J260">
            <v>44207</v>
          </cell>
          <cell r="L260">
            <v>44364</v>
          </cell>
          <cell r="M260">
            <v>44729</v>
          </cell>
        </row>
        <row r="261">
          <cell r="B261" t="str">
            <v>TESTE 258</v>
          </cell>
          <cell r="C261">
            <v>9992</v>
          </cell>
          <cell r="E261" t="str">
            <v>MTI - 4.000GTS</v>
          </cell>
          <cell r="F261" t="str">
            <v>NORTE</v>
          </cell>
          <cell r="G261" t="str">
            <v>MANACAPURU</v>
          </cell>
          <cell r="H261" t="str">
            <v>AM</v>
          </cell>
          <cell r="J261">
            <v>43410</v>
          </cell>
          <cell r="L261">
            <v>43585</v>
          </cell>
          <cell r="M261">
            <v>43950</v>
          </cell>
        </row>
        <row r="262">
          <cell r="B262" t="str">
            <v>TESTE 259</v>
          </cell>
          <cell r="C262">
            <v>85704</v>
          </cell>
          <cell r="E262" t="str">
            <v>MTI - 10.000GE</v>
          </cell>
          <cell r="F262" t="str">
            <v>CENTROESTE</v>
          </cell>
          <cell r="G262" t="str">
            <v>CORUMBA</v>
          </cell>
          <cell r="H262" t="str">
            <v>MS</v>
          </cell>
          <cell r="J262">
            <v>43586</v>
          </cell>
          <cell r="L262">
            <v>44120</v>
          </cell>
          <cell r="M262">
            <v>44485</v>
          </cell>
        </row>
        <row r="263">
          <cell r="B263" t="str">
            <v>TESTE 260</v>
          </cell>
          <cell r="C263">
            <v>85704</v>
          </cell>
          <cell r="E263" t="str">
            <v>ROSCA TRANSP</v>
          </cell>
          <cell r="F263" t="str">
            <v>CENTROESTE</v>
          </cell>
          <cell r="G263" t="str">
            <v>CORUMBA</v>
          </cell>
          <cell r="H263" t="str">
            <v>MS</v>
          </cell>
          <cell r="J263">
            <v>43586</v>
          </cell>
          <cell r="L263">
            <v>44120</v>
          </cell>
          <cell r="M263">
            <v>44485</v>
          </cell>
        </row>
        <row r="264">
          <cell r="B264" t="str">
            <v>TESTE 261</v>
          </cell>
          <cell r="C264">
            <v>85704</v>
          </cell>
          <cell r="E264" t="str">
            <v>EMS - 1</v>
          </cell>
          <cell r="F264" t="str">
            <v>CENTROESTE</v>
          </cell>
          <cell r="G264" t="str">
            <v>CORUMBA</v>
          </cell>
          <cell r="H264" t="str">
            <v>MS</v>
          </cell>
          <cell r="J264">
            <v>43586</v>
          </cell>
          <cell r="L264">
            <v>44120</v>
          </cell>
          <cell r="M264">
            <v>44485</v>
          </cell>
        </row>
        <row r="265">
          <cell r="B265" t="str">
            <v>TESTE 262</v>
          </cell>
          <cell r="C265">
            <v>85704</v>
          </cell>
          <cell r="E265" t="str">
            <v>MTI - 7.000GT (GERADOR)</v>
          </cell>
          <cell r="F265" t="str">
            <v>CENTROESTE</v>
          </cell>
          <cell r="G265" t="str">
            <v>CORUMBA</v>
          </cell>
          <cell r="H265" t="str">
            <v>MS</v>
          </cell>
          <cell r="J265">
            <v>43586</v>
          </cell>
          <cell r="L265">
            <v>44120</v>
          </cell>
          <cell r="M265">
            <v>44485</v>
          </cell>
        </row>
        <row r="266">
          <cell r="B266" t="str">
            <v>TESTE 263</v>
          </cell>
          <cell r="C266">
            <v>3002674</v>
          </cell>
          <cell r="E266" t="str">
            <v>MTI - 4.000GTS</v>
          </cell>
          <cell r="F266" t="str">
            <v>NORDESTE</v>
          </cell>
          <cell r="G266" t="str">
            <v>CAMPO DO BRITO</v>
          </cell>
          <cell r="H266" t="str">
            <v>SE</v>
          </cell>
          <cell r="J266">
            <v>43544</v>
          </cell>
          <cell r="L266">
            <v>43747</v>
          </cell>
          <cell r="M266">
            <v>44112</v>
          </cell>
        </row>
        <row r="267">
          <cell r="B267" t="str">
            <v>TESTE 264</v>
          </cell>
          <cell r="C267">
            <v>3000192</v>
          </cell>
          <cell r="E267" t="str">
            <v>EMS - 1</v>
          </cell>
          <cell r="F267" t="str">
            <v>NORDESTE</v>
          </cell>
          <cell r="G267" t="str">
            <v>CAMPO DO BRITO</v>
          </cell>
          <cell r="H267" t="str">
            <v>SE</v>
          </cell>
          <cell r="J267">
            <v>43544</v>
          </cell>
          <cell r="L267">
            <v>43747</v>
          </cell>
          <cell r="M267">
            <v>44112</v>
          </cell>
        </row>
        <row r="268">
          <cell r="B268" t="str">
            <v>TESTE 265</v>
          </cell>
          <cell r="C268">
            <v>3000228</v>
          </cell>
          <cell r="E268" t="str">
            <v>TR - 1</v>
          </cell>
          <cell r="F268" t="str">
            <v>NORDESTE</v>
          </cell>
          <cell r="G268" t="str">
            <v>CAMPO DO BRITO</v>
          </cell>
          <cell r="H268" t="str">
            <v>SE</v>
          </cell>
          <cell r="J268">
            <v>43544</v>
          </cell>
          <cell r="L268">
            <v>43747</v>
          </cell>
          <cell r="M268">
            <v>44112</v>
          </cell>
        </row>
        <row r="269">
          <cell r="B269" t="str">
            <v>TESTE 266</v>
          </cell>
          <cell r="C269">
            <v>3000192</v>
          </cell>
          <cell r="E269" t="str">
            <v>EMS - 1</v>
          </cell>
          <cell r="F269" t="str">
            <v>NORDESTE</v>
          </cell>
          <cell r="G269" t="str">
            <v>SALVADOR</v>
          </cell>
          <cell r="H269" t="str">
            <v>BA</v>
          </cell>
          <cell r="J269">
            <v>43575</v>
          </cell>
          <cell r="L269">
            <v>43617</v>
          </cell>
          <cell r="M269">
            <v>43982</v>
          </cell>
        </row>
        <row r="270">
          <cell r="B270" t="str">
            <v>TESTE 267</v>
          </cell>
          <cell r="C270">
            <v>20191502</v>
          </cell>
          <cell r="E270" t="str">
            <v>MTI - 7.000GT</v>
          </cell>
          <cell r="F270" t="str">
            <v>CENTROESTE</v>
          </cell>
          <cell r="G270" t="str">
            <v>TANGARA DA SERRA</v>
          </cell>
          <cell r="H270" t="str">
            <v>MT</v>
          </cell>
          <cell r="J270">
            <v>43312</v>
          </cell>
          <cell r="L270">
            <v>43511</v>
          </cell>
          <cell r="M270">
            <v>43876</v>
          </cell>
        </row>
        <row r="271">
          <cell r="B271" t="str">
            <v>TESTE 268</v>
          </cell>
          <cell r="C271">
            <v>78022</v>
          </cell>
          <cell r="E271" t="str">
            <v>MTI - 4.000GTS</v>
          </cell>
          <cell r="F271" t="str">
            <v>CENTROESTE</v>
          </cell>
          <cell r="G271" t="str">
            <v xml:space="preserve">CAMPO GRANDE </v>
          </cell>
          <cell r="H271" t="str">
            <v>MS</v>
          </cell>
          <cell r="J271">
            <v>43951</v>
          </cell>
          <cell r="L271">
            <v>44018</v>
          </cell>
          <cell r="M271">
            <v>44383</v>
          </cell>
        </row>
        <row r="272">
          <cell r="B272" t="str">
            <v>TESTE 269</v>
          </cell>
          <cell r="C272">
            <v>82688</v>
          </cell>
          <cell r="E272" t="str">
            <v>TR - 1</v>
          </cell>
          <cell r="F272" t="str">
            <v>CENTROESTE</v>
          </cell>
          <cell r="G272" t="str">
            <v>CAMPO GRANDE</v>
          </cell>
          <cell r="H272" t="str">
            <v>MS</v>
          </cell>
          <cell r="J272">
            <v>43726</v>
          </cell>
          <cell r="L272">
            <v>43755</v>
          </cell>
          <cell r="M272">
            <v>44120</v>
          </cell>
        </row>
        <row r="273">
          <cell r="B273" t="str">
            <v>TESTE 270</v>
          </cell>
          <cell r="C273">
            <v>98426</v>
          </cell>
          <cell r="E273" t="str">
            <v>MTI - 17.000GT</v>
          </cell>
          <cell r="F273" t="str">
            <v xml:space="preserve">INTERNACIONAL </v>
          </cell>
          <cell r="G273" t="str">
            <v>PARAGUAY</v>
          </cell>
          <cell r="H273" t="str">
            <v>PGY</v>
          </cell>
          <cell r="J273">
            <v>43852</v>
          </cell>
          <cell r="L273">
            <v>44113</v>
          </cell>
          <cell r="M273">
            <v>44478</v>
          </cell>
        </row>
        <row r="274">
          <cell r="B274" t="str">
            <v>TESTE 271</v>
          </cell>
          <cell r="C274">
            <v>53783</v>
          </cell>
          <cell r="E274" t="str">
            <v>GERADOR DE GELO - MTI 2.500 GE</v>
          </cell>
          <cell r="F274" t="str">
            <v>SUDESTE</v>
          </cell>
          <cell r="G274" t="str">
            <v xml:space="preserve">SÃO PAULO </v>
          </cell>
          <cell r="H274" t="str">
            <v xml:space="preserve">SP </v>
          </cell>
          <cell r="J274">
            <v>43997</v>
          </cell>
          <cell r="L274">
            <v>44056</v>
          </cell>
          <cell r="M274">
            <v>44421</v>
          </cell>
        </row>
        <row r="275">
          <cell r="B275" t="str">
            <v>TESTE 272</v>
          </cell>
          <cell r="C275">
            <v>42353</v>
          </cell>
          <cell r="E275" t="str">
            <v>MTI - 20.000GE</v>
          </cell>
          <cell r="F275" t="str">
            <v>NORDESTE</v>
          </cell>
          <cell r="G275" t="str">
            <v>MAXARANGUAPE</v>
          </cell>
          <cell r="H275" t="str">
            <v>RN</v>
          </cell>
          <cell r="J275">
            <v>44078</v>
          </cell>
          <cell r="L275">
            <v>44281</v>
          </cell>
          <cell r="M275">
            <v>44646</v>
          </cell>
        </row>
        <row r="276">
          <cell r="B276" t="str">
            <v>TESTE 273</v>
          </cell>
          <cell r="C276">
            <v>3002515</v>
          </cell>
          <cell r="E276" t="str">
            <v>MTI - 60.000GE</v>
          </cell>
          <cell r="F276" t="str">
            <v xml:space="preserve">INTERNACIONAL </v>
          </cell>
          <cell r="G276" t="str">
            <v>MONTEVIDEO</v>
          </cell>
          <cell r="H276" t="str">
            <v>URY</v>
          </cell>
          <cell r="J276">
            <v>43461</v>
          </cell>
          <cell r="L276">
            <v>43871</v>
          </cell>
          <cell r="M276">
            <v>44236</v>
          </cell>
        </row>
        <row r="277">
          <cell r="B277" t="str">
            <v>TESTE 274</v>
          </cell>
          <cell r="C277">
            <v>3002521</v>
          </cell>
          <cell r="E277" t="str">
            <v>EMS-3</v>
          </cell>
          <cell r="F277" t="str">
            <v xml:space="preserve">INTERNACIONAL </v>
          </cell>
          <cell r="G277" t="str">
            <v>MONTEVIDEO</v>
          </cell>
          <cell r="H277" t="str">
            <v>URY</v>
          </cell>
          <cell r="J277">
            <v>43461</v>
          </cell>
          <cell r="L277">
            <v>43506</v>
          </cell>
          <cell r="M277">
            <v>43871</v>
          </cell>
        </row>
        <row r="278">
          <cell r="B278" t="str">
            <v>TESTE 275</v>
          </cell>
          <cell r="C278">
            <v>3000228</v>
          </cell>
          <cell r="E278" t="str">
            <v>TR - 1</v>
          </cell>
          <cell r="F278" t="str">
            <v xml:space="preserve">INTERNACIONAL </v>
          </cell>
          <cell r="G278" t="str">
            <v>MONTEVIDEO</v>
          </cell>
          <cell r="H278" t="str">
            <v>URY</v>
          </cell>
          <cell r="J278">
            <v>43461</v>
          </cell>
          <cell r="L278">
            <v>43506</v>
          </cell>
          <cell r="M278">
            <v>43871</v>
          </cell>
        </row>
        <row r="279">
          <cell r="B279" t="str">
            <v>TESTE 276</v>
          </cell>
          <cell r="C279">
            <v>67090</v>
          </cell>
          <cell r="E279" t="str">
            <v>BLOCO DE CONDENSADOR 200.000</v>
          </cell>
          <cell r="F279" t="str">
            <v>NORTE</v>
          </cell>
          <cell r="G279" t="str">
            <v xml:space="preserve">XINGUARA </v>
          </cell>
          <cell r="H279" t="str">
            <v>PA</v>
          </cell>
          <cell r="J279">
            <v>43979</v>
          </cell>
          <cell r="L279">
            <v>44011</v>
          </cell>
          <cell r="M279">
            <v>44376</v>
          </cell>
        </row>
        <row r="280">
          <cell r="B280" t="str">
            <v>TESTE 277</v>
          </cell>
          <cell r="C280">
            <v>90486</v>
          </cell>
          <cell r="E280" t="str">
            <v>MTI - 40.000GE</v>
          </cell>
          <cell r="F280" t="str">
            <v>NORDESTE</v>
          </cell>
          <cell r="G280" t="str">
            <v>MACAÍBA</v>
          </cell>
          <cell r="H280" t="str">
            <v>RN</v>
          </cell>
          <cell r="J280">
            <v>44189</v>
          </cell>
          <cell r="L280">
            <v>44469</v>
          </cell>
          <cell r="M280">
            <v>44834</v>
          </cell>
        </row>
        <row r="281">
          <cell r="B281" t="str">
            <v>TESTE 278</v>
          </cell>
          <cell r="C281">
            <v>90486</v>
          </cell>
          <cell r="E281" t="str">
            <v>CE - 750</v>
          </cell>
          <cell r="F281" t="str">
            <v>NORDESTE</v>
          </cell>
          <cell r="G281" t="str">
            <v>MACAÍBA</v>
          </cell>
          <cell r="H281" t="str">
            <v>RN</v>
          </cell>
          <cell r="J281">
            <v>44189</v>
          </cell>
          <cell r="L281">
            <v>44469</v>
          </cell>
          <cell r="M281">
            <v>44834</v>
          </cell>
        </row>
        <row r="282">
          <cell r="B282" t="str">
            <v>TESTE 279</v>
          </cell>
          <cell r="C282">
            <v>90486</v>
          </cell>
          <cell r="E282" t="str">
            <v>RL - 2000</v>
          </cell>
          <cell r="F282" t="str">
            <v>NORDESTE</v>
          </cell>
          <cell r="G282" t="str">
            <v>MACAÍBA</v>
          </cell>
          <cell r="H282" t="str">
            <v>RN</v>
          </cell>
          <cell r="J282">
            <v>44189</v>
          </cell>
          <cell r="L282">
            <v>44469</v>
          </cell>
          <cell r="M282">
            <v>44834</v>
          </cell>
        </row>
        <row r="283">
          <cell r="B283" t="str">
            <v>TESTE 280</v>
          </cell>
          <cell r="C283">
            <v>90486</v>
          </cell>
          <cell r="E283" t="str">
            <v>COMPRESSOR MYCOM 6WB</v>
          </cell>
          <cell r="F283" t="str">
            <v>NORDESTE</v>
          </cell>
          <cell r="G283" t="str">
            <v>MACAÍBA</v>
          </cell>
          <cell r="H283" t="str">
            <v>RN</v>
          </cell>
          <cell r="J283">
            <v>44189</v>
          </cell>
          <cell r="L283">
            <v>44469</v>
          </cell>
          <cell r="M283">
            <v>44834</v>
          </cell>
        </row>
        <row r="284">
          <cell r="B284" t="str">
            <v>TESTE 281</v>
          </cell>
          <cell r="C284">
            <v>90486</v>
          </cell>
          <cell r="E284" t="str">
            <v>QUADRO ELÉTRICO 40GE</v>
          </cell>
          <cell r="F284" t="str">
            <v>NORDESTE</v>
          </cell>
          <cell r="G284" t="str">
            <v>MACAÍBA</v>
          </cell>
          <cell r="H284" t="str">
            <v>RN</v>
          </cell>
          <cell r="J284">
            <v>44189</v>
          </cell>
          <cell r="L284">
            <v>44469</v>
          </cell>
          <cell r="M284">
            <v>44834</v>
          </cell>
        </row>
        <row r="285">
          <cell r="B285" t="str">
            <v>TESTE 282</v>
          </cell>
          <cell r="C285">
            <v>60261</v>
          </cell>
          <cell r="E285" t="str">
            <v>MTI - 4.000GTS</v>
          </cell>
          <cell r="F285" t="str">
            <v>NORDESTE</v>
          </cell>
          <cell r="G285" t="str">
            <v>CARUARU</v>
          </cell>
          <cell r="H285" t="str">
            <v>PB</v>
          </cell>
          <cell r="J285">
            <v>43738</v>
          </cell>
          <cell r="L285">
            <v>44008</v>
          </cell>
          <cell r="M285">
            <v>44373</v>
          </cell>
        </row>
        <row r="286">
          <cell r="B286" t="str">
            <v>TESTE 283</v>
          </cell>
          <cell r="C286">
            <v>28494</v>
          </cell>
          <cell r="E286" t="str">
            <v>EMS - 1</v>
          </cell>
          <cell r="F286" t="str">
            <v>NORDESTE</v>
          </cell>
          <cell r="G286" t="str">
            <v>CARUARU</v>
          </cell>
          <cell r="H286" t="str">
            <v>PB</v>
          </cell>
          <cell r="J286">
            <v>43738</v>
          </cell>
          <cell r="L286">
            <v>44008</v>
          </cell>
          <cell r="M286">
            <v>44373</v>
          </cell>
        </row>
        <row r="287">
          <cell r="B287" t="str">
            <v>TESTE 284</v>
          </cell>
          <cell r="C287">
            <v>99947</v>
          </cell>
          <cell r="E287" t="str">
            <v>TR - 1</v>
          </cell>
          <cell r="F287" t="str">
            <v>NORDESTE</v>
          </cell>
          <cell r="G287" t="str">
            <v>CARUARU</v>
          </cell>
          <cell r="H287" t="str">
            <v>PB</v>
          </cell>
          <cell r="J287">
            <v>43738</v>
          </cell>
          <cell r="L287">
            <v>44008</v>
          </cell>
          <cell r="M287">
            <v>44373</v>
          </cell>
        </row>
        <row r="288">
          <cell r="B288" t="str">
            <v>TESTE 285</v>
          </cell>
          <cell r="C288">
            <v>99921</v>
          </cell>
          <cell r="E288" t="str">
            <v>CE - 800</v>
          </cell>
          <cell r="F288" t="str">
            <v>SUDESTE</v>
          </cell>
          <cell r="G288" t="str">
            <v xml:space="preserve">GUARUJA </v>
          </cell>
          <cell r="H288" t="str">
            <v>SP</v>
          </cell>
          <cell r="J288">
            <v>43511</v>
          </cell>
          <cell r="L288">
            <v>43738</v>
          </cell>
          <cell r="M288">
            <v>44103</v>
          </cell>
        </row>
        <row r="289">
          <cell r="B289" t="str">
            <v>TESTE 286</v>
          </cell>
          <cell r="C289">
            <v>99922</v>
          </cell>
          <cell r="E289" t="str">
            <v>CF RESFRIAMENTO</v>
          </cell>
          <cell r="F289" t="str">
            <v>SUDESTE</v>
          </cell>
          <cell r="G289" t="str">
            <v xml:space="preserve">GUARUJA </v>
          </cell>
          <cell r="H289" t="str">
            <v>SP</v>
          </cell>
          <cell r="J289">
            <v>43511</v>
          </cell>
          <cell r="L289">
            <v>43738</v>
          </cell>
          <cell r="M289">
            <v>44103</v>
          </cell>
        </row>
        <row r="290">
          <cell r="B290" t="str">
            <v>TESTE 287</v>
          </cell>
          <cell r="C290">
            <v>99927</v>
          </cell>
          <cell r="E290" t="str">
            <v>CE - 200</v>
          </cell>
          <cell r="F290" t="str">
            <v>NORDESTE</v>
          </cell>
          <cell r="G290" t="str">
            <v>SANTA LUZIA DO NORTE</v>
          </cell>
          <cell r="H290" t="str">
            <v>AL</v>
          </cell>
          <cell r="J290">
            <v>43588</v>
          </cell>
          <cell r="L290">
            <v>43662</v>
          </cell>
          <cell r="M290">
            <v>44027</v>
          </cell>
        </row>
        <row r="291">
          <cell r="B291" t="str">
            <v>TESTE 288</v>
          </cell>
          <cell r="C291">
            <v>56895</v>
          </cell>
          <cell r="E291" t="str">
            <v>CE - 600</v>
          </cell>
          <cell r="F291" t="str">
            <v>SUDESTE</v>
          </cell>
          <cell r="G291" t="str">
            <v>SÃO PAULO</v>
          </cell>
          <cell r="H291" t="str">
            <v>SP</v>
          </cell>
          <cell r="J291">
            <v>43756</v>
          </cell>
          <cell r="L291">
            <v>43803</v>
          </cell>
          <cell r="M291">
            <v>44168</v>
          </cell>
        </row>
        <row r="292">
          <cell r="B292" t="str">
            <v>TESTE 289</v>
          </cell>
          <cell r="C292">
            <v>56895</v>
          </cell>
          <cell r="E292" t="str">
            <v>2x FECHAMENTO CONDENSADOR</v>
          </cell>
          <cell r="F292" t="str">
            <v>SUDESTE</v>
          </cell>
          <cell r="G292" t="str">
            <v>SÃO PAULO</v>
          </cell>
          <cell r="H292" t="str">
            <v>SP</v>
          </cell>
          <cell r="J292">
            <v>43756</v>
          </cell>
          <cell r="L292">
            <v>43803</v>
          </cell>
          <cell r="M292">
            <v>44168</v>
          </cell>
        </row>
        <row r="293">
          <cell r="B293" t="str">
            <v>TESTE 290</v>
          </cell>
          <cell r="C293">
            <v>31493</v>
          </cell>
          <cell r="E293" t="str">
            <v>MTI - 4.000GTS</v>
          </cell>
          <cell r="F293" t="str">
            <v>SUDESTE</v>
          </cell>
          <cell r="G293" t="str">
            <v>LEME</v>
          </cell>
          <cell r="H293" t="str">
            <v>SP</v>
          </cell>
          <cell r="J293">
            <v>43598</v>
          </cell>
          <cell r="L293">
            <v>43810</v>
          </cell>
          <cell r="M293">
            <v>44175</v>
          </cell>
        </row>
        <row r="294">
          <cell r="B294" t="str">
            <v>TESTE 291</v>
          </cell>
          <cell r="C294">
            <v>31493</v>
          </cell>
          <cell r="E294" t="str">
            <v>EMS - 1</v>
          </cell>
          <cell r="F294" t="str">
            <v>SUDESTE</v>
          </cell>
          <cell r="G294" t="str">
            <v>LEME</v>
          </cell>
          <cell r="H294" t="str">
            <v>SP</v>
          </cell>
          <cell r="J294">
            <v>43598</v>
          </cell>
          <cell r="L294">
            <v>43810</v>
          </cell>
          <cell r="M294">
            <v>44175</v>
          </cell>
        </row>
        <row r="295">
          <cell r="B295" t="str">
            <v>TESTE 292</v>
          </cell>
          <cell r="C295">
            <v>31493</v>
          </cell>
          <cell r="E295" t="str">
            <v>TR - 1</v>
          </cell>
          <cell r="F295" t="str">
            <v>SUDESTE</v>
          </cell>
          <cell r="G295" t="str">
            <v>LEME</v>
          </cell>
          <cell r="H295" t="str">
            <v>SP</v>
          </cell>
          <cell r="J295">
            <v>43598</v>
          </cell>
          <cell r="L295">
            <v>43810</v>
          </cell>
          <cell r="M295">
            <v>44175</v>
          </cell>
        </row>
        <row r="296">
          <cell r="B296" t="str">
            <v>TESTE 293</v>
          </cell>
          <cell r="C296">
            <v>59891</v>
          </cell>
          <cell r="E296" t="str">
            <v>MTI - 4.000GTS</v>
          </cell>
          <cell r="F296" t="str">
            <v>SUDESTE</v>
          </cell>
          <cell r="G296" t="str">
            <v>SÃO PAULO</v>
          </cell>
          <cell r="H296" t="str">
            <v>SP</v>
          </cell>
          <cell r="J296">
            <v>43301</v>
          </cell>
          <cell r="L296">
            <v>43812</v>
          </cell>
          <cell r="M296">
            <v>44177</v>
          </cell>
        </row>
        <row r="297">
          <cell r="B297" t="str">
            <v>TESTE 294</v>
          </cell>
          <cell r="C297">
            <v>59891</v>
          </cell>
          <cell r="E297" t="str">
            <v>EMS - 1</v>
          </cell>
          <cell r="F297" t="str">
            <v>SUDESTE</v>
          </cell>
          <cell r="G297" t="str">
            <v>SÃO PAULO</v>
          </cell>
          <cell r="H297" t="str">
            <v>SP</v>
          </cell>
          <cell r="J297">
            <v>43301</v>
          </cell>
          <cell r="L297">
            <v>43812</v>
          </cell>
          <cell r="M297">
            <v>44177</v>
          </cell>
        </row>
        <row r="298">
          <cell r="B298" t="str">
            <v>TESTE 295</v>
          </cell>
          <cell r="C298">
            <v>47823</v>
          </cell>
          <cell r="E298" t="str">
            <v>MTI - 12.000GTS</v>
          </cell>
          <cell r="F298" t="str">
            <v>NORDESTE</v>
          </cell>
          <cell r="G298" t="str">
            <v xml:space="preserve">LUIS EDUARDO MAGALHAES </v>
          </cell>
          <cell r="H298" t="str">
            <v>BA</v>
          </cell>
          <cell r="J298">
            <v>43830</v>
          </cell>
          <cell r="L298">
            <v>44113</v>
          </cell>
          <cell r="M298">
            <v>44478</v>
          </cell>
        </row>
        <row r="299">
          <cell r="B299" t="str">
            <v>TESTE 296</v>
          </cell>
          <cell r="C299">
            <v>89271</v>
          </cell>
          <cell r="E299" t="str">
            <v>EMS - 1</v>
          </cell>
          <cell r="F299" t="str">
            <v>NORDESTE</v>
          </cell>
          <cell r="G299" t="str">
            <v xml:space="preserve">LUIS EDUARDO MAGALHAES </v>
          </cell>
          <cell r="H299" t="str">
            <v>BA</v>
          </cell>
          <cell r="J299">
            <v>43830</v>
          </cell>
          <cell r="L299">
            <v>44113</v>
          </cell>
          <cell r="M299">
            <v>44478</v>
          </cell>
        </row>
        <row r="300">
          <cell r="B300" t="str">
            <v>TESTE 297</v>
          </cell>
          <cell r="C300">
            <v>64467</v>
          </cell>
          <cell r="E300" t="str">
            <v>TR - 1</v>
          </cell>
          <cell r="F300" t="str">
            <v>NORDESTE</v>
          </cell>
          <cell r="G300" t="str">
            <v xml:space="preserve">LUIS EDUARDO MAGALHAES </v>
          </cell>
          <cell r="H300" t="str">
            <v>BA</v>
          </cell>
          <cell r="J300">
            <v>43830</v>
          </cell>
          <cell r="L300">
            <v>44113</v>
          </cell>
          <cell r="M300">
            <v>44478</v>
          </cell>
        </row>
        <row r="301">
          <cell r="B301" t="str">
            <v>TESTE 298</v>
          </cell>
          <cell r="C301">
            <v>69200</v>
          </cell>
          <cell r="E301" t="str">
            <v>MTI - 10.000GE</v>
          </cell>
          <cell r="F301" t="str">
            <v>SUDESTE</v>
          </cell>
          <cell r="G301" t="str">
            <v xml:space="preserve">RIO DE JANEIRO </v>
          </cell>
          <cell r="H301" t="str">
            <v>RJ</v>
          </cell>
          <cell r="J301">
            <v>43592</v>
          </cell>
          <cell r="L301" t="str">
            <v>STARTUP Ñ REALIZADO</v>
          </cell>
          <cell r="M301">
            <v>0</v>
          </cell>
        </row>
        <row r="302">
          <cell r="B302" t="str">
            <v>TESTE 299</v>
          </cell>
          <cell r="C302">
            <v>22449</v>
          </cell>
          <cell r="E302" t="str">
            <v>EMS - 1</v>
          </cell>
          <cell r="F302" t="str">
            <v>SUDESTE</v>
          </cell>
          <cell r="G302" t="str">
            <v xml:space="preserve">RIO DE JANEIRO </v>
          </cell>
          <cell r="H302" t="str">
            <v>RJ</v>
          </cell>
          <cell r="J302">
            <v>43592</v>
          </cell>
          <cell r="L302" t="str">
            <v>STARTUP Ñ REALIZADO</v>
          </cell>
          <cell r="M302">
            <v>0</v>
          </cell>
        </row>
        <row r="303">
          <cell r="B303" t="str">
            <v>TESTE 300</v>
          </cell>
          <cell r="C303">
            <v>3221</v>
          </cell>
          <cell r="E303" t="str">
            <v>MTI - 2.500GTS</v>
          </cell>
          <cell r="F303" t="str">
            <v>SUDESTE</v>
          </cell>
          <cell r="G303" t="str">
            <v>RIO DE JANEIRO</v>
          </cell>
          <cell r="H303" t="str">
            <v>RJ</v>
          </cell>
          <cell r="J303">
            <v>43593</v>
          </cell>
          <cell r="L303" t="str">
            <v>STARTUP Ñ REALIZADO</v>
          </cell>
          <cell r="M303">
            <v>0</v>
          </cell>
        </row>
        <row r="304">
          <cell r="B304" t="str">
            <v>TESTE 301</v>
          </cell>
          <cell r="C304">
            <v>3221</v>
          </cell>
          <cell r="E304" t="str">
            <v>EMS - 1</v>
          </cell>
          <cell r="F304" t="str">
            <v>SUDESTE</v>
          </cell>
          <cell r="G304" t="str">
            <v>RIO DE JANEIRO</v>
          </cell>
          <cell r="H304" t="str">
            <v>RJ</v>
          </cell>
          <cell r="J304">
            <v>43593</v>
          </cell>
          <cell r="L304" t="str">
            <v>STARTUP Ñ REALIZADO</v>
          </cell>
          <cell r="M304">
            <v>0</v>
          </cell>
        </row>
        <row r="305">
          <cell r="B305" t="str">
            <v>TESTE 302</v>
          </cell>
          <cell r="C305">
            <v>68730</v>
          </cell>
          <cell r="E305" t="str">
            <v>MTI - 1.000GTS</v>
          </cell>
          <cell r="F305" t="str">
            <v>SUDESTE</v>
          </cell>
          <cell r="G305" t="str">
            <v>CUNHA</v>
          </cell>
          <cell r="H305" t="str">
            <v>SP</v>
          </cell>
          <cell r="J305">
            <v>44204</v>
          </cell>
          <cell r="L305">
            <v>44364</v>
          </cell>
          <cell r="M305">
            <v>44729</v>
          </cell>
        </row>
        <row r="306">
          <cell r="B306" t="str">
            <v>TESTE 303</v>
          </cell>
          <cell r="C306">
            <v>16794</v>
          </cell>
          <cell r="E306" t="str">
            <v>E - 600</v>
          </cell>
          <cell r="F306" t="str">
            <v>SUDESTE</v>
          </cell>
          <cell r="G306" t="str">
            <v>CUNHA</v>
          </cell>
          <cell r="H306" t="str">
            <v>SP</v>
          </cell>
          <cell r="J306">
            <v>44176</v>
          </cell>
          <cell r="L306">
            <v>44364</v>
          </cell>
          <cell r="M306">
            <v>44729</v>
          </cell>
        </row>
        <row r="307">
          <cell r="B307" t="str">
            <v>TESTE 304</v>
          </cell>
          <cell r="C307">
            <v>3002522</v>
          </cell>
          <cell r="E307" t="str">
            <v>MTI - 30.000GE</v>
          </cell>
          <cell r="F307" t="str">
            <v>SUDESTE</v>
          </cell>
          <cell r="G307" t="str">
            <v>SAO PAULO</v>
          </cell>
          <cell r="H307" t="str">
            <v>SP</v>
          </cell>
          <cell r="J307" t="str">
            <v>21/01/019</v>
          </cell>
          <cell r="L307">
            <v>43615</v>
          </cell>
          <cell r="M307">
            <v>43980</v>
          </cell>
        </row>
        <row r="308">
          <cell r="B308" t="str">
            <v>TESTE 305</v>
          </cell>
          <cell r="C308">
            <v>93114</v>
          </cell>
          <cell r="E308" t="str">
            <v>MTI - 22.000GT</v>
          </cell>
          <cell r="F308" t="str">
            <v>SUDESTE</v>
          </cell>
          <cell r="G308" t="str">
            <v>SÃO PAULO</v>
          </cell>
          <cell r="H308" t="str">
            <v>SP</v>
          </cell>
          <cell r="J308">
            <v>43658</v>
          </cell>
          <cell r="L308">
            <v>43823</v>
          </cell>
          <cell r="M308">
            <v>44188</v>
          </cell>
        </row>
        <row r="309">
          <cell r="B309" t="str">
            <v>TESTE 306</v>
          </cell>
          <cell r="C309">
            <v>93114</v>
          </cell>
          <cell r="E309" t="str">
            <v>EMS - 1</v>
          </cell>
          <cell r="F309" t="str">
            <v>SUDESTE</v>
          </cell>
          <cell r="G309" t="str">
            <v>SÃO PAULO</v>
          </cell>
          <cell r="H309" t="str">
            <v>SP</v>
          </cell>
          <cell r="J309">
            <v>43658</v>
          </cell>
          <cell r="L309">
            <v>43823</v>
          </cell>
          <cell r="M309">
            <v>44188</v>
          </cell>
        </row>
        <row r="310">
          <cell r="B310" t="str">
            <v>TESTE 307</v>
          </cell>
          <cell r="C310">
            <v>93114</v>
          </cell>
          <cell r="E310" t="str">
            <v>TR - 1</v>
          </cell>
          <cell r="F310" t="str">
            <v>SUDESTE</v>
          </cell>
          <cell r="G310" t="str">
            <v>SÃO PAULO</v>
          </cell>
          <cell r="H310" t="str">
            <v>SP</v>
          </cell>
          <cell r="J310">
            <v>43658</v>
          </cell>
          <cell r="L310">
            <v>43823</v>
          </cell>
          <cell r="M310">
            <v>44188</v>
          </cell>
        </row>
        <row r="311">
          <cell r="B311" t="str">
            <v>TESTE 308</v>
          </cell>
          <cell r="C311">
            <v>9991</v>
          </cell>
          <cell r="E311" t="str">
            <v>MTI - 40.000GT</v>
          </cell>
          <cell r="F311" t="str">
            <v>SUDESTE</v>
          </cell>
          <cell r="G311" t="str">
            <v>OSASCO</v>
          </cell>
          <cell r="H311" t="str">
            <v>SP</v>
          </cell>
          <cell r="J311">
            <v>44137</v>
          </cell>
          <cell r="L311">
            <v>44281</v>
          </cell>
          <cell r="M311">
            <v>44646</v>
          </cell>
        </row>
        <row r="312">
          <cell r="B312" t="str">
            <v>TESTE 309</v>
          </cell>
          <cell r="C312">
            <v>82866</v>
          </cell>
          <cell r="E312" t="str">
            <v>MTI - 1.000GTS</v>
          </cell>
          <cell r="F312" t="str">
            <v>SUDESTE</v>
          </cell>
          <cell r="G312" t="str">
            <v>SÃO JOSE DEL REI</v>
          </cell>
          <cell r="H312" t="str">
            <v>MG</v>
          </cell>
          <cell r="J312">
            <v>44158</v>
          </cell>
          <cell r="L312">
            <v>44260</v>
          </cell>
          <cell r="M312">
            <v>44625</v>
          </cell>
        </row>
        <row r="313">
          <cell r="B313" t="str">
            <v>TESTE 310</v>
          </cell>
          <cell r="C313">
            <v>55073</v>
          </cell>
          <cell r="E313" t="str">
            <v>EMS - 1</v>
          </cell>
          <cell r="F313" t="str">
            <v>SUDESTE</v>
          </cell>
          <cell r="G313" t="str">
            <v>SÃO JOSE DEL REI</v>
          </cell>
          <cell r="H313" t="str">
            <v>MG</v>
          </cell>
          <cell r="J313">
            <v>44158</v>
          </cell>
          <cell r="L313">
            <v>44260</v>
          </cell>
          <cell r="M313">
            <v>44625</v>
          </cell>
        </row>
        <row r="314">
          <cell r="B314" t="str">
            <v>TESTE 311</v>
          </cell>
          <cell r="C314">
            <v>99931</v>
          </cell>
          <cell r="E314" t="str">
            <v>TR - 1</v>
          </cell>
          <cell r="F314" t="str">
            <v>SUDESTE</v>
          </cell>
          <cell r="G314" t="str">
            <v xml:space="preserve">GUARUJA </v>
          </cell>
          <cell r="H314" t="str">
            <v>SP</v>
          </cell>
          <cell r="J314">
            <v>43738</v>
          </cell>
          <cell r="L314">
            <v>43738</v>
          </cell>
          <cell r="M314">
            <v>44103</v>
          </cell>
        </row>
        <row r="315">
          <cell r="B315" t="str">
            <v>TESTE 312</v>
          </cell>
          <cell r="C315">
            <v>99938</v>
          </cell>
          <cell r="E315" t="str">
            <v>MTI - 4.000GTS</v>
          </cell>
          <cell r="F315" t="str">
            <v>SUDESTE</v>
          </cell>
          <cell r="G315" t="str">
            <v xml:space="preserve">GUARUJA </v>
          </cell>
          <cell r="H315" t="str">
            <v xml:space="preserve">SP </v>
          </cell>
          <cell r="J315">
            <v>43131</v>
          </cell>
          <cell r="L315">
            <v>43754</v>
          </cell>
          <cell r="M315">
            <v>44119</v>
          </cell>
        </row>
        <row r="316">
          <cell r="B316" t="str">
            <v>TESTE 313</v>
          </cell>
          <cell r="C316">
            <v>99939</v>
          </cell>
          <cell r="E316" t="str">
            <v>EMS - 1</v>
          </cell>
          <cell r="F316" t="str">
            <v>SUDESTE</v>
          </cell>
          <cell r="G316" t="str">
            <v xml:space="preserve">GUARUJA </v>
          </cell>
          <cell r="H316" t="str">
            <v xml:space="preserve">SP </v>
          </cell>
          <cell r="J316">
            <v>43131</v>
          </cell>
          <cell r="L316">
            <v>43754</v>
          </cell>
          <cell r="M316">
            <v>44119</v>
          </cell>
        </row>
        <row r="317">
          <cell r="B317" t="str">
            <v>TESTE 314</v>
          </cell>
          <cell r="C317">
            <v>33991</v>
          </cell>
          <cell r="E317" t="str">
            <v>MTI - 4.000GTS</v>
          </cell>
          <cell r="F317" t="str">
            <v>SUDESTE</v>
          </cell>
          <cell r="G317" t="str">
            <v>POÇOS DE CALDAS</v>
          </cell>
          <cell r="H317" t="str">
            <v xml:space="preserve">MG </v>
          </cell>
          <cell r="J317">
            <v>43684</v>
          </cell>
          <cell r="L317">
            <v>43868</v>
          </cell>
          <cell r="M317">
            <v>44233</v>
          </cell>
        </row>
        <row r="318">
          <cell r="B318" t="str">
            <v>TESTE 315</v>
          </cell>
          <cell r="C318">
            <v>33991</v>
          </cell>
          <cell r="E318" t="str">
            <v>EMS - 1</v>
          </cell>
          <cell r="F318" t="str">
            <v>SUDESTE</v>
          </cell>
          <cell r="G318" t="str">
            <v>POÇOS DE CALDAS</v>
          </cell>
          <cell r="H318" t="str">
            <v xml:space="preserve">MG </v>
          </cell>
          <cell r="J318">
            <v>43684</v>
          </cell>
          <cell r="L318">
            <v>43868</v>
          </cell>
          <cell r="M318">
            <v>44233</v>
          </cell>
        </row>
        <row r="319">
          <cell r="B319" t="str">
            <v>TESTE 316</v>
          </cell>
          <cell r="C319">
            <v>33991</v>
          </cell>
          <cell r="E319" t="str">
            <v>TR - 1</v>
          </cell>
          <cell r="F319" t="str">
            <v>SUDESTE</v>
          </cell>
          <cell r="G319" t="str">
            <v>POÇOS DE CALDAS</v>
          </cell>
          <cell r="H319" t="str">
            <v xml:space="preserve">MG </v>
          </cell>
          <cell r="J319">
            <v>43684</v>
          </cell>
          <cell r="L319">
            <v>43868</v>
          </cell>
          <cell r="M319">
            <v>44233</v>
          </cell>
        </row>
        <row r="320">
          <cell r="B320" t="str">
            <v>TESTE 317</v>
          </cell>
          <cell r="C320">
            <v>86411</v>
          </cell>
          <cell r="E320" t="str">
            <v>MTI - 7.000GTS</v>
          </cell>
          <cell r="F320" t="str">
            <v>SUDESTE</v>
          </cell>
          <cell r="G320" t="str">
            <v>JAU</v>
          </cell>
          <cell r="H320" t="str">
            <v>SP</v>
          </cell>
          <cell r="J320">
            <v>43763</v>
          </cell>
          <cell r="L320">
            <v>44086</v>
          </cell>
          <cell r="M320">
            <v>44451</v>
          </cell>
        </row>
        <row r="321">
          <cell r="B321" t="str">
            <v>TESTE 318</v>
          </cell>
          <cell r="C321">
            <v>21667</v>
          </cell>
          <cell r="E321" t="str">
            <v>EMS - 1</v>
          </cell>
          <cell r="F321" t="str">
            <v>SUDESTE</v>
          </cell>
          <cell r="G321" t="str">
            <v>JAU</v>
          </cell>
          <cell r="H321" t="str">
            <v>SP</v>
          </cell>
          <cell r="J321">
            <v>43763</v>
          </cell>
          <cell r="L321">
            <v>44086</v>
          </cell>
          <cell r="M321">
            <v>44451</v>
          </cell>
        </row>
        <row r="322">
          <cell r="B322" t="str">
            <v>TESTE 319</v>
          </cell>
          <cell r="C322">
            <v>93194</v>
          </cell>
          <cell r="E322" t="str">
            <v>TR - 1</v>
          </cell>
          <cell r="F322" t="str">
            <v>SUDESTE</v>
          </cell>
          <cell r="G322" t="str">
            <v>JAU</v>
          </cell>
          <cell r="H322" t="str">
            <v>SP</v>
          </cell>
          <cell r="J322">
            <v>43763</v>
          </cell>
          <cell r="L322">
            <v>44086</v>
          </cell>
          <cell r="M322">
            <v>44451</v>
          </cell>
        </row>
        <row r="323">
          <cell r="B323" t="str">
            <v>TESTE 320</v>
          </cell>
          <cell r="C323">
            <v>86746</v>
          </cell>
          <cell r="E323" t="str">
            <v>MTI - 1.000GTS</v>
          </cell>
          <cell r="F323" t="str">
            <v>NORDESTE</v>
          </cell>
          <cell r="G323" t="str">
            <v>CORRENTE</v>
          </cell>
          <cell r="H323" t="str">
            <v>PI</v>
          </cell>
          <cell r="J323">
            <v>44104</v>
          </cell>
          <cell r="L323">
            <v>44253</v>
          </cell>
          <cell r="M323">
            <v>44618</v>
          </cell>
        </row>
        <row r="324">
          <cell r="B324" t="str">
            <v>TESTE 321</v>
          </cell>
          <cell r="C324">
            <v>9283</v>
          </cell>
          <cell r="E324" t="str">
            <v>CONDENSADOR 1.200.000</v>
          </cell>
          <cell r="F324" t="str">
            <v>NORTE</v>
          </cell>
          <cell r="G324" t="str">
            <v xml:space="preserve">PORTO VELHO </v>
          </cell>
          <cell r="H324" t="str">
            <v>RO</v>
          </cell>
          <cell r="J324">
            <v>43794</v>
          </cell>
          <cell r="L324">
            <v>43903</v>
          </cell>
          <cell r="M324">
            <v>44268</v>
          </cell>
        </row>
        <row r="325">
          <cell r="B325" t="str">
            <v>TESTE 322</v>
          </cell>
          <cell r="C325">
            <v>81650</v>
          </cell>
          <cell r="E325" t="str">
            <v>MTI - 2.500GTS</v>
          </cell>
          <cell r="F325" t="str">
            <v>CENTROESTE</v>
          </cell>
          <cell r="G325" t="str">
            <v>SINOP</v>
          </cell>
          <cell r="H325" t="str">
            <v>MT</v>
          </cell>
          <cell r="J325">
            <v>44236</v>
          </cell>
          <cell r="L325">
            <v>44389</v>
          </cell>
          <cell r="M325">
            <v>44754</v>
          </cell>
        </row>
        <row r="326">
          <cell r="B326" t="str">
            <v>TESTE 323</v>
          </cell>
          <cell r="C326">
            <v>71327</v>
          </cell>
          <cell r="E326" t="str">
            <v>E - 300</v>
          </cell>
          <cell r="F326" t="str">
            <v>CENTROESTE</v>
          </cell>
          <cell r="G326" t="str">
            <v>SINOP</v>
          </cell>
          <cell r="H326" t="str">
            <v>MT</v>
          </cell>
          <cell r="J326">
            <v>44236</v>
          </cell>
          <cell r="L326">
            <v>44389</v>
          </cell>
          <cell r="M326">
            <v>44754</v>
          </cell>
        </row>
        <row r="327">
          <cell r="B327" t="str">
            <v>TESTE 324</v>
          </cell>
          <cell r="C327">
            <v>37079</v>
          </cell>
          <cell r="E327" t="str">
            <v>TR - 1</v>
          </cell>
          <cell r="F327" t="str">
            <v>CENTROESTE</v>
          </cell>
          <cell r="G327" t="str">
            <v>SINOP</v>
          </cell>
          <cell r="H327" t="str">
            <v>MT</v>
          </cell>
          <cell r="J327">
            <v>44236</v>
          </cell>
          <cell r="L327">
            <v>44389</v>
          </cell>
          <cell r="M327">
            <v>44754</v>
          </cell>
        </row>
        <row r="328">
          <cell r="B328" t="str">
            <v>TESTE 325</v>
          </cell>
          <cell r="C328">
            <v>19607</v>
          </cell>
          <cell r="E328" t="str">
            <v>MTI - 12.000GTS</v>
          </cell>
          <cell r="F328" t="str">
            <v>SUDESTE</v>
          </cell>
          <cell r="G328" t="str">
            <v>BAURU</v>
          </cell>
          <cell r="H328" t="str">
            <v xml:space="preserve">SP </v>
          </cell>
          <cell r="J328">
            <v>44019</v>
          </cell>
          <cell r="L328">
            <v>44142</v>
          </cell>
          <cell r="M328">
            <v>44507</v>
          </cell>
        </row>
        <row r="329">
          <cell r="B329" t="str">
            <v>TESTE 326</v>
          </cell>
          <cell r="C329">
            <v>59955</v>
          </cell>
          <cell r="E329" t="str">
            <v>TR - 1</v>
          </cell>
          <cell r="F329" t="str">
            <v>SUDESTE</v>
          </cell>
          <cell r="G329" t="str">
            <v>BAURU</v>
          </cell>
          <cell r="H329" t="str">
            <v xml:space="preserve">SP </v>
          </cell>
          <cell r="J329">
            <v>44019</v>
          </cell>
          <cell r="L329">
            <v>44142</v>
          </cell>
          <cell r="M329">
            <v>44507</v>
          </cell>
        </row>
        <row r="330">
          <cell r="B330" t="str">
            <v>TESTE 327</v>
          </cell>
          <cell r="C330">
            <v>73508</v>
          </cell>
          <cell r="E330" t="str">
            <v>MTI - 4.000GES</v>
          </cell>
          <cell r="F330" t="str">
            <v>NORTE</v>
          </cell>
          <cell r="G330" t="str">
            <v>JARU</v>
          </cell>
          <cell r="H330" t="str">
            <v>RO</v>
          </cell>
          <cell r="J330">
            <v>44104</v>
          </cell>
          <cell r="L330">
            <v>44205</v>
          </cell>
          <cell r="M330">
            <v>44570</v>
          </cell>
        </row>
        <row r="331">
          <cell r="B331" t="str">
            <v>TESTE 328</v>
          </cell>
          <cell r="C331">
            <v>59053</v>
          </cell>
          <cell r="E331" t="str">
            <v>EMS - 1</v>
          </cell>
          <cell r="F331" t="str">
            <v>NORTE</v>
          </cell>
          <cell r="G331" t="str">
            <v>JARU</v>
          </cell>
          <cell r="H331" t="str">
            <v>RO</v>
          </cell>
          <cell r="J331">
            <v>44155</v>
          </cell>
          <cell r="L331">
            <v>44205</v>
          </cell>
          <cell r="M331">
            <v>44570</v>
          </cell>
        </row>
        <row r="332">
          <cell r="B332" t="str">
            <v>TESTE 329</v>
          </cell>
          <cell r="C332">
            <v>74629</v>
          </cell>
          <cell r="E332" t="str">
            <v>MTI - 1.000GTS</v>
          </cell>
          <cell r="F332" t="str">
            <v>CENTROESTE</v>
          </cell>
          <cell r="G332" t="str">
            <v>QUIRINOPOLIS</v>
          </cell>
          <cell r="H332" t="str">
            <v xml:space="preserve">GO </v>
          </cell>
          <cell r="J332">
            <v>44090</v>
          </cell>
          <cell r="L332">
            <v>44183</v>
          </cell>
          <cell r="M332">
            <v>44548</v>
          </cell>
        </row>
        <row r="333">
          <cell r="B333" t="str">
            <v>TESTE 330</v>
          </cell>
          <cell r="C333">
            <v>56629</v>
          </cell>
          <cell r="E333" t="str">
            <v>EMS - 0</v>
          </cell>
          <cell r="F333" t="str">
            <v>CENTROESTE</v>
          </cell>
          <cell r="G333" t="str">
            <v>QUIRINOPOLIS</v>
          </cell>
          <cell r="H333" t="str">
            <v xml:space="preserve">GO </v>
          </cell>
          <cell r="J333">
            <v>44090</v>
          </cell>
          <cell r="L333">
            <v>44183</v>
          </cell>
          <cell r="M333">
            <v>44548</v>
          </cell>
        </row>
        <row r="334">
          <cell r="B334" t="str">
            <v>TESTE 331</v>
          </cell>
          <cell r="C334">
            <v>99923</v>
          </cell>
          <cell r="E334" t="str">
            <v>MTI - 4.000GES</v>
          </cell>
          <cell r="F334" t="str">
            <v>NORTE</v>
          </cell>
          <cell r="G334" t="str">
            <v>TAILANDIA</v>
          </cell>
          <cell r="H334" t="str">
            <v>PA</v>
          </cell>
          <cell r="J334">
            <v>43378</v>
          </cell>
          <cell r="L334">
            <v>43717</v>
          </cell>
          <cell r="M334">
            <v>44082</v>
          </cell>
        </row>
        <row r="335">
          <cell r="B335" t="str">
            <v>TESTE 332</v>
          </cell>
          <cell r="C335">
            <v>79466</v>
          </cell>
          <cell r="E335" t="str">
            <v>TR - 1</v>
          </cell>
          <cell r="F335" t="str">
            <v>SUDESTE</v>
          </cell>
          <cell r="G335" t="str">
            <v>SOROCABA</v>
          </cell>
          <cell r="H335" t="str">
            <v xml:space="preserve">SP </v>
          </cell>
          <cell r="J335">
            <v>43983</v>
          </cell>
          <cell r="L335">
            <v>44005</v>
          </cell>
          <cell r="M335">
            <v>44370</v>
          </cell>
        </row>
        <row r="336">
          <cell r="B336" t="str">
            <v>TESTE 333</v>
          </cell>
          <cell r="C336">
            <v>79251</v>
          </cell>
          <cell r="E336" t="str">
            <v>MTI - 12.000GTS</v>
          </cell>
          <cell r="F336" t="str">
            <v>CENTROESTE</v>
          </cell>
          <cell r="G336" t="str">
            <v xml:space="preserve">TRES LAGOAS </v>
          </cell>
          <cell r="H336" t="str">
            <v xml:space="preserve">MS </v>
          </cell>
          <cell r="J336">
            <v>44134</v>
          </cell>
          <cell r="L336">
            <v>44345</v>
          </cell>
          <cell r="M336">
            <v>44710</v>
          </cell>
        </row>
        <row r="337">
          <cell r="B337" t="str">
            <v>TESTE 334</v>
          </cell>
          <cell r="C337">
            <v>89929</v>
          </cell>
          <cell r="E337" t="str">
            <v>EMS - 1</v>
          </cell>
          <cell r="F337" t="str">
            <v>CENTROESTE</v>
          </cell>
          <cell r="G337" t="str">
            <v xml:space="preserve">TRES LAGOAS </v>
          </cell>
          <cell r="H337" t="str">
            <v xml:space="preserve">MS </v>
          </cell>
          <cell r="J337">
            <v>44134</v>
          </cell>
          <cell r="L337">
            <v>44345</v>
          </cell>
          <cell r="M337">
            <v>44710</v>
          </cell>
        </row>
        <row r="338">
          <cell r="B338" t="str">
            <v>TESTE 335</v>
          </cell>
          <cell r="C338">
            <v>72279</v>
          </cell>
          <cell r="E338" t="str">
            <v>BASE MTI - 12.000GTS</v>
          </cell>
          <cell r="F338" t="str">
            <v>CENTROESTE</v>
          </cell>
          <cell r="G338" t="str">
            <v xml:space="preserve">TRES LAGOAS </v>
          </cell>
          <cell r="H338" t="str">
            <v xml:space="preserve">MS </v>
          </cell>
          <cell r="J338">
            <v>44134</v>
          </cell>
          <cell r="L338">
            <v>44345</v>
          </cell>
          <cell r="M338">
            <v>44710</v>
          </cell>
        </row>
        <row r="339">
          <cell r="B339" t="str">
            <v>TESTE 336</v>
          </cell>
          <cell r="C339">
            <v>63272</v>
          </cell>
          <cell r="E339" t="str">
            <v>TR - 1</v>
          </cell>
          <cell r="F339" t="str">
            <v>CENTROESTE</v>
          </cell>
          <cell r="G339" t="str">
            <v xml:space="preserve">TRES LAGOAS </v>
          </cell>
          <cell r="H339" t="str">
            <v xml:space="preserve">MS </v>
          </cell>
          <cell r="J339">
            <v>44134</v>
          </cell>
          <cell r="L339">
            <v>44345</v>
          </cell>
          <cell r="M339">
            <v>44710</v>
          </cell>
        </row>
        <row r="340">
          <cell r="B340" t="str">
            <v>TESTE 337</v>
          </cell>
          <cell r="C340">
            <v>49643</v>
          </cell>
          <cell r="E340" t="str">
            <v>MTI - 2.500GTS</v>
          </cell>
          <cell r="F340" t="str">
            <v>NORTE</v>
          </cell>
          <cell r="G340" t="str">
            <v xml:space="preserve">PORTO VELHO </v>
          </cell>
          <cell r="H340" t="str">
            <v xml:space="preserve">RO </v>
          </cell>
          <cell r="J340">
            <v>43981</v>
          </cell>
          <cell r="L340">
            <v>44347</v>
          </cell>
          <cell r="M340">
            <v>44712</v>
          </cell>
        </row>
        <row r="341">
          <cell r="B341" t="str">
            <v>TESTE 338</v>
          </cell>
          <cell r="C341">
            <v>95835</v>
          </cell>
          <cell r="E341" t="str">
            <v>TR - 1</v>
          </cell>
          <cell r="F341" t="str">
            <v>NORTE</v>
          </cell>
          <cell r="G341" t="str">
            <v xml:space="preserve">PORTO VELHO </v>
          </cell>
          <cell r="H341" t="str">
            <v xml:space="preserve">RO </v>
          </cell>
          <cell r="J341">
            <v>43981</v>
          </cell>
          <cell r="L341">
            <v>44347</v>
          </cell>
          <cell r="M341">
            <v>44712</v>
          </cell>
        </row>
        <row r="342">
          <cell r="B342" t="str">
            <v>TESTE 339</v>
          </cell>
          <cell r="C342">
            <v>58223</v>
          </cell>
          <cell r="E342" t="str">
            <v>EMS - 1</v>
          </cell>
          <cell r="F342" t="str">
            <v>NORTE</v>
          </cell>
          <cell r="G342" t="str">
            <v xml:space="preserve">PORTO VELHO </v>
          </cell>
          <cell r="H342" t="str">
            <v xml:space="preserve">RO </v>
          </cell>
          <cell r="J342">
            <v>43981</v>
          </cell>
          <cell r="L342">
            <v>44347</v>
          </cell>
          <cell r="M342">
            <v>44712</v>
          </cell>
        </row>
        <row r="343">
          <cell r="B343" t="str">
            <v>TESTE 340</v>
          </cell>
          <cell r="C343">
            <v>3001903</v>
          </cell>
          <cell r="E343" t="str">
            <v>MTI - 7.000GTS</v>
          </cell>
          <cell r="F343" t="str">
            <v>SUDESTE</v>
          </cell>
          <cell r="G343" t="str">
            <v>MACAÉ</v>
          </cell>
          <cell r="H343" t="str">
            <v>RJ</v>
          </cell>
          <cell r="J343">
            <v>43524</v>
          </cell>
          <cell r="L343">
            <v>43517</v>
          </cell>
          <cell r="M343">
            <v>43882</v>
          </cell>
        </row>
        <row r="344">
          <cell r="B344" t="str">
            <v>TESTE 341</v>
          </cell>
          <cell r="C344">
            <v>3000192</v>
          </cell>
          <cell r="E344" t="str">
            <v>EMS - 1</v>
          </cell>
          <cell r="F344" t="str">
            <v>SUDESTE</v>
          </cell>
          <cell r="G344" t="str">
            <v>MACAÉ</v>
          </cell>
          <cell r="H344" t="str">
            <v>RJ</v>
          </cell>
          <cell r="J344">
            <v>43524</v>
          </cell>
          <cell r="L344">
            <v>43517</v>
          </cell>
          <cell r="M344">
            <v>43882</v>
          </cell>
        </row>
        <row r="345">
          <cell r="B345" t="str">
            <v>TESTE 342</v>
          </cell>
          <cell r="C345">
            <v>3000228</v>
          </cell>
          <cell r="E345" t="str">
            <v>TR - 1</v>
          </cell>
          <cell r="F345" t="str">
            <v>SUDESTE</v>
          </cell>
          <cell r="G345" t="str">
            <v>MACAE</v>
          </cell>
          <cell r="H345" t="str">
            <v>RJ</v>
          </cell>
          <cell r="J345">
            <v>43658</v>
          </cell>
          <cell r="L345">
            <v>43689</v>
          </cell>
          <cell r="M345">
            <v>44054</v>
          </cell>
        </row>
        <row r="346">
          <cell r="B346" t="str">
            <v>TESTE 343</v>
          </cell>
          <cell r="C346">
            <v>62750</v>
          </cell>
          <cell r="E346" t="str">
            <v>TR - 1</v>
          </cell>
          <cell r="F346" t="str">
            <v>SUDESTE</v>
          </cell>
          <cell r="G346" t="str">
            <v xml:space="preserve">SÃO GONZALO </v>
          </cell>
          <cell r="H346" t="str">
            <v>RJ</v>
          </cell>
          <cell r="J346" t="str">
            <v>31/04/2020</v>
          </cell>
          <cell r="L346">
            <v>43990</v>
          </cell>
          <cell r="M346">
            <v>44355</v>
          </cell>
        </row>
        <row r="347">
          <cell r="B347" t="str">
            <v>TESTE 344</v>
          </cell>
          <cell r="C347">
            <v>3000228</v>
          </cell>
          <cell r="E347" t="str">
            <v>TR - 1</v>
          </cell>
          <cell r="F347" t="str">
            <v>NORTE</v>
          </cell>
          <cell r="G347" t="str">
            <v>MANACAPURU</v>
          </cell>
          <cell r="H347" t="str">
            <v>AM</v>
          </cell>
          <cell r="J347">
            <v>43410</v>
          </cell>
          <cell r="L347">
            <v>43585</v>
          </cell>
          <cell r="M347">
            <v>43950</v>
          </cell>
        </row>
        <row r="348">
          <cell r="B348" t="str">
            <v>TESTE 345</v>
          </cell>
          <cell r="C348">
            <v>78008</v>
          </cell>
          <cell r="E348" t="str">
            <v>MTI - 3.200GES</v>
          </cell>
          <cell r="F348" t="str">
            <v>SUDESTE</v>
          </cell>
          <cell r="G348" t="str">
            <v>SÃO PAULO</v>
          </cell>
          <cell r="H348" t="str">
            <v>SP</v>
          </cell>
          <cell r="J348">
            <v>44331</v>
          </cell>
          <cell r="L348">
            <v>44460</v>
          </cell>
          <cell r="M348">
            <v>44825</v>
          </cell>
        </row>
        <row r="349">
          <cell r="B349" t="str">
            <v>TESTE 346</v>
          </cell>
          <cell r="C349">
            <v>49371</v>
          </cell>
          <cell r="E349" t="str">
            <v>BASE MTI - 3.200GES</v>
          </cell>
          <cell r="F349" t="str">
            <v>SUDESTE</v>
          </cell>
          <cell r="G349" t="str">
            <v>SÃO PAULO</v>
          </cell>
          <cell r="H349" t="str">
            <v>SP</v>
          </cell>
          <cell r="J349">
            <v>44396</v>
          </cell>
          <cell r="L349">
            <v>44460</v>
          </cell>
          <cell r="M349">
            <v>44825</v>
          </cell>
        </row>
        <row r="350">
          <cell r="B350" t="str">
            <v>TESTE 347</v>
          </cell>
          <cell r="C350">
            <v>40976</v>
          </cell>
          <cell r="E350" t="str">
            <v>MTI - 10.000GTS</v>
          </cell>
          <cell r="F350" t="str">
            <v>NORTE</v>
          </cell>
          <cell r="G350" t="str">
            <v>BOA VISTA</v>
          </cell>
          <cell r="H350" t="str">
            <v>RR</v>
          </cell>
          <cell r="J350">
            <v>44345</v>
          </cell>
          <cell r="L350">
            <v>44521</v>
          </cell>
          <cell r="M350">
            <v>44886</v>
          </cell>
        </row>
        <row r="351">
          <cell r="B351" t="str">
            <v>TESTE 348</v>
          </cell>
          <cell r="C351">
            <v>11441</v>
          </cell>
          <cell r="E351" t="str">
            <v>E - 1000</v>
          </cell>
          <cell r="F351" t="str">
            <v>NORTE</v>
          </cell>
          <cell r="G351" t="str">
            <v>BOA VISTA</v>
          </cell>
          <cell r="H351" t="str">
            <v>RR</v>
          </cell>
          <cell r="J351">
            <v>44345</v>
          </cell>
          <cell r="L351">
            <v>44521</v>
          </cell>
          <cell r="M351">
            <v>44886</v>
          </cell>
        </row>
        <row r="352">
          <cell r="B352" t="str">
            <v>TESTE 349</v>
          </cell>
          <cell r="C352">
            <v>68618</v>
          </cell>
          <cell r="E352" t="str">
            <v>TR - 1</v>
          </cell>
          <cell r="F352" t="str">
            <v>NORTE</v>
          </cell>
          <cell r="G352" t="str">
            <v>BOA VISTA</v>
          </cell>
          <cell r="H352" t="str">
            <v>RR</v>
          </cell>
          <cell r="J352">
            <v>44345</v>
          </cell>
          <cell r="L352">
            <v>44521</v>
          </cell>
          <cell r="M352">
            <v>44886</v>
          </cell>
        </row>
        <row r="353">
          <cell r="B353" t="str">
            <v>TESTE 350</v>
          </cell>
          <cell r="C353">
            <v>24822</v>
          </cell>
          <cell r="E353" t="str">
            <v>MTI - 4.000GTS</v>
          </cell>
          <cell r="F353" t="str">
            <v>SUDESTE</v>
          </cell>
          <cell r="G353" t="str">
            <v>ITAUNA</v>
          </cell>
          <cell r="H353" t="str">
            <v>MG</v>
          </cell>
          <cell r="J353">
            <v>44271</v>
          </cell>
          <cell r="L353">
            <v>44469</v>
          </cell>
          <cell r="M353">
            <v>44834</v>
          </cell>
        </row>
        <row r="354">
          <cell r="B354" t="str">
            <v>TESTE 351</v>
          </cell>
          <cell r="C354">
            <v>25330</v>
          </cell>
          <cell r="E354" t="str">
            <v>E - 300</v>
          </cell>
          <cell r="F354" t="str">
            <v>SUDESTE</v>
          </cell>
          <cell r="G354" t="str">
            <v>ITAUNA</v>
          </cell>
          <cell r="H354" t="str">
            <v>MG</v>
          </cell>
          <cell r="J354">
            <v>44271</v>
          </cell>
          <cell r="L354">
            <v>44469</v>
          </cell>
          <cell r="M354">
            <v>44834</v>
          </cell>
        </row>
        <row r="355">
          <cell r="B355" t="str">
            <v>TESTE 352</v>
          </cell>
          <cell r="C355">
            <v>15176</v>
          </cell>
          <cell r="E355" t="str">
            <v>TR - 1</v>
          </cell>
          <cell r="F355" t="str">
            <v>SUDESTE</v>
          </cell>
          <cell r="G355" t="str">
            <v>ITAUNA</v>
          </cell>
          <cell r="H355" t="str">
            <v>MG</v>
          </cell>
          <cell r="J355">
            <v>44271</v>
          </cell>
          <cell r="L355">
            <v>44469</v>
          </cell>
          <cell r="M355">
            <v>44834</v>
          </cell>
        </row>
        <row r="356">
          <cell r="B356" t="str">
            <v>TESTE 353</v>
          </cell>
          <cell r="C356">
            <v>52520</v>
          </cell>
          <cell r="E356" t="str">
            <v>MTI - 2.500GTS</v>
          </cell>
          <cell r="F356" t="str">
            <v>SUDESTE</v>
          </cell>
          <cell r="G356" t="str">
            <v>QUIRINOPOLIS</v>
          </cell>
          <cell r="H356" t="str">
            <v xml:space="preserve">GO </v>
          </cell>
          <cell r="J356">
            <v>44371</v>
          </cell>
          <cell r="L356">
            <v>44474</v>
          </cell>
          <cell r="M356">
            <v>44839</v>
          </cell>
        </row>
        <row r="357">
          <cell r="B357" t="str">
            <v>TESTE 354</v>
          </cell>
          <cell r="C357">
            <v>12963</v>
          </cell>
          <cell r="E357" t="str">
            <v>PGM 40.000 GTS</v>
          </cell>
          <cell r="F357" t="str">
            <v>NORTE</v>
          </cell>
          <cell r="G357" t="str">
            <v>PALMAS</v>
          </cell>
          <cell r="H357" t="str">
            <v>TO</v>
          </cell>
          <cell r="J357">
            <v>44127</v>
          </cell>
          <cell r="L357">
            <v>44484</v>
          </cell>
          <cell r="M357">
            <v>44849</v>
          </cell>
        </row>
        <row r="358">
          <cell r="B358" t="str">
            <v>TESTE 355</v>
          </cell>
          <cell r="C358">
            <v>67788</v>
          </cell>
          <cell r="E358" t="str">
            <v>MTI - 4.000GTS</v>
          </cell>
          <cell r="F358" t="str">
            <v>NORDESTE</v>
          </cell>
          <cell r="G358" t="str">
            <v>COMANDATUBA</v>
          </cell>
          <cell r="H358" t="str">
            <v>BA</v>
          </cell>
          <cell r="J358">
            <v>44372</v>
          </cell>
          <cell r="L358">
            <v>44484</v>
          </cell>
          <cell r="M358">
            <v>44849</v>
          </cell>
        </row>
        <row r="359">
          <cell r="B359" t="str">
            <v>TESTE 356</v>
          </cell>
          <cell r="C359">
            <v>61502</v>
          </cell>
          <cell r="E359" t="str">
            <v>MTI - 1.000GTS</v>
          </cell>
          <cell r="F359" t="str">
            <v>SUDESTE</v>
          </cell>
          <cell r="G359" t="str">
            <v>VILA VELHA</v>
          </cell>
          <cell r="H359" t="str">
            <v>ES</v>
          </cell>
          <cell r="J359">
            <v>44225</v>
          </cell>
          <cell r="L359">
            <v>44491</v>
          </cell>
          <cell r="M359">
            <v>44856</v>
          </cell>
        </row>
        <row r="360">
          <cell r="B360" t="str">
            <v>TESTE 357</v>
          </cell>
          <cell r="C360">
            <v>12843</v>
          </cell>
          <cell r="E360" t="str">
            <v>BASE MTI - 1.000GTS</v>
          </cell>
          <cell r="F360" t="str">
            <v>SUDESTE</v>
          </cell>
          <cell r="G360" t="str">
            <v>VILA VELHA</v>
          </cell>
          <cell r="H360" t="str">
            <v>ES</v>
          </cell>
          <cell r="J360">
            <v>44225</v>
          </cell>
          <cell r="L360">
            <v>44491</v>
          </cell>
          <cell r="M360">
            <v>44856</v>
          </cell>
        </row>
        <row r="361">
          <cell r="B361" t="str">
            <v>TESTE 358</v>
          </cell>
          <cell r="C361">
            <v>12247</v>
          </cell>
          <cell r="E361" t="str">
            <v>MTI - 12.000GTS</v>
          </cell>
          <cell r="F361" t="str">
            <v>SUDESTE</v>
          </cell>
          <cell r="G361" t="str">
            <v>UBERABA</v>
          </cell>
          <cell r="H361" t="str">
            <v>MG</v>
          </cell>
          <cell r="J361">
            <v>44223</v>
          </cell>
          <cell r="L361">
            <v>44485</v>
          </cell>
          <cell r="M361">
            <v>44850</v>
          </cell>
        </row>
        <row r="362">
          <cell r="B362" t="str">
            <v>TESTE 359</v>
          </cell>
          <cell r="C362">
            <v>40917</v>
          </cell>
          <cell r="E362" t="str">
            <v>BASE MTI - 12.000GTS</v>
          </cell>
          <cell r="F362" t="str">
            <v>SUDESTE</v>
          </cell>
          <cell r="G362" t="str">
            <v>UBERABA</v>
          </cell>
          <cell r="H362" t="str">
            <v>MG</v>
          </cell>
          <cell r="J362">
            <v>44223</v>
          </cell>
          <cell r="L362">
            <v>44485</v>
          </cell>
          <cell r="M362">
            <v>44850</v>
          </cell>
        </row>
        <row r="363">
          <cell r="B363" t="str">
            <v>TESTE 360</v>
          </cell>
          <cell r="C363">
            <v>45572</v>
          </cell>
          <cell r="E363" t="str">
            <v>TR - 1</v>
          </cell>
          <cell r="F363" t="str">
            <v>SUDESTE</v>
          </cell>
          <cell r="G363" t="str">
            <v>UBERABA</v>
          </cell>
          <cell r="H363" t="str">
            <v>MG</v>
          </cell>
          <cell r="J363">
            <v>44223</v>
          </cell>
          <cell r="L363">
            <v>44485</v>
          </cell>
          <cell r="M363">
            <v>44850</v>
          </cell>
        </row>
        <row r="364">
          <cell r="B364" t="str">
            <v>TESTE 361</v>
          </cell>
          <cell r="C364">
            <v>28578</v>
          </cell>
          <cell r="E364" t="str">
            <v>E - 600</v>
          </cell>
          <cell r="F364" t="str">
            <v>SUDESTE</v>
          </cell>
          <cell r="G364" t="str">
            <v>UBERABA</v>
          </cell>
          <cell r="H364" t="str">
            <v>MG</v>
          </cell>
          <cell r="J364">
            <v>44223</v>
          </cell>
          <cell r="L364">
            <v>44485</v>
          </cell>
          <cell r="M364">
            <v>44850</v>
          </cell>
        </row>
        <row r="365">
          <cell r="B365" t="str">
            <v>TESTE 362</v>
          </cell>
          <cell r="C365">
            <v>71477</v>
          </cell>
          <cell r="E365" t="str">
            <v>MTI - 7.000GTS</v>
          </cell>
          <cell r="F365" t="str">
            <v>NORDESTE</v>
          </cell>
          <cell r="G365" t="str">
            <v>ITACARÉ</v>
          </cell>
          <cell r="H365" t="str">
            <v>BA</v>
          </cell>
          <cell r="J365">
            <v>44286</v>
          </cell>
          <cell r="L365">
            <v>44500</v>
          </cell>
          <cell r="M365">
            <v>44865</v>
          </cell>
        </row>
        <row r="366">
          <cell r="B366" t="str">
            <v>TESTE 363</v>
          </cell>
          <cell r="C366">
            <v>83313</v>
          </cell>
          <cell r="E366" t="str">
            <v>TR - 1</v>
          </cell>
          <cell r="F366" t="str">
            <v>NORDESTE</v>
          </cell>
          <cell r="G366" t="str">
            <v>ITACARÉ</v>
          </cell>
          <cell r="H366" t="str">
            <v>BA</v>
          </cell>
          <cell r="J366">
            <v>44286</v>
          </cell>
          <cell r="L366">
            <v>44500</v>
          </cell>
          <cell r="M366">
            <v>44865</v>
          </cell>
        </row>
        <row r="367">
          <cell r="B367" t="str">
            <v>TESTE 364</v>
          </cell>
          <cell r="C367">
            <v>21657</v>
          </cell>
          <cell r="E367" t="str">
            <v>E - 600</v>
          </cell>
          <cell r="F367" t="str">
            <v>NORDESTE</v>
          </cell>
          <cell r="G367" t="str">
            <v>ITACARÉ</v>
          </cell>
          <cell r="H367" t="str">
            <v>BA</v>
          </cell>
          <cell r="J367">
            <v>44286</v>
          </cell>
          <cell r="L367">
            <v>44500</v>
          </cell>
          <cell r="M367">
            <v>44865</v>
          </cell>
        </row>
        <row r="368">
          <cell r="B368" t="str">
            <v>TESTE 365</v>
          </cell>
          <cell r="C368">
            <v>82782</v>
          </cell>
          <cell r="E368" t="str">
            <v>MTI - 1.000GTS</v>
          </cell>
          <cell r="F368" t="str">
            <v>SUDESTE</v>
          </cell>
          <cell r="G368" t="str">
            <v>SÃO PAULO</v>
          </cell>
          <cell r="H368" t="str">
            <v>SP</v>
          </cell>
          <cell r="J368">
            <v>44356</v>
          </cell>
          <cell r="L368">
            <v>44498</v>
          </cell>
          <cell r="M368">
            <v>44863</v>
          </cell>
        </row>
        <row r="369">
          <cell r="B369" t="str">
            <v>TESTE 366</v>
          </cell>
          <cell r="C369">
            <v>30858</v>
          </cell>
          <cell r="E369" t="str">
            <v>MTI - 4.000GTS</v>
          </cell>
          <cell r="F369" t="str">
            <v>SUL</v>
          </cell>
          <cell r="G369" t="str">
            <v>CANGUÇU</v>
          </cell>
          <cell r="H369" t="str">
            <v>RS</v>
          </cell>
          <cell r="J369">
            <v>44370</v>
          </cell>
          <cell r="L369">
            <v>44519</v>
          </cell>
          <cell r="M369">
            <v>44884</v>
          </cell>
        </row>
        <row r="370">
          <cell r="B370" t="str">
            <v>TESTE 367</v>
          </cell>
          <cell r="C370">
            <v>25634</v>
          </cell>
          <cell r="E370" t="str">
            <v>MTI - 7.000GTS</v>
          </cell>
          <cell r="F370" t="str">
            <v>SUL</v>
          </cell>
          <cell r="G370" t="str">
            <v>ANDIRÁ</v>
          </cell>
          <cell r="H370" t="str">
            <v>PR</v>
          </cell>
          <cell r="J370">
            <v>44407</v>
          </cell>
          <cell r="L370">
            <v>44506</v>
          </cell>
          <cell r="M370">
            <v>44871</v>
          </cell>
        </row>
        <row r="371">
          <cell r="B371" t="str">
            <v>TESTE 368</v>
          </cell>
          <cell r="C371">
            <v>40566</v>
          </cell>
          <cell r="E371" t="str">
            <v>E - 600</v>
          </cell>
          <cell r="F371" t="str">
            <v>SUL</v>
          </cell>
          <cell r="G371" t="str">
            <v>ANDIRÁ</v>
          </cell>
          <cell r="H371" t="str">
            <v>PR</v>
          </cell>
          <cell r="J371">
            <v>44407</v>
          </cell>
          <cell r="L371">
            <v>44506</v>
          </cell>
          <cell r="M371">
            <v>44871</v>
          </cell>
        </row>
        <row r="372">
          <cell r="B372" t="str">
            <v>TESTE 369</v>
          </cell>
          <cell r="C372">
            <v>24543</v>
          </cell>
          <cell r="E372" t="str">
            <v>TR - 1</v>
          </cell>
          <cell r="F372" t="str">
            <v>SUL</v>
          </cell>
          <cell r="G372" t="str">
            <v>ANDIRÁ</v>
          </cell>
          <cell r="H372" t="str">
            <v>PR</v>
          </cell>
          <cell r="J372">
            <v>44407</v>
          </cell>
          <cell r="L372">
            <v>44506</v>
          </cell>
          <cell r="M372">
            <v>44871</v>
          </cell>
        </row>
        <row r="373">
          <cell r="B373" t="str">
            <v>TESTE 370</v>
          </cell>
          <cell r="C373">
            <v>83477</v>
          </cell>
          <cell r="E373" t="str">
            <v>MTI - 10.000GTS</v>
          </cell>
          <cell r="F373" t="str">
            <v>SUL</v>
          </cell>
          <cell r="G373" t="str">
            <v>PASSO FUNDO</v>
          </cell>
          <cell r="H373" t="str">
            <v>RS</v>
          </cell>
          <cell r="J373">
            <v>44523</v>
          </cell>
          <cell r="L373">
            <v>44512</v>
          </cell>
          <cell r="M373">
            <v>44877</v>
          </cell>
        </row>
        <row r="374">
          <cell r="B374" t="str">
            <v>TESTE 371</v>
          </cell>
          <cell r="C374">
            <v>48400</v>
          </cell>
          <cell r="E374" t="str">
            <v>MTI  - 1.000GTS</v>
          </cell>
          <cell r="F374" t="str">
            <v>SUDESTE</v>
          </cell>
          <cell r="G374" t="str">
            <v>RIO DE JANEIRO</v>
          </cell>
          <cell r="H374" t="str">
            <v>RJ</v>
          </cell>
          <cell r="J374">
            <v>44404</v>
          </cell>
          <cell r="L374">
            <v>44512</v>
          </cell>
          <cell r="M374">
            <v>44877</v>
          </cell>
        </row>
        <row r="375">
          <cell r="B375" t="str">
            <v>TESTE 372</v>
          </cell>
          <cell r="C375">
            <v>76883</v>
          </cell>
          <cell r="E375" t="str">
            <v>MTI  - 10.000GES</v>
          </cell>
          <cell r="F375" t="str">
            <v>SUDESTE</v>
          </cell>
          <cell r="G375" t="str">
            <v>RIO DE JANEIRO</v>
          </cell>
          <cell r="H375" t="str">
            <v>RJ</v>
          </cell>
          <cell r="J375">
            <v>44404</v>
          </cell>
          <cell r="L375"/>
          <cell r="M375">
            <v>365</v>
          </cell>
        </row>
        <row r="376">
          <cell r="B376" t="str">
            <v>TESTE 373</v>
          </cell>
          <cell r="C376">
            <v>43927</v>
          </cell>
          <cell r="E376" t="str">
            <v>MTI -15.000GES</v>
          </cell>
          <cell r="F376" t="str">
            <v>SUDESTE</v>
          </cell>
          <cell r="G376" t="str">
            <v xml:space="preserve">PAULINIA </v>
          </cell>
          <cell r="H376" t="str">
            <v>SP</v>
          </cell>
          <cell r="J376">
            <v>44215</v>
          </cell>
          <cell r="L376">
            <v>44530</v>
          </cell>
          <cell r="M376">
            <v>44895</v>
          </cell>
        </row>
        <row r="377">
          <cell r="B377" t="str">
            <v>TESTE 374</v>
          </cell>
          <cell r="C377">
            <v>99865</v>
          </cell>
          <cell r="E377" t="str">
            <v>MTI - 1.000GTS</v>
          </cell>
          <cell r="F377" t="str">
            <v>SUL</v>
          </cell>
          <cell r="G377" t="str">
            <v xml:space="preserve">ALMIRANTE TAMANDARÉ </v>
          </cell>
          <cell r="H377" t="str">
            <v>PR</v>
          </cell>
          <cell r="J377">
            <v>44480</v>
          </cell>
          <cell r="L377">
            <v>44526</v>
          </cell>
          <cell r="M377">
            <v>44891</v>
          </cell>
        </row>
        <row r="378">
          <cell r="B378" t="str">
            <v>TESTE 375</v>
          </cell>
          <cell r="C378">
            <v>53768</v>
          </cell>
          <cell r="E378" t="str">
            <v>E - 300</v>
          </cell>
          <cell r="F378" t="str">
            <v>SUL</v>
          </cell>
          <cell r="G378" t="str">
            <v xml:space="preserve">ALMIRANTE TAMANDARÉ </v>
          </cell>
          <cell r="H378" t="str">
            <v>PR</v>
          </cell>
          <cell r="J378">
            <v>44490</v>
          </cell>
          <cell r="L378">
            <v>44526</v>
          </cell>
          <cell r="M378">
            <v>44891</v>
          </cell>
        </row>
        <row r="379">
          <cell r="B379" t="str">
            <v>TESTE 376</v>
          </cell>
          <cell r="C379">
            <v>51927</v>
          </cell>
          <cell r="E379" t="str">
            <v>MTI - 4.000GTS</v>
          </cell>
          <cell r="F379" t="str">
            <v>SUL</v>
          </cell>
          <cell r="G379" t="str">
            <v>PORTO ALEGRE</v>
          </cell>
          <cell r="H379" t="str">
            <v>RS</v>
          </cell>
          <cell r="J379">
            <v>44351</v>
          </cell>
          <cell r="L379">
            <v>44526</v>
          </cell>
          <cell r="M379">
            <v>44891</v>
          </cell>
        </row>
        <row r="380">
          <cell r="B380" t="str">
            <v>TESTE 377</v>
          </cell>
          <cell r="C380">
            <v>25330</v>
          </cell>
          <cell r="E380" t="str">
            <v>E - 300</v>
          </cell>
          <cell r="F380" t="str">
            <v>SUL</v>
          </cell>
          <cell r="G380" t="str">
            <v>PORTO ALEGRE</v>
          </cell>
          <cell r="H380" t="str">
            <v>RS</v>
          </cell>
          <cell r="J380">
            <v>44351</v>
          </cell>
          <cell r="L380">
            <v>44526</v>
          </cell>
          <cell r="M380">
            <v>44891</v>
          </cell>
        </row>
        <row r="381">
          <cell r="B381" t="str">
            <v>TESTE 378</v>
          </cell>
          <cell r="C381">
            <v>62792</v>
          </cell>
          <cell r="E381" t="str">
            <v>TR - 1</v>
          </cell>
          <cell r="F381" t="str">
            <v>SUL</v>
          </cell>
          <cell r="G381" t="str">
            <v>PORTO ALEGRE</v>
          </cell>
          <cell r="H381" t="str">
            <v>RS</v>
          </cell>
          <cell r="J381">
            <v>44351</v>
          </cell>
          <cell r="L381">
            <v>44526</v>
          </cell>
          <cell r="M381">
            <v>44891</v>
          </cell>
        </row>
        <row r="382">
          <cell r="B382" t="str">
            <v>TESTE 379</v>
          </cell>
          <cell r="C382">
            <v>26328</v>
          </cell>
          <cell r="E382" t="str">
            <v>E - 80</v>
          </cell>
          <cell r="F382" t="str">
            <v>SUL</v>
          </cell>
          <cell r="G382" t="str">
            <v>ERECHIM</v>
          </cell>
          <cell r="H382" t="str">
            <v>RS</v>
          </cell>
          <cell r="J382">
            <v>44474</v>
          </cell>
          <cell r="L382" t="str">
            <v>-</v>
          </cell>
          <cell r="M382">
            <v>0</v>
          </cell>
        </row>
        <row r="383">
          <cell r="B383" t="str">
            <v>TESTE 380</v>
          </cell>
          <cell r="C383">
            <v>70236</v>
          </cell>
          <cell r="E383" t="str">
            <v>MTI - 1.000GTS</v>
          </cell>
          <cell r="F383" t="str">
            <v>SUDESTE</v>
          </cell>
          <cell r="G383" t="str">
            <v>NOVA FRIBURGO</v>
          </cell>
          <cell r="H383" t="str">
            <v>RJ</v>
          </cell>
          <cell r="J383">
            <v>44424</v>
          </cell>
          <cell r="L383">
            <v>44539</v>
          </cell>
          <cell r="M383">
            <v>44904</v>
          </cell>
        </row>
        <row r="384">
          <cell r="B384" t="str">
            <v>TESTE 381</v>
          </cell>
          <cell r="C384">
            <v>86102</v>
          </cell>
          <cell r="E384" t="str">
            <v>BASE MTI - 1.000GTS</v>
          </cell>
          <cell r="F384" t="str">
            <v>SUDESTE</v>
          </cell>
          <cell r="G384" t="str">
            <v>NOVA FRIBURGO</v>
          </cell>
          <cell r="H384" t="str">
            <v>RJ</v>
          </cell>
          <cell r="J384">
            <v>44424</v>
          </cell>
          <cell r="L384">
            <v>44539</v>
          </cell>
          <cell r="M384">
            <v>44904</v>
          </cell>
        </row>
        <row r="385">
          <cell r="B385" t="str">
            <v>TESTE 382</v>
          </cell>
          <cell r="C385">
            <v>92027</v>
          </cell>
          <cell r="E385" t="str">
            <v>MTI - 1.000GTS</v>
          </cell>
          <cell r="F385" t="str">
            <v>SUL</v>
          </cell>
          <cell r="G385" t="str">
            <v>CANGUÇU</v>
          </cell>
          <cell r="H385" t="str">
            <v>RS</v>
          </cell>
          <cell r="J385">
            <v>44456</v>
          </cell>
          <cell r="L385">
            <v>44533</v>
          </cell>
          <cell r="M385">
            <v>44898</v>
          </cell>
        </row>
        <row r="386">
          <cell r="B386" t="str">
            <v>TESTE 383</v>
          </cell>
          <cell r="C386">
            <v>79904</v>
          </cell>
          <cell r="E386" t="str">
            <v>E - 300</v>
          </cell>
          <cell r="F386" t="str">
            <v>SUDESTE</v>
          </cell>
          <cell r="G386" t="str">
            <v>SÃO JOSE DOS CAMPOS</v>
          </cell>
          <cell r="H386" t="str">
            <v>SP</v>
          </cell>
          <cell r="J386">
            <v>44421</v>
          </cell>
          <cell r="L386">
            <v>44539</v>
          </cell>
          <cell r="M386">
            <v>44904</v>
          </cell>
        </row>
        <row r="387">
          <cell r="B387" t="str">
            <v>TESTE 384</v>
          </cell>
          <cell r="C387">
            <v>53561</v>
          </cell>
          <cell r="E387" t="str">
            <v>MTI - 2.500GTS</v>
          </cell>
          <cell r="F387" t="str">
            <v>SUDESTE</v>
          </cell>
          <cell r="G387" t="str">
            <v>SÃO JOSE DOS CAMPOS</v>
          </cell>
          <cell r="H387" t="str">
            <v>SP</v>
          </cell>
          <cell r="J387">
            <v>44421</v>
          </cell>
          <cell r="L387">
            <v>44539</v>
          </cell>
          <cell r="M387">
            <v>44904</v>
          </cell>
        </row>
        <row r="388">
          <cell r="B388" t="str">
            <v>TESTE 385</v>
          </cell>
          <cell r="C388">
            <v>39365</v>
          </cell>
          <cell r="E388" t="str">
            <v>BASE MTI - 2.500GTS</v>
          </cell>
          <cell r="F388" t="str">
            <v>SUDESTE</v>
          </cell>
          <cell r="G388" t="str">
            <v>SÃO JOSE DOS CAMPOS</v>
          </cell>
          <cell r="H388" t="str">
            <v>SP</v>
          </cell>
          <cell r="J388">
            <v>44421</v>
          </cell>
          <cell r="L388">
            <v>44539</v>
          </cell>
          <cell r="M388">
            <v>44904</v>
          </cell>
        </row>
        <row r="389">
          <cell r="B389" t="str">
            <v>TESTE 386</v>
          </cell>
          <cell r="C389">
            <v>17456</v>
          </cell>
          <cell r="E389" t="str">
            <v>EMS-1</v>
          </cell>
          <cell r="F389" t="str">
            <v>SUDESTE</v>
          </cell>
          <cell r="G389" t="str">
            <v>GUARUJA</v>
          </cell>
          <cell r="H389" t="str">
            <v>SP</v>
          </cell>
          <cell r="J389">
            <v>44460</v>
          </cell>
          <cell r="L389" t="str">
            <v>-</v>
          </cell>
          <cell r="M389">
            <v>0</v>
          </cell>
        </row>
        <row r="390">
          <cell r="B390" t="str">
            <v>TESTE 387</v>
          </cell>
          <cell r="C390">
            <v>94662</v>
          </cell>
          <cell r="E390" t="str">
            <v>MTI - 4.000GTS</v>
          </cell>
          <cell r="F390" t="str">
            <v>SUDESTE</v>
          </cell>
          <cell r="G390" t="str">
            <v>GUARUJA</v>
          </cell>
          <cell r="H390" t="str">
            <v>SP</v>
          </cell>
          <cell r="J390">
            <v>44460</v>
          </cell>
          <cell r="L390">
            <v>44533</v>
          </cell>
          <cell r="M390">
            <v>44898</v>
          </cell>
        </row>
        <row r="391">
          <cell r="B391" t="str">
            <v>TESTE 388</v>
          </cell>
          <cell r="C391">
            <v>74833</v>
          </cell>
          <cell r="E391" t="str">
            <v>MTI - 10.000GTS</v>
          </cell>
          <cell r="F391" t="str">
            <v>SUL</v>
          </cell>
          <cell r="G391" t="str">
            <v>SÃO DOMINGOS</v>
          </cell>
          <cell r="H391" t="str">
            <v>SC</v>
          </cell>
          <cell r="J391">
            <v>44439</v>
          </cell>
          <cell r="L391">
            <v>44540</v>
          </cell>
          <cell r="M391">
            <v>44905</v>
          </cell>
        </row>
        <row r="392">
          <cell r="B392" t="str">
            <v>TESTE 389</v>
          </cell>
          <cell r="C392">
            <v>44195</v>
          </cell>
          <cell r="E392" t="str">
            <v>EMBALADORA EICE</v>
          </cell>
          <cell r="F392" t="str">
            <v>CENTROESTE</v>
          </cell>
          <cell r="G392" t="str">
            <v>SINOP</v>
          </cell>
          <cell r="H392" t="str">
            <v>MT</v>
          </cell>
          <cell r="J392">
            <v>44377</v>
          </cell>
          <cell r="L392"/>
          <cell r="M392">
            <v>365</v>
          </cell>
        </row>
        <row r="393">
          <cell r="B393" t="str">
            <v>TESTE 390</v>
          </cell>
          <cell r="C393">
            <v>78751</v>
          </cell>
          <cell r="E393" t="str">
            <v>MTI - 4.000GTS</v>
          </cell>
          <cell r="F393" t="str">
            <v>SUDESTE</v>
          </cell>
          <cell r="G393" t="str">
            <v>PINHEIRAL</v>
          </cell>
          <cell r="H393" t="str">
            <v>RJ</v>
          </cell>
          <cell r="J393">
            <v>44284</v>
          </cell>
          <cell r="L393">
            <v>44543</v>
          </cell>
          <cell r="M393">
            <v>44908</v>
          </cell>
        </row>
        <row r="394">
          <cell r="B394" t="str">
            <v>TESTE 391</v>
          </cell>
          <cell r="C394">
            <v>86456</v>
          </cell>
          <cell r="E394" t="str">
            <v>E - 300</v>
          </cell>
          <cell r="F394" t="str">
            <v>SUDESTE</v>
          </cell>
          <cell r="G394" t="str">
            <v>PINHEIRAL</v>
          </cell>
          <cell r="H394" t="str">
            <v>RJ</v>
          </cell>
          <cell r="J394">
            <v>44284</v>
          </cell>
          <cell r="L394">
            <v>44543</v>
          </cell>
          <cell r="M394">
            <v>44908</v>
          </cell>
        </row>
        <row r="395">
          <cell r="B395" t="str">
            <v>TESTE 392</v>
          </cell>
          <cell r="C395">
            <v>26566</v>
          </cell>
          <cell r="E395" t="str">
            <v>TR - 1</v>
          </cell>
          <cell r="F395" t="str">
            <v>SUDESTE</v>
          </cell>
          <cell r="G395" t="str">
            <v>PINHEIRAL</v>
          </cell>
          <cell r="H395" t="str">
            <v>RJ</v>
          </cell>
          <cell r="J395">
            <v>44284</v>
          </cell>
          <cell r="L395">
            <v>44543</v>
          </cell>
          <cell r="M395">
            <v>44908</v>
          </cell>
        </row>
        <row r="396">
          <cell r="B396" t="str">
            <v>TESTE 393</v>
          </cell>
          <cell r="C396">
            <v>19028</v>
          </cell>
          <cell r="E396" t="str">
            <v>MTI - 1.000GTS</v>
          </cell>
          <cell r="F396" t="str">
            <v>SUDESTE</v>
          </cell>
          <cell r="G396" t="str">
            <v>ITAPERUNA</v>
          </cell>
          <cell r="H396" t="str">
            <v>RJ</v>
          </cell>
          <cell r="J396">
            <v>44353</v>
          </cell>
          <cell r="L396"/>
          <cell r="M396">
            <v>365</v>
          </cell>
        </row>
        <row r="397">
          <cell r="B397" t="str">
            <v>TESTE 394</v>
          </cell>
          <cell r="C397">
            <v>95699</v>
          </cell>
          <cell r="E397" t="str">
            <v>MTI - 7.000GES</v>
          </cell>
          <cell r="F397" t="str">
            <v>SUDESTE</v>
          </cell>
          <cell r="G397" t="str">
            <v>SÃO GONÇALO</v>
          </cell>
          <cell r="H397" t="str">
            <v>RJ</v>
          </cell>
          <cell r="J397">
            <v>44438</v>
          </cell>
          <cell r="L397"/>
          <cell r="M397">
            <v>365</v>
          </cell>
        </row>
        <row r="398">
          <cell r="B398" t="str">
            <v>TESTE 395</v>
          </cell>
          <cell r="C398">
            <v>39891</v>
          </cell>
          <cell r="E398" t="str">
            <v>MTI - 12.000GTS</v>
          </cell>
          <cell r="F398" t="str">
            <v>NORDESTE</v>
          </cell>
          <cell r="G398" t="str">
            <v xml:space="preserve">PETROLINA </v>
          </cell>
          <cell r="H398" t="str">
            <v>PE</v>
          </cell>
          <cell r="J398">
            <v>44539</v>
          </cell>
          <cell r="L398">
            <v>44550</v>
          </cell>
          <cell r="M398">
            <v>44915</v>
          </cell>
        </row>
        <row r="399">
          <cell r="B399" t="str">
            <v>TESTE 396</v>
          </cell>
          <cell r="C399">
            <v>94611</v>
          </cell>
          <cell r="E399" t="str">
            <v>TR - 1</v>
          </cell>
          <cell r="F399" t="str">
            <v>NORDESTE</v>
          </cell>
          <cell r="G399" t="str">
            <v xml:space="preserve">PETROLINA </v>
          </cell>
          <cell r="H399" t="str">
            <v>PE</v>
          </cell>
          <cell r="J399">
            <v>44539</v>
          </cell>
          <cell r="L399">
            <v>44550</v>
          </cell>
          <cell r="M399">
            <v>44915</v>
          </cell>
        </row>
        <row r="400">
          <cell r="B400" t="str">
            <v>TESTE 397</v>
          </cell>
          <cell r="C400">
            <v>95650</v>
          </cell>
          <cell r="E400" t="str">
            <v>MTI - 2.500GTS</v>
          </cell>
          <cell r="F400" t="str">
            <v>SUDESTE</v>
          </cell>
          <cell r="G400" t="str">
            <v>GOVERNADOR VALADARES</v>
          </cell>
          <cell r="H400" t="str">
            <v>MG</v>
          </cell>
          <cell r="J400">
            <v>44356</v>
          </cell>
          <cell r="L400"/>
          <cell r="M400">
            <v>365</v>
          </cell>
        </row>
        <row r="401">
          <cell r="B401" t="str">
            <v>TESTE 398</v>
          </cell>
          <cell r="C401">
            <v>20841</v>
          </cell>
          <cell r="E401" t="str">
            <v>E - 300</v>
          </cell>
          <cell r="F401" t="str">
            <v>SUDESTE</v>
          </cell>
          <cell r="G401" t="str">
            <v>GOVERNADOR VALADARES</v>
          </cell>
          <cell r="H401" t="str">
            <v>MG</v>
          </cell>
          <cell r="J401">
            <v>44356</v>
          </cell>
          <cell r="L401"/>
          <cell r="M401">
            <v>365</v>
          </cell>
        </row>
        <row r="402">
          <cell r="B402" t="str">
            <v>TESTE 399</v>
          </cell>
          <cell r="C402">
            <v>20074</v>
          </cell>
          <cell r="E402" t="str">
            <v>TR - 1</v>
          </cell>
          <cell r="F402" t="str">
            <v>SUDESTE</v>
          </cell>
          <cell r="G402" t="str">
            <v>GOVERNADOR VALADARES</v>
          </cell>
          <cell r="H402" t="str">
            <v>MG</v>
          </cell>
          <cell r="J402">
            <v>44356</v>
          </cell>
          <cell r="L402"/>
          <cell r="M402">
            <v>365</v>
          </cell>
        </row>
        <row r="403">
          <cell r="B403" t="str">
            <v>TESTE 400</v>
          </cell>
          <cell r="C403">
            <v>27999</v>
          </cell>
          <cell r="E403" t="str">
            <v>MTI - 5.000GES</v>
          </cell>
          <cell r="F403" t="str">
            <v>SUDESTE</v>
          </cell>
          <cell r="G403" t="str">
            <v>DUQUE DE CAXIAS</v>
          </cell>
          <cell r="H403" t="str">
            <v>RJ</v>
          </cell>
          <cell r="J403">
            <v>44368</v>
          </cell>
          <cell r="L403"/>
          <cell r="M403">
            <v>365</v>
          </cell>
        </row>
        <row r="404">
          <cell r="B404" t="str">
            <v>TESTE 401</v>
          </cell>
          <cell r="C404">
            <v>39544</v>
          </cell>
          <cell r="E404" t="str">
            <v>MTI - 4.000GTS</v>
          </cell>
          <cell r="F404" t="str">
            <v>SUDESTE</v>
          </cell>
          <cell r="G404" t="str">
            <v>IPAUSSU</v>
          </cell>
          <cell r="H404" t="str">
            <v>SP</v>
          </cell>
          <cell r="J404">
            <v>44291</v>
          </cell>
          <cell r="L404"/>
          <cell r="M404">
            <v>365</v>
          </cell>
        </row>
        <row r="405">
          <cell r="B405" t="str">
            <v>TESTE 402</v>
          </cell>
          <cell r="C405">
            <v>31545</v>
          </cell>
          <cell r="E405" t="str">
            <v>E - 300</v>
          </cell>
          <cell r="F405" t="str">
            <v>SUDESTE</v>
          </cell>
          <cell r="G405" t="str">
            <v>IPAUSSU</v>
          </cell>
          <cell r="H405" t="str">
            <v>SP</v>
          </cell>
          <cell r="J405">
            <v>44291</v>
          </cell>
          <cell r="L405"/>
          <cell r="M405">
            <v>365</v>
          </cell>
        </row>
        <row r="406">
          <cell r="B406" t="str">
            <v>TESTE 403</v>
          </cell>
          <cell r="C406">
            <v>26541</v>
          </cell>
          <cell r="E406" t="str">
            <v>TR - 1</v>
          </cell>
          <cell r="F406" t="str">
            <v>SUDESTE</v>
          </cell>
          <cell r="G406" t="str">
            <v>IPAUSSU</v>
          </cell>
          <cell r="H406" t="str">
            <v>SP</v>
          </cell>
          <cell r="J406">
            <v>44291</v>
          </cell>
          <cell r="L406"/>
          <cell r="M406">
            <v>365</v>
          </cell>
        </row>
        <row r="407">
          <cell r="B407" t="str">
            <v>TESTE 404</v>
          </cell>
          <cell r="C407">
            <v>93548</v>
          </cell>
          <cell r="E407" t="str">
            <v>MTI - 2.500GTS</v>
          </cell>
          <cell r="F407" t="str">
            <v>CENTROOESTE</v>
          </cell>
          <cell r="G407" t="str">
            <v>CAMPOS BELOS</v>
          </cell>
          <cell r="H407" t="str">
            <v xml:space="preserve">GO </v>
          </cell>
          <cell r="J407">
            <v>44400</v>
          </cell>
          <cell r="L407">
            <v>44551</v>
          </cell>
          <cell r="M407">
            <v>44916</v>
          </cell>
        </row>
        <row r="408">
          <cell r="B408" t="str">
            <v>TESTE 405</v>
          </cell>
          <cell r="C408">
            <v>34140</v>
          </cell>
          <cell r="E408" t="str">
            <v>E - 300</v>
          </cell>
          <cell r="F408" t="str">
            <v>CENTROOESTE</v>
          </cell>
          <cell r="G408" t="str">
            <v>CAMPOS BELOS</v>
          </cell>
          <cell r="H408" t="str">
            <v xml:space="preserve">GO </v>
          </cell>
          <cell r="J408">
            <v>44400</v>
          </cell>
          <cell r="L408">
            <v>44551</v>
          </cell>
          <cell r="M408">
            <v>44916</v>
          </cell>
        </row>
        <row r="409">
          <cell r="B409" t="str">
            <v>TESTE 406</v>
          </cell>
          <cell r="C409">
            <v>66626</v>
          </cell>
          <cell r="E409" t="str">
            <v>TR - 1</v>
          </cell>
          <cell r="F409" t="str">
            <v>CENTROOESTE</v>
          </cell>
          <cell r="G409" t="str">
            <v>CAMPOS BELOS</v>
          </cell>
          <cell r="H409" t="str">
            <v xml:space="preserve">GO </v>
          </cell>
          <cell r="J409">
            <v>44400</v>
          </cell>
          <cell r="L409">
            <v>44551</v>
          </cell>
          <cell r="M409">
            <v>44916</v>
          </cell>
        </row>
        <row r="410">
          <cell r="B410" t="str">
            <v>TESTE 407</v>
          </cell>
          <cell r="C410">
            <v>28731</v>
          </cell>
          <cell r="E410" t="str">
            <v>BASE MTI - 2.500GTS</v>
          </cell>
          <cell r="F410" t="str">
            <v>CENTROOESTE</v>
          </cell>
          <cell r="G410" t="str">
            <v>CAMPOS BELOS</v>
          </cell>
          <cell r="H410" t="str">
            <v xml:space="preserve">GO </v>
          </cell>
          <cell r="J410">
            <v>44400</v>
          </cell>
          <cell r="L410">
            <v>44551</v>
          </cell>
          <cell r="M410">
            <v>44916</v>
          </cell>
        </row>
        <row r="411">
          <cell r="B411" t="str">
            <v>TESTE 408</v>
          </cell>
          <cell r="C411">
            <v>85047</v>
          </cell>
          <cell r="E411" t="str">
            <v>MTI - 1.000GTS</v>
          </cell>
          <cell r="F411" t="str">
            <v>NORDESTE</v>
          </cell>
          <cell r="G411" t="str">
            <v>MORADA NOVA</v>
          </cell>
          <cell r="H411" t="str">
            <v>CE</v>
          </cell>
          <cell r="J411">
            <v>44406</v>
          </cell>
          <cell r="L411">
            <v>44550</v>
          </cell>
          <cell r="M411">
            <v>44915</v>
          </cell>
        </row>
        <row r="412">
          <cell r="B412" t="str">
            <v>TESTE 409</v>
          </cell>
          <cell r="C412">
            <v>76882</v>
          </cell>
          <cell r="E412" t="str">
            <v>E - 80</v>
          </cell>
          <cell r="F412" t="str">
            <v>NORDESTE</v>
          </cell>
          <cell r="G412" t="str">
            <v>MORADA NOVA</v>
          </cell>
          <cell r="H412" t="str">
            <v>CE</v>
          </cell>
          <cell r="J412">
            <v>44406</v>
          </cell>
          <cell r="L412">
            <v>44550</v>
          </cell>
          <cell r="M412">
            <v>44915</v>
          </cell>
        </row>
        <row r="413">
          <cell r="B413" t="str">
            <v>TESTE 410</v>
          </cell>
          <cell r="C413">
            <v>81472</v>
          </cell>
          <cell r="E413" t="str">
            <v>MTI - 4.000GTS</v>
          </cell>
          <cell r="F413" t="str">
            <v>SUDESTE</v>
          </cell>
          <cell r="G413" t="str">
            <v>PRAIA GRANDE</v>
          </cell>
          <cell r="H413" t="str">
            <v>SP</v>
          </cell>
          <cell r="J413">
            <v>44517</v>
          </cell>
          <cell r="L413">
            <v>44573</v>
          </cell>
          <cell r="M413">
            <v>44938</v>
          </cell>
        </row>
        <row r="414">
          <cell r="B414" t="str">
            <v>TESTE 411</v>
          </cell>
          <cell r="C414">
            <v>63414</v>
          </cell>
          <cell r="E414" t="str">
            <v>E - 300</v>
          </cell>
          <cell r="F414" t="str">
            <v>SUDESTE</v>
          </cell>
          <cell r="G414" t="str">
            <v>PRAIA GRANDE</v>
          </cell>
          <cell r="H414" t="str">
            <v>SP</v>
          </cell>
          <cell r="J414">
            <v>44517</v>
          </cell>
          <cell r="L414">
            <v>44573</v>
          </cell>
          <cell r="M414">
            <v>44938</v>
          </cell>
        </row>
        <row r="415">
          <cell r="B415" t="str">
            <v>TESTE 412</v>
          </cell>
          <cell r="C415">
            <v>59538</v>
          </cell>
          <cell r="E415" t="str">
            <v>E-1000</v>
          </cell>
          <cell r="F415" t="str">
            <v>SUDESTE</v>
          </cell>
          <cell r="G415" t="str">
            <v>LENÇOIS PAULISTA</v>
          </cell>
          <cell r="H415" t="str">
            <v>SP</v>
          </cell>
          <cell r="J415">
            <v>44518</v>
          </cell>
          <cell r="L415" t="str">
            <v>-</v>
          </cell>
          <cell r="M415">
            <v>0</v>
          </cell>
        </row>
        <row r="416">
          <cell r="B416" t="str">
            <v>TESTE 413</v>
          </cell>
          <cell r="C416">
            <v>49869</v>
          </cell>
          <cell r="E416" t="str">
            <v>MTI - 7.000GTS</v>
          </cell>
          <cell r="F416" t="str">
            <v>SUDESTE</v>
          </cell>
          <cell r="G416" t="str">
            <v>DIADEMA</v>
          </cell>
          <cell r="H416" t="str">
            <v>SP</v>
          </cell>
          <cell r="J416">
            <v>44447</v>
          </cell>
          <cell r="L416">
            <v>44557</v>
          </cell>
          <cell r="M416">
            <v>44922</v>
          </cell>
        </row>
        <row r="417">
          <cell r="B417" t="str">
            <v>TESTE 414</v>
          </cell>
          <cell r="C417">
            <v>99201</v>
          </cell>
          <cell r="E417" t="str">
            <v>E - 300</v>
          </cell>
          <cell r="F417" t="str">
            <v>SUDESTE</v>
          </cell>
          <cell r="G417" t="str">
            <v>DIADEMA</v>
          </cell>
          <cell r="H417" t="str">
            <v>SP</v>
          </cell>
          <cell r="J417">
            <v>44447</v>
          </cell>
          <cell r="L417">
            <v>44557</v>
          </cell>
          <cell r="M417">
            <v>44922</v>
          </cell>
        </row>
        <row r="418">
          <cell r="B418" t="str">
            <v>TESTE 415</v>
          </cell>
          <cell r="C418">
            <v>89315</v>
          </cell>
          <cell r="E418" t="str">
            <v>E - 300</v>
          </cell>
          <cell r="F418" t="str">
            <v>SUL</v>
          </cell>
          <cell r="G418" t="str">
            <v xml:space="preserve">ALMIRANTE TAMANDARÉ </v>
          </cell>
          <cell r="H418" t="str">
            <v>PR</v>
          </cell>
          <cell r="J418">
            <v>44551</v>
          </cell>
          <cell r="L418" t="str">
            <v>-</v>
          </cell>
          <cell r="M418">
            <v>0</v>
          </cell>
        </row>
        <row r="419">
          <cell r="B419" t="str">
            <v>TESTE 416</v>
          </cell>
          <cell r="C419">
            <v>26947</v>
          </cell>
          <cell r="E419" t="str">
            <v>MTI-2.500GTS</v>
          </cell>
          <cell r="F419" t="str">
            <v>NORDESTE</v>
          </cell>
          <cell r="G419" t="str">
            <v>ALTO DA BALANÇA</v>
          </cell>
          <cell r="H419" t="str">
            <v>CE</v>
          </cell>
          <cell r="J419">
            <v>44476</v>
          </cell>
          <cell r="L419">
            <v>44582</v>
          </cell>
          <cell r="M419">
            <v>44947</v>
          </cell>
        </row>
        <row r="420">
          <cell r="B420" t="str">
            <v>TESTE 417</v>
          </cell>
          <cell r="C420">
            <v>50869</v>
          </cell>
          <cell r="E420" t="str">
            <v>MTI-1.000GTS</v>
          </cell>
          <cell r="F420" t="str">
            <v>CENTRO-OESTE</v>
          </cell>
          <cell r="G420" t="str">
            <v>CAMPO GRANDE</v>
          </cell>
          <cell r="H420" t="str">
            <v xml:space="preserve">MS </v>
          </cell>
          <cell r="J420">
            <v>44552</v>
          </cell>
          <cell r="L420" t="str">
            <v>NÃO TEVE</v>
          </cell>
          <cell r="M420">
            <v>0</v>
          </cell>
        </row>
        <row r="421">
          <cell r="B421" t="str">
            <v>TESTE 418</v>
          </cell>
          <cell r="C421">
            <v>38950</v>
          </cell>
          <cell r="E421" t="str">
            <v>MTI- 7.000 GES</v>
          </cell>
          <cell r="F421" t="str">
            <v>NORDESTE</v>
          </cell>
          <cell r="G421" t="str">
            <v>MARACAÇUME</v>
          </cell>
          <cell r="H421" t="str">
            <v>MA</v>
          </cell>
          <cell r="J421">
            <v>44439</v>
          </cell>
          <cell r="L421"/>
          <cell r="M421">
            <v>365</v>
          </cell>
        </row>
        <row r="422">
          <cell r="B422" t="str">
            <v>TESTE 419</v>
          </cell>
          <cell r="C422">
            <v>55307</v>
          </cell>
          <cell r="E422" t="str">
            <v>MTI - 20.000GT</v>
          </cell>
          <cell r="F422" t="str">
            <v>SUDESTE</v>
          </cell>
          <cell r="G422" t="str">
            <v>SÃO PAULO</v>
          </cell>
          <cell r="H422" t="str">
            <v>SP</v>
          </cell>
          <cell r="J422">
            <v>44251</v>
          </cell>
          <cell r="L422"/>
          <cell r="M422">
            <v>365</v>
          </cell>
        </row>
        <row r="423">
          <cell r="B423" t="str">
            <v>TESTE 420</v>
          </cell>
          <cell r="C423">
            <v>11513</v>
          </cell>
          <cell r="E423" t="str">
            <v>MTI- 4.000GTS</v>
          </cell>
          <cell r="F423" t="str">
            <v>SUDESTE</v>
          </cell>
          <cell r="G423" t="str">
            <v>MONTES CLAROS</v>
          </cell>
          <cell r="H423" t="str">
            <v>MG</v>
          </cell>
          <cell r="J423">
            <v>44407</v>
          </cell>
          <cell r="L423">
            <v>44596</v>
          </cell>
          <cell r="M423">
            <v>44961</v>
          </cell>
        </row>
        <row r="424">
          <cell r="B424" t="str">
            <v>TESTE 421</v>
          </cell>
          <cell r="C424">
            <v>53768</v>
          </cell>
          <cell r="E424" t="str">
            <v>E - 300</v>
          </cell>
          <cell r="F424" t="str">
            <v>SUDESTE</v>
          </cell>
          <cell r="G424" t="str">
            <v>MONTES CLAROS</v>
          </cell>
          <cell r="H424" t="str">
            <v>MG</v>
          </cell>
          <cell r="J424">
            <v>44407</v>
          </cell>
          <cell r="L424">
            <v>44596</v>
          </cell>
          <cell r="M424">
            <v>44961</v>
          </cell>
        </row>
        <row r="425">
          <cell r="B425" t="str">
            <v>TESTE 422</v>
          </cell>
          <cell r="C425">
            <v>38049</v>
          </cell>
          <cell r="E425" t="str">
            <v>MTI- 7.000 GES</v>
          </cell>
          <cell r="F425" t="str">
            <v>SUL</v>
          </cell>
          <cell r="G425" t="str">
            <v>RIO GRANDE</v>
          </cell>
          <cell r="H425" t="str">
            <v>RS</v>
          </cell>
          <cell r="J425">
            <v>44224</v>
          </cell>
          <cell r="L425"/>
          <cell r="M425">
            <v>365</v>
          </cell>
        </row>
        <row r="426">
          <cell r="B426" t="str">
            <v>TESTE 423</v>
          </cell>
          <cell r="C426">
            <v>32668</v>
          </cell>
          <cell r="E426" t="str">
            <v>MTI - 30.000GT</v>
          </cell>
          <cell r="F426" t="str">
            <v>NORTE</v>
          </cell>
          <cell r="G426" t="str">
            <v>PORTO NACIONAL</v>
          </cell>
          <cell r="H426" t="str">
            <v>TO</v>
          </cell>
          <cell r="J426">
            <v>44805</v>
          </cell>
          <cell r="L426"/>
          <cell r="M426">
            <v>365</v>
          </cell>
        </row>
        <row r="427">
          <cell r="B427"/>
          <cell r="C427"/>
          <cell r="E427"/>
          <cell r="F427"/>
          <cell r="G427"/>
          <cell r="H427"/>
          <cell r="J427"/>
          <cell r="L427"/>
          <cell r="M427"/>
        </row>
        <row r="428">
          <cell r="B428"/>
          <cell r="C428"/>
          <cell r="E428"/>
          <cell r="F428"/>
          <cell r="G428"/>
          <cell r="H428"/>
          <cell r="J428"/>
          <cell r="L428"/>
          <cell r="M428"/>
        </row>
        <row r="429">
          <cell r="B429"/>
          <cell r="C429"/>
          <cell r="E429"/>
          <cell r="F429"/>
          <cell r="G429"/>
          <cell r="H429"/>
          <cell r="J429"/>
          <cell r="L429"/>
          <cell r="M429"/>
        </row>
        <row r="430">
          <cell r="B430"/>
          <cell r="C430"/>
          <cell r="E430"/>
          <cell r="F430"/>
          <cell r="G430"/>
          <cell r="H430"/>
          <cell r="J430"/>
          <cell r="L430"/>
          <cell r="M430"/>
        </row>
        <row r="431">
          <cell r="B431"/>
          <cell r="C431"/>
          <cell r="E431"/>
          <cell r="F431"/>
          <cell r="G431"/>
          <cell r="H431"/>
          <cell r="J431"/>
          <cell r="L431"/>
          <cell r="M431"/>
        </row>
        <row r="432">
          <cell r="B432"/>
          <cell r="C432"/>
          <cell r="E432"/>
          <cell r="F432"/>
          <cell r="G432"/>
          <cell r="H432"/>
          <cell r="J432"/>
          <cell r="L432"/>
          <cell r="M432"/>
        </row>
        <row r="433">
          <cell r="B433"/>
          <cell r="C433"/>
          <cell r="E433"/>
          <cell r="F433"/>
          <cell r="G433"/>
          <cell r="H433"/>
          <cell r="J433"/>
          <cell r="L433"/>
          <cell r="M433"/>
        </row>
        <row r="434">
          <cell r="B434"/>
          <cell r="C434"/>
          <cell r="E434"/>
          <cell r="F434"/>
          <cell r="G434"/>
          <cell r="H434"/>
          <cell r="J434"/>
          <cell r="L434"/>
          <cell r="M434"/>
        </row>
        <row r="435">
          <cell r="B435"/>
          <cell r="C435"/>
          <cell r="E435"/>
          <cell r="F435"/>
          <cell r="G435"/>
          <cell r="H435"/>
          <cell r="J435"/>
          <cell r="L435"/>
          <cell r="M435"/>
        </row>
        <row r="436">
          <cell r="B436"/>
          <cell r="C436"/>
          <cell r="E436"/>
          <cell r="F436"/>
          <cell r="G436"/>
          <cell r="H436"/>
          <cell r="J436"/>
          <cell r="L436"/>
          <cell r="M436"/>
        </row>
        <row r="437">
          <cell r="B437"/>
          <cell r="C437"/>
          <cell r="E437"/>
          <cell r="F437"/>
          <cell r="G437"/>
          <cell r="H437"/>
          <cell r="J437"/>
          <cell r="L437"/>
          <cell r="M437"/>
        </row>
        <row r="438">
          <cell r="B438"/>
          <cell r="C438"/>
          <cell r="E438"/>
          <cell r="F438"/>
          <cell r="G438"/>
          <cell r="H438"/>
          <cell r="J438"/>
          <cell r="L438"/>
          <cell r="M438"/>
        </row>
        <row r="439">
          <cell r="B439"/>
          <cell r="C439"/>
          <cell r="E439"/>
          <cell r="F439"/>
          <cell r="G439"/>
          <cell r="H439"/>
          <cell r="J439"/>
          <cell r="L439"/>
          <cell r="M439"/>
        </row>
        <row r="440">
          <cell r="B440"/>
          <cell r="C440"/>
          <cell r="E440"/>
          <cell r="F440"/>
          <cell r="G440"/>
          <cell r="H440"/>
          <cell r="J440"/>
          <cell r="L440"/>
          <cell r="M440"/>
        </row>
        <row r="441">
          <cell r="B441"/>
          <cell r="C441"/>
          <cell r="E441"/>
          <cell r="F441"/>
          <cell r="G441"/>
          <cell r="H441"/>
          <cell r="J441"/>
          <cell r="L441"/>
          <cell r="M441"/>
        </row>
        <row r="442">
          <cell r="B442"/>
          <cell r="C442"/>
          <cell r="E442"/>
          <cell r="F442"/>
          <cell r="G442"/>
          <cell r="H442"/>
          <cell r="J442"/>
          <cell r="L442"/>
          <cell r="M442"/>
        </row>
        <row r="443">
          <cell r="B443"/>
          <cell r="C443"/>
          <cell r="E443"/>
          <cell r="F443"/>
          <cell r="G443"/>
          <cell r="H443"/>
          <cell r="J443"/>
          <cell r="L443"/>
          <cell r="M443"/>
        </row>
        <row r="444">
          <cell r="B444"/>
          <cell r="C444"/>
          <cell r="E444"/>
          <cell r="F444"/>
          <cell r="G444"/>
          <cell r="H444"/>
          <cell r="J444"/>
          <cell r="L444"/>
          <cell r="M444"/>
        </row>
        <row r="445">
          <cell r="B445"/>
          <cell r="C445"/>
          <cell r="E445"/>
          <cell r="F445"/>
          <cell r="G445"/>
          <cell r="H445"/>
          <cell r="J445"/>
          <cell r="L445"/>
          <cell r="M445"/>
        </row>
        <row r="446">
          <cell r="B446"/>
          <cell r="C446"/>
          <cell r="E446"/>
          <cell r="F446"/>
          <cell r="G446"/>
          <cell r="H446"/>
          <cell r="J446"/>
          <cell r="L446"/>
          <cell r="M446"/>
        </row>
        <row r="447">
          <cell r="B447"/>
          <cell r="C447"/>
          <cell r="E447"/>
          <cell r="F447"/>
          <cell r="G447"/>
          <cell r="H447"/>
          <cell r="J447"/>
          <cell r="L447"/>
          <cell r="M447"/>
        </row>
        <row r="448">
          <cell r="B448"/>
          <cell r="C448"/>
          <cell r="E448"/>
          <cell r="F448"/>
          <cell r="G448"/>
          <cell r="H448"/>
          <cell r="J448"/>
          <cell r="L448"/>
          <cell r="M448"/>
        </row>
        <row r="449">
          <cell r="B449"/>
          <cell r="C449"/>
          <cell r="E449"/>
          <cell r="F449"/>
          <cell r="G449"/>
          <cell r="H449"/>
          <cell r="J449"/>
          <cell r="L449"/>
          <cell r="M449"/>
        </row>
        <row r="450">
          <cell r="B450"/>
          <cell r="C450"/>
          <cell r="E450"/>
          <cell r="F450"/>
          <cell r="G450"/>
          <cell r="H450"/>
          <cell r="J450"/>
          <cell r="L450"/>
          <cell r="M450"/>
        </row>
        <row r="451">
          <cell r="B451"/>
          <cell r="C451"/>
          <cell r="E451"/>
          <cell r="F451"/>
          <cell r="G451"/>
          <cell r="H451"/>
          <cell r="J451"/>
          <cell r="L451"/>
          <cell r="M451"/>
        </row>
        <row r="452">
          <cell r="B452"/>
          <cell r="C452"/>
          <cell r="E452"/>
          <cell r="F452"/>
          <cell r="G452"/>
          <cell r="H452"/>
          <cell r="J452"/>
          <cell r="L452"/>
          <cell r="M452"/>
        </row>
        <row r="453">
          <cell r="B453"/>
          <cell r="C453"/>
          <cell r="E453"/>
          <cell r="F453"/>
          <cell r="G453"/>
          <cell r="H453"/>
          <cell r="J453"/>
          <cell r="L453"/>
          <cell r="M453"/>
        </row>
        <row r="454">
          <cell r="B454"/>
          <cell r="C454"/>
          <cell r="E454"/>
          <cell r="F454"/>
          <cell r="G454"/>
          <cell r="H454"/>
          <cell r="J454"/>
          <cell r="L454"/>
          <cell r="M454"/>
        </row>
        <row r="455">
          <cell r="B455"/>
          <cell r="C455"/>
          <cell r="E455"/>
          <cell r="F455"/>
          <cell r="G455"/>
          <cell r="H455"/>
          <cell r="J455"/>
          <cell r="L455"/>
          <cell r="M455"/>
        </row>
        <row r="456">
          <cell r="B456"/>
          <cell r="C456"/>
          <cell r="E456"/>
          <cell r="F456"/>
          <cell r="G456"/>
          <cell r="H456"/>
          <cell r="J456"/>
          <cell r="L456"/>
          <cell r="M456"/>
        </row>
        <row r="457">
          <cell r="B457"/>
          <cell r="C457"/>
          <cell r="E457"/>
          <cell r="F457"/>
          <cell r="G457"/>
          <cell r="H457"/>
          <cell r="J457"/>
          <cell r="L457"/>
          <cell r="M457"/>
        </row>
        <row r="458">
          <cell r="B458"/>
          <cell r="C458"/>
          <cell r="E458"/>
          <cell r="F458"/>
          <cell r="G458"/>
          <cell r="H458"/>
          <cell r="J458"/>
          <cell r="L458"/>
          <cell r="M458"/>
        </row>
        <row r="459">
          <cell r="B459"/>
          <cell r="C459"/>
          <cell r="E459"/>
          <cell r="F459"/>
          <cell r="G459"/>
          <cell r="H459"/>
          <cell r="J459"/>
          <cell r="L459"/>
          <cell r="M459"/>
        </row>
        <row r="460">
          <cell r="B460"/>
          <cell r="C460"/>
          <cell r="E460"/>
          <cell r="F460"/>
          <cell r="G460"/>
          <cell r="H460"/>
          <cell r="J460"/>
          <cell r="L460"/>
          <cell r="M460"/>
        </row>
        <row r="461">
          <cell r="B461"/>
          <cell r="C461"/>
          <cell r="E461"/>
          <cell r="F461"/>
          <cell r="G461"/>
          <cell r="H461"/>
          <cell r="J461"/>
          <cell r="L461"/>
          <cell r="M461"/>
        </row>
        <row r="462">
          <cell r="B462"/>
          <cell r="C462"/>
          <cell r="E462"/>
          <cell r="F462"/>
          <cell r="G462"/>
          <cell r="H462"/>
          <cell r="J462"/>
          <cell r="L462"/>
          <cell r="M462"/>
        </row>
        <row r="463">
          <cell r="B463"/>
          <cell r="C463"/>
          <cell r="E463"/>
          <cell r="F463"/>
          <cell r="G463"/>
          <cell r="H463"/>
          <cell r="J463"/>
          <cell r="L463"/>
          <cell r="M463"/>
        </row>
        <row r="464">
          <cell r="B464"/>
          <cell r="C464"/>
          <cell r="E464"/>
          <cell r="F464"/>
          <cell r="G464"/>
          <cell r="H464"/>
          <cell r="J464"/>
          <cell r="L464"/>
          <cell r="M464"/>
        </row>
        <row r="465">
          <cell r="B465"/>
          <cell r="C465"/>
          <cell r="E465"/>
          <cell r="F465"/>
          <cell r="G465"/>
          <cell r="H465"/>
          <cell r="J465"/>
          <cell r="L465"/>
          <cell r="M465"/>
        </row>
        <row r="466">
          <cell r="B466"/>
          <cell r="C466"/>
          <cell r="E466"/>
          <cell r="F466"/>
          <cell r="G466"/>
          <cell r="H466"/>
          <cell r="J466"/>
          <cell r="L466"/>
          <cell r="M466"/>
        </row>
        <row r="467">
          <cell r="B467"/>
          <cell r="C467"/>
          <cell r="E467"/>
          <cell r="F467"/>
          <cell r="G467"/>
          <cell r="H467"/>
          <cell r="J467"/>
          <cell r="L467"/>
          <cell r="M467"/>
        </row>
        <row r="468">
          <cell r="B468"/>
          <cell r="C468"/>
          <cell r="E468"/>
          <cell r="F468"/>
          <cell r="G468"/>
          <cell r="H468"/>
          <cell r="J468"/>
          <cell r="L468"/>
          <cell r="M468"/>
        </row>
        <row r="469">
          <cell r="B469"/>
          <cell r="C469"/>
          <cell r="E469"/>
          <cell r="F469"/>
          <cell r="G469"/>
          <cell r="H469"/>
          <cell r="J469"/>
          <cell r="L469"/>
          <cell r="M469"/>
        </row>
        <row r="470">
          <cell r="B470"/>
          <cell r="C470"/>
          <cell r="E470"/>
          <cell r="F470"/>
          <cell r="G470"/>
          <cell r="H470"/>
          <cell r="J470"/>
          <cell r="L470"/>
          <cell r="M470"/>
        </row>
        <row r="471">
          <cell r="B471"/>
          <cell r="C471"/>
          <cell r="E471"/>
          <cell r="F471"/>
          <cell r="G471"/>
          <cell r="H471"/>
          <cell r="J471"/>
          <cell r="L471"/>
          <cell r="M471"/>
        </row>
        <row r="472">
          <cell r="B472"/>
          <cell r="C472"/>
          <cell r="E472"/>
          <cell r="F472"/>
          <cell r="G472"/>
          <cell r="H472"/>
          <cell r="J472"/>
          <cell r="L472"/>
          <cell r="M472"/>
        </row>
        <row r="473">
          <cell r="B473"/>
          <cell r="C473"/>
          <cell r="E473"/>
          <cell r="F473"/>
          <cell r="G473"/>
          <cell r="H473"/>
          <cell r="J473"/>
          <cell r="L473"/>
          <cell r="M473"/>
        </row>
        <row r="474">
          <cell r="B474"/>
          <cell r="C474"/>
          <cell r="E474"/>
          <cell r="F474"/>
          <cell r="G474"/>
          <cell r="H474"/>
          <cell r="J474"/>
          <cell r="L474"/>
          <cell r="M474"/>
        </row>
        <row r="475">
          <cell r="B475"/>
          <cell r="C475"/>
          <cell r="E475"/>
          <cell r="F475"/>
          <cell r="G475"/>
          <cell r="H475"/>
          <cell r="J475"/>
          <cell r="L475"/>
          <cell r="M475"/>
        </row>
        <row r="476">
          <cell r="B476"/>
          <cell r="C476"/>
          <cell r="E476"/>
          <cell r="F476"/>
          <cell r="G476"/>
          <cell r="H476"/>
          <cell r="J476"/>
          <cell r="L476"/>
          <cell r="M476"/>
        </row>
        <row r="477">
          <cell r="B477"/>
          <cell r="C477"/>
          <cell r="E477"/>
          <cell r="F477"/>
          <cell r="G477"/>
          <cell r="H477"/>
          <cell r="J477"/>
          <cell r="L477"/>
          <cell r="M477"/>
        </row>
        <row r="478">
          <cell r="B478"/>
          <cell r="C478"/>
          <cell r="E478"/>
          <cell r="F478"/>
          <cell r="G478"/>
          <cell r="H478"/>
          <cell r="J478"/>
          <cell r="L478"/>
          <cell r="M478"/>
        </row>
        <row r="479">
          <cell r="B479"/>
          <cell r="C479"/>
          <cell r="E479"/>
          <cell r="F479"/>
          <cell r="G479"/>
          <cell r="H479"/>
          <cell r="J479"/>
          <cell r="L479"/>
          <cell r="M479"/>
        </row>
        <row r="480">
          <cell r="B480"/>
          <cell r="C480"/>
          <cell r="E480"/>
          <cell r="F480"/>
          <cell r="G480"/>
          <cell r="H480"/>
          <cell r="J480"/>
          <cell r="L480"/>
          <cell r="M480"/>
        </row>
        <row r="481">
          <cell r="B481"/>
          <cell r="C481"/>
          <cell r="E481"/>
          <cell r="F481"/>
          <cell r="G481"/>
          <cell r="H481"/>
          <cell r="J481"/>
          <cell r="L481"/>
          <cell r="M481"/>
        </row>
        <row r="482">
          <cell r="B482"/>
          <cell r="C482"/>
          <cell r="E482"/>
          <cell r="F482"/>
          <cell r="G482"/>
          <cell r="H482"/>
          <cell r="J482"/>
          <cell r="L482"/>
          <cell r="M482"/>
        </row>
        <row r="483">
          <cell r="B483"/>
          <cell r="C483"/>
          <cell r="E483"/>
          <cell r="F483"/>
          <cell r="G483"/>
          <cell r="H483"/>
          <cell r="J483"/>
          <cell r="L483"/>
          <cell r="M483"/>
        </row>
        <row r="484">
          <cell r="B484"/>
          <cell r="C484"/>
          <cell r="E484"/>
          <cell r="F484"/>
          <cell r="G484"/>
          <cell r="H484"/>
          <cell r="J484"/>
          <cell r="L484"/>
          <cell r="M484"/>
        </row>
        <row r="485">
          <cell r="B485"/>
          <cell r="C485"/>
          <cell r="E485"/>
          <cell r="F485"/>
          <cell r="G485"/>
          <cell r="H485"/>
          <cell r="J485"/>
          <cell r="L485"/>
          <cell r="M485"/>
        </row>
        <row r="486">
          <cell r="B486"/>
          <cell r="C486"/>
          <cell r="E486"/>
          <cell r="F486"/>
          <cell r="G486"/>
          <cell r="H486"/>
          <cell r="J486"/>
          <cell r="L486"/>
          <cell r="M486"/>
        </row>
        <row r="487">
          <cell r="B487"/>
          <cell r="C487"/>
          <cell r="E487"/>
          <cell r="F487"/>
          <cell r="G487"/>
          <cell r="H487"/>
          <cell r="J487"/>
          <cell r="L487"/>
          <cell r="M487"/>
        </row>
        <row r="488">
          <cell r="B488"/>
          <cell r="C488"/>
          <cell r="E488"/>
          <cell r="F488"/>
          <cell r="G488"/>
          <cell r="H488"/>
          <cell r="J488"/>
          <cell r="L488"/>
          <cell r="M488"/>
        </row>
        <row r="489">
          <cell r="B489"/>
          <cell r="C489"/>
          <cell r="E489"/>
          <cell r="F489"/>
          <cell r="G489"/>
          <cell r="H489"/>
          <cell r="J489"/>
          <cell r="L489"/>
          <cell r="M489"/>
        </row>
        <row r="490">
          <cell r="B490"/>
          <cell r="C490"/>
          <cell r="E490"/>
          <cell r="F490"/>
          <cell r="G490"/>
          <cell r="H490"/>
          <cell r="J490"/>
          <cell r="L490"/>
          <cell r="M490"/>
        </row>
        <row r="491">
          <cell r="B491"/>
          <cell r="C491"/>
          <cell r="E491"/>
          <cell r="F491"/>
          <cell r="G491"/>
          <cell r="H491"/>
          <cell r="J491"/>
          <cell r="L491"/>
          <cell r="M491"/>
        </row>
        <row r="492">
          <cell r="B492"/>
          <cell r="C492"/>
          <cell r="E492"/>
          <cell r="F492"/>
          <cell r="G492"/>
          <cell r="H492"/>
          <cell r="J492"/>
          <cell r="L492"/>
          <cell r="M492"/>
        </row>
        <row r="493">
          <cell r="B493"/>
          <cell r="C493"/>
          <cell r="E493"/>
          <cell r="F493"/>
          <cell r="G493"/>
          <cell r="H493"/>
          <cell r="J493"/>
          <cell r="L493"/>
          <cell r="M493"/>
        </row>
        <row r="494">
          <cell r="B494"/>
          <cell r="C494"/>
          <cell r="E494"/>
          <cell r="F494"/>
          <cell r="G494"/>
          <cell r="H494"/>
          <cell r="J494"/>
          <cell r="L494"/>
          <cell r="M494"/>
        </row>
        <row r="495">
          <cell r="B495"/>
          <cell r="C495"/>
          <cell r="E495"/>
          <cell r="F495"/>
          <cell r="G495"/>
          <cell r="H495"/>
          <cell r="J495"/>
          <cell r="L495"/>
          <cell r="M495"/>
        </row>
        <row r="496">
          <cell r="B496"/>
          <cell r="C496"/>
          <cell r="E496"/>
          <cell r="F496"/>
          <cell r="G496"/>
          <cell r="H496"/>
          <cell r="J496"/>
          <cell r="L496"/>
          <cell r="M496"/>
        </row>
        <row r="497">
          <cell r="B497"/>
          <cell r="C497"/>
          <cell r="E497"/>
          <cell r="F497"/>
          <cell r="G497"/>
          <cell r="H497"/>
          <cell r="J497"/>
          <cell r="L497"/>
          <cell r="M497"/>
        </row>
        <row r="498">
          <cell r="B498"/>
          <cell r="C498"/>
          <cell r="E498"/>
          <cell r="F498"/>
          <cell r="G498"/>
          <cell r="H498"/>
          <cell r="J498"/>
          <cell r="L498"/>
          <cell r="M498"/>
        </row>
        <row r="499">
          <cell r="B499"/>
          <cell r="C499"/>
          <cell r="E499"/>
          <cell r="F499"/>
          <cell r="G499"/>
          <cell r="H499"/>
          <cell r="J499"/>
          <cell r="L499"/>
          <cell r="M499"/>
        </row>
        <row r="500">
          <cell r="B500"/>
          <cell r="C500"/>
          <cell r="E500"/>
          <cell r="F500"/>
          <cell r="G500"/>
          <cell r="H500"/>
          <cell r="J500"/>
          <cell r="L500"/>
          <cell r="M500"/>
        </row>
        <row r="501">
          <cell r="B501"/>
          <cell r="C501"/>
          <cell r="E501"/>
          <cell r="F501"/>
          <cell r="G501"/>
          <cell r="H501"/>
          <cell r="J501"/>
          <cell r="L501"/>
          <cell r="M501"/>
        </row>
        <row r="502">
          <cell r="B502"/>
          <cell r="C502"/>
          <cell r="E502"/>
          <cell r="F502"/>
          <cell r="G502"/>
          <cell r="H502"/>
          <cell r="J502"/>
          <cell r="L502"/>
          <cell r="M502"/>
        </row>
        <row r="503">
          <cell r="B503"/>
          <cell r="C503"/>
          <cell r="E503"/>
          <cell r="F503"/>
          <cell r="G503"/>
          <cell r="H503"/>
          <cell r="J503"/>
          <cell r="L503"/>
          <cell r="M503"/>
        </row>
        <row r="504">
          <cell r="B504"/>
          <cell r="C504"/>
          <cell r="E504"/>
          <cell r="F504"/>
          <cell r="G504"/>
          <cell r="H504"/>
          <cell r="J504"/>
          <cell r="L504"/>
          <cell r="M504"/>
        </row>
        <row r="505">
          <cell r="B505"/>
          <cell r="C505"/>
          <cell r="E505"/>
          <cell r="F505"/>
          <cell r="G505"/>
          <cell r="H505"/>
          <cell r="J505"/>
          <cell r="L505"/>
          <cell r="M505"/>
        </row>
        <row r="506">
          <cell r="B506"/>
          <cell r="C506"/>
          <cell r="E506"/>
          <cell r="F506"/>
          <cell r="G506"/>
          <cell r="H506"/>
          <cell r="J506"/>
          <cell r="L506"/>
          <cell r="M506"/>
        </row>
        <row r="507">
          <cell r="B507"/>
          <cell r="C507"/>
          <cell r="E507"/>
          <cell r="F507"/>
          <cell r="G507"/>
          <cell r="H507"/>
          <cell r="J507"/>
          <cell r="L507"/>
          <cell r="M507"/>
        </row>
        <row r="508">
          <cell r="B508"/>
          <cell r="C508"/>
          <cell r="E508"/>
          <cell r="F508"/>
          <cell r="G508"/>
          <cell r="H508"/>
          <cell r="J508"/>
          <cell r="L508"/>
          <cell r="M508"/>
        </row>
        <row r="509">
          <cell r="B509"/>
          <cell r="C509"/>
          <cell r="E509"/>
          <cell r="F509"/>
          <cell r="G509"/>
          <cell r="H509"/>
          <cell r="J509"/>
          <cell r="L509"/>
          <cell r="M509"/>
        </row>
        <row r="510">
          <cell r="B510"/>
          <cell r="C510"/>
          <cell r="E510"/>
          <cell r="F510"/>
          <cell r="G510"/>
          <cell r="H510"/>
          <cell r="J510"/>
          <cell r="L510"/>
          <cell r="M510"/>
        </row>
        <row r="511">
          <cell r="B511"/>
          <cell r="C511"/>
          <cell r="E511"/>
          <cell r="F511"/>
          <cell r="G511"/>
          <cell r="H511"/>
          <cell r="J511"/>
          <cell r="L511"/>
          <cell r="M511"/>
        </row>
        <row r="512">
          <cell r="B512"/>
          <cell r="C512"/>
          <cell r="E512"/>
          <cell r="F512"/>
          <cell r="G512"/>
          <cell r="H512"/>
          <cell r="J512"/>
          <cell r="L512"/>
          <cell r="M512"/>
        </row>
        <row r="513">
          <cell r="B513"/>
          <cell r="C513"/>
          <cell r="E513"/>
          <cell r="F513"/>
          <cell r="G513"/>
          <cell r="H513"/>
          <cell r="J513"/>
          <cell r="L513"/>
          <cell r="M513"/>
        </row>
        <row r="514">
          <cell r="B514"/>
          <cell r="C514"/>
          <cell r="E514"/>
          <cell r="F514"/>
          <cell r="G514"/>
          <cell r="H514"/>
          <cell r="J514"/>
          <cell r="L514"/>
          <cell r="M514"/>
        </row>
        <row r="515">
          <cell r="B515"/>
          <cell r="C515"/>
          <cell r="E515"/>
          <cell r="F515"/>
          <cell r="G515"/>
          <cell r="H515"/>
          <cell r="J515"/>
          <cell r="L515"/>
          <cell r="M515"/>
        </row>
        <row r="516">
          <cell r="B516"/>
          <cell r="C516"/>
          <cell r="E516"/>
          <cell r="F516"/>
          <cell r="G516"/>
          <cell r="H516"/>
          <cell r="J516"/>
          <cell r="L516"/>
          <cell r="M516"/>
        </row>
        <row r="517">
          <cell r="B517"/>
          <cell r="C517"/>
          <cell r="E517"/>
          <cell r="F517"/>
          <cell r="G517"/>
          <cell r="H517"/>
          <cell r="J517"/>
          <cell r="L517"/>
          <cell r="M517"/>
        </row>
        <row r="518">
          <cell r="B518"/>
          <cell r="C518"/>
          <cell r="E518"/>
          <cell r="F518"/>
          <cell r="G518"/>
          <cell r="H518"/>
          <cell r="J518"/>
          <cell r="L518"/>
          <cell r="M518"/>
        </row>
        <row r="519">
          <cell r="B519"/>
          <cell r="C519"/>
          <cell r="E519"/>
          <cell r="F519"/>
          <cell r="G519"/>
          <cell r="H519"/>
          <cell r="J519"/>
          <cell r="L519"/>
          <cell r="M519"/>
        </row>
        <row r="520">
          <cell r="B520"/>
          <cell r="C520"/>
          <cell r="E520"/>
          <cell r="F520"/>
          <cell r="G520"/>
          <cell r="H520"/>
          <cell r="J520"/>
          <cell r="L520"/>
          <cell r="M520"/>
        </row>
        <row r="521">
          <cell r="B521"/>
          <cell r="C521"/>
          <cell r="E521"/>
          <cell r="F521"/>
          <cell r="G521"/>
          <cell r="H521"/>
          <cell r="J521"/>
          <cell r="L521"/>
          <cell r="M521"/>
        </row>
        <row r="522">
          <cell r="B522"/>
          <cell r="C522"/>
          <cell r="E522"/>
          <cell r="F522"/>
          <cell r="G522"/>
          <cell r="H522"/>
          <cell r="J522"/>
          <cell r="L522"/>
          <cell r="M522"/>
        </row>
        <row r="523">
          <cell r="B523"/>
          <cell r="C523"/>
          <cell r="E523"/>
          <cell r="F523"/>
          <cell r="G523"/>
          <cell r="H523"/>
          <cell r="J523"/>
          <cell r="L523"/>
          <cell r="M523"/>
        </row>
        <row r="524">
          <cell r="B524"/>
          <cell r="C524"/>
          <cell r="E524"/>
          <cell r="F524"/>
          <cell r="G524"/>
          <cell r="H524"/>
          <cell r="J524"/>
          <cell r="L524"/>
          <cell r="M524"/>
        </row>
        <row r="525">
          <cell r="B525"/>
          <cell r="C525"/>
          <cell r="E525"/>
          <cell r="F525"/>
          <cell r="G525"/>
          <cell r="H525"/>
          <cell r="J525"/>
          <cell r="L525"/>
          <cell r="M525"/>
        </row>
        <row r="526">
          <cell r="B526"/>
          <cell r="C526"/>
          <cell r="E526"/>
          <cell r="F526"/>
          <cell r="G526"/>
          <cell r="H526"/>
          <cell r="J526"/>
          <cell r="L526"/>
          <cell r="M526"/>
        </row>
        <row r="527">
          <cell r="B527"/>
          <cell r="C527"/>
          <cell r="E527"/>
          <cell r="F527"/>
          <cell r="G527"/>
          <cell r="H527"/>
          <cell r="J527"/>
          <cell r="L527"/>
          <cell r="M527"/>
        </row>
        <row r="528">
          <cell r="B528"/>
          <cell r="C528"/>
          <cell r="E528"/>
          <cell r="F528"/>
          <cell r="G528"/>
          <cell r="H528"/>
          <cell r="J528"/>
          <cell r="L528"/>
          <cell r="M528"/>
        </row>
        <row r="529">
          <cell r="B529"/>
          <cell r="C529"/>
          <cell r="E529"/>
          <cell r="F529"/>
          <cell r="G529"/>
          <cell r="H529"/>
          <cell r="J529"/>
          <cell r="L529"/>
          <cell r="M529"/>
        </row>
        <row r="530">
          <cell r="B530"/>
          <cell r="C530"/>
          <cell r="E530"/>
          <cell r="F530"/>
          <cell r="G530"/>
          <cell r="H530"/>
          <cell r="J530"/>
          <cell r="L530"/>
          <cell r="M530"/>
        </row>
        <row r="531">
          <cell r="B531"/>
          <cell r="C531"/>
          <cell r="E531"/>
          <cell r="F531"/>
          <cell r="G531"/>
          <cell r="H531"/>
          <cell r="J531"/>
          <cell r="L531"/>
          <cell r="M531"/>
        </row>
        <row r="532">
          <cell r="B532"/>
          <cell r="C532"/>
          <cell r="E532"/>
          <cell r="F532"/>
          <cell r="G532"/>
          <cell r="H532"/>
          <cell r="J532"/>
          <cell r="L532"/>
          <cell r="M532"/>
        </row>
        <row r="533">
          <cell r="B533"/>
          <cell r="C533"/>
          <cell r="E533"/>
          <cell r="F533"/>
          <cell r="G533"/>
          <cell r="H533"/>
          <cell r="J533"/>
          <cell r="L533"/>
          <cell r="M533"/>
        </row>
        <row r="534">
          <cell r="B534"/>
          <cell r="C534"/>
          <cell r="E534"/>
          <cell r="F534"/>
          <cell r="G534"/>
          <cell r="H534"/>
          <cell r="J534"/>
          <cell r="L534"/>
          <cell r="M534"/>
        </row>
        <row r="535">
          <cell r="B535"/>
          <cell r="C535"/>
          <cell r="E535"/>
          <cell r="F535"/>
          <cell r="G535"/>
          <cell r="H535"/>
          <cell r="J535"/>
          <cell r="L535"/>
          <cell r="M535"/>
        </row>
        <row r="536">
          <cell r="B536"/>
          <cell r="C536"/>
          <cell r="E536"/>
          <cell r="F536"/>
          <cell r="G536"/>
          <cell r="H536"/>
          <cell r="J536"/>
          <cell r="L536"/>
          <cell r="M536"/>
        </row>
        <row r="537">
          <cell r="B537"/>
          <cell r="C537"/>
          <cell r="E537"/>
          <cell r="F537"/>
          <cell r="G537"/>
          <cell r="H537"/>
          <cell r="J537"/>
          <cell r="L537"/>
          <cell r="M537"/>
        </row>
        <row r="538">
          <cell r="B538"/>
          <cell r="C538"/>
          <cell r="E538"/>
          <cell r="F538"/>
          <cell r="G538"/>
          <cell r="H538"/>
          <cell r="J538"/>
          <cell r="L538"/>
          <cell r="M538"/>
        </row>
        <row r="539">
          <cell r="B539"/>
          <cell r="C539"/>
          <cell r="E539"/>
          <cell r="F539"/>
          <cell r="G539"/>
          <cell r="H539"/>
          <cell r="J539"/>
          <cell r="L539"/>
          <cell r="M539"/>
        </row>
        <row r="540">
          <cell r="B540"/>
          <cell r="C540"/>
          <cell r="E540"/>
          <cell r="F540"/>
          <cell r="G540"/>
          <cell r="H540"/>
          <cell r="J540"/>
          <cell r="L540"/>
          <cell r="M540"/>
        </row>
        <row r="541">
          <cell r="B541"/>
          <cell r="C541"/>
          <cell r="E541"/>
          <cell r="F541"/>
          <cell r="G541"/>
          <cell r="H541"/>
          <cell r="J541"/>
          <cell r="L541"/>
          <cell r="M541"/>
        </row>
        <row r="542">
          <cell r="B542"/>
          <cell r="C542"/>
          <cell r="E542"/>
          <cell r="F542"/>
          <cell r="G542"/>
          <cell r="H542"/>
          <cell r="J542"/>
          <cell r="L542"/>
          <cell r="M542"/>
        </row>
        <row r="543">
          <cell r="B543"/>
          <cell r="C543"/>
          <cell r="E543"/>
          <cell r="F543"/>
          <cell r="G543"/>
          <cell r="H543"/>
          <cell r="J543"/>
          <cell r="L543"/>
          <cell r="M543"/>
        </row>
        <row r="544">
          <cell r="B544"/>
          <cell r="C544"/>
          <cell r="E544"/>
          <cell r="F544"/>
          <cell r="G544"/>
          <cell r="H544"/>
          <cell r="J544"/>
          <cell r="L544"/>
          <cell r="M544"/>
        </row>
        <row r="545">
          <cell r="B545"/>
          <cell r="C545"/>
          <cell r="E545"/>
          <cell r="F545"/>
          <cell r="G545"/>
          <cell r="H545"/>
          <cell r="J545"/>
          <cell r="L545"/>
          <cell r="M545"/>
        </row>
        <row r="546">
          <cell r="B546"/>
          <cell r="C546"/>
          <cell r="E546"/>
          <cell r="F546"/>
          <cell r="G546"/>
          <cell r="H546"/>
          <cell r="J546"/>
          <cell r="L546"/>
          <cell r="M546"/>
        </row>
        <row r="547">
          <cell r="B547"/>
          <cell r="C547"/>
          <cell r="E547"/>
          <cell r="F547"/>
          <cell r="G547"/>
          <cell r="H547"/>
          <cell r="J547"/>
          <cell r="L547"/>
          <cell r="M547"/>
        </row>
        <row r="548">
          <cell r="B548"/>
          <cell r="C548"/>
          <cell r="E548"/>
          <cell r="F548"/>
          <cell r="G548"/>
          <cell r="H548"/>
          <cell r="J548"/>
          <cell r="L548"/>
          <cell r="M548"/>
        </row>
        <row r="549">
          <cell r="B549"/>
          <cell r="C549"/>
          <cell r="E549"/>
          <cell r="F549"/>
          <cell r="G549"/>
          <cell r="H549"/>
          <cell r="J549"/>
          <cell r="L549"/>
          <cell r="M549"/>
        </row>
        <row r="550">
          <cell r="B550"/>
          <cell r="C550"/>
          <cell r="E550"/>
          <cell r="F550"/>
          <cell r="G550"/>
          <cell r="H550"/>
          <cell r="J550"/>
          <cell r="L550"/>
          <cell r="M550"/>
        </row>
        <row r="551">
          <cell r="B551"/>
          <cell r="C551"/>
          <cell r="E551"/>
          <cell r="F551"/>
          <cell r="G551"/>
          <cell r="H551"/>
          <cell r="J551"/>
          <cell r="L551"/>
          <cell r="M551"/>
        </row>
        <row r="552">
          <cell r="B552"/>
          <cell r="C552"/>
          <cell r="E552"/>
          <cell r="F552"/>
          <cell r="G552"/>
          <cell r="H552"/>
          <cell r="J552"/>
          <cell r="L552"/>
          <cell r="M552"/>
        </row>
        <row r="553">
          <cell r="B553"/>
          <cell r="C553"/>
          <cell r="E553"/>
          <cell r="F553"/>
          <cell r="G553"/>
          <cell r="H553"/>
          <cell r="J553"/>
          <cell r="L553"/>
          <cell r="M553"/>
        </row>
        <row r="554">
          <cell r="B554"/>
          <cell r="C554"/>
          <cell r="E554"/>
          <cell r="F554"/>
          <cell r="G554"/>
          <cell r="H554"/>
          <cell r="J554"/>
          <cell r="L554"/>
          <cell r="M554"/>
        </row>
        <row r="555">
          <cell r="B555"/>
          <cell r="C555"/>
          <cell r="E555"/>
          <cell r="F555"/>
          <cell r="G555"/>
          <cell r="H555"/>
          <cell r="J555"/>
          <cell r="L555"/>
          <cell r="M555"/>
        </row>
        <row r="556">
          <cell r="B556"/>
          <cell r="C556"/>
          <cell r="E556"/>
          <cell r="F556"/>
          <cell r="G556"/>
          <cell r="H556"/>
          <cell r="J556"/>
          <cell r="L556"/>
          <cell r="M556"/>
        </row>
        <row r="557">
          <cell r="B557"/>
          <cell r="C557"/>
          <cell r="E557"/>
          <cell r="F557"/>
          <cell r="G557"/>
          <cell r="H557"/>
          <cell r="J557"/>
          <cell r="L557"/>
          <cell r="M557"/>
        </row>
        <row r="558">
          <cell r="B558"/>
          <cell r="C558"/>
          <cell r="E558"/>
          <cell r="F558"/>
          <cell r="G558"/>
          <cell r="H558"/>
          <cell r="J558"/>
          <cell r="L558"/>
          <cell r="M558"/>
        </row>
        <row r="559">
          <cell r="B559"/>
          <cell r="C559"/>
          <cell r="E559"/>
          <cell r="F559"/>
          <cell r="G559"/>
          <cell r="H559"/>
          <cell r="J559"/>
          <cell r="L559"/>
          <cell r="M559"/>
        </row>
        <row r="560">
          <cell r="B560"/>
          <cell r="C560"/>
          <cell r="E560"/>
          <cell r="F560"/>
          <cell r="G560"/>
          <cell r="H560"/>
          <cell r="J560"/>
          <cell r="L560"/>
          <cell r="M560"/>
        </row>
        <row r="561">
          <cell r="B561"/>
          <cell r="C561"/>
          <cell r="E561"/>
          <cell r="F561"/>
          <cell r="G561"/>
          <cell r="H561"/>
          <cell r="J561"/>
          <cell r="L561"/>
          <cell r="M561"/>
        </row>
        <row r="562">
          <cell r="B562"/>
          <cell r="C562"/>
          <cell r="E562"/>
          <cell r="F562"/>
          <cell r="G562"/>
          <cell r="H562"/>
          <cell r="J562"/>
          <cell r="L562"/>
          <cell r="M562"/>
        </row>
        <row r="563">
          <cell r="B563"/>
          <cell r="C563"/>
          <cell r="E563"/>
          <cell r="F563"/>
          <cell r="G563"/>
          <cell r="H563"/>
          <cell r="J563"/>
          <cell r="L563"/>
          <cell r="M563"/>
        </row>
        <row r="564">
          <cell r="B564"/>
          <cell r="C564"/>
          <cell r="E564"/>
          <cell r="F564"/>
          <cell r="G564"/>
          <cell r="H564"/>
          <cell r="J564"/>
          <cell r="L564"/>
          <cell r="M564"/>
        </row>
        <row r="565">
          <cell r="B565"/>
          <cell r="C565"/>
          <cell r="E565"/>
          <cell r="F565"/>
          <cell r="G565"/>
          <cell r="H565"/>
          <cell r="J565"/>
          <cell r="L565"/>
          <cell r="M565"/>
        </row>
        <row r="566">
          <cell r="B566"/>
          <cell r="C566"/>
          <cell r="E566"/>
          <cell r="F566"/>
          <cell r="G566"/>
          <cell r="H566"/>
          <cell r="J566"/>
          <cell r="L566"/>
          <cell r="M566"/>
        </row>
        <row r="567">
          <cell r="B567"/>
          <cell r="C567"/>
          <cell r="E567"/>
          <cell r="F567"/>
          <cell r="G567"/>
          <cell r="H567"/>
          <cell r="J567"/>
          <cell r="L567"/>
          <cell r="M567"/>
        </row>
        <row r="568">
          <cell r="B568"/>
          <cell r="C568"/>
          <cell r="E568"/>
          <cell r="F568"/>
          <cell r="G568"/>
          <cell r="H568"/>
          <cell r="J568"/>
          <cell r="L568"/>
          <cell r="M568"/>
        </row>
        <row r="569">
          <cell r="B569"/>
          <cell r="C569"/>
          <cell r="E569"/>
          <cell r="F569"/>
          <cell r="G569"/>
          <cell r="H569"/>
          <cell r="J569"/>
          <cell r="L569"/>
          <cell r="M569"/>
        </row>
        <row r="570">
          <cell r="B570"/>
          <cell r="C570"/>
          <cell r="E570"/>
          <cell r="F570"/>
          <cell r="G570"/>
          <cell r="H570"/>
          <cell r="J570"/>
          <cell r="L570"/>
          <cell r="M570"/>
        </row>
        <row r="571">
          <cell r="B571"/>
          <cell r="C571"/>
          <cell r="E571"/>
          <cell r="F571"/>
          <cell r="G571"/>
          <cell r="H571"/>
          <cell r="J571"/>
          <cell r="L571"/>
          <cell r="M571"/>
        </row>
        <row r="572">
          <cell r="B572"/>
          <cell r="C572"/>
          <cell r="E572"/>
          <cell r="F572"/>
          <cell r="G572"/>
          <cell r="H572"/>
          <cell r="J572"/>
          <cell r="L572"/>
          <cell r="M572"/>
        </row>
        <row r="573">
          <cell r="B573"/>
          <cell r="C573"/>
          <cell r="E573"/>
          <cell r="F573"/>
          <cell r="G573"/>
          <cell r="H573"/>
          <cell r="J573"/>
          <cell r="L573"/>
          <cell r="M573"/>
        </row>
        <row r="574">
          <cell r="B574"/>
          <cell r="C574"/>
          <cell r="E574"/>
          <cell r="F574"/>
          <cell r="G574"/>
          <cell r="H574"/>
          <cell r="J574"/>
          <cell r="L574"/>
          <cell r="M574"/>
        </row>
        <row r="575">
          <cell r="B575"/>
          <cell r="C575"/>
          <cell r="E575"/>
          <cell r="F575"/>
          <cell r="G575"/>
          <cell r="H575"/>
          <cell r="J575"/>
          <cell r="L575"/>
          <cell r="M575"/>
        </row>
        <row r="576">
          <cell r="B576"/>
          <cell r="C576"/>
          <cell r="E576"/>
          <cell r="F576"/>
          <cell r="G576"/>
          <cell r="H576"/>
          <cell r="J576"/>
          <cell r="L576"/>
          <cell r="M576"/>
        </row>
        <row r="577">
          <cell r="B577"/>
          <cell r="C577"/>
          <cell r="E577"/>
          <cell r="F577"/>
          <cell r="G577"/>
          <cell r="H577"/>
          <cell r="J577"/>
          <cell r="L577"/>
          <cell r="M577"/>
        </row>
        <row r="578">
          <cell r="B578"/>
          <cell r="C578"/>
          <cell r="E578"/>
          <cell r="F578"/>
          <cell r="G578"/>
          <cell r="H578"/>
          <cell r="J578"/>
          <cell r="L578"/>
          <cell r="M578"/>
        </row>
        <row r="579">
          <cell r="B579"/>
          <cell r="C579"/>
          <cell r="E579"/>
          <cell r="F579"/>
          <cell r="G579"/>
          <cell r="H579"/>
          <cell r="J579"/>
          <cell r="L579"/>
          <cell r="M579"/>
        </row>
        <row r="580">
          <cell r="B580"/>
          <cell r="C580"/>
          <cell r="E580"/>
          <cell r="F580"/>
          <cell r="G580"/>
          <cell r="H580"/>
          <cell r="J580"/>
          <cell r="L580"/>
          <cell r="M580"/>
        </row>
        <row r="581">
          <cell r="B581"/>
          <cell r="C581"/>
          <cell r="E581"/>
          <cell r="F581"/>
          <cell r="G581"/>
          <cell r="H581"/>
          <cell r="J581"/>
          <cell r="L581"/>
          <cell r="M581"/>
        </row>
        <row r="582">
          <cell r="B582"/>
          <cell r="C582"/>
          <cell r="E582"/>
          <cell r="F582"/>
          <cell r="G582"/>
          <cell r="H582"/>
          <cell r="J582"/>
          <cell r="L582"/>
          <cell r="M582"/>
        </row>
        <row r="583">
          <cell r="B583"/>
          <cell r="C583"/>
          <cell r="E583"/>
          <cell r="F583"/>
          <cell r="G583"/>
          <cell r="H583"/>
          <cell r="J583"/>
          <cell r="L583"/>
          <cell r="M583"/>
        </row>
        <row r="584">
          <cell r="B584"/>
          <cell r="C584"/>
          <cell r="E584"/>
          <cell r="F584"/>
          <cell r="G584"/>
          <cell r="H584"/>
          <cell r="J584"/>
          <cell r="L584"/>
          <cell r="M584"/>
        </row>
        <row r="585">
          <cell r="B585"/>
          <cell r="C585"/>
          <cell r="E585"/>
          <cell r="F585"/>
          <cell r="G585"/>
          <cell r="H585"/>
          <cell r="J585"/>
          <cell r="L585"/>
          <cell r="M585"/>
        </row>
        <row r="586">
          <cell r="B586"/>
          <cell r="C586"/>
          <cell r="E586"/>
          <cell r="F586"/>
          <cell r="G586"/>
          <cell r="H586"/>
          <cell r="J586"/>
          <cell r="L586"/>
          <cell r="M586"/>
        </row>
        <row r="587">
          <cell r="B587"/>
          <cell r="C587"/>
          <cell r="E587"/>
          <cell r="F587"/>
          <cell r="G587"/>
          <cell r="H587"/>
          <cell r="J587"/>
          <cell r="L587"/>
          <cell r="M587"/>
        </row>
        <row r="588">
          <cell r="B588"/>
          <cell r="C588"/>
          <cell r="E588"/>
          <cell r="F588"/>
          <cell r="G588"/>
          <cell r="H588"/>
          <cell r="J588"/>
          <cell r="L588"/>
          <cell r="M588"/>
        </row>
        <row r="589">
          <cell r="B589"/>
          <cell r="C589"/>
          <cell r="E589"/>
          <cell r="F589"/>
          <cell r="G589"/>
          <cell r="H589"/>
          <cell r="J589"/>
          <cell r="L589"/>
          <cell r="M589"/>
        </row>
        <row r="590">
          <cell r="B590"/>
          <cell r="C590"/>
          <cell r="E590"/>
          <cell r="F590"/>
          <cell r="G590"/>
          <cell r="H590"/>
          <cell r="J590"/>
          <cell r="L590"/>
          <cell r="M590"/>
        </row>
        <row r="591">
          <cell r="B591"/>
          <cell r="C591"/>
          <cell r="E591"/>
          <cell r="F591"/>
          <cell r="G591"/>
          <cell r="H591"/>
          <cell r="J591"/>
          <cell r="L591"/>
          <cell r="M591"/>
        </row>
        <row r="592">
          <cell r="B592"/>
          <cell r="C592"/>
          <cell r="E592"/>
          <cell r="F592"/>
          <cell r="G592"/>
          <cell r="H592"/>
          <cell r="J592"/>
          <cell r="L592"/>
          <cell r="M592"/>
        </row>
        <row r="593">
          <cell r="B593"/>
          <cell r="C593"/>
          <cell r="E593"/>
          <cell r="F593"/>
          <cell r="G593"/>
          <cell r="H593"/>
          <cell r="J593"/>
          <cell r="L593"/>
          <cell r="M593"/>
        </row>
        <row r="594">
          <cell r="B594"/>
          <cell r="C594"/>
          <cell r="E594"/>
          <cell r="F594"/>
          <cell r="G594"/>
          <cell r="H594"/>
          <cell r="J594"/>
          <cell r="L594"/>
          <cell r="M594"/>
        </row>
        <row r="595">
          <cell r="B595"/>
          <cell r="C595"/>
          <cell r="E595"/>
          <cell r="F595"/>
          <cell r="G595"/>
          <cell r="H595"/>
          <cell r="J595"/>
          <cell r="L595"/>
          <cell r="M595"/>
        </row>
        <row r="596">
          <cell r="B596"/>
          <cell r="C596"/>
          <cell r="E596"/>
          <cell r="F596"/>
          <cell r="G596"/>
          <cell r="H596"/>
          <cell r="J596"/>
          <cell r="L596"/>
          <cell r="M596"/>
        </row>
        <row r="597">
          <cell r="B597"/>
          <cell r="C597"/>
          <cell r="E597"/>
          <cell r="F597"/>
          <cell r="G597"/>
          <cell r="H597"/>
          <cell r="J597"/>
          <cell r="L597"/>
          <cell r="M597"/>
        </row>
        <row r="598">
          <cell r="B598"/>
          <cell r="C598"/>
          <cell r="E598"/>
          <cell r="F598"/>
          <cell r="G598"/>
          <cell r="H598"/>
          <cell r="J598"/>
          <cell r="L598"/>
          <cell r="M598"/>
        </row>
        <row r="599">
          <cell r="B599"/>
          <cell r="C599"/>
          <cell r="E599"/>
          <cell r="F599"/>
          <cell r="G599"/>
          <cell r="H599"/>
          <cell r="J599"/>
          <cell r="L599"/>
          <cell r="M599"/>
        </row>
        <row r="600">
          <cell r="B600"/>
          <cell r="C600"/>
          <cell r="E600"/>
          <cell r="F600"/>
          <cell r="G600"/>
          <cell r="H600"/>
          <cell r="J600"/>
          <cell r="L600"/>
          <cell r="M600"/>
        </row>
        <row r="601">
          <cell r="B601"/>
          <cell r="C601"/>
          <cell r="E601"/>
          <cell r="F601"/>
          <cell r="G601"/>
          <cell r="H601"/>
          <cell r="J601"/>
          <cell r="L601"/>
          <cell r="M601"/>
        </row>
        <row r="602">
          <cell r="B602"/>
          <cell r="C602"/>
          <cell r="E602"/>
          <cell r="F602"/>
          <cell r="G602"/>
          <cell r="H602"/>
          <cell r="J602"/>
          <cell r="L602"/>
          <cell r="M602"/>
        </row>
        <row r="603">
          <cell r="B603"/>
          <cell r="C603"/>
          <cell r="E603"/>
          <cell r="F603"/>
          <cell r="G603"/>
          <cell r="H603"/>
          <cell r="J603"/>
          <cell r="L603"/>
          <cell r="M603"/>
        </row>
        <row r="604">
          <cell r="B604"/>
          <cell r="C604"/>
          <cell r="E604"/>
          <cell r="F604"/>
          <cell r="G604"/>
          <cell r="H604"/>
          <cell r="J604"/>
          <cell r="L604"/>
          <cell r="M604"/>
        </row>
        <row r="605">
          <cell r="B605"/>
          <cell r="C605"/>
          <cell r="E605"/>
          <cell r="F605"/>
          <cell r="G605"/>
          <cell r="H605"/>
          <cell r="J605"/>
          <cell r="L605"/>
          <cell r="M605"/>
        </row>
        <row r="606">
          <cell r="B606"/>
          <cell r="C606"/>
          <cell r="E606"/>
          <cell r="F606"/>
          <cell r="G606"/>
          <cell r="H606"/>
          <cell r="J606"/>
          <cell r="L606"/>
          <cell r="M606"/>
        </row>
        <row r="607">
          <cell r="B607"/>
          <cell r="C607"/>
          <cell r="E607"/>
          <cell r="F607"/>
          <cell r="G607"/>
          <cell r="H607"/>
          <cell r="J607"/>
          <cell r="L607"/>
          <cell r="M607"/>
        </row>
        <row r="608">
          <cell r="B608"/>
          <cell r="C608"/>
          <cell r="E608"/>
          <cell r="F608"/>
          <cell r="G608"/>
          <cell r="H608"/>
          <cell r="J608"/>
          <cell r="L608"/>
          <cell r="M608"/>
        </row>
        <row r="609">
          <cell r="B609"/>
          <cell r="C609"/>
          <cell r="E609"/>
          <cell r="F609"/>
          <cell r="G609"/>
          <cell r="H609"/>
          <cell r="J609"/>
          <cell r="L609"/>
          <cell r="M609"/>
        </row>
        <row r="610">
          <cell r="B610"/>
          <cell r="C610"/>
          <cell r="E610"/>
          <cell r="F610"/>
          <cell r="G610"/>
          <cell r="H610"/>
          <cell r="J610"/>
          <cell r="L610"/>
          <cell r="M610"/>
        </row>
        <row r="611">
          <cell r="B611"/>
          <cell r="C611"/>
          <cell r="E611"/>
          <cell r="F611"/>
          <cell r="G611"/>
          <cell r="H611"/>
          <cell r="J611"/>
          <cell r="L611"/>
          <cell r="M611"/>
        </row>
        <row r="612">
          <cell r="B612"/>
          <cell r="C612"/>
          <cell r="E612"/>
          <cell r="F612"/>
          <cell r="G612"/>
          <cell r="H612"/>
          <cell r="J612"/>
          <cell r="L612"/>
          <cell r="M612"/>
        </row>
        <row r="613">
          <cell r="B613"/>
          <cell r="C613"/>
          <cell r="E613"/>
          <cell r="F613"/>
          <cell r="G613"/>
          <cell r="H613"/>
          <cell r="J613"/>
          <cell r="L613"/>
          <cell r="M613"/>
        </row>
        <row r="614">
          <cell r="B614"/>
          <cell r="C614"/>
          <cell r="E614"/>
          <cell r="F614"/>
          <cell r="G614"/>
          <cell r="H614"/>
          <cell r="J614"/>
          <cell r="L614"/>
          <cell r="M614"/>
        </row>
        <row r="615">
          <cell r="B615"/>
          <cell r="C615"/>
          <cell r="E615"/>
          <cell r="F615"/>
          <cell r="G615"/>
          <cell r="H615"/>
          <cell r="J615"/>
          <cell r="L615"/>
          <cell r="M615"/>
        </row>
        <row r="616">
          <cell r="B616"/>
          <cell r="C616"/>
          <cell r="E616"/>
          <cell r="F616"/>
          <cell r="G616"/>
          <cell r="H616"/>
          <cell r="J616"/>
          <cell r="L616"/>
          <cell r="M616"/>
        </row>
        <row r="617">
          <cell r="B617"/>
          <cell r="C617"/>
          <cell r="E617"/>
          <cell r="F617"/>
          <cell r="G617"/>
          <cell r="H617"/>
          <cell r="J617"/>
          <cell r="L617"/>
          <cell r="M617"/>
        </row>
        <row r="618">
          <cell r="B618"/>
          <cell r="C618"/>
          <cell r="E618"/>
          <cell r="F618"/>
          <cell r="G618"/>
          <cell r="H618"/>
          <cell r="J618"/>
          <cell r="L618"/>
          <cell r="M618"/>
        </row>
        <row r="619">
          <cell r="B619"/>
          <cell r="C619"/>
          <cell r="E619"/>
          <cell r="F619"/>
          <cell r="G619"/>
          <cell r="H619"/>
          <cell r="J619"/>
          <cell r="L619"/>
          <cell r="M619"/>
        </row>
        <row r="620">
          <cell r="B620"/>
          <cell r="C620"/>
          <cell r="E620"/>
          <cell r="F620"/>
          <cell r="G620"/>
          <cell r="H620"/>
          <cell r="J620"/>
          <cell r="L620"/>
          <cell r="M620"/>
        </row>
        <row r="621">
          <cell r="B621"/>
          <cell r="C621"/>
          <cell r="E621"/>
          <cell r="F621"/>
          <cell r="G621"/>
          <cell r="H621"/>
          <cell r="J621"/>
          <cell r="L621"/>
          <cell r="M621"/>
        </row>
        <row r="622">
          <cell r="B622"/>
          <cell r="C622"/>
          <cell r="E622"/>
          <cell r="F622"/>
          <cell r="G622"/>
          <cell r="H622"/>
          <cell r="J622"/>
          <cell r="L622"/>
          <cell r="M622"/>
        </row>
        <row r="623">
          <cell r="B623"/>
          <cell r="C623"/>
          <cell r="E623"/>
          <cell r="F623"/>
          <cell r="G623"/>
          <cell r="H623"/>
          <cell r="J623"/>
          <cell r="L623"/>
          <cell r="M623"/>
        </row>
        <row r="624">
          <cell r="B624"/>
          <cell r="C624"/>
          <cell r="E624"/>
          <cell r="F624"/>
          <cell r="G624"/>
          <cell r="H624"/>
          <cell r="J624"/>
          <cell r="L624"/>
          <cell r="M624"/>
        </row>
        <row r="625">
          <cell r="B625"/>
          <cell r="C625"/>
          <cell r="E625"/>
          <cell r="F625"/>
          <cell r="G625"/>
          <cell r="H625"/>
          <cell r="J625"/>
          <cell r="L625"/>
          <cell r="M625"/>
        </row>
        <row r="626">
          <cell r="B626"/>
          <cell r="C626"/>
          <cell r="E626"/>
          <cell r="F626"/>
          <cell r="G626"/>
          <cell r="H626"/>
          <cell r="J626"/>
          <cell r="L626"/>
          <cell r="M626"/>
        </row>
        <row r="627">
          <cell r="B627"/>
          <cell r="C627"/>
          <cell r="E627"/>
          <cell r="F627"/>
          <cell r="G627"/>
          <cell r="H627"/>
          <cell r="J627"/>
          <cell r="L627"/>
          <cell r="M627"/>
        </row>
        <row r="628">
          <cell r="B628"/>
          <cell r="C628"/>
          <cell r="E628"/>
          <cell r="F628"/>
          <cell r="G628"/>
          <cell r="H628"/>
          <cell r="J628"/>
          <cell r="L628"/>
          <cell r="M628"/>
        </row>
        <row r="629">
          <cell r="B629"/>
          <cell r="C629"/>
          <cell r="E629"/>
          <cell r="F629"/>
          <cell r="G629"/>
          <cell r="H629"/>
          <cell r="J629"/>
          <cell r="L629"/>
          <cell r="M629"/>
        </row>
        <row r="630">
          <cell r="B630"/>
          <cell r="C630"/>
          <cell r="E630"/>
          <cell r="F630"/>
          <cell r="G630"/>
          <cell r="H630"/>
          <cell r="J630"/>
          <cell r="L630"/>
          <cell r="M630"/>
        </row>
        <row r="631">
          <cell r="B631"/>
          <cell r="C631"/>
          <cell r="E631"/>
          <cell r="F631"/>
          <cell r="G631"/>
          <cell r="H631"/>
          <cell r="J631"/>
          <cell r="L631"/>
          <cell r="M631"/>
        </row>
        <row r="632">
          <cell r="B632"/>
          <cell r="C632"/>
          <cell r="E632"/>
          <cell r="F632"/>
          <cell r="G632"/>
          <cell r="H632"/>
          <cell r="J632"/>
          <cell r="L632"/>
          <cell r="M632"/>
        </row>
        <row r="633">
          <cell r="B633"/>
          <cell r="C633"/>
          <cell r="E633"/>
          <cell r="F633"/>
          <cell r="G633"/>
          <cell r="H633"/>
          <cell r="J633"/>
          <cell r="L633"/>
          <cell r="M633"/>
        </row>
        <row r="634">
          <cell r="B634"/>
          <cell r="C634"/>
          <cell r="E634"/>
          <cell r="F634"/>
          <cell r="G634"/>
          <cell r="H634"/>
          <cell r="J634"/>
          <cell r="L634"/>
          <cell r="M634"/>
        </row>
        <row r="635">
          <cell r="B635"/>
          <cell r="C635"/>
          <cell r="E635"/>
          <cell r="F635"/>
          <cell r="G635"/>
          <cell r="H635"/>
          <cell r="J635"/>
          <cell r="L635"/>
          <cell r="M635"/>
        </row>
        <row r="636">
          <cell r="B636"/>
          <cell r="C636"/>
          <cell r="E636"/>
          <cell r="F636"/>
          <cell r="G636"/>
          <cell r="H636"/>
          <cell r="J636"/>
          <cell r="L636"/>
          <cell r="M636"/>
        </row>
        <row r="637">
          <cell r="B637"/>
          <cell r="C637"/>
          <cell r="E637"/>
          <cell r="F637"/>
          <cell r="G637"/>
          <cell r="H637"/>
          <cell r="J637"/>
          <cell r="L637"/>
          <cell r="M637"/>
        </row>
        <row r="638">
          <cell r="B638"/>
          <cell r="C638"/>
          <cell r="E638"/>
          <cell r="F638"/>
          <cell r="G638"/>
          <cell r="H638"/>
          <cell r="J638"/>
          <cell r="L638"/>
          <cell r="M638"/>
        </row>
        <row r="639">
          <cell r="B639"/>
          <cell r="C639"/>
          <cell r="E639"/>
          <cell r="F639"/>
          <cell r="G639"/>
          <cell r="H639"/>
          <cell r="J639"/>
          <cell r="L639"/>
          <cell r="M639"/>
        </row>
        <row r="640">
          <cell r="B640"/>
          <cell r="C640"/>
          <cell r="E640"/>
          <cell r="F640"/>
          <cell r="G640"/>
          <cell r="H640"/>
          <cell r="J640"/>
          <cell r="L640"/>
          <cell r="M640"/>
        </row>
        <row r="641">
          <cell r="B641"/>
          <cell r="C641"/>
          <cell r="E641"/>
          <cell r="F641"/>
          <cell r="G641"/>
          <cell r="H641"/>
          <cell r="J641"/>
          <cell r="L641"/>
          <cell r="M641"/>
        </row>
        <row r="642">
          <cell r="B642"/>
          <cell r="C642"/>
          <cell r="E642"/>
          <cell r="F642"/>
          <cell r="G642"/>
          <cell r="H642"/>
          <cell r="J642"/>
          <cell r="L642"/>
          <cell r="M642"/>
        </row>
        <row r="643">
          <cell r="B643"/>
          <cell r="C643"/>
          <cell r="E643"/>
          <cell r="F643"/>
          <cell r="G643"/>
          <cell r="H643"/>
          <cell r="J643"/>
          <cell r="L643"/>
          <cell r="M643"/>
        </row>
        <row r="644">
          <cell r="B644"/>
          <cell r="C644"/>
          <cell r="E644"/>
          <cell r="F644"/>
          <cell r="G644"/>
          <cell r="H644"/>
          <cell r="J644"/>
          <cell r="L644"/>
          <cell r="M644"/>
        </row>
        <row r="645">
          <cell r="B645"/>
          <cell r="C645"/>
          <cell r="E645"/>
          <cell r="F645"/>
          <cell r="G645"/>
          <cell r="H645"/>
          <cell r="J645"/>
          <cell r="L645"/>
          <cell r="M645"/>
        </row>
        <row r="646">
          <cell r="B646"/>
          <cell r="C646"/>
          <cell r="E646"/>
          <cell r="F646"/>
          <cell r="G646"/>
          <cell r="H646"/>
          <cell r="J646"/>
          <cell r="L646"/>
          <cell r="M646"/>
        </row>
        <row r="647">
          <cell r="B647"/>
          <cell r="C647"/>
          <cell r="E647"/>
          <cell r="F647"/>
          <cell r="G647"/>
          <cell r="H647"/>
          <cell r="J647"/>
          <cell r="L647"/>
          <cell r="M647"/>
        </row>
        <row r="648">
          <cell r="B648"/>
          <cell r="C648"/>
          <cell r="E648"/>
          <cell r="F648"/>
          <cell r="G648"/>
          <cell r="H648"/>
          <cell r="J648"/>
          <cell r="L648"/>
          <cell r="M648"/>
        </row>
        <row r="649">
          <cell r="B649"/>
          <cell r="C649"/>
          <cell r="E649"/>
          <cell r="F649"/>
          <cell r="G649"/>
          <cell r="H649"/>
          <cell r="J649"/>
          <cell r="L649"/>
          <cell r="M649"/>
        </row>
        <row r="650">
          <cell r="B650"/>
          <cell r="C650"/>
          <cell r="E650"/>
          <cell r="F650"/>
          <cell r="G650"/>
          <cell r="H650"/>
          <cell r="J650"/>
          <cell r="L650"/>
          <cell r="M650"/>
        </row>
        <row r="651">
          <cell r="B651"/>
          <cell r="C651"/>
          <cell r="E651"/>
          <cell r="F651"/>
          <cell r="G651"/>
          <cell r="H651"/>
          <cell r="J651"/>
          <cell r="L651"/>
          <cell r="M651"/>
        </row>
        <row r="652">
          <cell r="B652"/>
          <cell r="C652"/>
          <cell r="E652"/>
          <cell r="F652"/>
          <cell r="G652"/>
          <cell r="H652"/>
          <cell r="J652"/>
          <cell r="L652"/>
          <cell r="M652"/>
        </row>
        <row r="653">
          <cell r="B653"/>
          <cell r="C653"/>
          <cell r="E653"/>
          <cell r="F653"/>
          <cell r="G653"/>
          <cell r="H653"/>
          <cell r="J653"/>
          <cell r="L653"/>
          <cell r="M653"/>
        </row>
        <row r="654">
          <cell r="B654"/>
          <cell r="C654"/>
          <cell r="E654"/>
          <cell r="F654"/>
          <cell r="G654"/>
          <cell r="H654"/>
          <cell r="J654"/>
          <cell r="L654"/>
          <cell r="M654"/>
        </row>
        <row r="655">
          <cell r="B655"/>
          <cell r="C655"/>
          <cell r="E655"/>
          <cell r="F655"/>
          <cell r="G655"/>
          <cell r="H655"/>
          <cell r="J655"/>
          <cell r="L655"/>
          <cell r="M655"/>
        </row>
        <row r="656">
          <cell r="B656"/>
          <cell r="C656"/>
          <cell r="E656"/>
          <cell r="F656"/>
          <cell r="G656"/>
          <cell r="H656"/>
          <cell r="J656"/>
          <cell r="L656"/>
          <cell r="M656"/>
        </row>
        <row r="657">
          <cell r="B657"/>
          <cell r="C657"/>
          <cell r="E657"/>
          <cell r="F657"/>
          <cell r="G657"/>
          <cell r="H657"/>
          <cell r="J657"/>
          <cell r="L657"/>
          <cell r="M657"/>
        </row>
        <row r="658">
          <cell r="B658"/>
          <cell r="C658"/>
          <cell r="E658"/>
          <cell r="F658"/>
          <cell r="G658"/>
          <cell r="H658"/>
          <cell r="J658"/>
          <cell r="L658"/>
          <cell r="M658"/>
        </row>
        <row r="659">
          <cell r="B659"/>
          <cell r="C659"/>
          <cell r="E659"/>
          <cell r="F659"/>
          <cell r="G659"/>
          <cell r="H659"/>
          <cell r="J659"/>
          <cell r="L659"/>
          <cell r="M659"/>
        </row>
        <row r="660">
          <cell r="B660"/>
          <cell r="C660"/>
          <cell r="E660"/>
          <cell r="F660"/>
          <cell r="G660"/>
          <cell r="H660"/>
          <cell r="J660"/>
          <cell r="L660"/>
          <cell r="M660"/>
        </row>
        <row r="661">
          <cell r="B661"/>
          <cell r="C661"/>
          <cell r="E661"/>
          <cell r="F661"/>
          <cell r="G661"/>
          <cell r="H661"/>
          <cell r="J661"/>
          <cell r="L661"/>
          <cell r="M661"/>
        </row>
        <row r="662">
          <cell r="B662"/>
          <cell r="C662"/>
          <cell r="E662"/>
          <cell r="F662"/>
          <cell r="G662"/>
          <cell r="H662"/>
          <cell r="J662"/>
          <cell r="L662"/>
          <cell r="M662"/>
        </row>
        <row r="663">
          <cell r="B663"/>
          <cell r="C663"/>
          <cell r="E663"/>
          <cell r="F663"/>
          <cell r="G663"/>
          <cell r="H663"/>
          <cell r="J663"/>
          <cell r="L663"/>
          <cell r="M663"/>
        </row>
        <row r="664">
          <cell r="B664"/>
          <cell r="C664"/>
          <cell r="E664"/>
          <cell r="F664"/>
          <cell r="G664"/>
          <cell r="H664"/>
          <cell r="J664"/>
          <cell r="L664"/>
          <cell r="M664"/>
        </row>
        <row r="665">
          <cell r="B665"/>
          <cell r="C665"/>
          <cell r="E665"/>
          <cell r="F665"/>
          <cell r="G665"/>
          <cell r="H665"/>
          <cell r="J665"/>
          <cell r="L665"/>
          <cell r="M665"/>
        </row>
        <row r="666">
          <cell r="B666"/>
          <cell r="C666"/>
          <cell r="E666"/>
          <cell r="F666"/>
          <cell r="G666"/>
          <cell r="H666"/>
          <cell r="J666"/>
          <cell r="L666"/>
          <cell r="M666"/>
        </row>
        <row r="667">
          <cell r="B667"/>
          <cell r="C667"/>
          <cell r="E667"/>
          <cell r="F667"/>
          <cell r="G667"/>
          <cell r="H667"/>
          <cell r="J667"/>
          <cell r="L667"/>
          <cell r="M667"/>
        </row>
        <row r="668">
          <cell r="B668"/>
          <cell r="C668"/>
          <cell r="E668"/>
          <cell r="F668"/>
          <cell r="G668"/>
          <cell r="H668"/>
          <cell r="J668"/>
          <cell r="L668"/>
          <cell r="M668"/>
        </row>
        <row r="669">
          <cell r="B669"/>
          <cell r="C669"/>
          <cell r="E669"/>
          <cell r="F669"/>
          <cell r="G669"/>
          <cell r="H669"/>
          <cell r="J669"/>
          <cell r="L669"/>
          <cell r="M669"/>
        </row>
        <row r="670">
          <cell r="B670"/>
          <cell r="C670"/>
          <cell r="E670"/>
          <cell r="F670"/>
          <cell r="G670"/>
          <cell r="H670"/>
          <cell r="J670"/>
          <cell r="L670"/>
          <cell r="M670"/>
        </row>
        <row r="671">
          <cell r="B671"/>
          <cell r="C671"/>
          <cell r="E671"/>
          <cell r="F671"/>
          <cell r="G671"/>
          <cell r="H671"/>
          <cell r="J671"/>
          <cell r="L671"/>
          <cell r="M671"/>
        </row>
        <row r="672">
          <cell r="B672"/>
          <cell r="C672"/>
          <cell r="E672"/>
          <cell r="F672"/>
          <cell r="G672"/>
          <cell r="H672"/>
          <cell r="J672"/>
          <cell r="L672"/>
          <cell r="M672"/>
        </row>
        <row r="673">
          <cell r="B673"/>
          <cell r="C673"/>
          <cell r="E673"/>
          <cell r="F673"/>
          <cell r="G673"/>
          <cell r="H673"/>
          <cell r="J673"/>
          <cell r="L673"/>
          <cell r="M673"/>
        </row>
        <row r="674">
          <cell r="B674"/>
          <cell r="C674"/>
          <cell r="E674"/>
          <cell r="F674"/>
          <cell r="G674"/>
          <cell r="H674"/>
          <cell r="J674"/>
          <cell r="L674"/>
          <cell r="M674"/>
        </row>
        <row r="675">
          <cell r="B675"/>
          <cell r="C675"/>
          <cell r="E675"/>
          <cell r="F675"/>
          <cell r="G675"/>
          <cell r="H675"/>
          <cell r="J675"/>
          <cell r="L675"/>
          <cell r="M675"/>
        </row>
        <row r="676">
          <cell r="B676"/>
          <cell r="C676"/>
          <cell r="E676"/>
          <cell r="F676"/>
          <cell r="G676"/>
          <cell r="H676"/>
          <cell r="J676"/>
          <cell r="L676"/>
          <cell r="M676"/>
        </row>
        <row r="677">
          <cell r="B677"/>
          <cell r="C677"/>
          <cell r="E677"/>
          <cell r="F677"/>
          <cell r="G677"/>
          <cell r="H677"/>
          <cell r="J677"/>
          <cell r="L677"/>
          <cell r="M677"/>
        </row>
        <row r="678">
          <cell r="B678"/>
          <cell r="C678"/>
          <cell r="E678"/>
          <cell r="F678"/>
          <cell r="G678"/>
          <cell r="H678"/>
          <cell r="J678"/>
          <cell r="L678"/>
          <cell r="M678"/>
        </row>
        <row r="679">
          <cell r="B679"/>
          <cell r="C679"/>
          <cell r="E679"/>
          <cell r="F679"/>
          <cell r="G679"/>
          <cell r="H679"/>
          <cell r="J679"/>
          <cell r="L679"/>
          <cell r="M679"/>
        </row>
        <row r="680">
          <cell r="B680"/>
          <cell r="C680"/>
          <cell r="E680"/>
          <cell r="F680"/>
          <cell r="G680"/>
          <cell r="H680"/>
          <cell r="J680"/>
          <cell r="L680"/>
          <cell r="M680"/>
        </row>
        <row r="681">
          <cell r="B681"/>
          <cell r="C681"/>
          <cell r="E681"/>
          <cell r="F681"/>
          <cell r="G681"/>
          <cell r="H681"/>
          <cell r="J681"/>
          <cell r="L681"/>
          <cell r="M681"/>
        </row>
        <row r="682">
          <cell r="B682"/>
          <cell r="C682"/>
          <cell r="E682"/>
          <cell r="F682"/>
          <cell r="G682"/>
          <cell r="H682"/>
          <cell r="J682"/>
          <cell r="L682"/>
          <cell r="M682"/>
        </row>
        <row r="683">
          <cell r="B683"/>
          <cell r="C683"/>
          <cell r="E683"/>
          <cell r="F683"/>
          <cell r="G683"/>
          <cell r="H683"/>
          <cell r="J683"/>
          <cell r="L683"/>
          <cell r="M683"/>
        </row>
        <row r="684">
          <cell r="B684"/>
          <cell r="C684"/>
          <cell r="E684"/>
          <cell r="F684"/>
          <cell r="G684"/>
          <cell r="H684"/>
          <cell r="J684"/>
          <cell r="L684"/>
          <cell r="M684"/>
        </row>
        <row r="685">
          <cell r="B685"/>
          <cell r="C685"/>
          <cell r="E685"/>
          <cell r="F685"/>
          <cell r="G685"/>
          <cell r="H685"/>
          <cell r="J685"/>
          <cell r="L685"/>
          <cell r="M685"/>
        </row>
        <row r="686">
          <cell r="B686"/>
          <cell r="C686"/>
          <cell r="E686"/>
          <cell r="F686"/>
          <cell r="G686"/>
          <cell r="H686"/>
          <cell r="J686"/>
          <cell r="L686"/>
          <cell r="M686"/>
        </row>
        <row r="687">
          <cell r="B687"/>
          <cell r="C687"/>
          <cell r="E687"/>
          <cell r="F687"/>
          <cell r="G687"/>
          <cell r="H687"/>
          <cell r="J687"/>
          <cell r="L687"/>
          <cell r="M687"/>
        </row>
        <row r="688">
          <cell r="B688"/>
          <cell r="C688"/>
          <cell r="E688"/>
          <cell r="F688"/>
          <cell r="G688"/>
          <cell r="H688"/>
          <cell r="J688"/>
          <cell r="L688"/>
          <cell r="M688"/>
        </row>
        <row r="689">
          <cell r="B689"/>
          <cell r="C689"/>
          <cell r="E689"/>
          <cell r="F689"/>
          <cell r="G689"/>
          <cell r="H689"/>
          <cell r="J689"/>
          <cell r="L689"/>
          <cell r="M689"/>
        </row>
        <row r="690">
          <cell r="B690"/>
          <cell r="C690"/>
          <cell r="E690"/>
          <cell r="F690"/>
          <cell r="G690"/>
          <cell r="H690"/>
          <cell r="J690"/>
          <cell r="L690"/>
          <cell r="M690"/>
        </row>
        <row r="691">
          <cell r="B691"/>
          <cell r="C691"/>
          <cell r="E691"/>
          <cell r="F691"/>
          <cell r="G691"/>
          <cell r="H691"/>
          <cell r="J691"/>
          <cell r="L691"/>
          <cell r="M691"/>
        </row>
        <row r="692">
          <cell r="B692"/>
          <cell r="C692"/>
          <cell r="E692"/>
          <cell r="F692"/>
          <cell r="G692"/>
          <cell r="H692"/>
          <cell r="J692"/>
          <cell r="L692"/>
          <cell r="M692"/>
        </row>
        <row r="693">
          <cell r="B693"/>
          <cell r="C693"/>
          <cell r="E693"/>
          <cell r="F693"/>
          <cell r="G693"/>
          <cell r="H693"/>
          <cell r="J693"/>
          <cell r="L693"/>
          <cell r="M693"/>
        </row>
        <row r="694">
          <cell r="B694"/>
          <cell r="C694"/>
          <cell r="E694"/>
          <cell r="F694"/>
          <cell r="G694"/>
          <cell r="H694"/>
          <cell r="J694"/>
          <cell r="L694"/>
          <cell r="M694"/>
        </row>
        <row r="695">
          <cell r="B695"/>
          <cell r="C695"/>
          <cell r="E695"/>
          <cell r="F695"/>
          <cell r="G695"/>
          <cell r="H695"/>
          <cell r="J695"/>
          <cell r="L695"/>
          <cell r="M695"/>
        </row>
        <row r="696">
          <cell r="B696"/>
          <cell r="C696"/>
          <cell r="E696"/>
          <cell r="F696"/>
          <cell r="G696"/>
          <cell r="H696"/>
          <cell r="J696"/>
          <cell r="L696"/>
          <cell r="M696"/>
        </row>
        <row r="697">
          <cell r="B697"/>
          <cell r="C697"/>
          <cell r="E697"/>
          <cell r="F697"/>
          <cell r="G697"/>
          <cell r="H697"/>
          <cell r="J697"/>
          <cell r="L697"/>
          <cell r="M697"/>
        </row>
        <row r="698">
          <cell r="B698"/>
          <cell r="C698"/>
          <cell r="E698"/>
          <cell r="F698"/>
          <cell r="G698"/>
          <cell r="H698"/>
          <cell r="J698"/>
          <cell r="L698"/>
          <cell r="M698"/>
        </row>
        <row r="699">
          <cell r="B699"/>
          <cell r="C699"/>
          <cell r="E699"/>
          <cell r="F699"/>
          <cell r="G699"/>
          <cell r="H699"/>
          <cell r="J699"/>
          <cell r="L699"/>
          <cell r="M699"/>
        </row>
        <row r="700">
          <cell r="B700"/>
          <cell r="C700"/>
          <cell r="E700"/>
          <cell r="F700"/>
          <cell r="G700"/>
          <cell r="H700"/>
          <cell r="J700"/>
          <cell r="L700"/>
          <cell r="M700"/>
        </row>
        <row r="701">
          <cell r="B701"/>
          <cell r="C701"/>
          <cell r="E701"/>
          <cell r="F701"/>
          <cell r="G701"/>
          <cell r="H701"/>
          <cell r="J701"/>
          <cell r="L701"/>
          <cell r="M701"/>
        </row>
        <row r="702">
          <cell r="B702"/>
          <cell r="C702"/>
          <cell r="E702"/>
          <cell r="F702"/>
          <cell r="G702"/>
          <cell r="H702"/>
          <cell r="J702"/>
          <cell r="L702"/>
          <cell r="M702"/>
        </row>
        <row r="703">
          <cell r="B703"/>
          <cell r="C703"/>
          <cell r="E703"/>
          <cell r="F703"/>
          <cell r="G703"/>
          <cell r="H703"/>
          <cell r="J703"/>
          <cell r="L703"/>
          <cell r="M703"/>
        </row>
        <row r="704">
          <cell r="B704"/>
          <cell r="C704"/>
          <cell r="E704"/>
          <cell r="F704"/>
          <cell r="G704"/>
          <cell r="H704"/>
          <cell r="J704"/>
          <cell r="L704"/>
          <cell r="M704"/>
        </row>
        <row r="705">
          <cell r="B705"/>
          <cell r="C705"/>
          <cell r="E705"/>
          <cell r="F705"/>
          <cell r="G705"/>
          <cell r="H705"/>
          <cell r="J705"/>
          <cell r="L705"/>
          <cell r="M705"/>
        </row>
        <row r="706">
          <cell r="B706"/>
          <cell r="C706"/>
          <cell r="E706"/>
          <cell r="F706"/>
          <cell r="G706"/>
          <cell r="H706"/>
          <cell r="J706"/>
          <cell r="L706"/>
          <cell r="M706"/>
        </row>
        <row r="707">
          <cell r="B707"/>
          <cell r="C707"/>
          <cell r="E707"/>
          <cell r="F707"/>
          <cell r="G707"/>
          <cell r="H707"/>
          <cell r="J707"/>
          <cell r="L707"/>
          <cell r="M707"/>
        </row>
        <row r="708">
          <cell r="B708"/>
          <cell r="C708"/>
          <cell r="E708"/>
          <cell r="F708"/>
          <cell r="G708"/>
          <cell r="H708"/>
          <cell r="J708"/>
          <cell r="L708"/>
          <cell r="M708"/>
        </row>
        <row r="709">
          <cell r="B709"/>
          <cell r="C709"/>
          <cell r="E709"/>
          <cell r="F709"/>
          <cell r="G709"/>
          <cell r="H709"/>
          <cell r="J709"/>
          <cell r="L709"/>
          <cell r="M709"/>
        </row>
        <row r="710">
          <cell r="B710"/>
          <cell r="C710"/>
          <cell r="E710"/>
          <cell r="F710"/>
          <cell r="G710"/>
          <cell r="H710"/>
          <cell r="J710"/>
          <cell r="L710"/>
          <cell r="M710"/>
        </row>
        <row r="711">
          <cell r="B711"/>
          <cell r="C711"/>
          <cell r="E711"/>
          <cell r="F711"/>
          <cell r="G711"/>
          <cell r="H711"/>
          <cell r="J711"/>
          <cell r="L711"/>
          <cell r="M711"/>
        </row>
        <row r="712">
          <cell r="B712"/>
          <cell r="C712"/>
          <cell r="E712"/>
          <cell r="F712"/>
          <cell r="G712"/>
          <cell r="H712"/>
          <cell r="J712"/>
          <cell r="L712"/>
          <cell r="M712"/>
        </row>
        <row r="713">
          <cell r="B713"/>
          <cell r="C713"/>
          <cell r="E713"/>
          <cell r="F713"/>
          <cell r="G713"/>
          <cell r="H713"/>
          <cell r="J713"/>
          <cell r="L713"/>
          <cell r="M713"/>
        </row>
        <row r="714">
          <cell r="B714"/>
          <cell r="C714"/>
          <cell r="E714"/>
          <cell r="F714"/>
          <cell r="G714"/>
          <cell r="H714"/>
          <cell r="J714"/>
          <cell r="L714"/>
          <cell r="M714"/>
        </row>
        <row r="715">
          <cell r="B715"/>
          <cell r="C715"/>
          <cell r="E715"/>
          <cell r="F715"/>
          <cell r="G715"/>
          <cell r="H715"/>
          <cell r="J715"/>
          <cell r="L715"/>
          <cell r="M715"/>
        </row>
        <row r="716">
          <cell r="B716"/>
          <cell r="C716"/>
          <cell r="E716"/>
          <cell r="F716"/>
          <cell r="G716"/>
          <cell r="H716"/>
          <cell r="J716"/>
          <cell r="L716"/>
          <cell r="M716"/>
        </row>
        <row r="717">
          <cell r="B717"/>
          <cell r="C717"/>
          <cell r="E717"/>
          <cell r="F717"/>
          <cell r="G717"/>
          <cell r="H717"/>
          <cell r="J717"/>
          <cell r="L717"/>
          <cell r="M717"/>
        </row>
        <row r="718">
          <cell r="B718"/>
          <cell r="C718"/>
          <cell r="E718"/>
          <cell r="F718"/>
          <cell r="G718"/>
          <cell r="H718"/>
          <cell r="J718"/>
          <cell r="L718"/>
          <cell r="M718"/>
        </row>
        <row r="719">
          <cell r="B719"/>
          <cell r="C719"/>
          <cell r="E719"/>
          <cell r="F719"/>
          <cell r="G719"/>
          <cell r="H719"/>
          <cell r="J719"/>
          <cell r="L719"/>
          <cell r="M719"/>
        </row>
        <row r="720">
          <cell r="B720"/>
          <cell r="C720"/>
          <cell r="E720"/>
          <cell r="F720"/>
          <cell r="G720"/>
          <cell r="H720"/>
          <cell r="J720"/>
          <cell r="L720"/>
          <cell r="M720"/>
        </row>
        <row r="721">
          <cell r="B721"/>
          <cell r="C721"/>
          <cell r="E721"/>
          <cell r="F721"/>
          <cell r="G721"/>
          <cell r="H721"/>
          <cell r="J721"/>
          <cell r="L721"/>
          <cell r="M721"/>
        </row>
        <row r="722">
          <cell r="B722"/>
          <cell r="C722"/>
          <cell r="E722"/>
          <cell r="F722"/>
          <cell r="G722"/>
          <cell r="H722"/>
          <cell r="J722"/>
          <cell r="L722"/>
          <cell r="M722"/>
        </row>
        <row r="723">
          <cell r="B723"/>
          <cell r="C723"/>
          <cell r="E723"/>
          <cell r="F723"/>
          <cell r="G723"/>
          <cell r="H723"/>
          <cell r="J723"/>
          <cell r="L723"/>
          <cell r="M723"/>
        </row>
        <row r="724">
          <cell r="B724"/>
          <cell r="C724"/>
          <cell r="E724"/>
          <cell r="F724"/>
          <cell r="G724"/>
          <cell r="H724"/>
          <cell r="J724"/>
          <cell r="L724"/>
          <cell r="M724"/>
        </row>
        <row r="725">
          <cell r="B725"/>
          <cell r="C725"/>
          <cell r="E725"/>
          <cell r="F725"/>
          <cell r="G725"/>
          <cell r="H725"/>
          <cell r="J725"/>
          <cell r="L725"/>
          <cell r="M725"/>
        </row>
        <row r="726">
          <cell r="B726"/>
          <cell r="C726"/>
          <cell r="E726"/>
          <cell r="F726"/>
          <cell r="G726"/>
          <cell r="H726"/>
          <cell r="J726"/>
          <cell r="L726"/>
          <cell r="M726"/>
        </row>
        <row r="727">
          <cell r="B727"/>
          <cell r="C727"/>
          <cell r="E727"/>
          <cell r="F727"/>
          <cell r="G727"/>
          <cell r="H727"/>
          <cell r="J727"/>
          <cell r="L727"/>
          <cell r="M727"/>
        </row>
        <row r="728">
          <cell r="B728"/>
          <cell r="C728"/>
          <cell r="E728"/>
          <cell r="F728"/>
          <cell r="G728"/>
          <cell r="H728"/>
          <cell r="J728"/>
          <cell r="L728"/>
          <cell r="M728"/>
        </row>
        <row r="729">
          <cell r="B729"/>
          <cell r="C729"/>
          <cell r="E729"/>
          <cell r="F729"/>
          <cell r="G729"/>
          <cell r="H729"/>
          <cell r="J729"/>
          <cell r="L729"/>
          <cell r="M729"/>
        </row>
        <row r="730">
          <cell r="B730"/>
          <cell r="C730"/>
          <cell r="E730"/>
          <cell r="F730"/>
          <cell r="G730"/>
          <cell r="H730"/>
          <cell r="J730"/>
          <cell r="L730"/>
          <cell r="M730"/>
        </row>
        <row r="731">
          <cell r="B731"/>
          <cell r="C731"/>
          <cell r="E731"/>
          <cell r="F731"/>
          <cell r="G731"/>
          <cell r="H731"/>
          <cell r="J731"/>
          <cell r="L731"/>
          <cell r="M731"/>
        </row>
        <row r="732">
          <cell r="B732"/>
          <cell r="C732"/>
          <cell r="E732"/>
          <cell r="F732"/>
          <cell r="G732"/>
          <cell r="H732"/>
          <cell r="J732"/>
          <cell r="L732"/>
          <cell r="M732"/>
        </row>
        <row r="733">
          <cell r="B733"/>
          <cell r="C733"/>
          <cell r="E733"/>
          <cell r="F733"/>
          <cell r="G733"/>
          <cell r="H733"/>
          <cell r="J733"/>
          <cell r="L733"/>
          <cell r="M733"/>
        </row>
        <row r="734">
          <cell r="B734"/>
          <cell r="C734"/>
          <cell r="E734"/>
          <cell r="F734"/>
          <cell r="G734"/>
          <cell r="H734"/>
          <cell r="J734"/>
          <cell r="L734"/>
          <cell r="M734"/>
        </row>
        <row r="735">
          <cell r="B735"/>
          <cell r="C735"/>
          <cell r="E735"/>
          <cell r="F735"/>
          <cell r="G735"/>
          <cell r="H735"/>
          <cell r="J735"/>
          <cell r="L735"/>
          <cell r="M735"/>
        </row>
        <row r="736">
          <cell r="B736"/>
          <cell r="C736"/>
          <cell r="E736"/>
          <cell r="F736"/>
          <cell r="G736"/>
          <cell r="H736"/>
          <cell r="J736"/>
          <cell r="L736"/>
          <cell r="M736"/>
        </row>
        <row r="737">
          <cell r="B737"/>
          <cell r="C737"/>
          <cell r="E737"/>
          <cell r="F737"/>
          <cell r="G737"/>
          <cell r="H737"/>
          <cell r="J737"/>
          <cell r="L737"/>
          <cell r="M737"/>
        </row>
        <row r="738">
          <cell r="B738"/>
          <cell r="C738"/>
          <cell r="E738"/>
          <cell r="F738"/>
          <cell r="G738"/>
          <cell r="H738"/>
          <cell r="J738"/>
          <cell r="L738"/>
          <cell r="M738"/>
        </row>
        <row r="739">
          <cell r="B739"/>
          <cell r="C739"/>
          <cell r="E739"/>
          <cell r="F739"/>
          <cell r="G739"/>
          <cell r="H739"/>
          <cell r="J739"/>
          <cell r="L739"/>
          <cell r="M739"/>
        </row>
        <row r="740">
          <cell r="B740"/>
          <cell r="C740"/>
          <cell r="E740"/>
          <cell r="F740"/>
          <cell r="G740"/>
          <cell r="H740"/>
          <cell r="J740"/>
          <cell r="L740"/>
          <cell r="M740"/>
        </row>
        <row r="741">
          <cell r="B741"/>
          <cell r="C741"/>
          <cell r="E741"/>
          <cell r="F741"/>
          <cell r="G741"/>
          <cell r="H741"/>
          <cell r="J741"/>
          <cell r="L741"/>
          <cell r="M741"/>
        </row>
        <row r="742">
          <cell r="B742"/>
          <cell r="C742"/>
          <cell r="E742"/>
          <cell r="F742"/>
          <cell r="G742"/>
          <cell r="H742"/>
          <cell r="J742"/>
          <cell r="L742"/>
          <cell r="M742"/>
        </row>
        <row r="743">
          <cell r="B743"/>
          <cell r="C743"/>
          <cell r="E743"/>
          <cell r="F743"/>
          <cell r="G743"/>
          <cell r="H743"/>
          <cell r="J743"/>
          <cell r="L743"/>
          <cell r="M743"/>
        </row>
        <row r="744">
          <cell r="B744"/>
          <cell r="C744"/>
          <cell r="E744"/>
          <cell r="F744"/>
          <cell r="G744"/>
          <cell r="H744"/>
          <cell r="J744"/>
          <cell r="L744"/>
          <cell r="M744"/>
        </row>
        <row r="745">
          <cell r="B745"/>
          <cell r="C745"/>
          <cell r="E745"/>
          <cell r="F745"/>
          <cell r="G745"/>
          <cell r="H745"/>
          <cell r="J745"/>
          <cell r="L745"/>
          <cell r="M745"/>
        </row>
        <row r="746">
          <cell r="B746"/>
          <cell r="C746"/>
          <cell r="E746"/>
          <cell r="F746"/>
          <cell r="G746"/>
          <cell r="H746"/>
          <cell r="J746"/>
          <cell r="L746"/>
          <cell r="M746"/>
        </row>
        <row r="747">
          <cell r="B747"/>
          <cell r="C747"/>
          <cell r="E747"/>
          <cell r="F747"/>
          <cell r="G747"/>
          <cell r="H747"/>
          <cell r="J747"/>
          <cell r="L747"/>
          <cell r="M747"/>
        </row>
        <row r="748">
          <cell r="B748"/>
          <cell r="C748"/>
          <cell r="E748"/>
          <cell r="F748"/>
          <cell r="G748"/>
          <cell r="H748"/>
          <cell r="J748"/>
          <cell r="L748"/>
          <cell r="M748"/>
        </row>
        <row r="749">
          <cell r="B749"/>
          <cell r="C749"/>
          <cell r="E749"/>
          <cell r="F749"/>
          <cell r="G749"/>
          <cell r="H749"/>
          <cell r="J749"/>
          <cell r="L749"/>
          <cell r="M749"/>
        </row>
        <row r="750">
          <cell r="B750"/>
          <cell r="C750"/>
          <cell r="E750"/>
          <cell r="F750"/>
          <cell r="G750"/>
          <cell r="H750"/>
          <cell r="J750"/>
          <cell r="L750"/>
          <cell r="M750"/>
        </row>
        <row r="751">
          <cell r="B751"/>
          <cell r="C751"/>
          <cell r="E751"/>
          <cell r="F751"/>
          <cell r="G751"/>
          <cell r="H751"/>
          <cell r="J751"/>
          <cell r="L751"/>
          <cell r="M751"/>
        </row>
        <row r="752">
          <cell r="B752"/>
          <cell r="C752"/>
          <cell r="E752"/>
          <cell r="F752"/>
          <cell r="G752"/>
          <cell r="H752"/>
          <cell r="J752"/>
          <cell r="L752"/>
          <cell r="M752"/>
        </row>
        <row r="753">
          <cell r="B753"/>
          <cell r="C753"/>
          <cell r="E753"/>
          <cell r="F753"/>
          <cell r="G753"/>
          <cell r="H753"/>
          <cell r="J753"/>
          <cell r="L753"/>
          <cell r="M753"/>
        </row>
        <row r="754">
          <cell r="B754"/>
          <cell r="C754"/>
          <cell r="E754"/>
          <cell r="F754"/>
          <cell r="G754"/>
          <cell r="H754"/>
          <cell r="J754"/>
          <cell r="L754"/>
          <cell r="M754"/>
        </row>
        <row r="755">
          <cell r="B755"/>
          <cell r="C755"/>
          <cell r="E755"/>
          <cell r="F755"/>
          <cell r="G755"/>
          <cell r="H755"/>
          <cell r="J755"/>
          <cell r="L755"/>
          <cell r="M755"/>
        </row>
        <row r="756">
          <cell r="B756"/>
          <cell r="C756"/>
          <cell r="E756"/>
          <cell r="F756"/>
          <cell r="G756"/>
          <cell r="H756"/>
          <cell r="J756"/>
          <cell r="L756"/>
          <cell r="M756"/>
        </row>
        <row r="757">
          <cell r="B757"/>
          <cell r="C757"/>
          <cell r="E757"/>
          <cell r="F757"/>
          <cell r="G757"/>
          <cell r="H757"/>
          <cell r="J757"/>
          <cell r="L757"/>
          <cell r="M757"/>
        </row>
        <row r="758">
          <cell r="B758"/>
          <cell r="C758"/>
          <cell r="E758"/>
          <cell r="F758"/>
          <cell r="G758"/>
          <cell r="H758"/>
          <cell r="J758"/>
          <cell r="L758"/>
          <cell r="M758"/>
        </row>
        <row r="759">
          <cell r="B759"/>
          <cell r="C759"/>
          <cell r="E759"/>
          <cell r="F759"/>
          <cell r="G759"/>
          <cell r="H759"/>
          <cell r="J759"/>
          <cell r="L759"/>
          <cell r="M759"/>
        </row>
        <row r="760">
          <cell r="B760"/>
          <cell r="C760"/>
          <cell r="E760"/>
          <cell r="F760"/>
          <cell r="G760"/>
          <cell r="H760"/>
          <cell r="J760"/>
          <cell r="L760"/>
          <cell r="M760"/>
        </row>
        <row r="761">
          <cell r="B761"/>
          <cell r="C761"/>
          <cell r="E761"/>
          <cell r="F761"/>
          <cell r="G761"/>
          <cell r="H761"/>
          <cell r="J761"/>
          <cell r="L761"/>
          <cell r="M761"/>
        </row>
        <row r="762">
          <cell r="B762"/>
          <cell r="C762"/>
          <cell r="E762"/>
          <cell r="F762"/>
          <cell r="G762"/>
          <cell r="H762"/>
          <cell r="J762"/>
          <cell r="L762"/>
          <cell r="M762"/>
        </row>
        <row r="763">
          <cell r="B763"/>
          <cell r="C763"/>
          <cell r="E763"/>
          <cell r="F763"/>
          <cell r="G763"/>
          <cell r="H763"/>
          <cell r="J763"/>
          <cell r="L763"/>
          <cell r="M763"/>
        </row>
        <row r="764">
          <cell r="B764"/>
          <cell r="C764"/>
          <cell r="E764"/>
          <cell r="F764"/>
          <cell r="G764"/>
          <cell r="H764"/>
          <cell r="J764"/>
          <cell r="L764"/>
          <cell r="M764"/>
        </row>
        <row r="765">
          <cell r="B765"/>
          <cell r="C765"/>
          <cell r="E765"/>
          <cell r="F765"/>
          <cell r="G765"/>
          <cell r="H765"/>
          <cell r="J765"/>
          <cell r="L765"/>
          <cell r="M765"/>
        </row>
        <row r="766">
          <cell r="B766"/>
          <cell r="C766"/>
          <cell r="E766"/>
          <cell r="F766"/>
          <cell r="G766"/>
          <cell r="H766"/>
          <cell r="J766"/>
          <cell r="L766"/>
          <cell r="M766"/>
        </row>
        <row r="767">
          <cell r="B767"/>
          <cell r="C767"/>
          <cell r="E767"/>
          <cell r="F767"/>
          <cell r="G767"/>
          <cell r="H767"/>
          <cell r="J767"/>
          <cell r="L767"/>
          <cell r="M767"/>
        </row>
        <row r="768">
          <cell r="B768"/>
          <cell r="C768"/>
          <cell r="E768"/>
          <cell r="F768"/>
          <cell r="G768"/>
          <cell r="H768"/>
          <cell r="J768"/>
          <cell r="L768"/>
          <cell r="M768"/>
        </row>
        <row r="769">
          <cell r="B769"/>
          <cell r="C769"/>
          <cell r="E769"/>
          <cell r="F769"/>
          <cell r="G769"/>
          <cell r="H769"/>
          <cell r="J769"/>
          <cell r="L769"/>
          <cell r="M769"/>
        </row>
        <row r="770">
          <cell r="B770"/>
          <cell r="C770"/>
          <cell r="E770"/>
          <cell r="F770"/>
          <cell r="G770"/>
          <cell r="H770"/>
          <cell r="J770"/>
          <cell r="L770"/>
          <cell r="M770"/>
        </row>
        <row r="771">
          <cell r="B771"/>
          <cell r="C771"/>
          <cell r="E771"/>
          <cell r="F771"/>
          <cell r="G771"/>
          <cell r="H771"/>
          <cell r="J771"/>
          <cell r="L771"/>
          <cell r="M771"/>
        </row>
        <row r="772">
          <cell r="B772"/>
          <cell r="C772"/>
          <cell r="E772"/>
          <cell r="F772"/>
          <cell r="G772"/>
          <cell r="H772"/>
          <cell r="J772"/>
          <cell r="L772"/>
          <cell r="M772"/>
        </row>
        <row r="773">
          <cell r="B773"/>
          <cell r="C773"/>
          <cell r="E773"/>
          <cell r="F773"/>
          <cell r="G773"/>
          <cell r="H773"/>
          <cell r="J773"/>
          <cell r="L773"/>
          <cell r="M773"/>
        </row>
        <row r="774">
          <cell r="B774"/>
          <cell r="C774"/>
          <cell r="E774"/>
          <cell r="F774"/>
          <cell r="G774"/>
          <cell r="H774"/>
          <cell r="J774"/>
          <cell r="L774"/>
          <cell r="M774"/>
        </row>
        <row r="775">
          <cell r="B775"/>
          <cell r="C775"/>
          <cell r="E775"/>
          <cell r="F775"/>
          <cell r="G775"/>
          <cell r="H775"/>
          <cell r="J775"/>
          <cell r="L775"/>
          <cell r="M775"/>
        </row>
        <row r="776">
          <cell r="B776"/>
          <cell r="C776"/>
          <cell r="E776"/>
          <cell r="F776"/>
          <cell r="G776"/>
          <cell r="H776"/>
          <cell r="J776"/>
          <cell r="L776"/>
          <cell r="M776"/>
        </row>
        <row r="777">
          <cell r="B777"/>
          <cell r="C777"/>
          <cell r="E777"/>
          <cell r="F777"/>
          <cell r="G777"/>
          <cell r="H777"/>
          <cell r="J777"/>
          <cell r="L777"/>
          <cell r="M777"/>
        </row>
        <row r="778">
          <cell r="B778"/>
          <cell r="C778"/>
          <cell r="E778"/>
          <cell r="F778"/>
          <cell r="G778"/>
          <cell r="H778"/>
          <cell r="J778"/>
          <cell r="L778"/>
          <cell r="M778"/>
        </row>
        <row r="779">
          <cell r="B779"/>
          <cell r="C779"/>
          <cell r="E779"/>
          <cell r="F779"/>
          <cell r="G779"/>
          <cell r="H779"/>
          <cell r="J779"/>
          <cell r="L779"/>
          <cell r="M779"/>
        </row>
        <row r="780">
          <cell r="B780"/>
          <cell r="C780"/>
          <cell r="E780"/>
          <cell r="F780"/>
          <cell r="G780"/>
          <cell r="H780"/>
          <cell r="J780"/>
          <cell r="L780"/>
          <cell r="M780"/>
        </row>
        <row r="781">
          <cell r="B781"/>
          <cell r="C781"/>
          <cell r="E781"/>
          <cell r="F781"/>
          <cell r="G781"/>
          <cell r="H781"/>
          <cell r="J781"/>
          <cell r="L781"/>
          <cell r="M781"/>
        </row>
        <row r="782">
          <cell r="B782"/>
          <cell r="C782"/>
          <cell r="E782"/>
          <cell r="F782"/>
          <cell r="G782"/>
          <cell r="H782"/>
          <cell r="J782"/>
          <cell r="L782"/>
          <cell r="M782"/>
        </row>
        <row r="783">
          <cell r="B783"/>
          <cell r="C783"/>
          <cell r="E783"/>
          <cell r="F783"/>
          <cell r="G783"/>
          <cell r="H783"/>
          <cell r="J783"/>
          <cell r="L783"/>
          <cell r="M783"/>
        </row>
        <row r="784">
          <cell r="B784"/>
          <cell r="C784"/>
          <cell r="E784"/>
          <cell r="F784"/>
          <cell r="G784"/>
          <cell r="H784"/>
          <cell r="J784"/>
          <cell r="L784"/>
          <cell r="M784"/>
        </row>
        <row r="785">
          <cell r="B785"/>
          <cell r="C785"/>
          <cell r="E785"/>
          <cell r="F785"/>
          <cell r="G785"/>
          <cell r="H785"/>
          <cell r="J785"/>
          <cell r="L785"/>
          <cell r="M785"/>
        </row>
        <row r="786">
          <cell r="B786"/>
          <cell r="C786"/>
          <cell r="E786"/>
          <cell r="F786"/>
          <cell r="G786"/>
          <cell r="H786"/>
          <cell r="J786"/>
          <cell r="L786"/>
          <cell r="M786"/>
        </row>
        <row r="787">
          <cell r="B787"/>
          <cell r="C787"/>
          <cell r="E787"/>
          <cell r="F787"/>
          <cell r="G787"/>
          <cell r="H787"/>
          <cell r="J787"/>
          <cell r="L787"/>
          <cell r="M787"/>
        </row>
        <row r="788">
          <cell r="B788"/>
          <cell r="C788"/>
          <cell r="E788"/>
          <cell r="F788"/>
          <cell r="G788"/>
          <cell r="H788"/>
          <cell r="J788"/>
          <cell r="L788"/>
          <cell r="M788"/>
        </row>
        <row r="789">
          <cell r="B789"/>
          <cell r="C789"/>
          <cell r="E789"/>
          <cell r="F789"/>
          <cell r="G789"/>
          <cell r="H789"/>
          <cell r="J789"/>
          <cell r="L789"/>
          <cell r="M789"/>
        </row>
        <row r="790">
          <cell r="B790"/>
          <cell r="C790"/>
          <cell r="E790"/>
          <cell r="F790"/>
          <cell r="G790"/>
          <cell r="H790"/>
          <cell r="J790"/>
          <cell r="L790"/>
          <cell r="M790"/>
        </row>
        <row r="791">
          <cell r="B791"/>
          <cell r="C791"/>
          <cell r="E791"/>
          <cell r="F791"/>
          <cell r="G791"/>
          <cell r="H791"/>
          <cell r="J791"/>
          <cell r="L791"/>
          <cell r="M791"/>
        </row>
        <row r="792">
          <cell r="B792"/>
          <cell r="C792"/>
          <cell r="E792"/>
          <cell r="F792"/>
          <cell r="G792"/>
          <cell r="H792"/>
          <cell r="J792"/>
          <cell r="L792"/>
          <cell r="M792"/>
        </row>
        <row r="793">
          <cell r="B793"/>
          <cell r="C793"/>
          <cell r="E793"/>
          <cell r="F793"/>
          <cell r="G793"/>
          <cell r="H793"/>
          <cell r="J793"/>
          <cell r="L793"/>
          <cell r="M793"/>
        </row>
        <row r="794">
          <cell r="B794"/>
          <cell r="C794"/>
          <cell r="E794"/>
          <cell r="F794"/>
          <cell r="G794"/>
          <cell r="H794"/>
          <cell r="J794"/>
          <cell r="L794"/>
          <cell r="M794"/>
        </row>
        <row r="795">
          <cell r="B795"/>
          <cell r="C795"/>
          <cell r="E795"/>
          <cell r="F795"/>
          <cell r="G795"/>
          <cell r="H795"/>
          <cell r="J795"/>
          <cell r="L795"/>
          <cell r="M795"/>
        </row>
        <row r="796">
          <cell r="B796"/>
          <cell r="C796"/>
          <cell r="E796"/>
          <cell r="F796"/>
          <cell r="G796"/>
          <cell r="H796"/>
          <cell r="J796"/>
          <cell r="L796"/>
          <cell r="M796"/>
        </row>
        <row r="797">
          <cell r="B797"/>
          <cell r="C797"/>
          <cell r="E797"/>
          <cell r="F797"/>
          <cell r="G797"/>
          <cell r="H797"/>
          <cell r="J797"/>
          <cell r="L797"/>
          <cell r="M797"/>
        </row>
        <row r="798">
          <cell r="B798"/>
          <cell r="C798"/>
          <cell r="E798"/>
          <cell r="F798"/>
          <cell r="G798"/>
          <cell r="H798"/>
          <cell r="J798"/>
          <cell r="L798"/>
          <cell r="M798"/>
        </row>
        <row r="799">
          <cell r="B799"/>
          <cell r="C799"/>
          <cell r="E799"/>
          <cell r="F799"/>
          <cell r="G799"/>
          <cell r="H799"/>
          <cell r="J799"/>
          <cell r="L799"/>
          <cell r="M799"/>
        </row>
        <row r="800">
          <cell r="B800"/>
          <cell r="C800"/>
          <cell r="E800"/>
          <cell r="F800"/>
          <cell r="G800"/>
          <cell r="H800"/>
          <cell r="J800"/>
          <cell r="L800"/>
          <cell r="M800"/>
        </row>
        <row r="801">
          <cell r="B801"/>
          <cell r="C801"/>
          <cell r="E801"/>
          <cell r="F801"/>
          <cell r="G801"/>
          <cell r="H801"/>
          <cell r="J801"/>
          <cell r="L801"/>
          <cell r="M801"/>
        </row>
        <row r="802">
          <cell r="B802"/>
          <cell r="C802"/>
          <cell r="E802"/>
          <cell r="F802"/>
          <cell r="G802"/>
          <cell r="H802"/>
          <cell r="J802"/>
          <cell r="L802"/>
          <cell r="M802"/>
        </row>
        <row r="803">
          <cell r="B803"/>
          <cell r="C803"/>
          <cell r="E803"/>
          <cell r="F803"/>
          <cell r="G803"/>
          <cell r="H803"/>
          <cell r="J803"/>
          <cell r="L803"/>
          <cell r="M803"/>
        </row>
        <row r="804">
          <cell r="B804"/>
          <cell r="C804"/>
          <cell r="E804"/>
          <cell r="F804"/>
          <cell r="G804"/>
          <cell r="H804"/>
          <cell r="J804"/>
          <cell r="L804"/>
          <cell r="M804"/>
        </row>
        <row r="805">
          <cell r="B805"/>
          <cell r="C805"/>
          <cell r="E805"/>
          <cell r="F805"/>
          <cell r="G805"/>
          <cell r="H805"/>
          <cell r="J805"/>
          <cell r="L805"/>
          <cell r="M805"/>
        </row>
        <row r="806">
          <cell r="B806"/>
          <cell r="C806"/>
          <cell r="E806"/>
          <cell r="F806"/>
          <cell r="G806"/>
          <cell r="H806"/>
          <cell r="J806"/>
          <cell r="L806"/>
          <cell r="M806"/>
        </row>
        <row r="807">
          <cell r="B807"/>
          <cell r="C807"/>
          <cell r="E807"/>
          <cell r="F807"/>
          <cell r="G807"/>
          <cell r="H807"/>
          <cell r="J807"/>
          <cell r="L807"/>
          <cell r="M807"/>
        </row>
        <row r="808">
          <cell r="B808"/>
          <cell r="C808"/>
          <cell r="E808"/>
          <cell r="F808"/>
          <cell r="G808"/>
          <cell r="H808"/>
          <cell r="J808"/>
          <cell r="L808"/>
          <cell r="M808"/>
        </row>
        <row r="809">
          <cell r="B809"/>
          <cell r="C809"/>
          <cell r="E809"/>
          <cell r="F809"/>
          <cell r="G809"/>
          <cell r="H809"/>
          <cell r="J809"/>
          <cell r="L809"/>
          <cell r="M809"/>
        </row>
        <row r="810">
          <cell r="B810"/>
          <cell r="C810"/>
          <cell r="E810"/>
          <cell r="F810"/>
          <cell r="G810"/>
          <cell r="H810"/>
          <cell r="J810"/>
          <cell r="L810"/>
          <cell r="M810"/>
        </row>
        <row r="811">
          <cell r="B811"/>
          <cell r="C811"/>
          <cell r="E811"/>
          <cell r="F811"/>
          <cell r="G811"/>
          <cell r="H811"/>
          <cell r="J811"/>
          <cell r="L811"/>
          <cell r="M811"/>
        </row>
        <row r="812">
          <cell r="B812"/>
          <cell r="C812"/>
          <cell r="E812"/>
          <cell r="F812"/>
          <cell r="G812"/>
          <cell r="H812"/>
          <cell r="J812"/>
          <cell r="L812"/>
          <cell r="M812"/>
        </row>
        <row r="813">
          <cell r="B813"/>
          <cell r="C813"/>
          <cell r="E813"/>
          <cell r="F813"/>
          <cell r="G813"/>
          <cell r="H813"/>
          <cell r="J813"/>
          <cell r="L813"/>
          <cell r="M813"/>
        </row>
        <row r="814">
          <cell r="B814"/>
          <cell r="C814"/>
          <cell r="E814"/>
          <cell r="F814"/>
          <cell r="G814"/>
          <cell r="H814"/>
          <cell r="J814"/>
          <cell r="L814"/>
          <cell r="M814"/>
        </row>
        <row r="815">
          <cell r="B815"/>
          <cell r="C815"/>
          <cell r="E815"/>
          <cell r="F815"/>
          <cell r="G815"/>
          <cell r="H815"/>
          <cell r="J815"/>
          <cell r="L815"/>
          <cell r="M815"/>
        </row>
        <row r="816">
          <cell r="B816"/>
          <cell r="C816"/>
          <cell r="E816"/>
          <cell r="F816"/>
          <cell r="G816"/>
          <cell r="H816"/>
          <cell r="J816"/>
          <cell r="L816"/>
          <cell r="M816"/>
        </row>
        <row r="817">
          <cell r="B817"/>
          <cell r="C817"/>
          <cell r="E817"/>
          <cell r="F817"/>
          <cell r="G817"/>
          <cell r="H817"/>
          <cell r="J817"/>
          <cell r="L817"/>
          <cell r="M817"/>
        </row>
        <row r="818">
          <cell r="B818"/>
          <cell r="C818"/>
          <cell r="E818"/>
          <cell r="F818"/>
          <cell r="G818"/>
          <cell r="H818"/>
          <cell r="J818"/>
          <cell r="L818"/>
          <cell r="M818"/>
        </row>
        <row r="819">
          <cell r="B819"/>
          <cell r="C819"/>
          <cell r="E819"/>
          <cell r="F819"/>
          <cell r="G819"/>
          <cell r="H819"/>
          <cell r="J819"/>
          <cell r="L819"/>
          <cell r="M819"/>
        </row>
        <row r="820">
          <cell r="B820"/>
          <cell r="C820"/>
          <cell r="E820"/>
          <cell r="F820"/>
          <cell r="G820"/>
          <cell r="H820"/>
          <cell r="J820"/>
          <cell r="L820"/>
          <cell r="M820"/>
        </row>
        <row r="821">
          <cell r="B821"/>
          <cell r="C821"/>
          <cell r="E821"/>
          <cell r="F821"/>
          <cell r="G821"/>
          <cell r="H821"/>
          <cell r="J821"/>
          <cell r="L821"/>
          <cell r="M821"/>
        </row>
        <row r="822">
          <cell r="B822"/>
          <cell r="C822"/>
          <cell r="E822"/>
          <cell r="F822"/>
          <cell r="G822"/>
          <cell r="H822"/>
          <cell r="J822"/>
          <cell r="L822"/>
          <cell r="M822"/>
        </row>
        <row r="823">
          <cell r="B823"/>
          <cell r="C823"/>
          <cell r="E823"/>
          <cell r="F823"/>
          <cell r="G823"/>
          <cell r="H823"/>
          <cell r="J823"/>
          <cell r="L823"/>
          <cell r="M823"/>
        </row>
        <row r="824">
          <cell r="B824"/>
          <cell r="C824"/>
          <cell r="E824"/>
          <cell r="F824"/>
          <cell r="G824"/>
          <cell r="H824"/>
          <cell r="J824"/>
          <cell r="L824"/>
          <cell r="M824"/>
        </row>
        <row r="825">
          <cell r="B825"/>
          <cell r="C825"/>
          <cell r="E825"/>
          <cell r="F825"/>
          <cell r="G825"/>
          <cell r="H825"/>
          <cell r="J825"/>
          <cell r="L825"/>
          <cell r="M825"/>
        </row>
        <row r="826">
          <cell r="B826"/>
          <cell r="C826"/>
          <cell r="E826"/>
          <cell r="F826"/>
          <cell r="G826"/>
          <cell r="H826"/>
          <cell r="J826"/>
          <cell r="L826"/>
          <cell r="M826"/>
        </row>
        <row r="827">
          <cell r="B827"/>
          <cell r="C827"/>
          <cell r="E827"/>
          <cell r="F827"/>
          <cell r="G827"/>
          <cell r="H827"/>
          <cell r="J827"/>
          <cell r="L827"/>
          <cell r="M827"/>
        </row>
        <row r="828">
          <cell r="B828"/>
          <cell r="C828"/>
          <cell r="E828"/>
          <cell r="F828"/>
          <cell r="G828"/>
          <cell r="H828"/>
          <cell r="J828"/>
          <cell r="L828"/>
          <cell r="M828"/>
        </row>
        <row r="829">
          <cell r="B829"/>
          <cell r="C829"/>
          <cell r="E829"/>
          <cell r="F829"/>
          <cell r="G829"/>
          <cell r="H829"/>
          <cell r="J829"/>
          <cell r="L829"/>
          <cell r="M829"/>
        </row>
        <row r="830">
          <cell r="B830"/>
          <cell r="C830"/>
          <cell r="E830"/>
          <cell r="F830"/>
          <cell r="G830"/>
          <cell r="H830"/>
          <cell r="J830"/>
          <cell r="L830"/>
          <cell r="M830"/>
        </row>
        <row r="831">
          <cell r="B831"/>
          <cell r="C831"/>
          <cell r="E831"/>
          <cell r="F831"/>
          <cell r="G831"/>
          <cell r="H831"/>
          <cell r="J831"/>
          <cell r="L831"/>
          <cell r="M831"/>
        </row>
        <row r="832">
          <cell r="B832"/>
          <cell r="C832"/>
          <cell r="E832"/>
          <cell r="F832"/>
          <cell r="G832"/>
          <cell r="H832"/>
          <cell r="J832"/>
          <cell r="L832"/>
          <cell r="M832"/>
        </row>
        <row r="833">
          <cell r="B833"/>
          <cell r="C833"/>
          <cell r="E833"/>
          <cell r="F833"/>
          <cell r="G833"/>
          <cell r="H833"/>
          <cell r="J833"/>
          <cell r="L833"/>
          <cell r="M833"/>
        </row>
        <row r="834">
          <cell r="B834"/>
          <cell r="C834"/>
          <cell r="E834"/>
          <cell r="F834"/>
          <cell r="G834"/>
          <cell r="H834"/>
          <cell r="J834"/>
          <cell r="L834"/>
          <cell r="M834"/>
        </row>
        <row r="835">
          <cell r="B835"/>
          <cell r="C835"/>
          <cell r="E835"/>
          <cell r="F835"/>
          <cell r="G835"/>
          <cell r="H835"/>
          <cell r="J835"/>
          <cell r="L835"/>
          <cell r="M835"/>
        </row>
        <row r="836">
          <cell r="B836"/>
          <cell r="C836"/>
          <cell r="E836"/>
          <cell r="F836"/>
          <cell r="G836"/>
          <cell r="H836"/>
          <cell r="J836"/>
          <cell r="L836"/>
          <cell r="M836"/>
        </row>
        <row r="837">
          <cell r="B837"/>
          <cell r="C837"/>
          <cell r="E837"/>
          <cell r="F837"/>
          <cell r="G837"/>
          <cell r="H837"/>
          <cell r="J837"/>
          <cell r="L837"/>
          <cell r="M837"/>
        </row>
        <row r="838">
          <cell r="B838"/>
          <cell r="C838"/>
          <cell r="E838"/>
          <cell r="F838"/>
          <cell r="G838"/>
          <cell r="H838"/>
          <cell r="J838"/>
          <cell r="L838"/>
          <cell r="M838"/>
        </row>
        <row r="839">
          <cell r="B839"/>
          <cell r="C839"/>
          <cell r="E839"/>
          <cell r="F839"/>
          <cell r="G839"/>
          <cell r="H839"/>
          <cell r="J839"/>
          <cell r="L839"/>
          <cell r="M839"/>
        </row>
        <row r="840">
          <cell r="B840"/>
          <cell r="C840"/>
          <cell r="E840"/>
          <cell r="F840"/>
          <cell r="G840"/>
          <cell r="H840"/>
          <cell r="J840"/>
          <cell r="L840"/>
          <cell r="M840"/>
        </row>
        <row r="841">
          <cell r="B841"/>
          <cell r="C841"/>
          <cell r="E841"/>
          <cell r="F841"/>
          <cell r="G841"/>
          <cell r="H841"/>
          <cell r="J841"/>
          <cell r="L841"/>
          <cell r="M841"/>
        </row>
        <row r="842">
          <cell r="B842"/>
          <cell r="C842"/>
          <cell r="E842"/>
          <cell r="F842"/>
          <cell r="G842"/>
          <cell r="H842"/>
          <cell r="J842"/>
          <cell r="L842"/>
          <cell r="M842"/>
        </row>
        <row r="843">
          <cell r="B843"/>
          <cell r="C843"/>
          <cell r="E843"/>
          <cell r="F843"/>
          <cell r="G843"/>
          <cell r="H843"/>
          <cell r="J843"/>
          <cell r="L843"/>
          <cell r="M843"/>
        </row>
        <row r="844">
          <cell r="B844"/>
          <cell r="C844"/>
          <cell r="E844"/>
          <cell r="F844"/>
          <cell r="G844"/>
          <cell r="H844"/>
          <cell r="J844"/>
          <cell r="L844"/>
          <cell r="M844"/>
        </row>
        <row r="845">
          <cell r="B845"/>
          <cell r="C845"/>
          <cell r="E845"/>
          <cell r="F845"/>
          <cell r="G845"/>
          <cell r="H845"/>
          <cell r="J845"/>
          <cell r="L845"/>
          <cell r="M845"/>
        </row>
        <row r="846">
          <cell r="B846"/>
          <cell r="C846"/>
          <cell r="E846"/>
          <cell r="F846"/>
          <cell r="G846"/>
          <cell r="H846"/>
          <cell r="J846"/>
          <cell r="L846"/>
          <cell r="M846"/>
        </row>
        <row r="847">
          <cell r="B847"/>
          <cell r="C847"/>
          <cell r="E847"/>
          <cell r="F847"/>
          <cell r="G847"/>
          <cell r="H847"/>
          <cell r="J847"/>
          <cell r="L847"/>
          <cell r="M847"/>
        </row>
        <row r="848">
          <cell r="B848"/>
          <cell r="C848"/>
          <cell r="E848"/>
          <cell r="F848"/>
          <cell r="G848"/>
          <cell r="H848"/>
          <cell r="J848"/>
          <cell r="L848"/>
          <cell r="M848"/>
        </row>
        <row r="849">
          <cell r="B849"/>
          <cell r="C849"/>
          <cell r="E849"/>
          <cell r="F849"/>
          <cell r="G849"/>
          <cell r="H849"/>
          <cell r="J849"/>
          <cell r="L849"/>
          <cell r="M849"/>
        </row>
        <row r="850">
          <cell r="B850"/>
          <cell r="C850"/>
          <cell r="E850"/>
          <cell r="F850"/>
          <cell r="G850"/>
          <cell r="H850"/>
          <cell r="J850"/>
          <cell r="L850"/>
          <cell r="M850"/>
        </row>
        <row r="851">
          <cell r="B851"/>
          <cell r="C851"/>
          <cell r="E851"/>
          <cell r="F851"/>
          <cell r="G851"/>
          <cell r="H851"/>
          <cell r="J851"/>
          <cell r="L851"/>
          <cell r="M851"/>
        </row>
        <row r="852">
          <cell r="B852"/>
          <cell r="C852"/>
          <cell r="E852"/>
          <cell r="F852"/>
          <cell r="G852"/>
          <cell r="H852"/>
          <cell r="J852"/>
          <cell r="L852"/>
          <cell r="M852"/>
        </row>
        <row r="853">
          <cell r="B853"/>
          <cell r="C853"/>
          <cell r="E853"/>
          <cell r="F853"/>
          <cell r="G853"/>
          <cell r="H853"/>
          <cell r="J853"/>
          <cell r="L853"/>
          <cell r="M853"/>
        </row>
        <row r="854">
          <cell r="B854"/>
          <cell r="C854"/>
          <cell r="E854"/>
          <cell r="F854"/>
          <cell r="G854"/>
          <cell r="H854"/>
          <cell r="J854"/>
          <cell r="L854"/>
          <cell r="M854"/>
        </row>
        <row r="855">
          <cell r="B855"/>
          <cell r="C855"/>
          <cell r="E855"/>
          <cell r="F855"/>
          <cell r="G855"/>
          <cell r="H855"/>
          <cell r="J855"/>
          <cell r="L855"/>
          <cell r="M855"/>
        </row>
        <row r="856">
          <cell r="B856"/>
          <cell r="C856"/>
          <cell r="E856"/>
          <cell r="F856"/>
          <cell r="G856"/>
          <cell r="H856"/>
          <cell r="J856"/>
          <cell r="L856"/>
          <cell r="M856"/>
        </row>
        <row r="857">
          <cell r="B857"/>
          <cell r="C857"/>
          <cell r="E857"/>
          <cell r="F857"/>
          <cell r="G857"/>
          <cell r="H857"/>
          <cell r="J857"/>
          <cell r="L857"/>
          <cell r="M857"/>
        </row>
        <row r="858">
          <cell r="B858"/>
          <cell r="C858"/>
          <cell r="E858"/>
          <cell r="F858"/>
          <cell r="G858"/>
          <cell r="H858"/>
          <cell r="J858"/>
          <cell r="L858"/>
          <cell r="M858"/>
        </row>
        <row r="859">
          <cell r="B859"/>
          <cell r="C859"/>
          <cell r="E859"/>
          <cell r="F859"/>
          <cell r="G859"/>
          <cell r="H859"/>
          <cell r="J859"/>
          <cell r="L859"/>
          <cell r="M859"/>
        </row>
        <row r="860">
          <cell r="B860"/>
          <cell r="C860"/>
          <cell r="E860"/>
          <cell r="F860"/>
          <cell r="G860"/>
          <cell r="H860"/>
          <cell r="J860"/>
          <cell r="L860"/>
          <cell r="M860"/>
        </row>
        <row r="861">
          <cell r="B861"/>
          <cell r="C861"/>
          <cell r="E861"/>
          <cell r="F861"/>
          <cell r="G861"/>
          <cell r="H861"/>
          <cell r="J861"/>
          <cell r="L861"/>
          <cell r="M861"/>
        </row>
        <row r="862">
          <cell r="B862"/>
          <cell r="C862"/>
          <cell r="E862"/>
          <cell r="F862"/>
          <cell r="G862"/>
          <cell r="H862"/>
          <cell r="J862"/>
          <cell r="L862"/>
          <cell r="M862"/>
        </row>
        <row r="863">
          <cell r="B863"/>
          <cell r="C863"/>
          <cell r="E863"/>
          <cell r="F863"/>
          <cell r="G863"/>
          <cell r="H863"/>
          <cell r="J863"/>
          <cell r="L863"/>
          <cell r="M863"/>
        </row>
        <row r="864">
          <cell r="B864"/>
          <cell r="C864"/>
          <cell r="E864"/>
          <cell r="F864"/>
          <cell r="G864"/>
          <cell r="H864"/>
          <cell r="J864"/>
          <cell r="L864"/>
          <cell r="M864"/>
        </row>
        <row r="865">
          <cell r="B865"/>
          <cell r="C865"/>
          <cell r="E865"/>
          <cell r="F865"/>
          <cell r="G865"/>
          <cell r="H865"/>
          <cell r="J865"/>
          <cell r="L865"/>
          <cell r="M865"/>
        </row>
        <row r="866">
          <cell r="B866"/>
          <cell r="C866"/>
          <cell r="E866"/>
          <cell r="F866"/>
          <cell r="G866"/>
          <cell r="H866"/>
          <cell r="J866"/>
          <cell r="L866"/>
          <cell r="M866"/>
        </row>
        <row r="867">
          <cell r="B867"/>
          <cell r="C867"/>
          <cell r="E867"/>
          <cell r="F867"/>
          <cell r="G867"/>
          <cell r="H867"/>
          <cell r="J867"/>
          <cell r="L867"/>
          <cell r="M867"/>
        </row>
        <row r="868">
          <cell r="B868"/>
          <cell r="C868"/>
          <cell r="E868"/>
          <cell r="F868"/>
          <cell r="G868"/>
          <cell r="H868"/>
          <cell r="J868"/>
          <cell r="L868"/>
          <cell r="M868"/>
        </row>
        <row r="869">
          <cell r="B869"/>
          <cell r="C869"/>
          <cell r="E869"/>
          <cell r="F869"/>
          <cell r="G869"/>
          <cell r="H869"/>
          <cell r="J869"/>
          <cell r="L869"/>
          <cell r="M869"/>
        </row>
        <row r="870">
          <cell r="B870"/>
          <cell r="C870"/>
          <cell r="E870"/>
          <cell r="F870"/>
          <cell r="G870"/>
          <cell r="H870"/>
          <cell r="J870"/>
          <cell r="L870"/>
          <cell r="M870"/>
        </row>
        <row r="871">
          <cell r="B871"/>
          <cell r="C871"/>
          <cell r="E871"/>
          <cell r="F871"/>
          <cell r="G871"/>
          <cell r="H871"/>
          <cell r="J871"/>
          <cell r="L871"/>
          <cell r="M871"/>
        </row>
        <row r="872">
          <cell r="B872"/>
          <cell r="C872"/>
          <cell r="E872"/>
          <cell r="F872"/>
          <cell r="G872"/>
          <cell r="H872"/>
          <cell r="J872"/>
          <cell r="L872"/>
          <cell r="M872"/>
        </row>
        <row r="873">
          <cell r="B873"/>
          <cell r="C873"/>
          <cell r="E873"/>
          <cell r="F873"/>
          <cell r="G873"/>
          <cell r="H873"/>
          <cell r="J873"/>
          <cell r="L873"/>
          <cell r="M873"/>
        </row>
        <row r="874">
          <cell r="B874"/>
          <cell r="C874"/>
          <cell r="E874"/>
          <cell r="F874"/>
          <cell r="G874"/>
          <cell r="H874"/>
          <cell r="J874"/>
          <cell r="L874"/>
          <cell r="M874"/>
        </row>
        <row r="875">
          <cell r="B875"/>
          <cell r="C875"/>
          <cell r="E875"/>
          <cell r="F875"/>
          <cell r="G875"/>
          <cell r="H875"/>
          <cell r="J875"/>
          <cell r="L875"/>
          <cell r="M875"/>
        </row>
        <row r="876">
          <cell r="B876"/>
          <cell r="C876"/>
          <cell r="E876"/>
          <cell r="F876"/>
          <cell r="G876"/>
          <cell r="H876"/>
          <cell r="J876"/>
          <cell r="L876"/>
          <cell r="M876"/>
        </row>
        <row r="877">
          <cell r="B877"/>
          <cell r="C877"/>
          <cell r="E877"/>
          <cell r="F877"/>
          <cell r="G877"/>
          <cell r="H877"/>
          <cell r="J877"/>
          <cell r="L877"/>
          <cell r="M877"/>
        </row>
        <row r="878">
          <cell r="B878"/>
          <cell r="C878"/>
          <cell r="E878"/>
          <cell r="F878"/>
          <cell r="G878"/>
          <cell r="H878"/>
          <cell r="J878"/>
          <cell r="L878"/>
          <cell r="M878"/>
        </row>
        <row r="879">
          <cell r="B879"/>
          <cell r="C879"/>
          <cell r="E879"/>
          <cell r="F879"/>
          <cell r="G879"/>
          <cell r="H879"/>
          <cell r="J879"/>
          <cell r="L879"/>
          <cell r="M879"/>
        </row>
        <row r="880">
          <cell r="B880"/>
          <cell r="C880"/>
          <cell r="E880"/>
          <cell r="F880"/>
          <cell r="G880"/>
          <cell r="H880"/>
          <cell r="J880"/>
          <cell r="L880"/>
          <cell r="M880"/>
        </row>
        <row r="881">
          <cell r="B881"/>
          <cell r="C881"/>
          <cell r="E881"/>
          <cell r="F881"/>
          <cell r="G881"/>
          <cell r="H881"/>
          <cell r="J881"/>
          <cell r="L881"/>
          <cell r="M881"/>
        </row>
        <row r="882">
          <cell r="B882"/>
          <cell r="C882"/>
          <cell r="E882"/>
          <cell r="F882"/>
          <cell r="G882"/>
          <cell r="H882"/>
          <cell r="J882"/>
          <cell r="L882"/>
          <cell r="M882"/>
        </row>
        <row r="883">
          <cell r="B883"/>
          <cell r="C883"/>
          <cell r="E883"/>
          <cell r="F883"/>
          <cell r="G883"/>
          <cell r="H883"/>
          <cell r="J883"/>
          <cell r="L883"/>
          <cell r="M883"/>
        </row>
        <row r="884">
          <cell r="B884"/>
          <cell r="C884"/>
          <cell r="E884"/>
          <cell r="F884"/>
          <cell r="G884"/>
          <cell r="H884"/>
          <cell r="J884"/>
          <cell r="L884"/>
          <cell r="M884"/>
        </row>
        <row r="885">
          <cell r="B885"/>
          <cell r="C885"/>
          <cell r="E885"/>
          <cell r="F885"/>
          <cell r="G885"/>
          <cell r="H885"/>
          <cell r="J885"/>
          <cell r="L885"/>
          <cell r="M885"/>
        </row>
        <row r="886">
          <cell r="B886"/>
          <cell r="C886"/>
          <cell r="E886"/>
          <cell r="F886"/>
          <cell r="G886"/>
          <cell r="H886"/>
          <cell r="J886"/>
          <cell r="L886"/>
          <cell r="M886"/>
        </row>
        <row r="887">
          <cell r="B887"/>
          <cell r="C887"/>
          <cell r="E887"/>
          <cell r="F887"/>
          <cell r="G887"/>
          <cell r="H887"/>
          <cell r="J887"/>
          <cell r="L887"/>
          <cell r="M887"/>
        </row>
        <row r="888">
          <cell r="B888"/>
          <cell r="C888"/>
          <cell r="E888"/>
          <cell r="F888"/>
          <cell r="G888"/>
          <cell r="H888"/>
          <cell r="J888"/>
          <cell r="L888"/>
          <cell r="M888"/>
        </row>
        <row r="889">
          <cell r="B889"/>
          <cell r="C889"/>
          <cell r="E889"/>
          <cell r="F889"/>
          <cell r="G889"/>
          <cell r="H889"/>
          <cell r="J889"/>
          <cell r="L889"/>
          <cell r="M889"/>
        </row>
        <row r="890">
          <cell r="B890"/>
          <cell r="C890"/>
          <cell r="E890"/>
          <cell r="F890"/>
          <cell r="G890"/>
          <cell r="H890"/>
          <cell r="J890"/>
          <cell r="L890"/>
          <cell r="M890"/>
        </row>
        <row r="891">
          <cell r="B891"/>
          <cell r="C891"/>
          <cell r="E891"/>
          <cell r="F891"/>
          <cell r="G891"/>
          <cell r="H891"/>
          <cell r="J891"/>
          <cell r="L891"/>
          <cell r="M891"/>
        </row>
        <row r="892">
          <cell r="B892"/>
          <cell r="C892"/>
          <cell r="E892"/>
          <cell r="F892"/>
          <cell r="G892"/>
          <cell r="H892"/>
          <cell r="J892"/>
          <cell r="L892"/>
          <cell r="M892"/>
        </row>
        <row r="893">
          <cell r="B893"/>
          <cell r="C893"/>
          <cell r="E893"/>
          <cell r="F893"/>
          <cell r="G893"/>
          <cell r="H893"/>
          <cell r="J893"/>
          <cell r="L893"/>
          <cell r="M893"/>
        </row>
        <row r="894">
          <cell r="B894"/>
          <cell r="C894"/>
          <cell r="E894"/>
          <cell r="F894"/>
          <cell r="G894"/>
          <cell r="H894"/>
          <cell r="J894"/>
          <cell r="L894"/>
          <cell r="M894"/>
        </row>
        <row r="895">
          <cell r="B895"/>
          <cell r="C895"/>
          <cell r="E895"/>
          <cell r="F895"/>
          <cell r="G895"/>
          <cell r="H895"/>
          <cell r="J895"/>
          <cell r="L895"/>
          <cell r="M895"/>
        </row>
        <row r="896">
          <cell r="B896"/>
          <cell r="C896"/>
          <cell r="E896"/>
          <cell r="F896"/>
          <cell r="G896"/>
          <cell r="H896"/>
          <cell r="J896"/>
          <cell r="L896"/>
          <cell r="M896"/>
        </row>
        <row r="897">
          <cell r="B897"/>
          <cell r="C897"/>
          <cell r="E897"/>
          <cell r="F897"/>
          <cell r="G897"/>
          <cell r="H897"/>
          <cell r="J897"/>
          <cell r="L897"/>
          <cell r="M897"/>
        </row>
        <row r="898">
          <cell r="B898"/>
          <cell r="C898"/>
          <cell r="E898"/>
          <cell r="F898"/>
          <cell r="G898"/>
          <cell r="H898"/>
          <cell r="J898"/>
          <cell r="L898"/>
          <cell r="M898"/>
        </row>
        <row r="899">
          <cell r="B899"/>
          <cell r="C899"/>
          <cell r="E899"/>
          <cell r="F899"/>
          <cell r="G899"/>
          <cell r="H899"/>
          <cell r="J899"/>
          <cell r="L899"/>
          <cell r="M899"/>
        </row>
        <row r="900">
          <cell r="B900"/>
          <cell r="C900"/>
          <cell r="E900"/>
          <cell r="F900"/>
          <cell r="G900"/>
          <cell r="H900"/>
          <cell r="J900"/>
          <cell r="L900"/>
          <cell r="M900"/>
        </row>
        <row r="901">
          <cell r="B901"/>
          <cell r="C901"/>
          <cell r="E901"/>
          <cell r="F901"/>
          <cell r="G901"/>
          <cell r="H901"/>
          <cell r="J901"/>
          <cell r="L901"/>
          <cell r="M901"/>
        </row>
        <row r="902">
          <cell r="B902"/>
          <cell r="C902"/>
          <cell r="E902"/>
          <cell r="F902"/>
          <cell r="G902"/>
          <cell r="H902"/>
          <cell r="J902"/>
          <cell r="L902"/>
          <cell r="M902"/>
        </row>
        <row r="903">
          <cell r="B903"/>
          <cell r="C903"/>
          <cell r="E903"/>
          <cell r="F903"/>
          <cell r="G903"/>
          <cell r="H903"/>
          <cell r="J903"/>
          <cell r="L903"/>
          <cell r="M903"/>
        </row>
        <row r="904">
          <cell r="B904"/>
          <cell r="C904"/>
          <cell r="E904"/>
          <cell r="F904"/>
          <cell r="G904"/>
          <cell r="H904"/>
          <cell r="J904"/>
          <cell r="L904"/>
          <cell r="M904"/>
        </row>
        <row r="905">
          <cell r="B905"/>
          <cell r="C905"/>
          <cell r="E905"/>
          <cell r="F905"/>
          <cell r="G905"/>
          <cell r="H905"/>
          <cell r="J905"/>
          <cell r="L905"/>
          <cell r="M905"/>
        </row>
        <row r="906">
          <cell r="B906"/>
          <cell r="C906"/>
          <cell r="E906"/>
          <cell r="F906"/>
          <cell r="G906"/>
          <cell r="H906"/>
          <cell r="J906"/>
          <cell r="L906"/>
          <cell r="M906"/>
        </row>
        <row r="907">
          <cell r="B907"/>
          <cell r="C907"/>
          <cell r="E907"/>
          <cell r="F907"/>
          <cell r="G907"/>
          <cell r="H907"/>
          <cell r="J907"/>
          <cell r="L907"/>
          <cell r="M907"/>
        </row>
        <row r="908">
          <cell r="B908"/>
          <cell r="C908"/>
          <cell r="E908"/>
          <cell r="F908"/>
          <cell r="G908"/>
          <cell r="H908"/>
          <cell r="J908"/>
          <cell r="L908"/>
          <cell r="M908"/>
        </row>
        <row r="909">
          <cell r="B909"/>
          <cell r="C909"/>
          <cell r="E909"/>
          <cell r="F909"/>
          <cell r="G909"/>
          <cell r="H909"/>
          <cell r="J909"/>
          <cell r="L909"/>
          <cell r="M909"/>
        </row>
        <row r="910">
          <cell r="B910"/>
          <cell r="C910"/>
          <cell r="E910"/>
          <cell r="F910"/>
          <cell r="G910"/>
          <cell r="H910"/>
          <cell r="J910"/>
          <cell r="L910"/>
          <cell r="M910"/>
        </row>
        <row r="911">
          <cell r="B911"/>
          <cell r="C911"/>
          <cell r="E911"/>
          <cell r="F911"/>
          <cell r="G911"/>
          <cell r="H911"/>
          <cell r="J911"/>
          <cell r="L911"/>
          <cell r="M911"/>
        </row>
        <row r="912">
          <cell r="B912"/>
          <cell r="C912"/>
          <cell r="E912"/>
          <cell r="F912"/>
          <cell r="G912"/>
          <cell r="H912"/>
          <cell r="J912"/>
          <cell r="L912"/>
          <cell r="M912"/>
        </row>
        <row r="913">
          <cell r="B913"/>
          <cell r="C913"/>
          <cell r="E913"/>
          <cell r="F913"/>
          <cell r="G913"/>
          <cell r="H913"/>
          <cell r="J913"/>
          <cell r="L913"/>
          <cell r="M913"/>
        </row>
        <row r="914">
          <cell r="B914"/>
          <cell r="C914"/>
          <cell r="E914"/>
          <cell r="F914"/>
          <cell r="G914"/>
          <cell r="H914"/>
          <cell r="J914"/>
          <cell r="L914"/>
          <cell r="M914"/>
        </row>
        <row r="915">
          <cell r="B915"/>
          <cell r="C915"/>
          <cell r="E915"/>
          <cell r="F915"/>
          <cell r="G915"/>
          <cell r="H915"/>
          <cell r="J915"/>
          <cell r="L915"/>
          <cell r="M915"/>
        </row>
        <row r="916">
          <cell r="B916"/>
          <cell r="C916"/>
          <cell r="E916"/>
          <cell r="F916"/>
          <cell r="G916"/>
          <cell r="H916"/>
          <cell r="J916"/>
          <cell r="L916"/>
          <cell r="M916"/>
        </row>
        <row r="917">
          <cell r="B917"/>
          <cell r="C917"/>
          <cell r="E917"/>
          <cell r="F917"/>
          <cell r="G917"/>
          <cell r="H917"/>
          <cell r="J917"/>
          <cell r="L917"/>
          <cell r="M917"/>
        </row>
        <row r="918">
          <cell r="B918"/>
          <cell r="C918"/>
          <cell r="E918"/>
          <cell r="F918"/>
          <cell r="G918"/>
          <cell r="H918"/>
          <cell r="J918"/>
          <cell r="L918"/>
          <cell r="M918"/>
        </row>
        <row r="919">
          <cell r="B919"/>
          <cell r="C919"/>
          <cell r="E919"/>
          <cell r="F919"/>
          <cell r="G919"/>
          <cell r="H919"/>
          <cell r="J919"/>
          <cell r="L919"/>
          <cell r="M919"/>
        </row>
        <row r="920">
          <cell r="B920"/>
          <cell r="C920"/>
          <cell r="E920"/>
          <cell r="F920"/>
          <cell r="G920"/>
          <cell r="H920"/>
          <cell r="J920"/>
          <cell r="L920"/>
          <cell r="M920"/>
        </row>
        <row r="921">
          <cell r="B921"/>
          <cell r="C921"/>
          <cell r="E921"/>
          <cell r="F921"/>
          <cell r="G921"/>
          <cell r="H921"/>
          <cell r="J921"/>
          <cell r="L921"/>
          <cell r="M921"/>
        </row>
        <row r="922">
          <cell r="B922"/>
          <cell r="C922"/>
          <cell r="E922"/>
          <cell r="F922"/>
          <cell r="G922"/>
          <cell r="H922"/>
          <cell r="J922"/>
          <cell r="L922"/>
          <cell r="M922"/>
        </row>
        <row r="923">
          <cell r="B923"/>
          <cell r="C923"/>
          <cell r="E923"/>
          <cell r="F923"/>
          <cell r="G923"/>
          <cell r="H923"/>
          <cell r="J923"/>
          <cell r="L923"/>
          <cell r="M923"/>
        </row>
        <row r="924">
          <cell r="B924"/>
          <cell r="C924"/>
          <cell r="E924"/>
          <cell r="F924"/>
          <cell r="G924"/>
          <cell r="H924"/>
          <cell r="J924"/>
          <cell r="L924"/>
          <cell r="M924"/>
        </row>
        <row r="925">
          <cell r="B925"/>
          <cell r="C925"/>
          <cell r="E925"/>
          <cell r="F925"/>
          <cell r="G925"/>
          <cell r="H925"/>
          <cell r="J925"/>
          <cell r="L925"/>
          <cell r="M925"/>
        </row>
        <row r="926">
          <cell r="B926"/>
          <cell r="C926"/>
          <cell r="E926"/>
          <cell r="F926"/>
          <cell r="G926"/>
          <cell r="H926"/>
          <cell r="J926"/>
          <cell r="L926"/>
          <cell r="M926"/>
        </row>
        <row r="927">
          <cell r="B927"/>
          <cell r="C927"/>
          <cell r="E927"/>
          <cell r="F927"/>
          <cell r="G927"/>
          <cell r="H927"/>
          <cell r="J927"/>
          <cell r="L927"/>
          <cell r="M927"/>
        </row>
        <row r="928">
          <cell r="B928"/>
          <cell r="C928"/>
          <cell r="E928"/>
          <cell r="F928"/>
          <cell r="G928"/>
          <cell r="H928"/>
          <cell r="J928"/>
          <cell r="L928"/>
          <cell r="M928"/>
        </row>
        <row r="929">
          <cell r="B929"/>
          <cell r="C929"/>
          <cell r="E929"/>
          <cell r="F929"/>
          <cell r="G929"/>
          <cell r="H929"/>
          <cell r="J929"/>
          <cell r="L929"/>
          <cell r="M929"/>
        </row>
        <row r="930">
          <cell r="B930"/>
          <cell r="C930"/>
          <cell r="E930"/>
          <cell r="F930"/>
          <cell r="G930"/>
          <cell r="H930"/>
          <cell r="J930"/>
          <cell r="L930"/>
          <cell r="M930"/>
        </row>
        <row r="931">
          <cell r="B931"/>
          <cell r="C931"/>
          <cell r="E931"/>
          <cell r="F931"/>
          <cell r="G931"/>
          <cell r="H931"/>
          <cell r="J931"/>
          <cell r="L931"/>
          <cell r="M931"/>
        </row>
        <row r="932">
          <cell r="B932"/>
          <cell r="C932"/>
          <cell r="E932"/>
          <cell r="F932"/>
          <cell r="G932"/>
          <cell r="H932"/>
          <cell r="J932"/>
          <cell r="L932"/>
          <cell r="M932"/>
        </row>
        <row r="933">
          <cell r="B933"/>
          <cell r="C933"/>
          <cell r="E933"/>
          <cell r="F933"/>
          <cell r="G933"/>
          <cell r="H933"/>
          <cell r="J933"/>
          <cell r="L933"/>
          <cell r="M933"/>
        </row>
        <row r="934">
          <cell r="B934"/>
          <cell r="C934"/>
          <cell r="E934"/>
          <cell r="F934"/>
          <cell r="G934"/>
          <cell r="H934"/>
          <cell r="J934"/>
          <cell r="L934"/>
          <cell r="M934"/>
        </row>
        <row r="935">
          <cell r="B935"/>
          <cell r="C935"/>
          <cell r="E935"/>
          <cell r="F935"/>
          <cell r="G935"/>
          <cell r="H935"/>
          <cell r="J935"/>
          <cell r="L935"/>
          <cell r="M935"/>
        </row>
        <row r="936">
          <cell r="B936"/>
          <cell r="C936"/>
          <cell r="E936"/>
          <cell r="F936"/>
          <cell r="G936"/>
          <cell r="H936"/>
          <cell r="J936"/>
          <cell r="L936"/>
          <cell r="M936"/>
        </row>
        <row r="937">
          <cell r="B937"/>
          <cell r="C937"/>
          <cell r="E937"/>
          <cell r="F937"/>
          <cell r="G937"/>
          <cell r="H937"/>
          <cell r="J937"/>
          <cell r="L937"/>
          <cell r="M937"/>
        </row>
        <row r="938">
          <cell r="B938"/>
          <cell r="C938"/>
          <cell r="E938"/>
          <cell r="F938"/>
          <cell r="G938"/>
          <cell r="H938"/>
          <cell r="J938"/>
          <cell r="L938"/>
          <cell r="M938"/>
        </row>
        <row r="939">
          <cell r="B939"/>
          <cell r="C939"/>
          <cell r="E939"/>
          <cell r="F939"/>
          <cell r="G939"/>
          <cell r="H939"/>
          <cell r="J939"/>
          <cell r="L939"/>
          <cell r="M939"/>
        </row>
        <row r="940">
          <cell r="B940"/>
          <cell r="C940"/>
          <cell r="E940"/>
          <cell r="F940"/>
          <cell r="G940"/>
          <cell r="H940"/>
          <cell r="J940"/>
          <cell r="L940"/>
          <cell r="M940"/>
        </row>
        <row r="941">
          <cell r="B941"/>
          <cell r="C941"/>
          <cell r="E941"/>
          <cell r="F941"/>
          <cell r="G941"/>
          <cell r="H941"/>
          <cell r="J941"/>
          <cell r="L941"/>
          <cell r="M941"/>
        </row>
        <row r="942">
          <cell r="B942"/>
          <cell r="C942"/>
          <cell r="E942"/>
          <cell r="F942"/>
          <cell r="G942"/>
          <cell r="H942"/>
          <cell r="J942"/>
          <cell r="L942"/>
          <cell r="M942"/>
        </row>
        <row r="943">
          <cell r="B943"/>
          <cell r="C943"/>
          <cell r="E943"/>
          <cell r="F943"/>
          <cell r="G943"/>
          <cell r="H943"/>
          <cell r="J943"/>
          <cell r="L943"/>
          <cell r="M943"/>
        </row>
        <row r="944">
          <cell r="B944"/>
          <cell r="C944"/>
          <cell r="E944"/>
          <cell r="F944"/>
          <cell r="G944"/>
          <cell r="H944"/>
          <cell r="J944"/>
          <cell r="L944"/>
          <cell r="M944"/>
        </row>
        <row r="945">
          <cell r="B945"/>
          <cell r="C945"/>
          <cell r="E945"/>
          <cell r="F945"/>
          <cell r="G945"/>
          <cell r="H945"/>
          <cell r="J945"/>
          <cell r="L945"/>
          <cell r="M945"/>
        </row>
        <row r="946">
          <cell r="B946"/>
          <cell r="C946"/>
          <cell r="E946"/>
          <cell r="F946"/>
          <cell r="G946"/>
          <cell r="H946"/>
          <cell r="J946"/>
          <cell r="L946"/>
          <cell r="M946"/>
        </row>
        <row r="947">
          <cell r="B947"/>
          <cell r="C947"/>
          <cell r="E947"/>
          <cell r="F947"/>
          <cell r="G947"/>
          <cell r="H947"/>
          <cell r="J947"/>
          <cell r="L947"/>
          <cell r="M947"/>
        </row>
        <row r="948">
          <cell r="B948"/>
          <cell r="C948"/>
          <cell r="E948"/>
          <cell r="F948"/>
          <cell r="G948"/>
          <cell r="H948"/>
          <cell r="J948"/>
          <cell r="L948"/>
          <cell r="M948"/>
        </row>
        <row r="949">
          <cell r="B949"/>
          <cell r="C949"/>
          <cell r="E949"/>
          <cell r="F949"/>
          <cell r="G949"/>
          <cell r="H949"/>
          <cell r="J949"/>
          <cell r="L949"/>
          <cell r="M949"/>
        </row>
        <row r="950">
          <cell r="B950"/>
          <cell r="C950"/>
          <cell r="E950"/>
          <cell r="F950"/>
          <cell r="G950"/>
          <cell r="H950"/>
          <cell r="J950"/>
          <cell r="L950"/>
          <cell r="M950"/>
        </row>
        <row r="951">
          <cell r="B951"/>
          <cell r="C951"/>
          <cell r="E951"/>
          <cell r="F951"/>
          <cell r="G951"/>
          <cell r="H951"/>
          <cell r="J951"/>
          <cell r="L951"/>
          <cell r="M951"/>
        </row>
        <row r="952">
          <cell r="B952"/>
          <cell r="C952"/>
          <cell r="E952"/>
          <cell r="F952"/>
          <cell r="G952"/>
          <cell r="H952"/>
          <cell r="J952"/>
          <cell r="L952"/>
          <cell r="M952"/>
        </row>
        <row r="953">
          <cell r="B953"/>
          <cell r="C953"/>
          <cell r="E953"/>
          <cell r="F953"/>
          <cell r="G953"/>
          <cell r="H953"/>
          <cell r="J953"/>
          <cell r="L953"/>
          <cell r="M953"/>
        </row>
        <row r="954">
          <cell r="B954"/>
          <cell r="C954"/>
          <cell r="E954"/>
          <cell r="F954"/>
          <cell r="G954"/>
          <cell r="H954"/>
          <cell r="J954"/>
          <cell r="L954"/>
          <cell r="M954"/>
        </row>
        <row r="955">
          <cell r="B955"/>
          <cell r="C955"/>
          <cell r="E955"/>
          <cell r="F955"/>
          <cell r="G955"/>
          <cell r="H955"/>
          <cell r="J955"/>
          <cell r="L955"/>
          <cell r="M955"/>
        </row>
        <row r="956">
          <cell r="B956"/>
          <cell r="C956"/>
          <cell r="E956"/>
          <cell r="F956"/>
          <cell r="G956"/>
          <cell r="H956"/>
          <cell r="J956"/>
          <cell r="L956"/>
          <cell r="M956"/>
        </row>
        <row r="957">
          <cell r="B957"/>
          <cell r="C957"/>
          <cell r="E957"/>
          <cell r="F957"/>
          <cell r="G957"/>
          <cell r="H957"/>
          <cell r="J957"/>
          <cell r="L957"/>
          <cell r="M957"/>
        </row>
        <row r="958">
          <cell r="B958"/>
          <cell r="C958"/>
          <cell r="E958"/>
          <cell r="F958"/>
          <cell r="G958"/>
          <cell r="H958"/>
          <cell r="J958"/>
          <cell r="L958"/>
          <cell r="M958"/>
        </row>
        <row r="959">
          <cell r="B959"/>
          <cell r="C959"/>
          <cell r="E959"/>
          <cell r="F959"/>
          <cell r="G959"/>
          <cell r="H959"/>
          <cell r="J959"/>
          <cell r="L959"/>
          <cell r="M959"/>
        </row>
        <row r="960">
          <cell r="B960"/>
          <cell r="C960"/>
          <cell r="E960"/>
          <cell r="F960"/>
          <cell r="G960"/>
          <cell r="H960"/>
          <cell r="J960"/>
          <cell r="L960"/>
          <cell r="M960"/>
        </row>
        <row r="961">
          <cell r="B961"/>
          <cell r="C961"/>
          <cell r="E961"/>
          <cell r="F961"/>
          <cell r="G961"/>
          <cell r="H961"/>
          <cell r="J961"/>
          <cell r="L961"/>
          <cell r="M961"/>
        </row>
        <row r="962">
          <cell r="B962"/>
          <cell r="C962"/>
          <cell r="E962"/>
          <cell r="F962"/>
          <cell r="G962"/>
          <cell r="H962"/>
          <cell r="J962"/>
          <cell r="L962"/>
          <cell r="M962"/>
        </row>
        <row r="963">
          <cell r="B963"/>
          <cell r="C963"/>
          <cell r="E963"/>
          <cell r="F963"/>
          <cell r="G963"/>
          <cell r="H963"/>
          <cell r="J963"/>
          <cell r="L963"/>
          <cell r="M963"/>
        </row>
        <row r="964">
          <cell r="B964"/>
          <cell r="C964"/>
          <cell r="E964"/>
          <cell r="F964"/>
          <cell r="G964"/>
          <cell r="H964"/>
          <cell r="J964"/>
          <cell r="L964"/>
          <cell r="M964"/>
        </row>
        <row r="965">
          <cell r="B965"/>
          <cell r="C965"/>
          <cell r="E965"/>
          <cell r="F965"/>
          <cell r="G965"/>
          <cell r="H965"/>
          <cell r="J965"/>
          <cell r="L965"/>
          <cell r="M965"/>
        </row>
        <row r="966">
          <cell r="B966"/>
          <cell r="C966"/>
          <cell r="E966"/>
          <cell r="F966"/>
          <cell r="G966"/>
          <cell r="H966"/>
          <cell r="J966"/>
          <cell r="L966"/>
          <cell r="M966"/>
        </row>
        <row r="967">
          <cell r="B967"/>
          <cell r="C967"/>
          <cell r="E967"/>
          <cell r="F967"/>
          <cell r="G967"/>
          <cell r="H967"/>
          <cell r="J967"/>
          <cell r="L967"/>
          <cell r="M967"/>
        </row>
        <row r="968">
          <cell r="B968"/>
          <cell r="C968"/>
          <cell r="E968"/>
          <cell r="F968"/>
          <cell r="G968"/>
          <cell r="H968"/>
          <cell r="J968"/>
          <cell r="L968"/>
          <cell r="M968"/>
        </row>
        <row r="969">
          <cell r="B969"/>
          <cell r="C969"/>
          <cell r="E969"/>
          <cell r="F969"/>
          <cell r="G969"/>
          <cell r="H969"/>
          <cell r="J969"/>
          <cell r="L969"/>
          <cell r="M969"/>
        </row>
        <row r="970">
          <cell r="B970"/>
          <cell r="C970"/>
          <cell r="E970"/>
          <cell r="F970"/>
          <cell r="G970"/>
          <cell r="H970"/>
          <cell r="J970"/>
          <cell r="L970"/>
          <cell r="M970"/>
        </row>
        <row r="971">
          <cell r="B971"/>
          <cell r="C971"/>
          <cell r="E971"/>
          <cell r="F971"/>
          <cell r="G971"/>
          <cell r="H971"/>
          <cell r="J971"/>
          <cell r="L971"/>
          <cell r="M971"/>
        </row>
        <row r="972">
          <cell r="B972"/>
          <cell r="C972"/>
          <cell r="E972"/>
          <cell r="F972"/>
          <cell r="G972"/>
          <cell r="H972"/>
          <cell r="J972"/>
          <cell r="L972"/>
          <cell r="M972"/>
        </row>
        <row r="973">
          <cell r="B973"/>
          <cell r="C973"/>
          <cell r="E973"/>
          <cell r="F973"/>
          <cell r="G973"/>
          <cell r="H973"/>
          <cell r="J973"/>
          <cell r="L973"/>
          <cell r="M973"/>
        </row>
        <row r="974">
          <cell r="B974"/>
          <cell r="C974"/>
          <cell r="E974"/>
          <cell r="F974"/>
          <cell r="G974"/>
          <cell r="H974"/>
          <cell r="J974"/>
          <cell r="L974"/>
          <cell r="M974"/>
        </row>
        <row r="975">
          <cell r="B975"/>
          <cell r="C975"/>
          <cell r="E975"/>
          <cell r="F975"/>
          <cell r="G975"/>
          <cell r="H975"/>
          <cell r="J975"/>
          <cell r="L975"/>
          <cell r="M975"/>
        </row>
        <row r="976">
          <cell r="B976"/>
          <cell r="C976"/>
          <cell r="E976"/>
          <cell r="F976"/>
          <cell r="G976"/>
          <cell r="H976"/>
          <cell r="J976"/>
          <cell r="L976"/>
          <cell r="M976"/>
        </row>
        <row r="977">
          <cell r="B977"/>
          <cell r="C977"/>
          <cell r="E977"/>
          <cell r="F977"/>
          <cell r="G977"/>
          <cell r="H977"/>
          <cell r="J977"/>
          <cell r="L977"/>
          <cell r="M977"/>
        </row>
        <row r="978">
          <cell r="B978"/>
          <cell r="C978"/>
          <cell r="E978"/>
          <cell r="F978"/>
          <cell r="G978"/>
          <cell r="H978"/>
          <cell r="J978"/>
          <cell r="L978"/>
          <cell r="M978"/>
        </row>
        <row r="979">
          <cell r="B979"/>
          <cell r="C979"/>
          <cell r="E979"/>
          <cell r="F979"/>
          <cell r="G979"/>
          <cell r="H979"/>
          <cell r="J979"/>
          <cell r="L979"/>
          <cell r="M979"/>
        </row>
        <row r="980">
          <cell r="B980"/>
          <cell r="C980"/>
          <cell r="E980"/>
          <cell r="F980"/>
          <cell r="G980"/>
          <cell r="H980"/>
          <cell r="J980"/>
          <cell r="L980"/>
          <cell r="M980"/>
        </row>
        <row r="981">
          <cell r="B981"/>
          <cell r="C981"/>
          <cell r="E981"/>
          <cell r="F981"/>
          <cell r="G981"/>
          <cell r="H981"/>
          <cell r="J981"/>
          <cell r="L981"/>
          <cell r="M981"/>
        </row>
        <row r="982">
          <cell r="B982"/>
          <cell r="C982"/>
          <cell r="E982"/>
          <cell r="F982"/>
          <cell r="G982"/>
          <cell r="H982"/>
          <cell r="J982"/>
          <cell r="L982"/>
          <cell r="M982"/>
        </row>
        <row r="983">
          <cell r="B983"/>
          <cell r="C983"/>
          <cell r="E983"/>
          <cell r="F983"/>
          <cell r="G983"/>
          <cell r="H983"/>
          <cell r="J983"/>
          <cell r="L983"/>
          <cell r="M983"/>
        </row>
        <row r="984">
          <cell r="B984"/>
          <cell r="C984"/>
          <cell r="E984"/>
          <cell r="F984"/>
          <cell r="G984"/>
          <cell r="H984"/>
          <cell r="J984"/>
          <cell r="L984"/>
          <cell r="M984"/>
        </row>
        <row r="985">
          <cell r="B985"/>
          <cell r="C985"/>
          <cell r="E985"/>
          <cell r="F985"/>
          <cell r="G985"/>
          <cell r="H985"/>
          <cell r="J985"/>
          <cell r="L985"/>
          <cell r="M985"/>
        </row>
        <row r="986">
          <cell r="B986"/>
          <cell r="C986"/>
          <cell r="E986"/>
          <cell r="F986"/>
          <cell r="G986"/>
          <cell r="H986"/>
          <cell r="J986"/>
          <cell r="L986"/>
          <cell r="M986"/>
        </row>
        <row r="987">
          <cell r="B987"/>
          <cell r="C987"/>
          <cell r="E987"/>
          <cell r="F987"/>
          <cell r="G987"/>
          <cell r="H987"/>
          <cell r="J987"/>
          <cell r="L987"/>
          <cell r="M987"/>
        </row>
        <row r="988">
          <cell r="B988"/>
          <cell r="C988"/>
          <cell r="E988"/>
          <cell r="F988"/>
          <cell r="G988"/>
          <cell r="H988"/>
          <cell r="J988"/>
          <cell r="L988"/>
          <cell r="M988"/>
        </row>
        <row r="989">
          <cell r="B989"/>
          <cell r="C989"/>
          <cell r="E989"/>
          <cell r="F989"/>
          <cell r="G989"/>
          <cell r="H989"/>
          <cell r="J989"/>
          <cell r="L989"/>
          <cell r="M989"/>
        </row>
        <row r="990">
          <cell r="B990"/>
          <cell r="C990"/>
          <cell r="E990"/>
          <cell r="F990"/>
          <cell r="G990"/>
          <cell r="H990"/>
          <cell r="J990"/>
          <cell r="L990"/>
          <cell r="M990"/>
        </row>
        <row r="991">
          <cell r="B991"/>
          <cell r="C991"/>
          <cell r="E991"/>
          <cell r="F991"/>
          <cell r="G991"/>
          <cell r="H991"/>
          <cell r="J991"/>
          <cell r="L991"/>
          <cell r="M991"/>
        </row>
        <row r="992">
          <cell r="B992"/>
          <cell r="C992"/>
          <cell r="E992"/>
          <cell r="F992"/>
          <cell r="G992"/>
          <cell r="H992"/>
          <cell r="J992"/>
          <cell r="L992"/>
          <cell r="M992"/>
        </row>
        <row r="993">
          <cell r="B993"/>
          <cell r="C993"/>
          <cell r="E993"/>
          <cell r="F993"/>
          <cell r="G993"/>
          <cell r="H993"/>
          <cell r="J993"/>
          <cell r="L993"/>
          <cell r="M993"/>
        </row>
        <row r="994">
          <cell r="B994"/>
          <cell r="C994"/>
          <cell r="E994"/>
          <cell r="F994"/>
          <cell r="G994"/>
          <cell r="H994"/>
          <cell r="J994"/>
          <cell r="L994"/>
          <cell r="M994"/>
        </row>
        <row r="995">
          <cell r="B995"/>
          <cell r="C995"/>
          <cell r="E995"/>
          <cell r="F995"/>
          <cell r="G995"/>
          <cell r="H995"/>
          <cell r="J995"/>
          <cell r="L995"/>
          <cell r="M995"/>
        </row>
        <row r="996">
          <cell r="B996"/>
          <cell r="C996"/>
          <cell r="E996"/>
          <cell r="F996"/>
          <cell r="G996"/>
          <cell r="H996"/>
          <cell r="J996"/>
          <cell r="L996"/>
          <cell r="M996"/>
        </row>
        <row r="997">
          <cell r="B997"/>
          <cell r="C997"/>
          <cell r="E997"/>
          <cell r="F997"/>
          <cell r="G997"/>
          <cell r="H997"/>
          <cell r="J997"/>
          <cell r="L997"/>
          <cell r="M997"/>
        </row>
        <row r="998">
          <cell r="B998"/>
          <cell r="C998"/>
          <cell r="E998"/>
          <cell r="F998"/>
          <cell r="G998"/>
          <cell r="H998"/>
          <cell r="J998"/>
          <cell r="L998"/>
          <cell r="M998"/>
        </row>
        <row r="999">
          <cell r="B999"/>
          <cell r="C999"/>
          <cell r="E999"/>
          <cell r="F999"/>
          <cell r="G999"/>
          <cell r="H999"/>
          <cell r="J999"/>
          <cell r="L999"/>
          <cell r="M999"/>
        </row>
        <row r="1000">
          <cell r="B1000"/>
          <cell r="C1000"/>
          <cell r="E1000"/>
          <cell r="F1000"/>
          <cell r="G1000"/>
          <cell r="H1000"/>
          <cell r="J1000"/>
          <cell r="L1000"/>
          <cell r="M1000"/>
        </row>
        <row r="1001">
          <cell r="B1001"/>
          <cell r="C1001"/>
          <cell r="E1001"/>
          <cell r="F1001"/>
          <cell r="G1001"/>
          <cell r="H1001"/>
          <cell r="J1001"/>
          <cell r="L1001"/>
          <cell r="M1001"/>
        </row>
        <row r="1002">
          <cell r="B1002"/>
          <cell r="C1002"/>
          <cell r="E1002"/>
          <cell r="F1002"/>
          <cell r="G1002"/>
          <cell r="H1002"/>
          <cell r="J1002"/>
          <cell r="L1002"/>
          <cell r="M1002"/>
        </row>
        <row r="1003">
          <cell r="B1003"/>
          <cell r="C1003"/>
          <cell r="E1003"/>
          <cell r="F1003"/>
          <cell r="G1003"/>
          <cell r="H1003"/>
          <cell r="J1003"/>
          <cell r="L1003"/>
          <cell r="M1003"/>
        </row>
        <row r="1004">
          <cell r="B1004"/>
          <cell r="C1004"/>
          <cell r="E1004"/>
          <cell r="F1004"/>
          <cell r="G1004"/>
          <cell r="H1004"/>
          <cell r="J1004"/>
          <cell r="L1004"/>
          <cell r="M1004"/>
        </row>
        <row r="1005">
          <cell r="B1005"/>
          <cell r="C1005"/>
          <cell r="E1005"/>
          <cell r="F1005"/>
          <cell r="G1005"/>
          <cell r="H1005"/>
          <cell r="J1005"/>
          <cell r="L1005"/>
          <cell r="M1005"/>
        </row>
        <row r="1006">
          <cell r="B1006"/>
          <cell r="C1006"/>
          <cell r="E1006"/>
          <cell r="F1006"/>
          <cell r="G1006"/>
          <cell r="H1006"/>
          <cell r="J1006"/>
          <cell r="L1006"/>
          <cell r="M1006"/>
        </row>
        <row r="1007">
          <cell r="B1007"/>
          <cell r="C1007"/>
          <cell r="E1007"/>
          <cell r="F1007"/>
          <cell r="G1007"/>
          <cell r="H1007"/>
          <cell r="J1007"/>
          <cell r="L1007"/>
          <cell r="M1007"/>
        </row>
        <row r="1008">
          <cell r="B1008"/>
          <cell r="C1008"/>
          <cell r="E1008"/>
          <cell r="F1008"/>
          <cell r="G1008"/>
          <cell r="H1008"/>
          <cell r="J1008"/>
          <cell r="L1008"/>
          <cell r="M1008"/>
        </row>
        <row r="1009">
          <cell r="B1009"/>
          <cell r="C1009"/>
          <cell r="E1009"/>
          <cell r="F1009"/>
          <cell r="G1009"/>
          <cell r="H1009"/>
          <cell r="J1009"/>
          <cell r="L1009"/>
          <cell r="M1009"/>
        </row>
        <row r="1010">
          <cell r="B1010"/>
          <cell r="C1010"/>
          <cell r="E1010"/>
          <cell r="F1010"/>
          <cell r="G1010"/>
          <cell r="H1010"/>
          <cell r="J1010"/>
          <cell r="L1010"/>
          <cell r="M1010"/>
        </row>
        <row r="1011">
          <cell r="B1011"/>
          <cell r="C1011"/>
          <cell r="E1011"/>
          <cell r="F1011"/>
          <cell r="G1011"/>
          <cell r="H1011"/>
          <cell r="J1011"/>
          <cell r="L1011"/>
          <cell r="M1011"/>
        </row>
        <row r="1012">
          <cell r="B1012"/>
          <cell r="C1012"/>
          <cell r="E1012"/>
          <cell r="F1012"/>
          <cell r="G1012"/>
          <cell r="H1012"/>
          <cell r="J1012"/>
          <cell r="L1012"/>
          <cell r="M1012"/>
        </row>
        <row r="1013">
          <cell r="B1013"/>
          <cell r="C1013"/>
          <cell r="E1013"/>
          <cell r="F1013"/>
          <cell r="G1013"/>
          <cell r="H1013"/>
          <cell r="J1013"/>
          <cell r="L1013"/>
          <cell r="M1013"/>
        </row>
        <row r="1014">
          <cell r="B1014"/>
          <cell r="C1014"/>
          <cell r="E1014"/>
          <cell r="F1014"/>
          <cell r="G1014"/>
          <cell r="H1014"/>
          <cell r="J1014"/>
          <cell r="L1014"/>
          <cell r="M1014"/>
        </row>
        <row r="1015">
          <cell r="B1015"/>
          <cell r="C1015"/>
          <cell r="E1015"/>
          <cell r="F1015"/>
          <cell r="G1015"/>
          <cell r="H1015"/>
          <cell r="J1015"/>
          <cell r="L1015"/>
          <cell r="M1015"/>
        </row>
        <row r="1016">
          <cell r="B1016"/>
          <cell r="C1016"/>
          <cell r="E1016"/>
          <cell r="F1016"/>
          <cell r="G1016"/>
          <cell r="H1016"/>
          <cell r="J1016"/>
          <cell r="L1016"/>
          <cell r="M1016"/>
        </row>
        <row r="1017">
          <cell r="B1017"/>
          <cell r="C1017"/>
          <cell r="E1017"/>
          <cell r="F1017"/>
          <cell r="G1017"/>
          <cell r="H1017"/>
          <cell r="J1017"/>
          <cell r="L1017"/>
          <cell r="M1017"/>
        </row>
        <row r="1018">
          <cell r="B1018"/>
          <cell r="C1018"/>
          <cell r="E1018"/>
          <cell r="F1018"/>
          <cell r="G1018"/>
          <cell r="H1018"/>
          <cell r="J1018"/>
          <cell r="L1018"/>
          <cell r="M1018"/>
        </row>
        <row r="1019">
          <cell r="B1019"/>
          <cell r="C1019"/>
          <cell r="E1019"/>
          <cell r="F1019"/>
          <cell r="G1019"/>
          <cell r="H1019"/>
          <cell r="J1019"/>
          <cell r="L1019"/>
          <cell r="M1019"/>
        </row>
        <row r="1020">
          <cell r="B1020"/>
          <cell r="C1020"/>
          <cell r="E1020"/>
          <cell r="F1020"/>
          <cell r="G1020"/>
          <cell r="H1020"/>
          <cell r="J1020"/>
          <cell r="L1020"/>
          <cell r="M1020"/>
        </row>
        <row r="1021">
          <cell r="B1021"/>
          <cell r="C1021"/>
          <cell r="E1021"/>
          <cell r="F1021"/>
          <cell r="G1021"/>
          <cell r="H1021"/>
          <cell r="J1021"/>
          <cell r="L1021"/>
          <cell r="M1021"/>
        </row>
        <row r="1022">
          <cell r="B1022"/>
          <cell r="C1022"/>
          <cell r="E1022"/>
          <cell r="F1022"/>
          <cell r="G1022"/>
          <cell r="H1022"/>
          <cell r="J1022"/>
          <cell r="L1022"/>
          <cell r="M1022"/>
        </row>
        <row r="1023">
          <cell r="B1023"/>
          <cell r="C1023"/>
          <cell r="E1023"/>
          <cell r="F1023"/>
          <cell r="G1023"/>
          <cell r="H1023"/>
          <cell r="J1023"/>
          <cell r="L1023"/>
          <cell r="M1023"/>
        </row>
        <row r="1024">
          <cell r="B1024"/>
          <cell r="C1024"/>
          <cell r="E1024"/>
          <cell r="F1024"/>
          <cell r="G1024"/>
          <cell r="H1024"/>
          <cell r="J1024"/>
          <cell r="L1024"/>
          <cell r="M1024"/>
        </row>
        <row r="1025">
          <cell r="B1025"/>
          <cell r="C1025"/>
          <cell r="E1025"/>
          <cell r="F1025"/>
          <cell r="G1025"/>
          <cell r="H1025"/>
          <cell r="J1025"/>
          <cell r="L1025"/>
          <cell r="M1025"/>
        </row>
        <row r="1026">
          <cell r="B1026"/>
          <cell r="C1026"/>
          <cell r="E1026"/>
          <cell r="F1026"/>
          <cell r="G1026"/>
          <cell r="H1026"/>
          <cell r="J1026"/>
          <cell r="L1026"/>
          <cell r="M1026"/>
        </row>
        <row r="1027">
          <cell r="B1027"/>
          <cell r="C1027"/>
          <cell r="E1027"/>
          <cell r="F1027"/>
          <cell r="G1027"/>
          <cell r="H1027"/>
          <cell r="J1027"/>
          <cell r="L1027"/>
          <cell r="M1027"/>
        </row>
        <row r="1028">
          <cell r="B1028"/>
          <cell r="C1028"/>
          <cell r="E1028"/>
          <cell r="F1028"/>
          <cell r="G1028"/>
          <cell r="H1028"/>
          <cell r="J1028"/>
          <cell r="L1028"/>
          <cell r="M1028"/>
        </row>
        <row r="1029">
          <cell r="B1029"/>
          <cell r="C1029"/>
          <cell r="E1029"/>
          <cell r="F1029"/>
          <cell r="G1029"/>
          <cell r="H1029"/>
          <cell r="J1029"/>
          <cell r="L1029"/>
          <cell r="M1029"/>
        </row>
        <row r="1030">
          <cell r="B1030"/>
          <cell r="C1030"/>
          <cell r="E1030"/>
          <cell r="F1030"/>
          <cell r="G1030"/>
          <cell r="H1030"/>
          <cell r="J1030"/>
          <cell r="L1030"/>
          <cell r="M1030"/>
        </row>
        <row r="1031">
          <cell r="B1031"/>
          <cell r="C1031"/>
          <cell r="E1031"/>
          <cell r="F1031"/>
          <cell r="G1031"/>
          <cell r="H1031"/>
          <cell r="J1031"/>
          <cell r="L1031"/>
          <cell r="M1031"/>
        </row>
        <row r="1032">
          <cell r="B1032"/>
          <cell r="C1032"/>
          <cell r="E1032"/>
          <cell r="F1032"/>
          <cell r="G1032"/>
          <cell r="H1032"/>
          <cell r="J1032"/>
          <cell r="L1032"/>
          <cell r="M1032"/>
        </row>
        <row r="1033">
          <cell r="B1033"/>
          <cell r="C1033"/>
          <cell r="E1033"/>
          <cell r="F1033"/>
          <cell r="G1033"/>
          <cell r="H1033"/>
          <cell r="J1033"/>
          <cell r="L1033"/>
          <cell r="M1033"/>
        </row>
        <row r="1034">
          <cell r="B1034"/>
          <cell r="C1034"/>
          <cell r="E1034"/>
          <cell r="F1034"/>
          <cell r="G1034"/>
          <cell r="H1034"/>
          <cell r="J1034"/>
          <cell r="L1034"/>
          <cell r="M1034"/>
        </row>
        <row r="1035">
          <cell r="B1035"/>
          <cell r="C1035"/>
          <cell r="E1035"/>
          <cell r="F1035"/>
          <cell r="G1035"/>
          <cell r="H1035"/>
          <cell r="J1035"/>
          <cell r="L1035"/>
          <cell r="M1035"/>
        </row>
        <row r="1036">
          <cell r="B1036"/>
          <cell r="C1036"/>
          <cell r="E1036"/>
          <cell r="F1036"/>
          <cell r="G1036"/>
          <cell r="H1036"/>
          <cell r="J1036"/>
          <cell r="L1036"/>
          <cell r="M1036"/>
        </row>
        <row r="1037">
          <cell r="B1037"/>
          <cell r="C1037"/>
          <cell r="E1037"/>
          <cell r="F1037"/>
          <cell r="G1037"/>
          <cell r="H1037"/>
          <cell r="J1037"/>
          <cell r="L1037"/>
          <cell r="M1037"/>
        </row>
        <row r="1038">
          <cell r="B1038"/>
          <cell r="C1038"/>
          <cell r="E1038"/>
          <cell r="F1038"/>
          <cell r="G1038"/>
          <cell r="H1038"/>
          <cell r="J1038"/>
          <cell r="L1038"/>
          <cell r="M1038"/>
        </row>
        <row r="1039">
          <cell r="B1039"/>
          <cell r="C1039"/>
          <cell r="E1039"/>
          <cell r="F1039"/>
          <cell r="G1039"/>
          <cell r="H1039"/>
          <cell r="J1039"/>
          <cell r="L1039"/>
          <cell r="M1039"/>
        </row>
        <row r="1040">
          <cell r="B1040"/>
          <cell r="C1040"/>
          <cell r="E1040"/>
          <cell r="F1040"/>
          <cell r="G1040"/>
          <cell r="H1040"/>
          <cell r="J1040"/>
          <cell r="L1040"/>
          <cell r="M1040"/>
        </row>
        <row r="1041">
          <cell r="B1041"/>
          <cell r="C1041"/>
          <cell r="E1041"/>
          <cell r="F1041"/>
          <cell r="G1041"/>
          <cell r="H1041"/>
          <cell r="J1041"/>
          <cell r="L1041"/>
          <cell r="M1041"/>
        </row>
        <row r="1042">
          <cell r="B1042"/>
          <cell r="C1042"/>
          <cell r="E1042"/>
          <cell r="F1042"/>
          <cell r="G1042"/>
          <cell r="H1042"/>
          <cell r="J1042"/>
          <cell r="L1042"/>
          <cell r="M1042"/>
        </row>
        <row r="1043">
          <cell r="B1043"/>
          <cell r="C1043"/>
          <cell r="E1043"/>
          <cell r="F1043"/>
          <cell r="G1043"/>
          <cell r="H1043"/>
          <cell r="J1043"/>
          <cell r="L1043"/>
          <cell r="M1043"/>
        </row>
        <row r="1044">
          <cell r="B1044"/>
          <cell r="C1044"/>
          <cell r="E1044"/>
          <cell r="F1044"/>
          <cell r="G1044"/>
          <cell r="H1044"/>
          <cell r="J1044"/>
          <cell r="L1044"/>
          <cell r="M1044"/>
        </row>
        <row r="1045">
          <cell r="B1045"/>
          <cell r="C1045"/>
          <cell r="E1045"/>
          <cell r="F1045"/>
          <cell r="G1045"/>
          <cell r="H1045"/>
          <cell r="J1045"/>
          <cell r="L1045"/>
          <cell r="M1045"/>
        </row>
        <row r="1046">
          <cell r="B1046"/>
          <cell r="C1046"/>
          <cell r="E1046"/>
          <cell r="F1046"/>
          <cell r="G1046"/>
          <cell r="H1046"/>
          <cell r="J1046"/>
          <cell r="L1046"/>
          <cell r="M1046"/>
        </row>
        <row r="1047">
          <cell r="B1047"/>
          <cell r="C1047"/>
          <cell r="E1047"/>
          <cell r="F1047"/>
          <cell r="G1047"/>
          <cell r="H1047"/>
          <cell r="J1047"/>
          <cell r="L1047"/>
          <cell r="M1047"/>
        </row>
        <row r="1048">
          <cell r="B1048"/>
          <cell r="C1048"/>
          <cell r="E1048"/>
          <cell r="F1048"/>
          <cell r="G1048"/>
          <cell r="H1048"/>
          <cell r="J1048"/>
          <cell r="L1048"/>
          <cell r="M1048"/>
        </row>
        <row r="1049">
          <cell r="B1049"/>
          <cell r="C1049"/>
          <cell r="E1049"/>
          <cell r="F1049"/>
          <cell r="G1049"/>
          <cell r="H1049"/>
          <cell r="J1049"/>
          <cell r="L1049"/>
          <cell r="M1049"/>
        </row>
        <row r="1050">
          <cell r="B1050"/>
          <cell r="C1050"/>
          <cell r="E1050"/>
          <cell r="F1050"/>
          <cell r="G1050"/>
          <cell r="H1050"/>
          <cell r="J1050"/>
          <cell r="L1050"/>
          <cell r="M1050"/>
        </row>
        <row r="1051">
          <cell r="B1051"/>
          <cell r="C1051"/>
          <cell r="E1051"/>
          <cell r="F1051"/>
          <cell r="G1051"/>
          <cell r="H1051"/>
          <cell r="J1051"/>
          <cell r="L1051"/>
          <cell r="M1051"/>
        </row>
        <row r="1052">
          <cell r="B1052"/>
          <cell r="C1052"/>
          <cell r="E1052"/>
          <cell r="F1052"/>
          <cell r="G1052"/>
          <cell r="H1052"/>
          <cell r="J1052"/>
          <cell r="L1052"/>
          <cell r="M1052"/>
        </row>
        <row r="1053">
          <cell r="B1053"/>
          <cell r="C1053"/>
          <cell r="E1053"/>
          <cell r="F1053"/>
          <cell r="G1053"/>
          <cell r="H1053"/>
          <cell r="J1053"/>
          <cell r="L1053"/>
          <cell r="M1053"/>
        </row>
        <row r="1054">
          <cell r="B1054"/>
          <cell r="C1054"/>
          <cell r="E1054"/>
          <cell r="F1054"/>
          <cell r="G1054"/>
          <cell r="H1054"/>
          <cell r="J1054"/>
          <cell r="L1054"/>
          <cell r="M1054"/>
        </row>
        <row r="1055">
          <cell r="B1055"/>
          <cell r="C1055"/>
          <cell r="E1055"/>
          <cell r="F1055"/>
          <cell r="G1055"/>
          <cell r="H1055"/>
          <cell r="J1055"/>
          <cell r="L1055"/>
          <cell r="M1055"/>
        </row>
        <row r="1056">
          <cell r="B1056"/>
          <cell r="C1056"/>
          <cell r="E1056"/>
          <cell r="F1056"/>
          <cell r="G1056"/>
          <cell r="H1056"/>
          <cell r="J1056"/>
          <cell r="L1056"/>
          <cell r="M1056"/>
        </row>
        <row r="1057">
          <cell r="B1057"/>
          <cell r="C1057"/>
          <cell r="E1057"/>
          <cell r="F1057"/>
          <cell r="G1057"/>
          <cell r="H1057"/>
          <cell r="J1057"/>
          <cell r="L1057"/>
          <cell r="M1057"/>
        </row>
        <row r="1058">
          <cell r="B1058"/>
          <cell r="C1058"/>
          <cell r="E1058"/>
          <cell r="F1058"/>
          <cell r="G1058"/>
          <cell r="H1058"/>
          <cell r="J1058"/>
          <cell r="L1058"/>
          <cell r="M1058"/>
        </row>
        <row r="1059">
          <cell r="B1059"/>
          <cell r="C1059"/>
          <cell r="E1059"/>
          <cell r="F1059"/>
          <cell r="G1059"/>
          <cell r="H1059"/>
          <cell r="J1059"/>
          <cell r="L1059"/>
          <cell r="M1059"/>
        </row>
        <row r="1060">
          <cell r="B1060"/>
          <cell r="C1060"/>
          <cell r="E1060"/>
          <cell r="F1060"/>
          <cell r="G1060"/>
          <cell r="H1060"/>
          <cell r="J1060"/>
          <cell r="L1060"/>
          <cell r="M1060"/>
        </row>
        <row r="1061">
          <cell r="B1061"/>
          <cell r="C1061"/>
          <cell r="E1061"/>
          <cell r="F1061"/>
          <cell r="G1061"/>
          <cell r="H1061"/>
          <cell r="J1061"/>
          <cell r="L1061"/>
          <cell r="M1061"/>
        </row>
        <row r="1062">
          <cell r="B1062"/>
          <cell r="C1062"/>
          <cell r="E1062"/>
          <cell r="F1062"/>
          <cell r="G1062"/>
          <cell r="H1062"/>
          <cell r="J1062"/>
          <cell r="L1062"/>
          <cell r="M1062"/>
        </row>
        <row r="1063">
          <cell r="B1063"/>
          <cell r="C1063"/>
          <cell r="E1063"/>
          <cell r="F1063"/>
          <cell r="G1063"/>
          <cell r="H1063"/>
          <cell r="J1063"/>
          <cell r="L1063"/>
          <cell r="M1063"/>
        </row>
        <row r="1064">
          <cell r="B1064"/>
          <cell r="C1064"/>
          <cell r="E1064"/>
          <cell r="F1064"/>
          <cell r="G1064"/>
          <cell r="H1064"/>
          <cell r="J1064"/>
          <cell r="L1064"/>
          <cell r="M1064"/>
        </row>
        <row r="1065">
          <cell r="B1065"/>
          <cell r="C1065"/>
          <cell r="E1065"/>
          <cell r="F1065"/>
          <cell r="G1065"/>
          <cell r="H1065"/>
          <cell r="J1065"/>
          <cell r="L1065"/>
          <cell r="M1065"/>
        </row>
        <row r="1066">
          <cell r="B1066"/>
          <cell r="C1066"/>
          <cell r="E1066"/>
          <cell r="F1066"/>
          <cell r="G1066"/>
          <cell r="H1066"/>
          <cell r="J1066"/>
          <cell r="L1066"/>
          <cell r="M1066"/>
        </row>
        <row r="1067">
          <cell r="B1067"/>
          <cell r="C1067"/>
          <cell r="E1067"/>
          <cell r="F1067"/>
          <cell r="G1067"/>
          <cell r="H1067"/>
          <cell r="J1067"/>
          <cell r="L1067"/>
          <cell r="M1067"/>
        </row>
        <row r="1068">
          <cell r="B1068"/>
          <cell r="C1068"/>
          <cell r="E1068"/>
          <cell r="F1068"/>
          <cell r="G1068"/>
          <cell r="H1068"/>
          <cell r="J1068"/>
          <cell r="L1068"/>
          <cell r="M1068"/>
        </row>
        <row r="1069">
          <cell r="B1069"/>
          <cell r="C1069"/>
          <cell r="E1069"/>
          <cell r="F1069"/>
          <cell r="G1069"/>
          <cell r="H1069"/>
          <cell r="J1069"/>
          <cell r="L1069"/>
          <cell r="M1069"/>
        </row>
        <row r="1070">
          <cell r="B1070"/>
          <cell r="C1070"/>
          <cell r="E1070"/>
          <cell r="F1070"/>
          <cell r="G1070"/>
          <cell r="H1070"/>
          <cell r="J1070"/>
          <cell r="L1070"/>
          <cell r="M1070"/>
        </row>
        <row r="1071">
          <cell r="B1071"/>
          <cell r="C1071"/>
          <cell r="E1071"/>
          <cell r="F1071"/>
          <cell r="G1071"/>
          <cell r="H1071"/>
          <cell r="J1071"/>
          <cell r="L1071"/>
          <cell r="M1071"/>
        </row>
        <row r="1072">
          <cell r="B1072"/>
          <cell r="C1072"/>
          <cell r="E1072"/>
          <cell r="F1072"/>
          <cell r="G1072"/>
          <cell r="H1072"/>
          <cell r="J1072"/>
          <cell r="L1072"/>
          <cell r="M1072"/>
        </row>
        <row r="1073">
          <cell r="B1073"/>
          <cell r="C1073"/>
          <cell r="E1073"/>
          <cell r="F1073"/>
          <cell r="G1073"/>
          <cell r="H1073"/>
          <cell r="J1073"/>
          <cell r="L1073"/>
          <cell r="M1073"/>
        </row>
        <row r="1074">
          <cell r="B1074"/>
          <cell r="C1074"/>
          <cell r="E1074"/>
          <cell r="F1074"/>
          <cell r="G1074"/>
          <cell r="H1074"/>
          <cell r="J1074"/>
          <cell r="L1074"/>
          <cell r="M1074"/>
        </row>
        <row r="1075">
          <cell r="B1075"/>
          <cell r="C1075"/>
          <cell r="E1075"/>
          <cell r="F1075"/>
          <cell r="G1075"/>
          <cell r="H1075"/>
          <cell r="J1075"/>
          <cell r="L1075"/>
          <cell r="M1075"/>
        </row>
        <row r="1076">
          <cell r="B1076"/>
          <cell r="C1076"/>
          <cell r="E1076"/>
          <cell r="F1076"/>
          <cell r="G1076"/>
          <cell r="H1076"/>
          <cell r="J1076"/>
          <cell r="L1076"/>
          <cell r="M1076"/>
        </row>
        <row r="1077">
          <cell r="B1077"/>
          <cell r="C1077"/>
          <cell r="E1077"/>
          <cell r="F1077"/>
          <cell r="G1077"/>
          <cell r="H1077"/>
          <cell r="J1077"/>
          <cell r="L1077"/>
          <cell r="M1077"/>
        </row>
        <row r="1078">
          <cell r="B1078"/>
          <cell r="C1078"/>
          <cell r="E1078"/>
          <cell r="F1078"/>
          <cell r="G1078"/>
          <cell r="H1078"/>
          <cell r="J1078"/>
          <cell r="L1078"/>
          <cell r="M1078"/>
        </row>
        <row r="1079">
          <cell r="B1079"/>
          <cell r="C1079"/>
          <cell r="E1079"/>
          <cell r="F1079"/>
          <cell r="G1079"/>
          <cell r="H1079"/>
          <cell r="J1079"/>
          <cell r="L1079"/>
          <cell r="M1079"/>
        </row>
        <row r="1080">
          <cell r="B1080"/>
          <cell r="C1080"/>
          <cell r="E1080"/>
          <cell r="F1080"/>
          <cell r="G1080"/>
          <cell r="H1080"/>
          <cell r="J1080"/>
          <cell r="L1080"/>
          <cell r="M1080"/>
        </row>
        <row r="1081">
          <cell r="B1081"/>
          <cell r="C1081"/>
          <cell r="E1081"/>
          <cell r="F1081"/>
          <cell r="G1081"/>
          <cell r="H1081"/>
          <cell r="J1081"/>
          <cell r="L1081"/>
          <cell r="M1081"/>
        </row>
        <row r="1082">
          <cell r="B1082"/>
          <cell r="C1082"/>
          <cell r="E1082"/>
          <cell r="F1082"/>
          <cell r="G1082"/>
          <cell r="H1082"/>
          <cell r="J1082"/>
          <cell r="L1082"/>
          <cell r="M1082"/>
        </row>
        <row r="1083">
          <cell r="B1083"/>
          <cell r="C1083"/>
          <cell r="E1083"/>
          <cell r="F1083"/>
          <cell r="G1083"/>
          <cell r="H1083"/>
          <cell r="J1083"/>
          <cell r="L1083"/>
          <cell r="M1083"/>
        </row>
        <row r="1084">
          <cell r="B1084"/>
          <cell r="C1084"/>
          <cell r="E1084"/>
          <cell r="F1084"/>
          <cell r="G1084"/>
          <cell r="H1084"/>
          <cell r="J1084"/>
          <cell r="L1084"/>
          <cell r="M1084"/>
        </row>
        <row r="1085">
          <cell r="B1085"/>
          <cell r="C1085"/>
          <cell r="E1085"/>
          <cell r="F1085"/>
          <cell r="G1085"/>
          <cell r="H1085"/>
          <cell r="J1085"/>
          <cell r="L1085"/>
          <cell r="M1085"/>
        </row>
        <row r="1086">
          <cell r="B1086"/>
          <cell r="C1086"/>
          <cell r="E1086"/>
          <cell r="F1086"/>
          <cell r="G1086"/>
          <cell r="H1086"/>
          <cell r="J1086"/>
          <cell r="L1086"/>
          <cell r="M1086"/>
        </row>
        <row r="1087">
          <cell r="B1087"/>
          <cell r="C1087"/>
          <cell r="E1087"/>
          <cell r="F1087"/>
          <cell r="G1087"/>
          <cell r="H1087"/>
          <cell r="J1087"/>
          <cell r="L1087"/>
          <cell r="M1087"/>
        </row>
        <row r="1088">
          <cell r="B1088"/>
          <cell r="C1088"/>
          <cell r="E1088"/>
          <cell r="F1088"/>
          <cell r="G1088"/>
          <cell r="H1088"/>
          <cell r="J1088"/>
          <cell r="L1088"/>
          <cell r="M1088"/>
        </row>
        <row r="1089">
          <cell r="B1089"/>
          <cell r="C1089"/>
          <cell r="E1089"/>
          <cell r="F1089"/>
          <cell r="G1089"/>
          <cell r="H1089"/>
          <cell r="J1089"/>
          <cell r="L1089"/>
          <cell r="M1089"/>
        </row>
        <row r="1090">
          <cell r="B1090"/>
          <cell r="C1090"/>
          <cell r="E1090"/>
          <cell r="F1090"/>
          <cell r="G1090"/>
          <cell r="H1090"/>
          <cell r="J1090"/>
          <cell r="L1090"/>
          <cell r="M1090"/>
        </row>
        <row r="1091">
          <cell r="B1091"/>
          <cell r="C1091"/>
          <cell r="E1091"/>
          <cell r="F1091"/>
          <cell r="G1091"/>
          <cell r="H1091"/>
          <cell r="J1091"/>
          <cell r="L1091"/>
          <cell r="M1091"/>
        </row>
        <row r="1092">
          <cell r="B1092"/>
          <cell r="C1092"/>
          <cell r="E1092"/>
          <cell r="F1092"/>
          <cell r="G1092"/>
          <cell r="H1092"/>
          <cell r="J1092"/>
          <cell r="L1092"/>
          <cell r="M1092"/>
        </row>
        <row r="1093">
          <cell r="B1093"/>
          <cell r="C1093"/>
          <cell r="E1093"/>
          <cell r="F1093"/>
          <cell r="G1093"/>
          <cell r="H1093"/>
          <cell r="J1093"/>
          <cell r="L1093"/>
          <cell r="M1093"/>
        </row>
        <row r="1094">
          <cell r="B1094"/>
          <cell r="C1094"/>
          <cell r="E1094"/>
          <cell r="F1094"/>
          <cell r="G1094"/>
          <cell r="H1094"/>
          <cell r="J1094"/>
          <cell r="L1094"/>
          <cell r="M1094"/>
        </row>
        <row r="1095">
          <cell r="B1095"/>
          <cell r="C1095"/>
          <cell r="E1095"/>
          <cell r="F1095"/>
          <cell r="G1095"/>
          <cell r="H1095"/>
          <cell r="J1095"/>
          <cell r="L1095"/>
          <cell r="M1095"/>
        </row>
        <row r="1096">
          <cell r="B1096"/>
          <cell r="C1096"/>
          <cell r="E1096"/>
          <cell r="F1096"/>
          <cell r="G1096"/>
          <cell r="H1096"/>
          <cell r="J1096"/>
          <cell r="L1096"/>
          <cell r="M1096"/>
        </row>
        <row r="1097">
          <cell r="B1097"/>
          <cell r="C1097"/>
          <cell r="E1097"/>
          <cell r="F1097"/>
          <cell r="G1097"/>
          <cell r="H1097"/>
          <cell r="J1097"/>
          <cell r="L1097"/>
          <cell r="M1097"/>
        </row>
        <row r="1098">
          <cell r="B1098"/>
          <cell r="C1098"/>
          <cell r="E1098"/>
          <cell r="F1098"/>
          <cell r="G1098"/>
          <cell r="H1098"/>
          <cell r="J1098"/>
          <cell r="L1098"/>
          <cell r="M1098"/>
        </row>
        <row r="1099">
          <cell r="B1099"/>
          <cell r="C1099"/>
          <cell r="E1099"/>
          <cell r="F1099"/>
          <cell r="G1099"/>
          <cell r="H1099"/>
          <cell r="J1099"/>
          <cell r="L1099"/>
          <cell r="M1099"/>
        </row>
        <row r="1100">
          <cell r="B1100"/>
          <cell r="C1100"/>
          <cell r="E1100"/>
          <cell r="F1100"/>
          <cell r="G1100"/>
          <cell r="H1100"/>
          <cell r="J1100"/>
          <cell r="L1100"/>
          <cell r="M1100"/>
        </row>
        <row r="1101">
          <cell r="B1101"/>
          <cell r="C1101"/>
          <cell r="E1101"/>
          <cell r="F1101"/>
          <cell r="G1101"/>
          <cell r="H1101"/>
          <cell r="J1101"/>
          <cell r="L1101"/>
          <cell r="M1101"/>
        </row>
        <row r="1102">
          <cell r="B1102"/>
          <cell r="C1102"/>
          <cell r="E1102"/>
          <cell r="F1102"/>
          <cell r="G1102"/>
          <cell r="H1102"/>
          <cell r="J1102"/>
          <cell r="L1102"/>
          <cell r="M1102"/>
        </row>
        <row r="1103">
          <cell r="B1103"/>
          <cell r="C1103"/>
          <cell r="E1103"/>
          <cell r="F1103"/>
          <cell r="G1103"/>
          <cell r="H1103"/>
          <cell r="J1103"/>
          <cell r="L1103"/>
          <cell r="M1103"/>
        </row>
        <row r="1104">
          <cell r="B1104"/>
          <cell r="C1104"/>
          <cell r="E1104"/>
          <cell r="F1104"/>
          <cell r="G1104"/>
          <cell r="H1104"/>
          <cell r="J1104"/>
          <cell r="L1104"/>
          <cell r="M1104"/>
        </row>
        <row r="1105">
          <cell r="B1105"/>
          <cell r="C1105"/>
          <cell r="E1105"/>
          <cell r="F1105"/>
          <cell r="G1105"/>
          <cell r="H1105"/>
          <cell r="J1105"/>
          <cell r="L1105"/>
          <cell r="M1105"/>
        </row>
        <row r="1106">
          <cell r="B1106"/>
          <cell r="C1106"/>
          <cell r="E1106"/>
          <cell r="F1106"/>
          <cell r="G1106"/>
          <cell r="H1106"/>
          <cell r="J1106"/>
          <cell r="L1106"/>
          <cell r="M1106"/>
        </row>
        <row r="1107">
          <cell r="B1107"/>
          <cell r="C1107"/>
          <cell r="E1107"/>
          <cell r="F1107"/>
          <cell r="G1107"/>
          <cell r="H1107"/>
          <cell r="J1107"/>
          <cell r="L1107"/>
          <cell r="M1107"/>
        </row>
        <row r="1108">
          <cell r="B1108"/>
          <cell r="C1108"/>
          <cell r="E1108"/>
          <cell r="F1108"/>
          <cell r="G1108"/>
          <cell r="H1108"/>
          <cell r="J1108"/>
          <cell r="L1108"/>
          <cell r="M1108"/>
        </row>
        <row r="1109">
          <cell r="B1109"/>
          <cell r="C1109"/>
          <cell r="E1109"/>
          <cell r="F1109"/>
          <cell r="G1109"/>
          <cell r="H1109"/>
          <cell r="J1109"/>
          <cell r="L1109"/>
          <cell r="M1109"/>
        </row>
        <row r="1110">
          <cell r="B1110"/>
          <cell r="C1110"/>
          <cell r="E1110"/>
          <cell r="F1110"/>
          <cell r="G1110"/>
          <cell r="H1110"/>
          <cell r="J1110"/>
          <cell r="L1110"/>
          <cell r="M1110"/>
        </row>
        <row r="1111">
          <cell r="B1111"/>
          <cell r="C1111"/>
          <cell r="E1111"/>
          <cell r="F1111"/>
          <cell r="G1111"/>
          <cell r="H1111"/>
          <cell r="J1111"/>
          <cell r="L1111"/>
          <cell r="M1111"/>
        </row>
        <row r="1112">
          <cell r="B1112"/>
          <cell r="C1112"/>
          <cell r="E1112"/>
          <cell r="F1112"/>
          <cell r="G1112"/>
          <cell r="H1112"/>
          <cell r="J1112"/>
          <cell r="L1112"/>
          <cell r="M1112"/>
        </row>
        <row r="1113">
          <cell r="B1113"/>
          <cell r="C1113"/>
          <cell r="E1113"/>
          <cell r="F1113"/>
          <cell r="G1113"/>
          <cell r="H1113"/>
          <cell r="J1113"/>
          <cell r="L1113"/>
          <cell r="M1113"/>
        </row>
        <row r="1114">
          <cell r="B1114"/>
          <cell r="C1114"/>
          <cell r="E1114"/>
          <cell r="F1114"/>
          <cell r="G1114"/>
          <cell r="H1114"/>
          <cell r="J1114"/>
          <cell r="L1114"/>
          <cell r="M1114"/>
        </row>
        <row r="1115">
          <cell r="B1115"/>
          <cell r="C1115"/>
          <cell r="E1115"/>
          <cell r="F1115"/>
          <cell r="G1115"/>
          <cell r="H1115"/>
          <cell r="J1115"/>
          <cell r="L1115"/>
          <cell r="M1115"/>
        </row>
        <row r="1116">
          <cell r="B1116"/>
          <cell r="C1116"/>
          <cell r="E1116"/>
          <cell r="F1116"/>
          <cell r="G1116"/>
          <cell r="H1116"/>
          <cell r="J1116"/>
          <cell r="L1116"/>
          <cell r="M1116"/>
        </row>
        <row r="1117">
          <cell r="B1117"/>
          <cell r="C1117"/>
          <cell r="E1117"/>
          <cell r="F1117"/>
          <cell r="G1117"/>
          <cell r="H1117"/>
          <cell r="J1117"/>
          <cell r="L1117"/>
          <cell r="M1117"/>
        </row>
        <row r="1118">
          <cell r="B1118"/>
          <cell r="C1118"/>
          <cell r="E1118"/>
          <cell r="F1118"/>
          <cell r="G1118"/>
          <cell r="H1118"/>
          <cell r="J1118"/>
          <cell r="L1118"/>
          <cell r="M1118"/>
        </row>
        <row r="1119">
          <cell r="B1119"/>
          <cell r="C1119"/>
          <cell r="E1119"/>
          <cell r="F1119"/>
          <cell r="G1119"/>
          <cell r="H1119"/>
          <cell r="J1119"/>
          <cell r="L1119"/>
          <cell r="M1119"/>
        </row>
        <row r="1120">
          <cell r="B1120"/>
          <cell r="C1120"/>
          <cell r="E1120"/>
          <cell r="F1120"/>
          <cell r="G1120"/>
          <cell r="H1120"/>
          <cell r="J1120"/>
          <cell r="L1120"/>
          <cell r="M1120"/>
        </row>
        <row r="1121">
          <cell r="B1121"/>
          <cell r="C1121"/>
          <cell r="E1121"/>
          <cell r="F1121"/>
          <cell r="G1121"/>
          <cell r="H1121"/>
          <cell r="J1121"/>
          <cell r="L1121"/>
          <cell r="M1121"/>
        </row>
        <row r="1122">
          <cell r="B1122"/>
          <cell r="C1122"/>
          <cell r="E1122"/>
          <cell r="F1122"/>
          <cell r="G1122"/>
          <cell r="H1122"/>
          <cell r="J1122"/>
          <cell r="L1122"/>
          <cell r="M1122"/>
        </row>
        <row r="1123">
          <cell r="B1123"/>
          <cell r="C1123"/>
          <cell r="E1123"/>
          <cell r="F1123"/>
          <cell r="G1123"/>
          <cell r="H1123"/>
          <cell r="J1123"/>
          <cell r="L1123"/>
          <cell r="M1123"/>
        </row>
        <row r="1124">
          <cell r="B1124"/>
          <cell r="C1124"/>
          <cell r="E1124"/>
          <cell r="F1124"/>
          <cell r="G1124"/>
          <cell r="H1124"/>
          <cell r="J1124"/>
          <cell r="L1124"/>
          <cell r="M1124"/>
        </row>
        <row r="1125">
          <cell r="B1125"/>
          <cell r="C1125"/>
          <cell r="E1125"/>
          <cell r="F1125"/>
          <cell r="G1125"/>
          <cell r="H1125"/>
          <cell r="J1125"/>
          <cell r="L1125"/>
          <cell r="M1125"/>
        </row>
        <row r="1126">
          <cell r="B1126"/>
          <cell r="C1126"/>
          <cell r="E1126"/>
          <cell r="F1126"/>
          <cell r="G1126"/>
          <cell r="H1126"/>
          <cell r="J1126"/>
          <cell r="L1126"/>
          <cell r="M1126"/>
        </row>
        <row r="1127">
          <cell r="B1127"/>
          <cell r="C1127"/>
          <cell r="E1127"/>
          <cell r="F1127"/>
          <cell r="G1127"/>
          <cell r="H1127"/>
          <cell r="J1127"/>
          <cell r="L1127"/>
          <cell r="M1127"/>
        </row>
        <row r="1128">
          <cell r="B1128"/>
          <cell r="C1128"/>
          <cell r="E1128"/>
          <cell r="F1128"/>
          <cell r="G1128"/>
          <cell r="H1128"/>
          <cell r="J1128"/>
          <cell r="L1128"/>
          <cell r="M1128"/>
        </row>
        <row r="1129">
          <cell r="B1129"/>
          <cell r="C1129"/>
          <cell r="E1129"/>
          <cell r="F1129"/>
          <cell r="G1129"/>
          <cell r="H1129"/>
          <cell r="J1129"/>
          <cell r="L1129"/>
          <cell r="M1129"/>
        </row>
        <row r="1130">
          <cell r="B1130"/>
          <cell r="C1130"/>
          <cell r="E1130"/>
          <cell r="F1130"/>
          <cell r="G1130"/>
          <cell r="H1130"/>
          <cell r="J1130"/>
          <cell r="L1130"/>
          <cell r="M1130"/>
        </row>
        <row r="1131">
          <cell r="B1131"/>
          <cell r="C1131"/>
          <cell r="E1131"/>
          <cell r="F1131"/>
          <cell r="G1131"/>
          <cell r="H1131"/>
          <cell r="J1131"/>
          <cell r="L1131"/>
          <cell r="M1131"/>
        </row>
        <row r="1132">
          <cell r="B1132"/>
          <cell r="C1132"/>
          <cell r="E1132"/>
          <cell r="F1132"/>
          <cell r="G1132"/>
          <cell r="H1132"/>
          <cell r="J1132"/>
          <cell r="L1132"/>
          <cell r="M1132"/>
        </row>
        <row r="1133">
          <cell r="B1133"/>
          <cell r="C1133"/>
          <cell r="E1133"/>
          <cell r="F1133"/>
          <cell r="G1133"/>
          <cell r="H1133"/>
          <cell r="J1133"/>
          <cell r="L1133"/>
          <cell r="M1133"/>
        </row>
        <row r="1134">
          <cell r="B1134"/>
          <cell r="C1134"/>
          <cell r="E1134"/>
          <cell r="F1134"/>
          <cell r="G1134"/>
          <cell r="H1134"/>
          <cell r="J1134"/>
          <cell r="L1134"/>
          <cell r="M1134"/>
        </row>
        <row r="1135">
          <cell r="B1135"/>
          <cell r="C1135"/>
          <cell r="E1135"/>
          <cell r="F1135"/>
          <cell r="G1135"/>
          <cell r="H1135"/>
          <cell r="J1135"/>
          <cell r="L1135"/>
          <cell r="M1135"/>
        </row>
        <row r="1136">
          <cell r="B1136"/>
          <cell r="C1136"/>
          <cell r="E1136"/>
          <cell r="F1136"/>
          <cell r="G1136"/>
          <cell r="H1136"/>
          <cell r="J1136"/>
          <cell r="L1136"/>
          <cell r="M1136"/>
        </row>
        <row r="1137">
          <cell r="B1137"/>
          <cell r="C1137"/>
          <cell r="E1137"/>
          <cell r="F1137"/>
          <cell r="G1137"/>
          <cell r="H1137"/>
          <cell r="J1137"/>
          <cell r="L1137"/>
          <cell r="M1137"/>
        </row>
        <row r="1138">
          <cell r="B1138"/>
          <cell r="C1138"/>
          <cell r="E1138"/>
          <cell r="F1138"/>
          <cell r="G1138"/>
          <cell r="H1138"/>
          <cell r="J1138"/>
          <cell r="L1138"/>
          <cell r="M1138"/>
        </row>
        <row r="1139">
          <cell r="B1139"/>
          <cell r="C1139"/>
          <cell r="E1139"/>
          <cell r="F1139"/>
          <cell r="G1139"/>
          <cell r="H1139"/>
          <cell r="J1139"/>
          <cell r="L1139"/>
          <cell r="M1139"/>
        </row>
        <row r="1140">
          <cell r="B1140"/>
          <cell r="C1140"/>
          <cell r="E1140"/>
          <cell r="F1140"/>
          <cell r="G1140"/>
          <cell r="H1140"/>
          <cell r="J1140"/>
          <cell r="L1140"/>
          <cell r="M1140"/>
        </row>
        <row r="1141">
          <cell r="B1141"/>
          <cell r="C1141"/>
          <cell r="E1141"/>
          <cell r="F1141"/>
          <cell r="G1141"/>
          <cell r="H1141"/>
          <cell r="J1141"/>
          <cell r="L1141"/>
          <cell r="M1141"/>
        </row>
        <row r="1142">
          <cell r="B1142"/>
          <cell r="C1142"/>
          <cell r="E1142"/>
          <cell r="F1142"/>
          <cell r="G1142"/>
          <cell r="H1142"/>
          <cell r="J1142"/>
          <cell r="L1142"/>
          <cell r="M1142"/>
        </row>
        <row r="1143">
          <cell r="B1143"/>
          <cell r="C1143"/>
          <cell r="E1143"/>
          <cell r="F1143"/>
          <cell r="G1143"/>
          <cell r="H1143"/>
          <cell r="J1143"/>
          <cell r="L1143"/>
          <cell r="M1143"/>
        </row>
        <row r="1144">
          <cell r="B1144"/>
          <cell r="C1144"/>
          <cell r="E1144"/>
          <cell r="F1144"/>
          <cell r="G1144"/>
          <cell r="H1144"/>
          <cell r="J1144"/>
          <cell r="L1144"/>
          <cell r="M1144"/>
        </row>
        <row r="1145">
          <cell r="B1145"/>
          <cell r="C1145"/>
          <cell r="E1145"/>
          <cell r="F1145"/>
          <cell r="G1145"/>
          <cell r="H1145"/>
          <cell r="J1145"/>
          <cell r="L1145"/>
          <cell r="M1145"/>
        </row>
        <row r="1146">
          <cell r="B1146"/>
          <cell r="C1146"/>
          <cell r="E1146"/>
          <cell r="F1146"/>
          <cell r="G1146"/>
          <cell r="H1146"/>
          <cell r="J1146"/>
          <cell r="L1146"/>
          <cell r="M1146"/>
        </row>
        <row r="1147">
          <cell r="B1147"/>
          <cell r="C1147"/>
          <cell r="E1147"/>
          <cell r="F1147"/>
          <cell r="G1147"/>
          <cell r="H1147"/>
          <cell r="J1147"/>
          <cell r="L1147"/>
          <cell r="M1147"/>
        </row>
        <row r="1148">
          <cell r="B1148"/>
          <cell r="C1148"/>
          <cell r="E1148"/>
          <cell r="F1148"/>
          <cell r="G1148"/>
          <cell r="H1148"/>
          <cell r="J1148"/>
          <cell r="L1148"/>
          <cell r="M1148"/>
        </row>
        <row r="1149">
          <cell r="B1149"/>
          <cell r="C1149"/>
          <cell r="E1149"/>
          <cell r="F1149"/>
          <cell r="G1149"/>
          <cell r="H1149"/>
          <cell r="J1149"/>
          <cell r="L1149"/>
          <cell r="M1149"/>
        </row>
        <row r="1150">
          <cell r="B1150"/>
          <cell r="C1150"/>
          <cell r="E1150"/>
          <cell r="F1150"/>
          <cell r="G1150"/>
          <cell r="H1150"/>
          <cell r="J1150"/>
          <cell r="L1150"/>
          <cell r="M1150"/>
        </row>
        <row r="1151">
          <cell r="B1151"/>
          <cell r="C1151"/>
          <cell r="E1151"/>
          <cell r="F1151"/>
          <cell r="G1151"/>
          <cell r="H1151"/>
          <cell r="J1151"/>
          <cell r="L1151"/>
          <cell r="M1151"/>
        </row>
        <row r="1152">
          <cell r="B1152"/>
          <cell r="C1152"/>
          <cell r="E1152"/>
          <cell r="F1152"/>
          <cell r="G1152"/>
          <cell r="H1152"/>
          <cell r="J1152"/>
          <cell r="L1152"/>
          <cell r="M1152"/>
        </row>
        <row r="1153">
          <cell r="B1153"/>
          <cell r="C1153"/>
          <cell r="E1153"/>
          <cell r="F1153"/>
          <cell r="G1153"/>
          <cell r="H1153"/>
          <cell r="J1153"/>
          <cell r="L1153"/>
          <cell r="M1153"/>
        </row>
        <row r="1154">
          <cell r="B1154"/>
          <cell r="C1154"/>
          <cell r="E1154"/>
          <cell r="F1154"/>
          <cell r="G1154"/>
          <cell r="H1154"/>
          <cell r="J1154"/>
          <cell r="L1154"/>
          <cell r="M1154"/>
        </row>
        <row r="1155">
          <cell r="B1155"/>
          <cell r="C1155"/>
          <cell r="E1155"/>
          <cell r="F1155"/>
          <cell r="G1155"/>
          <cell r="H1155"/>
          <cell r="J1155"/>
          <cell r="L1155"/>
          <cell r="M1155"/>
        </row>
        <row r="1156">
          <cell r="B1156"/>
          <cell r="C1156"/>
          <cell r="E1156"/>
          <cell r="F1156"/>
          <cell r="G1156"/>
          <cell r="H1156"/>
          <cell r="J1156"/>
          <cell r="L1156"/>
          <cell r="M1156"/>
        </row>
        <row r="1157">
          <cell r="B1157"/>
          <cell r="C1157"/>
          <cell r="E1157"/>
          <cell r="F1157"/>
          <cell r="G1157"/>
          <cell r="H1157"/>
          <cell r="J1157"/>
          <cell r="L1157"/>
          <cell r="M1157"/>
        </row>
        <row r="1158">
          <cell r="B1158"/>
          <cell r="C1158"/>
          <cell r="E1158"/>
          <cell r="F1158"/>
          <cell r="G1158"/>
          <cell r="H1158"/>
          <cell r="J1158"/>
          <cell r="L1158"/>
          <cell r="M1158"/>
        </row>
        <row r="1159">
          <cell r="B1159"/>
          <cell r="C1159"/>
          <cell r="E1159"/>
          <cell r="F1159"/>
          <cell r="G1159"/>
          <cell r="H1159"/>
          <cell r="J1159"/>
          <cell r="L1159"/>
          <cell r="M1159"/>
        </row>
        <row r="1160">
          <cell r="B1160"/>
          <cell r="C1160"/>
          <cell r="E1160"/>
          <cell r="F1160"/>
          <cell r="G1160"/>
          <cell r="H1160"/>
          <cell r="J1160"/>
          <cell r="L1160"/>
          <cell r="M1160"/>
        </row>
        <row r="1161">
          <cell r="B1161"/>
          <cell r="C1161"/>
          <cell r="E1161"/>
          <cell r="F1161"/>
          <cell r="G1161"/>
          <cell r="H1161"/>
          <cell r="J1161"/>
          <cell r="L1161"/>
          <cell r="M1161"/>
        </row>
        <row r="1162">
          <cell r="B1162"/>
          <cell r="C1162"/>
          <cell r="E1162"/>
          <cell r="F1162"/>
          <cell r="G1162"/>
          <cell r="H1162"/>
          <cell r="J1162"/>
          <cell r="L1162"/>
          <cell r="M1162"/>
        </row>
        <row r="1163">
          <cell r="B1163"/>
          <cell r="C1163"/>
          <cell r="E1163"/>
          <cell r="F1163"/>
          <cell r="G1163"/>
          <cell r="H1163"/>
          <cell r="J1163"/>
          <cell r="L1163"/>
          <cell r="M1163"/>
        </row>
        <row r="1164">
          <cell r="B1164"/>
          <cell r="C1164"/>
          <cell r="E1164"/>
          <cell r="F1164"/>
          <cell r="G1164"/>
          <cell r="H1164"/>
          <cell r="J1164"/>
          <cell r="L1164"/>
          <cell r="M1164"/>
        </row>
        <row r="1165">
          <cell r="B1165"/>
          <cell r="C1165"/>
          <cell r="E1165"/>
          <cell r="F1165"/>
          <cell r="G1165"/>
          <cell r="H1165"/>
          <cell r="J1165"/>
          <cell r="L1165"/>
          <cell r="M1165"/>
        </row>
        <row r="1166">
          <cell r="B1166"/>
          <cell r="C1166"/>
          <cell r="E1166"/>
          <cell r="F1166"/>
          <cell r="G1166"/>
          <cell r="H1166"/>
          <cell r="J1166"/>
          <cell r="L1166"/>
          <cell r="M1166"/>
        </row>
        <row r="1167">
          <cell r="B1167"/>
          <cell r="C1167"/>
          <cell r="E1167"/>
          <cell r="F1167"/>
          <cell r="G1167"/>
          <cell r="H1167"/>
          <cell r="J1167"/>
          <cell r="L1167"/>
          <cell r="M1167"/>
        </row>
        <row r="1168">
          <cell r="B1168"/>
          <cell r="C1168"/>
          <cell r="E1168"/>
          <cell r="F1168"/>
          <cell r="G1168"/>
          <cell r="H1168"/>
          <cell r="J1168"/>
          <cell r="L1168"/>
          <cell r="M1168"/>
        </row>
        <row r="1169">
          <cell r="B1169"/>
          <cell r="C1169"/>
          <cell r="E1169"/>
          <cell r="F1169"/>
          <cell r="G1169"/>
          <cell r="H1169"/>
          <cell r="J1169"/>
          <cell r="L1169"/>
          <cell r="M1169"/>
        </row>
        <row r="1170">
          <cell r="B1170"/>
          <cell r="C1170"/>
          <cell r="E1170"/>
          <cell r="F1170"/>
          <cell r="G1170"/>
          <cell r="H1170"/>
          <cell r="J1170"/>
          <cell r="L1170"/>
          <cell r="M1170"/>
        </row>
        <row r="1171">
          <cell r="B1171"/>
          <cell r="C1171"/>
          <cell r="E1171"/>
          <cell r="F1171"/>
          <cell r="G1171"/>
          <cell r="H1171"/>
          <cell r="J1171"/>
          <cell r="L1171"/>
          <cell r="M1171"/>
        </row>
        <row r="1172">
          <cell r="B1172"/>
          <cell r="C1172"/>
          <cell r="E1172"/>
          <cell r="F1172"/>
          <cell r="G1172"/>
          <cell r="H1172"/>
          <cell r="J1172"/>
          <cell r="L1172"/>
          <cell r="M1172"/>
        </row>
        <row r="1173">
          <cell r="B1173"/>
          <cell r="C1173"/>
          <cell r="E1173"/>
          <cell r="F1173"/>
          <cell r="G1173"/>
          <cell r="H1173"/>
          <cell r="J1173"/>
          <cell r="L1173"/>
          <cell r="M1173"/>
        </row>
        <row r="1174">
          <cell r="B1174"/>
          <cell r="C1174"/>
          <cell r="E1174"/>
          <cell r="F1174"/>
          <cell r="G1174"/>
          <cell r="H1174"/>
          <cell r="J1174"/>
          <cell r="L1174"/>
          <cell r="M1174"/>
        </row>
        <row r="1175">
          <cell r="B1175"/>
          <cell r="C1175"/>
          <cell r="E1175"/>
          <cell r="F1175"/>
          <cell r="G1175"/>
          <cell r="H1175"/>
          <cell r="J1175"/>
          <cell r="L1175"/>
          <cell r="M1175"/>
        </row>
        <row r="1176">
          <cell r="B1176"/>
          <cell r="C1176"/>
          <cell r="E1176"/>
          <cell r="F1176"/>
          <cell r="G1176"/>
          <cell r="H1176"/>
          <cell r="J1176"/>
          <cell r="L1176"/>
          <cell r="M1176"/>
        </row>
        <row r="1177">
          <cell r="B1177"/>
          <cell r="C1177"/>
          <cell r="E1177"/>
          <cell r="F1177"/>
          <cell r="G1177"/>
          <cell r="H1177"/>
          <cell r="J1177"/>
          <cell r="L1177"/>
          <cell r="M1177"/>
        </row>
        <row r="1178">
          <cell r="B1178"/>
          <cell r="C1178"/>
          <cell r="E1178"/>
          <cell r="F1178"/>
          <cell r="G1178"/>
          <cell r="H1178"/>
          <cell r="J1178"/>
          <cell r="L1178"/>
          <cell r="M1178"/>
        </row>
        <row r="1179">
          <cell r="B1179"/>
          <cell r="C1179"/>
          <cell r="E1179"/>
          <cell r="F1179"/>
          <cell r="G1179"/>
          <cell r="H1179"/>
          <cell r="J1179"/>
          <cell r="L1179"/>
          <cell r="M1179"/>
        </row>
        <row r="1180">
          <cell r="B1180"/>
          <cell r="C1180"/>
          <cell r="E1180"/>
          <cell r="F1180"/>
          <cell r="G1180"/>
          <cell r="H1180"/>
          <cell r="J1180"/>
          <cell r="L1180"/>
          <cell r="M1180"/>
        </row>
        <row r="1181">
          <cell r="B1181"/>
          <cell r="C1181"/>
          <cell r="E1181"/>
          <cell r="F1181"/>
          <cell r="G1181"/>
          <cell r="H1181"/>
          <cell r="J1181"/>
          <cell r="L1181"/>
          <cell r="M1181"/>
        </row>
        <row r="1182">
          <cell r="B1182"/>
          <cell r="C1182"/>
          <cell r="E1182"/>
          <cell r="F1182"/>
          <cell r="G1182"/>
          <cell r="H1182"/>
          <cell r="J1182"/>
          <cell r="L1182"/>
          <cell r="M1182"/>
        </row>
        <row r="1183">
          <cell r="B1183"/>
          <cell r="C1183"/>
          <cell r="E1183"/>
          <cell r="F1183"/>
          <cell r="G1183"/>
          <cell r="H1183"/>
          <cell r="J1183"/>
          <cell r="L1183"/>
          <cell r="M1183"/>
        </row>
        <row r="1184">
          <cell r="B1184"/>
          <cell r="C1184"/>
          <cell r="E1184"/>
          <cell r="F1184"/>
          <cell r="G1184"/>
          <cell r="H1184"/>
          <cell r="J1184"/>
          <cell r="L1184"/>
          <cell r="M1184"/>
        </row>
        <row r="1185">
          <cell r="B1185"/>
          <cell r="C1185"/>
          <cell r="E1185"/>
          <cell r="F1185"/>
          <cell r="G1185"/>
          <cell r="H1185"/>
          <cell r="J1185"/>
          <cell r="L1185"/>
          <cell r="M1185"/>
        </row>
        <row r="1186">
          <cell r="B1186"/>
          <cell r="C1186"/>
          <cell r="E1186"/>
          <cell r="F1186"/>
          <cell r="G1186"/>
          <cell r="H1186"/>
          <cell r="J1186"/>
          <cell r="L1186"/>
          <cell r="M1186"/>
        </row>
        <row r="1187">
          <cell r="B1187"/>
          <cell r="C1187"/>
          <cell r="E1187"/>
          <cell r="F1187"/>
          <cell r="G1187"/>
          <cell r="H1187"/>
          <cell r="J1187"/>
          <cell r="L1187"/>
          <cell r="M1187"/>
        </row>
        <row r="1188">
          <cell r="B1188"/>
          <cell r="C1188"/>
          <cell r="E1188"/>
          <cell r="F1188"/>
          <cell r="G1188"/>
          <cell r="H1188"/>
          <cell r="J1188"/>
          <cell r="L1188"/>
          <cell r="M1188"/>
        </row>
        <row r="1189">
          <cell r="B1189"/>
          <cell r="C1189"/>
          <cell r="E1189"/>
          <cell r="F1189"/>
          <cell r="G1189"/>
          <cell r="H1189"/>
          <cell r="J1189"/>
          <cell r="L1189"/>
          <cell r="M1189"/>
        </row>
        <row r="1190">
          <cell r="B1190"/>
          <cell r="C1190"/>
          <cell r="E1190"/>
          <cell r="F1190"/>
          <cell r="G1190"/>
          <cell r="H1190"/>
          <cell r="J1190"/>
          <cell r="L1190"/>
          <cell r="M1190"/>
        </row>
        <row r="1191">
          <cell r="B1191"/>
          <cell r="C1191"/>
          <cell r="E1191"/>
          <cell r="F1191"/>
          <cell r="G1191"/>
          <cell r="H1191"/>
          <cell r="J1191"/>
          <cell r="L1191"/>
          <cell r="M1191"/>
        </row>
        <row r="1192">
          <cell r="B1192"/>
          <cell r="C1192"/>
          <cell r="E1192"/>
          <cell r="F1192"/>
          <cell r="G1192"/>
          <cell r="H1192"/>
          <cell r="J1192"/>
          <cell r="L1192"/>
          <cell r="M1192"/>
        </row>
        <row r="1193">
          <cell r="B1193"/>
          <cell r="C1193"/>
          <cell r="E1193"/>
          <cell r="F1193"/>
          <cell r="G1193"/>
          <cell r="H1193"/>
          <cell r="J1193"/>
          <cell r="L1193"/>
          <cell r="M1193"/>
        </row>
        <row r="1194">
          <cell r="B1194"/>
          <cell r="C1194"/>
          <cell r="E1194"/>
          <cell r="F1194"/>
          <cell r="G1194"/>
          <cell r="H1194"/>
          <cell r="J1194"/>
          <cell r="L1194"/>
          <cell r="M1194"/>
        </row>
        <row r="1195">
          <cell r="B1195"/>
          <cell r="C1195"/>
          <cell r="E1195"/>
          <cell r="F1195"/>
          <cell r="G1195"/>
          <cell r="H1195"/>
          <cell r="J1195"/>
          <cell r="L1195"/>
          <cell r="M1195"/>
        </row>
        <row r="1196">
          <cell r="B1196"/>
          <cell r="C1196"/>
          <cell r="E1196"/>
          <cell r="F1196"/>
          <cell r="G1196"/>
          <cell r="H1196"/>
          <cell r="J1196"/>
          <cell r="L1196"/>
          <cell r="M1196"/>
        </row>
        <row r="1197">
          <cell r="B1197"/>
          <cell r="C1197"/>
          <cell r="E1197"/>
          <cell r="F1197"/>
          <cell r="G1197"/>
          <cell r="H1197"/>
          <cell r="J1197"/>
          <cell r="L1197"/>
          <cell r="M1197"/>
        </row>
        <row r="1198">
          <cell r="B1198"/>
          <cell r="C1198"/>
          <cell r="E1198"/>
          <cell r="F1198"/>
          <cell r="G1198"/>
          <cell r="H1198"/>
          <cell r="J1198"/>
          <cell r="L1198"/>
          <cell r="M1198"/>
        </row>
        <row r="1199">
          <cell r="B1199"/>
          <cell r="C1199"/>
          <cell r="E1199"/>
          <cell r="F1199"/>
          <cell r="G1199"/>
          <cell r="H1199"/>
          <cell r="J1199"/>
          <cell r="L1199"/>
          <cell r="M1199"/>
        </row>
        <row r="1200">
          <cell r="B1200"/>
          <cell r="C1200"/>
          <cell r="E1200"/>
          <cell r="F1200"/>
          <cell r="G1200"/>
          <cell r="H1200"/>
          <cell r="J1200"/>
          <cell r="L1200"/>
          <cell r="M1200"/>
        </row>
        <row r="1201">
          <cell r="B1201"/>
          <cell r="C1201"/>
          <cell r="E1201"/>
          <cell r="F1201"/>
          <cell r="G1201"/>
          <cell r="H1201"/>
          <cell r="J1201"/>
          <cell r="L1201"/>
          <cell r="M1201"/>
        </row>
        <row r="1202">
          <cell r="B1202"/>
          <cell r="C1202"/>
          <cell r="E1202"/>
          <cell r="F1202"/>
          <cell r="G1202"/>
          <cell r="H1202"/>
          <cell r="J1202"/>
          <cell r="L1202"/>
          <cell r="M1202"/>
        </row>
        <row r="1203">
          <cell r="B1203"/>
          <cell r="C1203"/>
          <cell r="E1203"/>
          <cell r="F1203"/>
          <cell r="G1203"/>
          <cell r="H1203"/>
          <cell r="J1203"/>
          <cell r="L1203"/>
          <cell r="M1203"/>
        </row>
        <row r="1204">
          <cell r="B1204"/>
          <cell r="C1204"/>
          <cell r="E1204"/>
          <cell r="F1204"/>
          <cell r="G1204"/>
          <cell r="H1204"/>
          <cell r="J1204"/>
          <cell r="L1204"/>
          <cell r="M1204"/>
        </row>
        <row r="1205">
          <cell r="B1205"/>
          <cell r="C1205"/>
          <cell r="E1205"/>
          <cell r="F1205"/>
          <cell r="G1205"/>
          <cell r="H1205"/>
          <cell r="J1205"/>
          <cell r="L1205"/>
          <cell r="M1205"/>
        </row>
        <row r="1206">
          <cell r="B1206"/>
          <cell r="C1206"/>
          <cell r="E1206"/>
          <cell r="F1206"/>
          <cell r="G1206"/>
          <cell r="H1206"/>
          <cell r="J1206"/>
          <cell r="L1206"/>
          <cell r="M1206"/>
        </row>
        <row r="1207">
          <cell r="B1207"/>
          <cell r="C1207"/>
          <cell r="E1207"/>
          <cell r="F1207"/>
          <cell r="G1207"/>
          <cell r="H1207"/>
          <cell r="J1207"/>
          <cell r="L1207"/>
          <cell r="M1207"/>
        </row>
        <row r="1208">
          <cell r="B1208"/>
          <cell r="C1208"/>
          <cell r="E1208"/>
          <cell r="F1208"/>
          <cell r="G1208"/>
          <cell r="H1208"/>
          <cell r="J1208"/>
          <cell r="L1208"/>
          <cell r="M1208"/>
        </row>
        <row r="1209">
          <cell r="B1209"/>
          <cell r="C1209"/>
          <cell r="E1209"/>
          <cell r="F1209"/>
          <cell r="G1209"/>
          <cell r="H1209"/>
          <cell r="J1209"/>
          <cell r="L1209"/>
          <cell r="M1209"/>
        </row>
        <row r="1210">
          <cell r="B1210"/>
          <cell r="C1210"/>
          <cell r="E1210"/>
          <cell r="F1210"/>
          <cell r="G1210"/>
          <cell r="H1210"/>
          <cell r="J1210"/>
          <cell r="L1210"/>
          <cell r="M1210"/>
        </row>
        <row r="1211">
          <cell r="B1211"/>
          <cell r="C1211"/>
          <cell r="E1211"/>
          <cell r="F1211"/>
          <cell r="G1211"/>
          <cell r="H1211"/>
          <cell r="J1211"/>
          <cell r="L1211"/>
          <cell r="M1211"/>
        </row>
        <row r="1212">
          <cell r="B1212"/>
          <cell r="C1212"/>
          <cell r="E1212"/>
          <cell r="F1212"/>
          <cell r="G1212"/>
          <cell r="H1212"/>
          <cell r="J1212"/>
          <cell r="L1212"/>
          <cell r="M1212"/>
        </row>
        <row r="1213">
          <cell r="B1213"/>
          <cell r="C1213"/>
          <cell r="E1213"/>
          <cell r="F1213"/>
          <cell r="G1213"/>
          <cell r="H1213"/>
          <cell r="J1213"/>
          <cell r="L1213"/>
          <cell r="M1213"/>
        </row>
        <row r="1214">
          <cell r="B1214"/>
          <cell r="C1214"/>
          <cell r="E1214"/>
          <cell r="F1214"/>
          <cell r="G1214"/>
          <cell r="H1214"/>
          <cell r="J1214"/>
          <cell r="L1214"/>
          <cell r="M1214"/>
        </row>
        <row r="1215">
          <cell r="B1215"/>
          <cell r="C1215"/>
          <cell r="E1215"/>
          <cell r="F1215"/>
          <cell r="G1215"/>
          <cell r="H1215"/>
          <cell r="J1215"/>
          <cell r="L1215"/>
          <cell r="M1215"/>
        </row>
        <row r="1216">
          <cell r="B1216"/>
          <cell r="C1216"/>
          <cell r="E1216"/>
          <cell r="F1216"/>
          <cell r="G1216"/>
          <cell r="H1216"/>
          <cell r="J1216"/>
          <cell r="L1216"/>
          <cell r="M1216"/>
        </row>
        <row r="1217">
          <cell r="B1217"/>
          <cell r="C1217"/>
          <cell r="E1217"/>
          <cell r="F1217"/>
          <cell r="G1217"/>
          <cell r="H1217"/>
          <cell r="J1217"/>
          <cell r="L1217"/>
          <cell r="M1217"/>
        </row>
        <row r="1218">
          <cell r="B1218"/>
          <cell r="C1218"/>
          <cell r="E1218"/>
          <cell r="F1218"/>
          <cell r="G1218"/>
          <cell r="H1218"/>
          <cell r="J1218"/>
          <cell r="L1218"/>
          <cell r="M1218"/>
        </row>
        <row r="1219">
          <cell r="B1219"/>
          <cell r="C1219"/>
          <cell r="E1219"/>
          <cell r="F1219"/>
          <cell r="G1219"/>
          <cell r="H1219"/>
          <cell r="J1219"/>
          <cell r="L1219"/>
          <cell r="M1219"/>
        </row>
        <row r="1220">
          <cell r="B1220"/>
          <cell r="C1220"/>
          <cell r="E1220"/>
          <cell r="F1220"/>
          <cell r="G1220"/>
          <cell r="H1220"/>
          <cell r="J1220"/>
          <cell r="L1220"/>
          <cell r="M1220"/>
        </row>
        <row r="1221">
          <cell r="B1221"/>
          <cell r="C1221"/>
          <cell r="E1221"/>
          <cell r="F1221"/>
          <cell r="G1221"/>
          <cell r="H1221"/>
          <cell r="J1221"/>
          <cell r="L1221"/>
          <cell r="M1221"/>
        </row>
        <row r="1222">
          <cell r="B1222"/>
          <cell r="C1222"/>
          <cell r="E1222"/>
          <cell r="F1222"/>
          <cell r="G1222"/>
          <cell r="H1222"/>
          <cell r="J1222"/>
          <cell r="L1222"/>
          <cell r="M1222"/>
        </row>
        <row r="1223">
          <cell r="B1223"/>
          <cell r="C1223"/>
          <cell r="E1223"/>
          <cell r="F1223"/>
          <cell r="G1223"/>
          <cell r="H1223"/>
          <cell r="J1223"/>
          <cell r="L1223"/>
          <cell r="M1223"/>
        </row>
        <row r="1224">
          <cell r="B1224"/>
          <cell r="C1224"/>
          <cell r="E1224"/>
          <cell r="F1224"/>
          <cell r="G1224"/>
          <cell r="H1224"/>
          <cell r="J1224"/>
          <cell r="L1224"/>
          <cell r="M1224"/>
        </row>
        <row r="1225">
          <cell r="B1225"/>
          <cell r="C1225"/>
          <cell r="E1225"/>
          <cell r="F1225"/>
          <cell r="G1225"/>
          <cell r="H1225"/>
          <cell r="J1225"/>
          <cell r="L1225"/>
          <cell r="M1225"/>
        </row>
        <row r="1226">
          <cell r="B1226"/>
          <cell r="C1226"/>
          <cell r="E1226"/>
          <cell r="F1226"/>
          <cell r="G1226"/>
          <cell r="H1226"/>
          <cell r="J1226"/>
          <cell r="L1226"/>
          <cell r="M1226"/>
        </row>
        <row r="1227">
          <cell r="B1227"/>
          <cell r="C1227"/>
          <cell r="E1227"/>
          <cell r="F1227"/>
          <cell r="G1227"/>
          <cell r="H1227"/>
          <cell r="J1227"/>
          <cell r="L1227"/>
          <cell r="M1227"/>
        </row>
        <row r="1228">
          <cell r="B1228"/>
          <cell r="C1228"/>
          <cell r="E1228"/>
          <cell r="F1228"/>
          <cell r="G1228"/>
          <cell r="H1228"/>
          <cell r="J1228"/>
          <cell r="L1228"/>
          <cell r="M1228"/>
        </row>
        <row r="1229">
          <cell r="B1229"/>
          <cell r="C1229"/>
          <cell r="E1229"/>
          <cell r="F1229"/>
          <cell r="G1229"/>
          <cell r="H1229"/>
          <cell r="J1229"/>
          <cell r="L1229"/>
          <cell r="M1229"/>
        </row>
        <row r="1230">
          <cell r="B1230"/>
          <cell r="C1230"/>
          <cell r="E1230"/>
          <cell r="F1230"/>
          <cell r="G1230"/>
          <cell r="H1230"/>
          <cell r="J1230"/>
          <cell r="L1230"/>
          <cell r="M1230"/>
        </row>
        <row r="1231">
          <cell r="B1231"/>
          <cell r="C1231"/>
          <cell r="E1231"/>
          <cell r="F1231"/>
          <cell r="G1231"/>
          <cell r="H1231"/>
          <cell r="J1231"/>
          <cell r="L1231"/>
          <cell r="M1231"/>
        </row>
        <row r="1232">
          <cell r="B1232"/>
          <cell r="C1232"/>
          <cell r="E1232"/>
          <cell r="F1232"/>
          <cell r="G1232"/>
          <cell r="H1232"/>
          <cell r="J1232"/>
          <cell r="L1232"/>
          <cell r="M1232"/>
        </row>
        <row r="1233">
          <cell r="B1233"/>
          <cell r="C1233"/>
          <cell r="E1233"/>
          <cell r="F1233"/>
          <cell r="G1233"/>
          <cell r="H1233"/>
          <cell r="J1233"/>
          <cell r="L1233"/>
          <cell r="M1233"/>
        </row>
        <row r="1234">
          <cell r="B1234"/>
          <cell r="C1234"/>
          <cell r="E1234"/>
          <cell r="F1234"/>
          <cell r="G1234"/>
          <cell r="H1234"/>
          <cell r="J1234"/>
          <cell r="L1234"/>
          <cell r="M1234"/>
        </row>
        <row r="1235">
          <cell r="B1235"/>
          <cell r="C1235"/>
          <cell r="E1235"/>
          <cell r="F1235"/>
          <cell r="G1235"/>
          <cell r="H1235"/>
          <cell r="J1235"/>
          <cell r="L1235"/>
          <cell r="M1235"/>
        </row>
        <row r="1236">
          <cell r="B1236"/>
          <cell r="C1236"/>
          <cell r="E1236"/>
          <cell r="F1236"/>
          <cell r="G1236"/>
          <cell r="H1236"/>
          <cell r="J1236"/>
          <cell r="L1236"/>
          <cell r="M1236"/>
        </row>
        <row r="1237">
          <cell r="B1237"/>
          <cell r="C1237"/>
          <cell r="E1237"/>
          <cell r="F1237"/>
          <cell r="G1237"/>
          <cell r="H1237"/>
          <cell r="J1237"/>
          <cell r="L1237"/>
          <cell r="M1237"/>
        </row>
        <row r="1238">
          <cell r="B1238"/>
          <cell r="C1238"/>
          <cell r="E1238"/>
          <cell r="F1238"/>
          <cell r="G1238"/>
          <cell r="H1238"/>
          <cell r="J1238"/>
          <cell r="L1238"/>
          <cell r="M1238"/>
        </row>
        <row r="1239">
          <cell r="B1239"/>
          <cell r="C1239"/>
          <cell r="E1239"/>
          <cell r="F1239"/>
          <cell r="G1239"/>
          <cell r="H1239"/>
          <cell r="J1239"/>
          <cell r="L1239"/>
          <cell r="M1239"/>
        </row>
        <row r="1240">
          <cell r="B1240"/>
          <cell r="C1240"/>
          <cell r="E1240"/>
          <cell r="F1240"/>
          <cell r="G1240"/>
          <cell r="H1240"/>
          <cell r="J1240"/>
          <cell r="L1240"/>
          <cell r="M1240"/>
        </row>
        <row r="1241">
          <cell r="B1241"/>
          <cell r="C1241"/>
          <cell r="E1241"/>
          <cell r="F1241"/>
          <cell r="G1241"/>
          <cell r="H1241"/>
          <cell r="J1241"/>
          <cell r="L1241"/>
          <cell r="M1241"/>
        </row>
        <row r="1242">
          <cell r="B1242"/>
          <cell r="C1242"/>
          <cell r="E1242"/>
          <cell r="F1242"/>
          <cell r="G1242"/>
          <cell r="H1242"/>
          <cell r="J1242"/>
          <cell r="L1242"/>
          <cell r="M1242"/>
        </row>
        <row r="1243">
          <cell r="B1243"/>
          <cell r="C1243"/>
          <cell r="E1243"/>
          <cell r="F1243"/>
          <cell r="G1243"/>
          <cell r="H1243"/>
          <cell r="J1243"/>
          <cell r="L1243"/>
          <cell r="M1243"/>
        </row>
        <row r="1244">
          <cell r="B1244"/>
          <cell r="C1244"/>
          <cell r="E1244"/>
          <cell r="F1244"/>
          <cell r="G1244"/>
          <cell r="H1244"/>
          <cell r="J1244"/>
          <cell r="L1244"/>
          <cell r="M1244"/>
        </row>
        <row r="1245">
          <cell r="B1245"/>
          <cell r="C1245"/>
          <cell r="E1245"/>
          <cell r="F1245"/>
          <cell r="G1245"/>
          <cell r="H1245"/>
          <cell r="J1245"/>
          <cell r="L1245"/>
          <cell r="M1245"/>
        </row>
        <row r="1246">
          <cell r="B1246"/>
          <cell r="C1246"/>
          <cell r="E1246"/>
          <cell r="F1246"/>
          <cell r="G1246"/>
          <cell r="H1246"/>
          <cell r="J1246"/>
          <cell r="L1246"/>
          <cell r="M1246"/>
        </row>
        <row r="1247">
          <cell r="B1247"/>
          <cell r="C1247"/>
          <cell r="E1247"/>
          <cell r="F1247"/>
          <cell r="G1247"/>
          <cell r="H1247"/>
          <cell r="J1247"/>
          <cell r="L1247"/>
          <cell r="M1247"/>
        </row>
        <row r="1248">
          <cell r="B1248"/>
          <cell r="C1248"/>
          <cell r="E1248"/>
          <cell r="F1248"/>
          <cell r="G1248"/>
          <cell r="H1248"/>
          <cell r="J1248"/>
          <cell r="L1248"/>
          <cell r="M1248"/>
        </row>
        <row r="1249">
          <cell r="B1249"/>
          <cell r="C1249"/>
          <cell r="E1249"/>
          <cell r="F1249"/>
          <cell r="G1249"/>
          <cell r="H1249"/>
          <cell r="J1249"/>
          <cell r="L1249"/>
          <cell r="M1249"/>
        </row>
        <row r="1250">
          <cell r="B1250"/>
          <cell r="C1250"/>
          <cell r="E1250"/>
          <cell r="F1250"/>
          <cell r="G1250"/>
          <cell r="H1250"/>
          <cell r="J1250"/>
          <cell r="L1250"/>
          <cell r="M1250"/>
        </row>
        <row r="1251">
          <cell r="B1251"/>
          <cell r="C1251"/>
          <cell r="E1251"/>
          <cell r="F1251"/>
          <cell r="G1251"/>
          <cell r="H1251"/>
          <cell r="J1251"/>
          <cell r="L1251"/>
          <cell r="M1251"/>
        </row>
        <row r="1252">
          <cell r="B1252"/>
          <cell r="C1252"/>
          <cell r="E1252"/>
          <cell r="F1252"/>
          <cell r="G1252"/>
          <cell r="H1252"/>
          <cell r="J1252"/>
          <cell r="L1252"/>
          <cell r="M1252"/>
        </row>
        <row r="1253">
          <cell r="B1253"/>
          <cell r="C1253"/>
          <cell r="E1253"/>
          <cell r="F1253"/>
          <cell r="G1253"/>
          <cell r="H1253"/>
          <cell r="J1253"/>
          <cell r="L1253"/>
          <cell r="M1253"/>
        </row>
        <row r="1254">
          <cell r="B1254"/>
          <cell r="C1254"/>
          <cell r="E1254"/>
          <cell r="F1254"/>
          <cell r="G1254"/>
          <cell r="H1254"/>
          <cell r="J1254"/>
          <cell r="L1254"/>
          <cell r="M1254"/>
        </row>
        <row r="1255">
          <cell r="B1255"/>
          <cell r="C1255"/>
          <cell r="E1255"/>
          <cell r="F1255"/>
          <cell r="G1255"/>
          <cell r="H1255"/>
          <cell r="J1255"/>
          <cell r="L1255"/>
          <cell r="M1255"/>
        </row>
        <row r="1256">
          <cell r="B1256"/>
          <cell r="C1256"/>
          <cell r="E1256"/>
          <cell r="F1256"/>
          <cell r="G1256"/>
          <cell r="H1256"/>
          <cell r="J1256"/>
          <cell r="L1256"/>
          <cell r="M1256"/>
        </row>
        <row r="1257">
          <cell r="B1257"/>
          <cell r="C1257"/>
          <cell r="E1257"/>
          <cell r="F1257"/>
          <cell r="G1257"/>
          <cell r="H1257"/>
          <cell r="J1257"/>
          <cell r="L1257"/>
          <cell r="M1257"/>
        </row>
        <row r="1258">
          <cell r="B1258"/>
          <cell r="C1258"/>
          <cell r="E1258"/>
          <cell r="F1258"/>
          <cell r="G1258"/>
          <cell r="H1258"/>
          <cell r="J1258"/>
          <cell r="L1258"/>
          <cell r="M1258"/>
        </row>
        <row r="1259">
          <cell r="B1259"/>
          <cell r="C1259"/>
          <cell r="E1259"/>
          <cell r="F1259"/>
          <cell r="G1259"/>
          <cell r="H1259"/>
          <cell r="J1259"/>
          <cell r="L1259"/>
          <cell r="M1259"/>
        </row>
        <row r="1260">
          <cell r="B1260"/>
          <cell r="C1260"/>
          <cell r="E1260"/>
          <cell r="F1260"/>
          <cell r="G1260"/>
          <cell r="H1260"/>
          <cell r="J1260"/>
          <cell r="L1260"/>
          <cell r="M1260"/>
        </row>
        <row r="1261">
          <cell r="B1261"/>
          <cell r="C1261"/>
          <cell r="E1261"/>
          <cell r="F1261"/>
          <cell r="G1261"/>
          <cell r="H1261"/>
          <cell r="J1261"/>
          <cell r="L1261"/>
          <cell r="M1261"/>
        </row>
        <row r="1262">
          <cell r="B1262"/>
          <cell r="C1262"/>
          <cell r="E1262"/>
          <cell r="F1262"/>
          <cell r="G1262"/>
          <cell r="H1262"/>
          <cell r="J1262"/>
          <cell r="L1262"/>
          <cell r="M1262"/>
        </row>
        <row r="1263">
          <cell r="B1263"/>
          <cell r="C1263"/>
          <cell r="E1263"/>
          <cell r="F1263"/>
          <cell r="G1263"/>
          <cell r="H1263"/>
          <cell r="J1263"/>
          <cell r="L1263"/>
          <cell r="M1263"/>
        </row>
        <row r="1264">
          <cell r="B1264"/>
          <cell r="C1264"/>
          <cell r="E1264"/>
          <cell r="F1264"/>
          <cell r="G1264"/>
          <cell r="H1264"/>
          <cell r="J1264"/>
          <cell r="L1264"/>
          <cell r="M1264"/>
        </row>
        <row r="1265">
          <cell r="B1265"/>
          <cell r="C1265"/>
          <cell r="E1265"/>
          <cell r="F1265"/>
          <cell r="G1265"/>
          <cell r="H1265"/>
          <cell r="J1265"/>
          <cell r="L1265"/>
          <cell r="M1265"/>
        </row>
        <row r="1266">
          <cell r="B1266"/>
          <cell r="C1266"/>
          <cell r="E1266"/>
          <cell r="F1266"/>
          <cell r="G1266"/>
          <cell r="H1266"/>
          <cell r="J1266"/>
          <cell r="L1266"/>
          <cell r="M1266"/>
        </row>
        <row r="1267">
          <cell r="B1267"/>
          <cell r="C1267"/>
          <cell r="E1267"/>
          <cell r="F1267"/>
          <cell r="G1267"/>
          <cell r="H1267"/>
          <cell r="J1267"/>
          <cell r="L1267"/>
          <cell r="M1267"/>
        </row>
        <row r="1268">
          <cell r="B1268"/>
          <cell r="C1268"/>
          <cell r="E1268"/>
          <cell r="F1268"/>
          <cell r="G1268"/>
          <cell r="H1268"/>
          <cell r="J1268"/>
          <cell r="L1268"/>
          <cell r="M1268"/>
        </row>
        <row r="1269">
          <cell r="B1269"/>
          <cell r="C1269"/>
          <cell r="E1269"/>
          <cell r="F1269"/>
          <cell r="G1269"/>
          <cell r="H1269"/>
          <cell r="J1269"/>
          <cell r="L1269"/>
          <cell r="M1269"/>
        </row>
        <row r="1270">
          <cell r="B1270"/>
          <cell r="C1270"/>
          <cell r="E1270"/>
          <cell r="F1270"/>
          <cell r="G1270"/>
          <cell r="H1270"/>
          <cell r="J1270"/>
          <cell r="L1270"/>
          <cell r="M1270"/>
        </row>
        <row r="1271">
          <cell r="B1271"/>
          <cell r="C1271"/>
          <cell r="E1271"/>
          <cell r="F1271"/>
          <cell r="G1271"/>
          <cell r="H1271"/>
          <cell r="J1271"/>
          <cell r="L1271"/>
          <cell r="M1271"/>
        </row>
        <row r="1272">
          <cell r="B1272"/>
          <cell r="C1272"/>
          <cell r="E1272"/>
          <cell r="F1272"/>
          <cell r="G1272"/>
          <cell r="H1272"/>
          <cell r="J1272"/>
          <cell r="L1272"/>
          <cell r="M1272"/>
        </row>
        <row r="1273">
          <cell r="B1273"/>
          <cell r="C1273"/>
          <cell r="E1273"/>
          <cell r="F1273"/>
          <cell r="G1273"/>
          <cell r="H1273"/>
          <cell r="J1273"/>
          <cell r="L1273"/>
          <cell r="M1273"/>
        </row>
        <row r="1274">
          <cell r="B1274"/>
          <cell r="C1274"/>
          <cell r="E1274"/>
          <cell r="F1274"/>
          <cell r="G1274"/>
          <cell r="H1274"/>
          <cell r="J1274"/>
          <cell r="L1274"/>
          <cell r="M1274"/>
        </row>
        <row r="1275">
          <cell r="B1275"/>
          <cell r="C1275"/>
          <cell r="E1275"/>
          <cell r="F1275"/>
          <cell r="G1275"/>
          <cell r="H1275"/>
          <cell r="J1275"/>
          <cell r="L1275"/>
          <cell r="M1275"/>
        </row>
        <row r="1276">
          <cell r="B1276"/>
          <cell r="C1276"/>
          <cell r="E1276"/>
          <cell r="F1276"/>
          <cell r="G1276"/>
          <cell r="H1276"/>
          <cell r="J1276"/>
          <cell r="L1276"/>
          <cell r="M1276"/>
        </row>
        <row r="1277">
          <cell r="B1277"/>
          <cell r="C1277"/>
          <cell r="E1277"/>
          <cell r="F1277"/>
          <cell r="G1277"/>
          <cell r="H1277"/>
          <cell r="J1277"/>
          <cell r="L1277"/>
          <cell r="M1277"/>
        </row>
        <row r="1278">
          <cell r="B1278"/>
          <cell r="C1278"/>
          <cell r="E1278"/>
          <cell r="F1278"/>
          <cell r="G1278"/>
          <cell r="H1278"/>
          <cell r="J1278"/>
          <cell r="L1278"/>
          <cell r="M1278"/>
        </row>
        <row r="1279">
          <cell r="B1279"/>
          <cell r="C1279"/>
          <cell r="E1279"/>
          <cell r="F1279"/>
          <cell r="G1279"/>
          <cell r="H1279"/>
          <cell r="J1279"/>
          <cell r="L1279"/>
          <cell r="M1279"/>
        </row>
        <row r="1280">
          <cell r="B1280"/>
          <cell r="C1280"/>
          <cell r="E1280"/>
          <cell r="F1280"/>
          <cell r="G1280"/>
          <cell r="H1280"/>
          <cell r="J1280"/>
          <cell r="L1280"/>
          <cell r="M1280"/>
        </row>
        <row r="1281">
          <cell r="B1281"/>
          <cell r="C1281"/>
          <cell r="E1281"/>
          <cell r="F1281"/>
          <cell r="G1281"/>
          <cell r="H1281"/>
          <cell r="J1281"/>
          <cell r="L1281"/>
          <cell r="M1281"/>
        </row>
        <row r="1282">
          <cell r="B1282"/>
          <cell r="C1282"/>
          <cell r="E1282"/>
          <cell r="F1282"/>
          <cell r="G1282"/>
          <cell r="H1282"/>
          <cell r="J1282"/>
          <cell r="L1282"/>
          <cell r="M1282"/>
        </row>
        <row r="1283">
          <cell r="B1283"/>
          <cell r="C1283"/>
          <cell r="E1283"/>
          <cell r="F1283"/>
          <cell r="G1283"/>
          <cell r="H1283"/>
          <cell r="J1283"/>
          <cell r="L1283"/>
          <cell r="M1283"/>
        </row>
        <row r="1284">
          <cell r="B1284"/>
          <cell r="C1284"/>
          <cell r="E1284"/>
          <cell r="F1284"/>
          <cell r="G1284"/>
          <cell r="H1284"/>
          <cell r="J1284"/>
          <cell r="L1284"/>
          <cell r="M1284"/>
        </row>
        <row r="1285">
          <cell r="B1285"/>
          <cell r="C1285"/>
          <cell r="E1285"/>
          <cell r="F1285"/>
          <cell r="G1285"/>
          <cell r="H1285"/>
          <cell r="J1285"/>
          <cell r="L1285"/>
          <cell r="M1285"/>
        </row>
        <row r="1286">
          <cell r="B1286"/>
          <cell r="C1286"/>
          <cell r="E1286"/>
          <cell r="F1286"/>
          <cell r="G1286"/>
          <cell r="H1286"/>
          <cell r="J1286"/>
          <cell r="L1286"/>
          <cell r="M1286"/>
        </row>
        <row r="1287">
          <cell r="B1287"/>
          <cell r="C1287"/>
          <cell r="E1287"/>
          <cell r="F1287"/>
          <cell r="G1287"/>
          <cell r="H1287"/>
          <cell r="J1287"/>
          <cell r="L1287"/>
          <cell r="M1287"/>
        </row>
        <row r="1288">
          <cell r="B1288"/>
          <cell r="C1288"/>
          <cell r="E1288"/>
          <cell r="F1288"/>
          <cell r="G1288"/>
          <cell r="H1288"/>
          <cell r="J1288"/>
          <cell r="L1288"/>
          <cell r="M1288"/>
        </row>
        <row r="1289">
          <cell r="B1289"/>
          <cell r="C1289"/>
          <cell r="E1289"/>
          <cell r="F1289"/>
          <cell r="G1289"/>
          <cell r="H1289"/>
          <cell r="J1289"/>
          <cell r="L1289"/>
          <cell r="M1289"/>
        </row>
        <row r="1290">
          <cell r="B1290"/>
          <cell r="C1290"/>
          <cell r="E1290"/>
          <cell r="F1290"/>
          <cell r="G1290"/>
          <cell r="H1290"/>
          <cell r="J1290"/>
          <cell r="L1290"/>
          <cell r="M1290"/>
        </row>
        <row r="1291">
          <cell r="B1291"/>
          <cell r="C1291"/>
          <cell r="E1291"/>
          <cell r="F1291"/>
          <cell r="G1291"/>
          <cell r="H1291"/>
          <cell r="J1291"/>
          <cell r="L1291"/>
          <cell r="M1291"/>
        </row>
        <row r="1292">
          <cell r="B1292"/>
          <cell r="C1292"/>
          <cell r="E1292"/>
          <cell r="F1292"/>
          <cell r="G1292"/>
          <cell r="H1292"/>
          <cell r="J1292"/>
          <cell r="L1292"/>
          <cell r="M1292"/>
        </row>
        <row r="1293">
          <cell r="B1293"/>
          <cell r="C1293"/>
          <cell r="E1293"/>
          <cell r="F1293"/>
          <cell r="G1293"/>
          <cell r="H1293"/>
          <cell r="J1293"/>
          <cell r="L1293"/>
          <cell r="M1293"/>
        </row>
        <row r="1294">
          <cell r="B1294"/>
          <cell r="C1294"/>
          <cell r="E1294"/>
          <cell r="F1294"/>
          <cell r="G1294"/>
          <cell r="H1294"/>
          <cell r="J1294"/>
          <cell r="L1294"/>
          <cell r="M1294"/>
        </row>
        <row r="1295">
          <cell r="B1295"/>
          <cell r="C1295"/>
          <cell r="E1295"/>
          <cell r="F1295"/>
          <cell r="G1295"/>
          <cell r="H1295"/>
          <cell r="J1295"/>
          <cell r="L1295"/>
          <cell r="M1295"/>
        </row>
        <row r="1296">
          <cell r="B1296"/>
          <cell r="C1296"/>
          <cell r="E1296"/>
          <cell r="F1296"/>
          <cell r="G1296"/>
          <cell r="H1296"/>
          <cell r="J1296"/>
          <cell r="L1296"/>
          <cell r="M1296"/>
        </row>
        <row r="1297">
          <cell r="B1297"/>
          <cell r="C1297"/>
          <cell r="E1297"/>
          <cell r="F1297"/>
          <cell r="G1297"/>
          <cell r="H1297"/>
          <cell r="J1297"/>
          <cell r="L1297"/>
          <cell r="M1297"/>
        </row>
        <row r="1298">
          <cell r="B1298"/>
          <cell r="C1298"/>
          <cell r="E1298"/>
          <cell r="F1298"/>
          <cell r="G1298"/>
          <cell r="H1298"/>
          <cell r="J1298"/>
          <cell r="L1298"/>
          <cell r="M1298"/>
        </row>
        <row r="1299">
          <cell r="B1299"/>
          <cell r="C1299"/>
          <cell r="E1299"/>
          <cell r="F1299"/>
          <cell r="G1299"/>
          <cell r="H1299"/>
          <cell r="J1299"/>
          <cell r="L1299"/>
          <cell r="M1299"/>
        </row>
        <row r="1300">
          <cell r="B1300"/>
          <cell r="C1300"/>
          <cell r="E1300"/>
          <cell r="F1300"/>
          <cell r="G1300"/>
          <cell r="H1300"/>
          <cell r="J1300"/>
          <cell r="L1300"/>
          <cell r="M1300"/>
        </row>
        <row r="1301">
          <cell r="B1301"/>
          <cell r="C1301"/>
          <cell r="E1301"/>
          <cell r="F1301"/>
          <cell r="G1301"/>
          <cell r="H1301"/>
          <cell r="J1301"/>
          <cell r="L1301"/>
          <cell r="M1301"/>
        </row>
        <row r="1302">
          <cell r="B1302"/>
          <cell r="C1302"/>
          <cell r="E1302"/>
          <cell r="F1302"/>
          <cell r="G1302"/>
          <cell r="H1302"/>
          <cell r="J1302"/>
          <cell r="L1302"/>
          <cell r="M1302"/>
        </row>
        <row r="1303">
          <cell r="B1303"/>
          <cell r="C1303"/>
          <cell r="E1303"/>
          <cell r="F1303"/>
          <cell r="G1303"/>
          <cell r="H1303"/>
          <cell r="J1303"/>
          <cell r="L1303"/>
          <cell r="M1303"/>
        </row>
        <row r="1304">
          <cell r="B1304"/>
          <cell r="C1304"/>
          <cell r="E1304"/>
          <cell r="F1304"/>
          <cell r="G1304"/>
          <cell r="H1304"/>
          <cell r="J1304"/>
          <cell r="L1304"/>
          <cell r="M1304"/>
        </row>
        <row r="1305">
          <cell r="B1305"/>
          <cell r="C1305"/>
          <cell r="E1305"/>
          <cell r="F1305"/>
          <cell r="G1305"/>
          <cell r="H1305"/>
          <cell r="J1305"/>
          <cell r="L1305"/>
          <cell r="M1305"/>
        </row>
        <row r="1306">
          <cell r="B1306"/>
          <cell r="C1306"/>
          <cell r="E1306"/>
          <cell r="F1306"/>
          <cell r="G1306"/>
          <cell r="H1306"/>
          <cell r="J1306"/>
          <cell r="L1306"/>
          <cell r="M1306"/>
        </row>
        <row r="1307">
          <cell r="B1307"/>
          <cell r="C1307"/>
          <cell r="E1307"/>
          <cell r="F1307"/>
          <cell r="G1307"/>
          <cell r="H1307"/>
          <cell r="J1307"/>
          <cell r="L1307"/>
          <cell r="M1307"/>
        </row>
        <row r="1308">
          <cell r="B1308"/>
          <cell r="C1308"/>
          <cell r="E1308"/>
          <cell r="F1308"/>
          <cell r="G1308"/>
          <cell r="H1308"/>
          <cell r="J1308"/>
          <cell r="L1308"/>
          <cell r="M1308"/>
        </row>
        <row r="1309">
          <cell r="B1309"/>
          <cell r="C1309"/>
          <cell r="E1309"/>
          <cell r="F1309"/>
          <cell r="G1309"/>
          <cell r="H1309"/>
          <cell r="J1309"/>
          <cell r="L1309"/>
          <cell r="M1309"/>
        </row>
        <row r="1310">
          <cell r="B1310"/>
          <cell r="C1310"/>
          <cell r="E1310"/>
          <cell r="F1310"/>
          <cell r="G1310"/>
          <cell r="H1310"/>
          <cell r="J1310"/>
          <cell r="L1310"/>
          <cell r="M1310"/>
        </row>
        <row r="1311">
          <cell r="B1311"/>
          <cell r="C1311"/>
          <cell r="E1311"/>
          <cell r="F1311"/>
          <cell r="G1311"/>
          <cell r="H1311"/>
          <cell r="J1311"/>
          <cell r="L1311"/>
          <cell r="M1311"/>
        </row>
        <row r="1312">
          <cell r="B1312"/>
          <cell r="C1312"/>
          <cell r="E1312"/>
          <cell r="F1312"/>
          <cell r="G1312"/>
          <cell r="H1312"/>
          <cell r="J1312"/>
          <cell r="L1312"/>
          <cell r="M1312"/>
        </row>
        <row r="1313">
          <cell r="B1313"/>
          <cell r="C1313"/>
          <cell r="E1313"/>
          <cell r="F1313"/>
          <cell r="G1313"/>
          <cell r="H1313"/>
          <cell r="J1313"/>
          <cell r="L1313"/>
          <cell r="M1313"/>
        </row>
        <row r="1314">
          <cell r="B1314"/>
          <cell r="C1314"/>
          <cell r="E1314"/>
          <cell r="F1314"/>
          <cell r="G1314"/>
          <cell r="H1314"/>
          <cell r="J1314"/>
          <cell r="L1314"/>
          <cell r="M1314"/>
        </row>
        <row r="1315">
          <cell r="B1315"/>
          <cell r="C1315"/>
          <cell r="E1315"/>
          <cell r="F1315"/>
          <cell r="G1315"/>
          <cell r="H1315"/>
          <cell r="J1315"/>
          <cell r="L1315"/>
          <cell r="M1315"/>
        </row>
        <row r="1316">
          <cell r="B1316"/>
          <cell r="C1316"/>
          <cell r="E1316"/>
          <cell r="F1316"/>
          <cell r="G1316"/>
          <cell r="H1316"/>
          <cell r="J1316"/>
          <cell r="L1316"/>
          <cell r="M1316"/>
        </row>
        <row r="1317">
          <cell r="B1317"/>
          <cell r="C1317"/>
          <cell r="E1317"/>
          <cell r="F1317"/>
          <cell r="G1317"/>
          <cell r="H1317"/>
          <cell r="J1317"/>
          <cell r="L1317"/>
          <cell r="M1317"/>
        </row>
        <row r="1318">
          <cell r="B1318"/>
          <cell r="C1318"/>
          <cell r="E1318"/>
          <cell r="F1318"/>
          <cell r="G1318"/>
          <cell r="H1318"/>
          <cell r="J1318"/>
          <cell r="L1318"/>
          <cell r="M1318"/>
        </row>
        <row r="1319">
          <cell r="B1319"/>
          <cell r="C1319"/>
          <cell r="E1319"/>
          <cell r="F1319"/>
          <cell r="G1319"/>
          <cell r="H1319"/>
          <cell r="J1319"/>
          <cell r="L1319"/>
          <cell r="M1319"/>
        </row>
        <row r="1320">
          <cell r="B1320"/>
          <cell r="C1320"/>
          <cell r="E1320"/>
          <cell r="F1320"/>
          <cell r="G1320"/>
          <cell r="H1320"/>
          <cell r="J1320"/>
          <cell r="L1320"/>
          <cell r="M1320"/>
        </row>
        <row r="1321">
          <cell r="B1321"/>
          <cell r="C1321"/>
          <cell r="E1321"/>
          <cell r="F1321"/>
          <cell r="G1321"/>
          <cell r="H1321"/>
          <cell r="J1321"/>
          <cell r="L1321"/>
          <cell r="M1321"/>
        </row>
        <row r="1322">
          <cell r="B1322"/>
          <cell r="C1322"/>
          <cell r="E1322"/>
          <cell r="F1322"/>
          <cell r="G1322"/>
          <cell r="H1322"/>
          <cell r="J1322"/>
          <cell r="L1322"/>
          <cell r="M1322"/>
        </row>
        <row r="1323">
          <cell r="B1323"/>
          <cell r="C1323"/>
          <cell r="E1323"/>
          <cell r="F1323"/>
          <cell r="G1323"/>
          <cell r="H1323"/>
          <cell r="J1323"/>
          <cell r="L1323"/>
          <cell r="M1323"/>
        </row>
        <row r="1324">
          <cell r="B1324"/>
          <cell r="C1324"/>
          <cell r="E1324"/>
          <cell r="F1324"/>
          <cell r="G1324"/>
          <cell r="H1324"/>
          <cell r="J1324"/>
          <cell r="L1324"/>
          <cell r="M1324"/>
        </row>
        <row r="1325">
          <cell r="B1325"/>
          <cell r="C1325"/>
          <cell r="E1325"/>
          <cell r="F1325"/>
          <cell r="G1325"/>
          <cell r="H1325"/>
          <cell r="J1325"/>
          <cell r="L1325"/>
          <cell r="M1325"/>
        </row>
        <row r="1326">
          <cell r="B1326"/>
          <cell r="C1326"/>
          <cell r="E1326"/>
          <cell r="F1326"/>
          <cell r="G1326"/>
          <cell r="H1326"/>
          <cell r="J1326"/>
          <cell r="L1326"/>
          <cell r="M1326"/>
        </row>
        <row r="1327">
          <cell r="B1327"/>
          <cell r="C1327"/>
          <cell r="E1327"/>
          <cell r="F1327"/>
          <cell r="G1327"/>
          <cell r="H1327"/>
          <cell r="J1327"/>
          <cell r="L1327"/>
          <cell r="M1327"/>
        </row>
        <row r="1328">
          <cell r="B1328"/>
          <cell r="C1328"/>
          <cell r="E1328"/>
          <cell r="F1328"/>
          <cell r="G1328"/>
          <cell r="H1328"/>
          <cell r="J1328"/>
          <cell r="L1328"/>
          <cell r="M1328"/>
        </row>
        <row r="1329">
          <cell r="B1329"/>
          <cell r="C1329"/>
          <cell r="E1329"/>
          <cell r="F1329"/>
          <cell r="G1329"/>
          <cell r="H1329"/>
          <cell r="J1329"/>
          <cell r="L1329"/>
          <cell r="M1329"/>
        </row>
        <row r="1330">
          <cell r="B1330"/>
          <cell r="C1330"/>
          <cell r="E1330"/>
          <cell r="F1330"/>
          <cell r="G1330"/>
          <cell r="H1330"/>
          <cell r="J1330"/>
          <cell r="L1330"/>
          <cell r="M1330"/>
        </row>
        <row r="1331">
          <cell r="B1331"/>
          <cell r="C1331"/>
          <cell r="E1331"/>
          <cell r="F1331"/>
          <cell r="G1331"/>
          <cell r="H1331"/>
          <cell r="J1331"/>
          <cell r="L1331"/>
          <cell r="M1331"/>
        </row>
        <row r="1332">
          <cell r="B1332"/>
          <cell r="C1332"/>
          <cell r="E1332"/>
          <cell r="F1332"/>
          <cell r="G1332"/>
          <cell r="H1332"/>
          <cell r="J1332"/>
          <cell r="L1332"/>
          <cell r="M1332"/>
        </row>
        <row r="1333">
          <cell r="B1333"/>
          <cell r="C1333"/>
          <cell r="E1333"/>
          <cell r="F1333"/>
          <cell r="G1333"/>
          <cell r="H1333"/>
          <cell r="J1333"/>
          <cell r="L1333"/>
          <cell r="M1333"/>
        </row>
        <row r="1334">
          <cell r="B1334"/>
          <cell r="C1334"/>
          <cell r="E1334"/>
          <cell r="F1334"/>
          <cell r="G1334"/>
          <cell r="H1334"/>
          <cell r="J1334"/>
          <cell r="L1334"/>
          <cell r="M1334"/>
        </row>
        <row r="1335">
          <cell r="B1335"/>
          <cell r="C1335"/>
          <cell r="E1335"/>
          <cell r="F1335"/>
          <cell r="G1335"/>
          <cell r="H1335"/>
          <cell r="J1335"/>
          <cell r="L1335"/>
          <cell r="M1335"/>
        </row>
        <row r="1336">
          <cell r="B1336"/>
          <cell r="C1336"/>
          <cell r="E1336"/>
          <cell r="F1336"/>
          <cell r="G1336"/>
          <cell r="H1336"/>
          <cell r="J1336"/>
          <cell r="L1336"/>
          <cell r="M1336"/>
        </row>
        <row r="1337">
          <cell r="B1337"/>
          <cell r="C1337"/>
          <cell r="E1337"/>
          <cell r="F1337"/>
          <cell r="G1337"/>
          <cell r="H1337"/>
          <cell r="J1337"/>
          <cell r="L1337"/>
          <cell r="M1337"/>
        </row>
        <row r="1338">
          <cell r="B1338"/>
          <cell r="C1338"/>
          <cell r="E1338"/>
          <cell r="F1338"/>
          <cell r="G1338"/>
          <cell r="H1338"/>
          <cell r="J1338"/>
          <cell r="L1338"/>
          <cell r="M1338"/>
        </row>
        <row r="1339">
          <cell r="B1339"/>
          <cell r="C1339"/>
          <cell r="E1339"/>
          <cell r="F1339"/>
          <cell r="G1339"/>
          <cell r="H1339"/>
          <cell r="J1339"/>
          <cell r="L1339"/>
          <cell r="M1339"/>
        </row>
        <row r="1340">
          <cell r="B1340"/>
          <cell r="C1340"/>
          <cell r="E1340"/>
          <cell r="F1340"/>
          <cell r="G1340"/>
          <cell r="H1340"/>
          <cell r="J1340"/>
          <cell r="L1340"/>
          <cell r="M1340"/>
        </row>
        <row r="1341">
          <cell r="B1341"/>
          <cell r="C1341"/>
          <cell r="E1341"/>
          <cell r="F1341"/>
          <cell r="G1341"/>
          <cell r="H1341"/>
          <cell r="J1341"/>
          <cell r="L1341"/>
          <cell r="M1341"/>
        </row>
        <row r="1342">
          <cell r="B1342"/>
          <cell r="C1342"/>
          <cell r="E1342"/>
          <cell r="F1342"/>
          <cell r="G1342"/>
          <cell r="H1342"/>
          <cell r="J1342"/>
          <cell r="L1342"/>
          <cell r="M1342"/>
        </row>
        <row r="1343">
          <cell r="B1343"/>
          <cell r="C1343"/>
          <cell r="E1343"/>
          <cell r="F1343"/>
          <cell r="G1343"/>
          <cell r="H1343"/>
          <cell r="J1343"/>
          <cell r="L1343"/>
          <cell r="M1343"/>
        </row>
        <row r="1344">
          <cell r="B1344"/>
          <cell r="C1344"/>
          <cell r="E1344"/>
          <cell r="F1344"/>
          <cell r="G1344"/>
          <cell r="H1344"/>
          <cell r="J1344"/>
          <cell r="L1344"/>
          <cell r="M1344"/>
        </row>
        <row r="1345">
          <cell r="B1345"/>
          <cell r="C1345"/>
          <cell r="E1345"/>
          <cell r="F1345"/>
          <cell r="G1345"/>
          <cell r="H1345"/>
          <cell r="J1345"/>
          <cell r="L1345"/>
          <cell r="M1345"/>
        </row>
        <row r="1346">
          <cell r="B1346"/>
          <cell r="C1346"/>
          <cell r="E1346"/>
          <cell r="F1346"/>
          <cell r="G1346"/>
          <cell r="H1346"/>
          <cell r="J1346"/>
          <cell r="L1346"/>
          <cell r="M1346"/>
        </row>
        <row r="1347">
          <cell r="B1347"/>
          <cell r="C1347"/>
          <cell r="E1347"/>
          <cell r="F1347"/>
          <cell r="G1347"/>
          <cell r="H1347"/>
          <cell r="J1347"/>
          <cell r="L1347"/>
          <cell r="M1347"/>
        </row>
        <row r="1348">
          <cell r="B1348"/>
          <cell r="C1348"/>
          <cell r="E1348"/>
          <cell r="F1348"/>
          <cell r="G1348"/>
          <cell r="H1348"/>
          <cell r="J1348"/>
          <cell r="L1348"/>
          <cell r="M1348"/>
        </row>
        <row r="1349">
          <cell r="B1349"/>
          <cell r="C1349"/>
          <cell r="E1349"/>
          <cell r="F1349"/>
          <cell r="G1349"/>
          <cell r="H1349"/>
          <cell r="J1349"/>
          <cell r="L1349"/>
          <cell r="M1349"/>
        </row>
        <row r="1350">
          <cell r="B1350"/>
          <cell r="C1350"/>
          <cell r="E1350"/>
          <cell r="F1350"/>
          <cell r="G1350"/>
          <cell r="H1350"/>
          <cell r="J1350"/>
          <cell r="L1350"/>
          <cell r="M1350"/>
        </row>
        <row r="1351">
          <cell r="B1351"/>
          <cell r="C1351"/>
          <cell r="E1351"/>
          <cell r="F1351"/>
          <cell r="G1351"/>
          <cell r="H1351"/>
          <cell r="J1351"/>
          <cell r="L1351"/>
          <cell r="M1351"/>
        </row>
        <row r="1352">
          <cell r="B1352"/>
          <cell r="C1352"/>
          <cell r="E1352"/>
          <cell r="F1352"/>
          <cell r="G1352"/>
          <cell r="H1352"/>
          <cell r="J1352"/>
          <cell r="L1352"/>
          <cell r="M1352"/>
        </row>
        <row r="1353">
          <cell r="B1353"/>
          <cell r="C1353"/>
          <cell r="E1353"/>
          <cell r="F1353"/>
          <cell r="G1353"/>
          <cell r="H1353"/>
          <cell r="J1353"/>
          <cell r="L1353"/>
          <cell r="M1353"/>
        </row>
        <row r="1354">
          <cell r="B1354"/>
          <cell r="C1354"/>
          <cell r="E1354"/>
          <cell r="F1354"/>
          <cell r="G1354"/>
          <cell r="H1354"/>
          <cell r="J1354"/>
          <cell r="L1354"/>
          <cell r="M1354"/>
        </row>
        <row r="1355">
          <cell r="B1355"/>
          <cell r="C1355"/>
          <cell r="E1355"/>
          <cell r="F1355"/>
          <cell r="G1355"/>
          <cell r="H1355"/>
          <cell r="J1355"/>
          <cell r="L1355"/>
          <cell r="M1355"/>
        </row>
        <row r="1356">
          <cell r="B1356"/>
          <cell r="C1356"/>
          <cell r="E1356"/>
          <cell r="F1356"/>
          <cell r="G1356"/>
          <cell r="H1356"/>
          <cell r="J1356"/>
          <cell r="L1356"/>
          <cell r="M1356"/>
        </row>
        <row r="1357">
          <cell r="B1357"/>
          <cell r="C1357"/>
          <cell r="E1357"/>
          <cell r="F1357"/>
          <cell r="G1357"/>
          <cell r="H1357"/>
          <cell r="J1357"/>
          <cell r="L1357"/>
          <cell r="M1357"/>
        </row>
        <row r="1358">
          <cell r="B1358"/>
          <cell r="C1358"/>
          <cell r="E1358"/>
          <cell r="F1358"/>
          <cell r="G1358"/>
          <cell r="H1358"/>
          <cell r="J1358"/>
          <cell r="L1358"/>
          <cell r="M1358"/>
        </row>
        <row r="1359">
          <cell r="B1359"/>
          <cell r="C1359"/>
          <cell r="E1359"/>
          <cell r="F1359"/>
          <cell r="G1359"/>
          <cell r="H1359"/>
          <cell r="J1359"/>
          <cell r="L1359"/>
          <cell r="M1359"/>
        </row>
        <row r="1360">
          <cell r="B1360"/>
          <cell r="C1360"/>
          <cell r="E1360"/>
          <cell r="F1360"/>
          <cell r="G1360"/>
          <cell r="H1360"/>
          <cell r="J1360"/>
          <cell r="L1360"/>
          <cell r="M1360"/>
        </row>
        <row r="1361">
          <cell r="B1361"/>
          <cell r="C1361"/>
          <cell r="E1361"/>
          <cell r="F1361"/>
          <cell r="G1361"/>
          <cell r="H1361"/>
          <cell r="J1361"/>
          <cell r="L1361"/>
          <cell r="M1361"/>
        </row>
        <row r="1362">
          <cell r="B1362"/>
          <cell r="C1362"/>
          <cell r="E1362"/>
          <cell r="F1362"/>
          <cell r="G1362"/>
          <cell r="H1362"/>
          <cell r="J1362"/>
          <cell r="L1362"/>
          <cell r="M1362"/>
        </row>
        <row r="1363">
          <cell r="B1363"/>
          <cell r="C1363"/>
          <cell r="E1363"/>
          <cell r="F1363"/>
          <cell r="G1363"/>
          <cell r="H1363"/>
          <cell r="J1363"/>
          <cell r="L1363"/>
          <cell r="M1363"/>
        </row>
        <row r="1364">
          <cell r="B1364"/>
          <cell r="C1364"/>
          <cell r="E1364"/>
          <cell r="F1364"/>
          <cell r="G1364"/>
          <cell r="H1364"/>
          <cell r="J1364"/>
          <cell r="L1364"/>
          <cell r="M1364"/>
        </row>
        <row r="1365">
          <cell r="B1365"/>
          <cell r="C1365"/>
          <cell r="E1365"/>
          <cell r="F1365"/>
          <cell r="G1365"/>
          <cell r="H1365"/>
          <cell r="J1365"/>
          <cell r="L1365"/>
          <cell r="M1365"/>
        </row>
        <row r="1366">
          <cell r="B1366"/>
          <cell r="C1366"/>
          <cell r="E1366"/>
          <cell r="F1366"/>
          <cell r="G1366"/>
          <cell r="H1366"/>
          <cell r="J1366"/>
          <cell r="L1366"/>
          <cell r="M1366"/>
        </row>
        <row r="1367">
          <cell r="B1367"/>
          <cell r="C1367"/>
          <cell r="E1367"/>
          <cell r="F1367"/>
          <cell r="G1367"/>
          <cell r="H1367"/>
          <cell r="J1367"/>
          <cell r="L1367"/>
          <cell r="M1367"/>
        </row>
        <row r="1368">
          <cell r="B1368"/>
          <cell r="C1368"/>
          <cell r="E1368"/>
          <cell r="F1368"/>
          <cell r="G1368"/>
          <cell r="H1368"/>
          <cell r="J1368"/>
          <cell r="L1368"/>
          <cell r="M1368"/>
        </row>
        <row r="1369">
          <cell r="B1369"/>
          <cell r="C1369"/>
          <cell r="E1369"/>
          <cell r="F1369"/>
          <cell r="G1369"/>
          <cell r="H1369"/>
          <cell r="J1369"/>
          <cell r="L1369"/>
          <cell r="M1369"/>
        </row>
        <row r="1370">
          <cell r="B1370"/>
          <cell r="C1370"/>
          <cell r="E1370"/>
          <cell r="F1370"/>
          <cell r="G1370"/>
          <cell r="H1370"/>
          <cell r="J1370"/>
          <cell r="L1370"/>
          <cell r="M1370"/>
        </row>
        <row r="1371">
          <cell r="B1371"/>
          <cell r="C1371"/>
          <cell r="E1371"/>
          <cell r="F1371"/>
          <cell r="G1371"/>
          <cell r="H1371"/>
          <cell r="J1371"/>
          <cell r="L1371"/>
          <cell r="M1371"/>
        </row>
        <row r="1372">
          <cell r="B1372"/>
          <cell r="C1372"/>
          <cell r="E1372"/>
          <cell r="F1372"/>
          <cell r="G1372"/>
          <cell r="H1372"/>
          <cell r="J1372"/>
          <cell r="L1372"/>
          <cell r="M1372"/>
        </row>
        <row r="1373">
          <cell r="B1373"/>
          <cell r="C1373"/>
          <cell r="E1373"/>
          <cell r="F1373"/>
          <cell r="G1373"/>
          <cell r="H1373"/>
          <cell r="J1373"/>
          <cell r="L1373"/>
          <cell r="M1373"/>
        </row>
        <row r="1374">
          <cell r="B1374"/>
          <cell r="C1374"/>
          <cell r="E1374"/>
          <cell r="F1374"/>
          <cell r="G1374"/>
          <cell r="H1374"/>
          <cell r="J1374"/>
          <cell r="L1374"/>
          <cell r="M1374"/>
        </row>
        <row r="1375">
          <cell r="B1375"/>
          <cell r="C1375"/>
          <cell r="E1375"/>
          <cell r="F1375"/>
          <cell r="G1375"/>
          <cell r="H1375"/>
          <cell r="J1375"/>
          <cell r="L1375"/>
          <cell r="M1375"/>
        </row>
        <row r="1376">
          <cell r="B1376"/>
          <cell r="C1376"/>
          <cell r="E1376"/>
          <cell r="F1376"/>
          <cell r="G1376"/>
          <cell r="H1376"/>
          <cell r="J1376"/>
          <cell r="L1376"/>
          <cell r="M1376"/>
        </row>
        <row r="1377">
          <cell r="B1377"/>
          <cell r="C1377"/>
          <cell r="E1377"/>
          <cell r="F1377"/>
          <cell r="G1377"/>
          <cell r="H1377"/>
          <cell r="J1377"/>
          <cell r="L1377"/>
          <cell r="M1377"/>
        </row>
        <row r="1378">
          <cell r="B1378"/>
          <cell r="C1378"/>
          <cell r="E1378"/>
          <cell r="F1378"/>
          <cell r="G1378"/>
          <cell r="H1378"/>
          <cell r="J1378"/>
          <cell r="L1378"/>
          <cell r="M1378"/>
        </row>
        <row r="1379">
          <cell r="B1379"/>
          <cell r="C1379"/>
          <cell r="E1379"/>
          <cell r="F1379"/>
          <cell r="G1379"/>
          <cell r="H1379"/>
          <cell r="J1379"/>
          <cell r="L1379"/>
          <cell r="M1379"/>
        </row>
        <row r="1380">
          <cell r="B1380"/>
          <cell r="C1380"/>
          <cell r="E1380"/>
          <cell r="F1380"/>
          <cell r="G1380"/>
          <cell r="H1380"/>
          <cell r="J1380"/>
          <cell r="L1380"/>
          <cell r="M1380"/>
        </row>
        <row r="1381">
          <cell r="B1381"/>
          <cell r="C1381"/>
          <cell r="E1381"/>
          <cell r="F1381"/>
          <cell r="G1381"/>
          <cell r="H1381"/>
          <cell r="J1381"/>
          <cell r="L1381"/>
          <cell r="M1381"/>
        </row>
        <row r="1382">
          <cell r="B1382"/>
          <cell r="C1382"/>
          <cell r="E1382"/>
          <cell r="F1382"/>
          <cell r="G1382"/>
          <cell r="H1382"/>
          <cell r="J1382"/>
          <cell r="L1382"/>
          <cell r="M1382"/>
        </row>
        <row r="1383">
          <cell r="B1383"/>
          <cell r="C1383"/>
          <cell r="E1383"/>
          <cell r="F1383"/>
          <cell r="G1383"/>
          <cell r="H1383"/>
          <cell r="J1383"/>
          <cell r="L1383"/>
          <cell r="M1383"/>
        </row>
        <row r="1384">
          <cell r="B1384"/>
          <cell r="C1384"/>
          <cell r="E1384"/>
          <cell r="F1384"/>
          <cell r="G1384"/>
          <cell r="H1384"/>
          <cell r="J1384"/>
          <cell r="L1384"/>
          <cell r="M1384"/>
        </row>
        <row r="1385">
          <cell r="B1385"/>
          <cell r="C1385"/>
          <cell r="E1385"/>
          <cell r="F1385"/>
          <cell r="G1385"/>
          <cell r="H1385"/>
          <cell r="J1385"/>
          <cell r="L1385"/>
          <cell r="M1385"/>
        </row>
        <row r="1386">
          <cell r="B1386"/>
          <cell r="C1386"/>
          <cell r="E1386"/>
          <cell r="F1386"/>
          <cell r="G1386"/>
          <cell r="H1386"/>
          <cell r="J1386"/>
          <cell r="L1386"/>
          <cell r="M1386"/>
        </row>
        <row r="1387">
          <cell r="B1387"/>
          <cell r="C1387"/>
          <cell r="E1387"/>
          <cell r="F1387"/>
          <cell r="G1387"/>
          <cell r="H1387"/>
          <cell r="J1387"/>
          <cell r="L1387"/>
          <cell r="M1387"/>
        </row>
        <row r="1388">
          <cell r="B1388"/>
          <cell r="C1388"/>
          <cell r="E1388"/>
          <cell r="F1388"/>
          <cell r="G1388"/>
          <cell r="H1388"/>
          <cell r="J1388"/>
          <cell r="L1388"/>
          <cell r="M1388"/>
        </row>
        <row r="1389">
          <cell r="B1389"/>
          <cell r="C1389"/>
          <cell r="E1389"/>
          <cell r="F1389"/>
          <cell r="G1389"/>
          <cell r="H1389"/>
          <cell r="J1389"/>
          <cell r="L1389"/>
          <cell r="M1389"/>
        </row>
        <row r="1390">
          <cell r="B1390"/>
          <cell r="C1390"/>
          <cell r="E1390"/>
          <cell r="F1390"/>
          <cell r="G1390"/>
          <cell r="H1390"/>
          <cell r="J1390"/>
          <cell r="L1390"/>
          <cell r="M1390"/>
        </row>
        <row r="1391">
          <cell r="B1391"/>
          <cell r="C1391"/>
          <cell r="E1391"/>
          <cell r="F1391"/>
          <cell r="G1391"/>
          <cell r="H1391"/>
          <cell r="J1391"/>
          <cell r="L1391"/>
          <cell r="M1391"/>
        </row>
        <row r="1392">
          <cell r="B1392"/>
          <cell r="C1392"/>
          <cell r="E1392"/>
          <cell r="F1392"/>
          <cell r="G1392"/>
          <cell r="H1392"/>
          <cell r="J1392"/>
          <cell r="L1392"/>
          <cell r="M1392"/>
        </row>
        <row r="1393">
          <cell r="B1393"/>
          <cell r="C1393"/>
          <cell r="E1393"/>
          <cell r="F1393"/>
          <cell r="G1393"/>
          <cell r="H1393"/>
          <cell r="J1393"/>
          <cell r="L1393"/>
          <cell r="M1393"/>
        </row>
        <row r="1394">
          <cell r="B1394"/>
          <cell r="C1394"/>
          <cell r="E1394"/>
          <cell r="F1394"/>
          <cell r="G1394"/>
          <cell r="H1394"/>
          <cell r="J1394"/>
          <cell r="L1394"/>
          <cell r="M1394"/>
        </row>
        <row r="1395">
          <cell r="B1395"/>
          <cell r="C1395"/>
          <cell r="E1395"/>
          <cell r="F1395"/>
          <cell r="G1395"/>
          <cell r="H1395"/>
          <cell r="J1395"/>
          <cell r="L1395"/>
          <cell r="M1395"/>
        </row>
        <row r="1396">
          <cell r="B1396"/>
          <cell r="C1396"/>
          <cell r="E1396"/>
          <cell r="F1396"/>
          <cell r="G1396"/>
          <cell r="H1396"/>
          <cell r="J1396"/>
          <cell r="L1396"/>
          <cell r="M1396"/>
        </row>
        <row r="1397">
          <cell r="B1397"/>
          <cell r="C1397"/>
          <cell r="E1397"/>
          <cell r="F1397"/>
          <cell r="G1397"/>
          <cell r="H1397"/>
          <cell r="J1397"/>
          <cell r="L1397"/>
          <cell r="M1397"/>
        </row>
        <row r="1398">
          <cell r="B1398"/>
          <cell r="C1398"/>
          <cell r="E1398"/>
          <cell r="F1398"/>
          <cell r="G1398"/>
          <cell r="H1398"/>
          <cell r="J1398"/>
          <cell r="L1398"/>
          <cell r="M1398"/>
        </row>
        <row r="1399">
          <cell r="B1399"/>
          <cell r="C1399"/>
          <cell r="E1399"/>
          <cell r="F1399"/>
          <cell r="G1399"/>
          <cell r="H1399"/>
          <cell r="J1399"/>
          <cell r="L1399"/>
          <cell r="M1399"/>
        </row>
        <row r="1400">
          <cell r="B1400"/>
          <cell r="C1400"/>
          <cell r="E1400"/>
          <cell r="F1400"/>
          <cell r="G1400"/>
          <cell r="H1400"/>
          <cell r="J1400"/>
          <cell r="L1400"/>
          <cell r="M1400"/>
        </row>
        <row r="1401">
          <cell r="B1401"/>
          <cell r="C1401"/>
          <cell r="E1401"/>
          <cell r="F1401"/>
          <cell r="G1401"/>
          <cell r="H1401"/>
          <cell r="J1401"/>
          <cell r="L1401"/>
          <cell r="M1401"/>
        </row>
        <row r="1402">
          <cell r="B1402"/>
          <cell r="C1402"/>
          <cell r="E1402"/>
          <cell r="F1402"/>
          <cell r="G1402"/>
          <cell r="H1402"/>
          <cell r="J1402"/>
          <cell r="L1402"/>
          <cell r="M1402"/>
        </row>
        <row r="1403">
          <cell r="B1403"/>
          <cell r="C1403"/>
          <cell r="E1403"/>
          <cell r="F1403"/>
          <cell r="G1403"/>
          <cell r="H1403"/>
          <cell r="J1403"/>
          <cell r="L1403"/>
          <cell r="M1403"/>
        </row>
        <row r="1404">
          <cell r="B1404"/>
          <cell r="C1404"/>
          <cell r="E1404"/>
          <cell r="F1404"/>
          <cell r="G1404"/>
          <cell r="H1404"/>
          <cell r="J1404"/>
          <cell r="L1404"/>
          <cell r="M1404"/>
        </row>
        <row r="1405">
          <cell r="B1405"/>
          <cell r="C1405"/>
          <cell r="E1405"/>
          <cell r="F1405"/>
          <cell r="G1405"/>
          <cell r="H1405"/>
          <cell r="J1405"/>
          <cell r="L1405"/>
          <cell r="M1405"/>
        </row>
        <row r="1406">
          <cell r="B1406"/>
          <cell r="C1406"/>
          <cell r="E1406"/>
          <cell r="F1406"/>
          <cell r="G1406"/>
          <cell r="H1406"/>
          <cell r="J1406"/>
          <cell r="L1406"/>
          <cell r="M1406"/>
        </row>
        <row r="1407">
          <cell r="B1407"/>
          <cell r="C1407"/>
          <cell r="E1407"/>
          <cell r="F1407"/>
          <cell r="G1407"/>
          <cell r="H1407"/>
          <cell r="J1407"/>
          <cell r="L1407"/>
          <cell r="M1407"/>
        </row>
        <row r="1408">
          <cell r="B1408"/>
          <cell r="C1408"/>
          <cell r="E1408"/>
          <cell r="F1408"/>
          <cell r="G1408"/>
          <cell r="H1408"/>
          <cell r="J1408"/>
          <cell r="L1408"/>
          <cell r="M1408"/>
        </row>
        <row r="1409">
          <cell r="B1409"/>
          <cell r="C1409"/>
          <cell r="E1409"/>
          <cell r="F1409"/>
          <cell r="G1409"/>
          <cell r="H1409"/>
          <cell r="J1409"/>
          <cell r="L1409"/>
          <cell r="M1409"/>
        </row>
        <row r="1410">
          <cell r="B1410"/>
          <cell r="C1410"/>
          <cell r="E1410"/>
          <cell r="F1410"/>
          <cell r="G1410"/>
          <cell r="H1410"/>
          <cell r="J1410"/>
          <cell r="L1410"/>
          <cell r="M1410"/>
        </row>
        <row r="1411">
          <cell r="B1411"/>
          <cell r="C1411"/>
          <cell r="E1411"/>
          <cell r="F1411"/>
          <cell r="G1411"/>
          <cell r="H1411"/>
          <cell r="J1411"/>
          <cell r="L1411"/>
          <cell r="M1411"/>
        </row>
        <row r="1412">
          <cell r="B1412"/>
          <cell r="C1412"/>
          <cell r="E1412"/>
          <cell r="F1412"/>
          <cell r="G1412"/>
          <cell r="H1412"/>
          <cell r="J1412"/>
          <cell r="L1412"/>
          <cell r="M1412"/>
        </row>
        <row r="1413">
          <cell r="B1413"/>
          <cell r="C1413"/>
          <cell r="E1413"/>
          <cell r="F1413"/>
          <cell r="G1413"/>
          <cell r="H1413"/>
          <cell r="J1413"/>
          <cell r="L1413"/>
          <cell r="M1413"/>
        </row>
        <row r="1414">
          <cell r="B1414"/>
          <cell r="C1414"/>
          <cell r="E1414"/>
          <cell r="F1414"/>
          <cell r="G1414"/>
          <cell r="H1414"/>
          <cell r="J1414"/>
          <cell r="L1414"/>
          <cell r="M1414"/>
        </row>
        <row r="1415">
          <cell r="B1415"/>
          <cell r="C1415"/>
          <cell r="E1415"/>
          <cell r="F1415"/>
          <cell r="G1415"/>
          <cell r="H1415"/>
          <cell r="J1415"/>
          <cell r="L1415"/>
          <cell r="M1415"/>
        </row>
        <row r="1416">
          <cell r="B1416"/>
          <cell r="C1416"/>
          <cell r="E1416"/>
          <cell r="F1416"/>
          <cell r="G1416"/>
          <cell r="H1416"/>
          <cell r="J1416"/>
          <cell r="L1416"/>
          <cell r="M1416"/>
        </row>
        <row r="1417">
          <cell r="B1417"/>
          <cell r="C1417"/>
          <cell r="E1417"/>
          <cell r="F1417"/>
          <cell r="G1417"/>
          <cell r="H1417"/>
          <cell r="J1417"/>
          <cell r="L1417"/>
          <cell r="M1417"/>
        </row>
        <row r="1418">
          <cell r="B1418"/>
          <cell r="C1418"/>
          <cell r="E1418"/>
          <cell r="F1418"/>
          <cell r="G1418"/>
          <cell r="H1418"/>
          <cell r="J1418"/>
          <cell r="L1418"/>
          <cell r="M1418"/>
        </row>
        <row r="1419">
          <cell r="B1419"/>
          <cell r="C1419"/>
          <cell r="E1419"/>
          <cell r="F1419"/>
          <cell r="G1419"/>
          <cell r="H1419"/>
          <cell r="J1419"/>
          <cell r="L1419"/>
          <cell r="M1419"/>
        </row>
        <row r="1420">
          <cell r="B1420"/>
          <cell r="C1420"/>
          <cell r="E1420"/>
          <cell r="F1420"/>
          <cell r="G1420"/>
          <cell r="H1420"/>
          <cell r="J1420"/>
          <cell r="L1420"/>
          <cell r="M1420"/>
        </row>
        <row r="1421">
          <cell r="B1421"/>
          <cell r="C1421"/>
          <cell r="E1421"/>
          <cell r="F1421"/>
          <cell r="G1421"/>
          <cell r="H1421"/>
          <cell r="J1421"/>
          <cell r="L1421"/>
          <cell r="M1421"/>
        </row>
        <row r="1422">
          <cell r="B1422"/>
          <cell r="C1422"/>
          <cell r="E1422"/>
          <cell r="F1422"/>
          <cell r="G1422"/>
          <cell r="H1422"/>
          <cell r="J1422"/>
          <cell r="L1422"/>
          <cell r="M1422"/>
        </row>
        <row r="1423">
          <cell r="B1423"/>
          <cell r="C1423"/>
          <cell r="E1423"/>
          <cell r="F1423"/>
          <cell r="G1423"/>
          <cell r="H1423"/>
          <cell r="J1423"/>
          <cell r="L1423"/>
          <cell r="M1423"/>
        </row>
        <row r="1424">
          <cell r="B1424"/>
          <cell r="C1424"/>
          <cell r="E1424"/>
          <cell r="F1424"/>
          <cell r="G1424"/>
          <cell r="H1424"/>
          <cell r="J1424"/>
          <cell r="L1424"/>
          <cell r="M1424"/>
        </row>
        <row r="1425">
          <cell r="B1425"/>
          <cell r="C1425"/>
          <cell r="E1425"/>
          <cell r="F1425"/>
          <cell r="G1425"/>
          <cell r="H1425"/>
          <cell r="J1425"/>
          <cell r="L1425"/>
          <cell r="M1425"/>
        </row>
        <row r="1426">
          <cell r="B1426"/>
          <cell r="C1426"/>
          <cell r="E1426"/>
          <cell r="F1426"/>
          <cell r="G1426"/>
          <cell r="H1426"/>
          <cell r="J1426"/>
          <cell r="L1426"/>
          <cell r="M1426"/>
        </row>
        <row r="1427">
          <cell r="B1427"/>
          <cell r="C1427"/>
          <cell r="E1427"/>
          <cell r="F1427"/>
          <cell r="G1427"/>
          <cell r="H1427"/>
          <cell r="J1427"/>
          <cell r="L1427"/>
          <cell r="M1427"/>
        </row>
        <row r="1428">
          <cell r="B1428"/>
          <cell r="C1428"/>
          <cell r="E1428"/>
          <cell r="F1428"/>
          <cell r="G1428"/>
          <cell r="H1428"/>
          <cell r="J1428"/>
          <cell r="L1428"/>
          <cell r="M1428"/>
        </row>
        <row r="1429">
          <cell r="B1429"/>
          <cell r="C1429"/>
          <cell r="E1429"/>
          <cell r="F1429"/>
          <cell r="G1429"/>
          <cell r="H1429"/>
          <cell r="J1429"/>
          <cell r="L1429"/>
          <cell r="M1429"/>
        </row>
        <row r="1430">
          <cell r="B1430"/>
          <cell r="C1430"/>
          <cell r="E1430"/>
          <cell r="F1430"/>
          <cell r="G1430"/>
          <cell r="H1430"/>
          <cell r="J1430"/>
          <cell r="L1430"/>
          <cell r="M1430"/>
        </row>
        <row r="1431">
          <cell r="B1431"/>
          <cell r="C1431"/>
          <cell r="E1431"/>
          <cell r="F1431"/>
          <cell r="G1431"/>
          <cell r="H1431"/>
          <cell r="J1431"/>
          <cell r="L1431"/>
          <cell r="M1431"/>
        </row>
        <row r="1432">
          <cell r="B1432"/>
          <cell r="C1432"/>
          <cell r="E1432"/>
          <cell r="F1432"/>
          <cell r="G1432"/>
          <cell r="H1432"/>
          <cell r="J1432"/>
          <cell r="L1432"/>
          <cell r="M1432"/>
        </row>
        <row r="1433">
          <cell r="B1433"/>
          <cell r="C1433"/>
          <cell r="E1433"/>
          <cell r="F1433"/>
          <cell r="G1433"/>
          <cell r="H1433"/>
          <cell r="J1433"/>
          <cell r="L1433"/>
          <cell r="M1433"/>
        </row>
        <row r="1434">
          <cell r="B1434"/>
          <cell r="C1434"/>
          <cell r="E1434"/>
          <cell r="F1434"/>
          <cell r="G1434"/>
          <cell r="H1434"/>
          <cell r="J1434"/>
          <cell r="L1434"/>
          <cell r="M1434"/>
        </row>
        <row r="1435">
          <cell r="B1435"/>
          <cell r="C1435"/>
          <cell r="E1435"/>
          <cell r="F1435"/>
          <cell r="G1435"/>
          <cell r="H1435"/>
          <cell r="J1435"/>
          <cell r="L1435"/>
          <cell r="M1435"/>
        </row>
        <row r="1436">
          <cell r="B1436"/>
          <cell r="C1436"/>
          <cell r="E1436"/>
          <cell r="F1436"/>
          <cell r="G1436"/>
          <cell r="H1436"/>
          <cell r="J1436"/>
          <cell r="L1436"/>
          <cell r="M1436"/>
        </row>
        <row r="1437">
          <cell r="B1437"/>
          <cell r="C1437"/>
          <cell r="E1437"/>
          <cell r="F1437"/>
          <cell r="G1437"/>
          <cell r="H1437"/>
          <cell r="J1437"/>
          <cell r="L1437"/>
          <cell r="M1437"/>
        </row>
        <row r="1438">
          <cell r="B1438"/>
          <cell r="C1438"/>
          <cell r="E1438"/>
          <cell r="F1438"/>
          <cell r="G1438"/>
          <cell r="H1438"/>
          <cell r="J1438"/>
          <cell r="L1438"/>
          <cell r="M1438"/>
        </row>
        <row r="1439">
          <cell r="B1439"/>
          <cell r="C1439"/>
          <cell r="E1439"/>
          <cell r="F1439"/>
          <cell r="G1439"/>
          <cell r="H1439"/>
          <cell r="J1439"/>
          <cell r="L1439"/>
          <cell r="M1439"/>
        </row>
        <row r="1440">
          <cell r="B1440"/>
          <cell r="C1440"/>
          <cell r="E1440"/>
          <cell r="F1440"/>
          <cell r="G1440"/>
          <cell r="H1440"/>
          <cell r="J1440"/>
          <cell r="L1440"/>
          <cell r="M1440"/>
        </row>
        <row r="1441">
          <cell r="B1441"/>
          <cell r="C1441"/>
          <cell r="E1441"/>
          <cell r="F1441"/>
          <cell r="G1441"/>
          <cell r="H1441"/>
          <cell r="J1441"/>
          <cell r="L1441"/>
          <cell r="M1441"/>
        </row>
        <row r="1442">
          <cell r="B1442"/>
          <cell r="C1442"/>
          <cell r="E1442"/>
          <cell r="F1442"/>
          <cell r="G1442"/>
          <cell r="H1442"/>
          <cell r="J1442"/>
          <cell r="L1442"/>
          <cell r="M1442"/>
        </row>
        <row r="1443">
          <cell r="B1443"/>
          <cell r="C1443"/>
          <cell r="E1443"/>
          <cell r="F1443"/>
          <cell r="G1443"/>
          <cell r="H1443"/>
          <cell r="J1443"/>
          <cell r="L1443"/>
          <cell r="M1443"/>
        </row>
        <row r="1444">
          <cell r="B1444"/>
          <cell r="C1444"/>
          <cell r="E1444"/>
          <cell r="F1444"/>
          <cell r="G1444"/>
          <cell r="H1444"/>
          <cell r="J1444"/>
          <cell r="L1444"/>
          <cell r="M1444"/>
        </row>
        <row r="1445">
          <cell r="B1445"/>
          <cell r="C1445"/>
          <cell r="E1445"/>
          <cell r="F1445"/>
          <cell r="G1445"/>
          <cell r="H1445"/>
          <cell r="J1445"/>
          <cell r="L1445"/>
          <cell r="M1445"/>
        </row>
        <row r="1446">
          <cell r="B1446"/>
          <cell r="C1446"/>
          <cell r="E1446"/>
          <cell r="F1446"/>
          <cell r="G1446"/>
          <cell r="H1446"/>
          <cell r="J1446"/>
          <cell r="L1446"/>
          <cell r="M1446"/>
        </row>
        <row r="1447">
          <cell r="B1447"/>
          <cell r="C1447"/>
          <cell r="E1447"/>
          <cell r="F1447"/>
          <cell r="G1447"/>
          <cell r="H1447"/>
          <cell r="J1447"/>
          <cell r="L1447"/>
          <cell r="M1447"/>
        </row>
        <row r="1448">
          <cell r="B1448"/>
          <cell r="C1448"/>
          <cell r="E1448"/>
          <cell r="F1448"/>
          <cell r="G1448"/>
          <cell r="H1448"/>
          <cell r="J1448"/>
          <cell r="L1448"/>
          <cell r="M1448"/>
        </row>
        <row r="1449">
          <cell r="B1449"/>
          <cell r="C1449"/>
          <cell r="E1449"/>
          <cell r="F1449"/>
          <cell r="G1449"/>
          <cell r="H1449"/>
          <cell r="J1449"/>
          <cell r="L1449"/>
          <cell r="M1449"/>
        </row>
        <row r="1450">
          <cell r="B1450"/>
          <cell r="C1450"/>
          <cell r="E1450"/>
          <cell r="F1450"/>
          <cell r="G1450"/>
          <cell r="H1450"/>
          <cell r="J1450"/>
          <cell r="L1450"/>
          <cell r="M1450"/>
        </row>
        <row r="1451">
          <cell r="B1451"/>
          <cell r="C1451"/>
          <cell r="E1451"/>
          <cell r="F1451"/>
          <cell r="G1451"/>
          <cell r="H1451"/>
          <cell r="J1451"/>
          <cell r="L1451"/>
          <cell r="M1451"/>
        </row>
        <row r="1452">
          <cell r="B1452"/>
          <cell r="C1452"/>
          <cell r="E1452"/>
          <cell r="F1452"/>
          <cell r="G1452"/>
          <cell r="H1452"/>
          <cell r="J1452"/>
          <cell r="L1452"/>
          <cell r="M1452"/>
        </row>
        <row r="1453">
          <cell r="B1453"/>
          <cell r="C1453"/>
          <cell r="E1453"/>
          <cell r="F1453"/>
          <cell r="G1453"/>
          <cell r="H1453"/>
          <cell r="J1453"/>
          <cell r="L1453"/>
          <cell r="M1453"/>
        </row>
        <row r="1454">
          <cell r="B1454"/>
          <cell r="C1454"/>
          <cell r="E1454"/>
          <cell r="F1454"/>
          <cell r="G1454"/>
          <cell r="H1454"/>
          <cell r="J1454"/>
          <cell r="L1454"/>
          <cell r="M1454"/>
        </row>
        <row r="1455">
          <cell r="B1455"/>
          <cell r="C1455"/>
          <cell r="E1455"/>
          <cell r="F1455"/>
          <cell r="G1455"/>
          <cell r="H1455"/>
          <cell r="J1455"/>
          <cell r="L1455"/>
          <cell r="M1455"/>
        </row>
        <row r="1456">
          <cell r="B1456"/>
          <cell r="C1456"/>
          <cell r="E1456"/>
          <cell r="F1456"/>
          <cell r="G1456"/>
          <cell r="H1456"/>
          <cell r="J1456"/>
          <cell r="L1456"/>
          <cell r="M1456"/>
        </row>
        <row r="1457">
          <cell r="B1457"/>
          <cell r="C1457"/>
          <cell r="E1457"/>
          <cell r="F1457"/>
          <cell r="G1457"/>
          <cell r="H1457"/>
          <cell r="J1457"/>
          <cell r="L1457"/>
          <cell r="M1457"/>
        </row>
        <row r="1458">
          <cell r="B1458"/>
          <cell r="C1458"/>
          <cell r="E1458"/>
          <cell r="F1458"/>
          <cell r="G1458"/>
          <cell r="H1458"/>
          <cell r="J1458"/>
          <cell r="L1458"/>
          <cell r="M1458"/>
        </row>
        <row r="1459">
          <cell r="B1459"/>
          <cell r="C1459"/>
          <cell r="E1459"/>
          <cell r="F1459"/>
          <cell r="G1459"/>
          <cell r="H1459"/>
          <cell r="J1459"/>
          <cell r="L1459"/>
          <cell r="M1459"/>
        </row>
        <row r="1460">
          <cell r="B1460"/>
          <cell r="C1460"/>
          <cell r="E1460"/>
          <cell r="F1460"/>
          <cell r="G1460"/>
          <cell r="H1460"/>
          <cell r="J1460"/>
          <cell r="L1460"/>
          <cell r="M1460"/>
        </row>
        <row r="1461">
          <cell r="B1461"/>
          <cell r="C1461"/>
          <cell r="E1461"/>
          <cell r="F1461"/>
          <cell r="G1461"/>
          <cell r="H1461"/>
          <cell r="J1461"/>
          <cell r="L1461"/>
          <cell r="M1461"/>
        </row>
        <row r="1462">
          <cell r="B1462"/>
          <cell r="C1462"/>
          <cell r="E1462"/>
          <cell r="F1462"/>
          <cell r="G1462"/>
          <cell r="H1462"/>
          <cell r="J1462"/>
          <cell r="L1462"/>
          <cell r="M1462"/>
        </row>
        <row r="1463">
          <cell r="B1463"/>
          <cell r="C1463"/>
          <cell r="E1463"/>
          <cell r="F1463"/>
          <cell r="G1463"/>
          <cell r="H1463"/>
          <cell r="J1463"/>
          <cell r="L1463"/>
          <cell r="M1463"/>
        </row>
        <row r="1464">
          <cell r="B1464"/>
          <cell r="C1464"/>
          <cell r="E1464"/>
          <cell r="F1464"/>
          <cell r="G1464"/>
          <cell r="H1464"/>
          <cell r="J1464"/>
          <cell r="L1464"/>
          <cell r="M1464"/>
        </row>
        <row r="1465">
          <cell r="B1465"/>
          <cell r="C1465"/>
          <cell r="E1465"/>
          <cell r="F1465"/>
          <cell r="G1465"/>
          <cell r="H1465"/>
          <cell r="J1465"/>
          <cell r="L1465"/>
          <cell r="M1465"/>
        </row>
        <row r="1466">
          <cell r="B1466"/>
          <cell r="C1466"/>
          <cell r="E1466"/>
          <cell r="F1466"/>
          <cell r="G1466"/>
          <cell r="H1466"/>
          <cell r="J1466"/>
          <cell r="L1466"/>
          <cell r="M1466"/>
        </row>
        <row r="1467">
          <cell r="B1467"/>
          <cell r="C1467"/>
          <cell r="E1467"/>
          <cell r="F1467"/>
          <cell r="G1467"/>
          <cell r="H1467"/>
          <cell r="J1467"/>
          <cell r="L1467"/>
          <cell r="M1467"/>
        </row>
        <row r="1468">
          <cell r="B1468"/>
          <cell r="C1468"/>
          <cell r="E1468"/>
          <cell r="F1468"/>
          <cell r="G1468"/>
          <cell r="H1468"/>
          <cell r="J1468"/>
          <cell r="L1468"/>
          <cell r="M1468"/>
        </row>
        <row r="1469">
          <cell r="B1469"/>
          <cell r="C1469"/>
          <cell r="E1469"/>
          <cell r="F1469"/>
          <cell r="G1469"/>
          <cell r="H1469"/>
          <cell r="J1469"/>
          <cell r="L1469"/>
          <cell r="M1469"/>
        </row>
        <row r="1470">
          <cell r="B1470"/>
          <cell r="C1470"/>
          <cell r="E1470"/>
          <cell r="F1470"/>
          <cell r="G1470"/>
          <cell r="H1470"/>
          <cell r="J1470"/>
          <cell r="L1470"/>
          <cell r="M1470"/>
        </row>
        <row r="1471">
          <cell r="B1471"/>
          <cell r="C1471"/>
          <cell r="E1471"/>
          <cell r="F1471"/>
          <cell r="G1471"/>
          <cell r="H1471"/>
          <cell r="J1471"/>
          <cell r="L1471"/>
          <cell r="M1471"/>
        </row>
        <row r="1472">
          <cell r="B1472"/>
          <cell r="C1472"/>
          <cell r="E1472"/>
          <cell r="F1472"/>
          <cell r="G1472"/>
          <cell r="H1472"/>
          <cell r="J1472"/>
          <cell r="L1472"/>
          <cell r="M1472"/>
        </row>
        <row r="1473">
          <cell r="B1473"/>
          <cell r="C1473"/>
          <cell r="E1473"/>
          <cell r="F1473"/>
          <cell r="G1473"/>
          <cell r="H1473"/>
          <cell r="J1473"/>
          <cell r="L1473"/>
          <cell r="M1473"/>
        </row>
        <row r="1474">
          <cell r="B1474"/>
          <cell r="C1474"/>
          <cell r="E1474"/>
          <cell r="F1474"/>
          <cell r="G1474"/>
          <cell r="H1474"/>
          <cell r="J1474"/>
          <cell r="L1474"/>
          <cell r="M1474"/>
        </row>
        <row r="1475">
          <cell r="B1475"/>
          <cell r="C1475"/>
          <cell r="E1475"/>
          <cell r="F1475"/>
          <cell r="G1475"/>
          <cell r="H1475"/>
          <cell r="J1475"/>
          <cell r="L1475"/>
          <cell r="M1475"/>
        </row>
        <row r="1476">
          <cell r="B1476"/>
          <cell r="C1476"/>
          <cell r="E1476"/>
          <cell r="F1476"/>
          <cell r="G1476"/>
          <cell r="H1476"/>
          <cell r="J1476"/>
          <cell r="L1476"/>
          <cell r="M1476"/>
        </row>
        <row r="1477">
          <cell r="B1477"/>
          <cell r="C1477"/>
          <cell r="E1477"/>
          <cell r="F1477"/>
          <cell r="G1477"/>
          <cell r="H1477"/>
          <cell r="J1477"/>
          <cell r="L1477"/>
          <cell r="M1477"/>
        </row>
        <row r="1478">
          <cell r="B1478"/>
          <cell r="C1478"/>
          <cell r="E1478"/>
          <cell r="F1478"/>
          <cell r="G1478"/>
          <cell r="H1478"/>
          <cell r="J1478"/>
          <cell r="L1478"/>
          <cell r="M1478"/>
        </row>
        <row r="1479">
          <cell r="B1479"/>
          <cell r="C1479"/>
          <cell r="E1479"/>
          <cell r="F1479"/>
          <cell r="G1479"/>
          <cell r="H1479"/>
          <cell r="J1479"/>
          <cell r="L1479"/>
          <cell r="M1479"/>
        </row>
        <row r="1480">
          <cell r="B1480"/>
          <cell r="C1480"/>
          <cell r="E1480"/>
          <cell r="F1480"/>
          <cell r="G1480"/>
          <cell r="H1480"/>
          <cell r="J1480"/>
          <cell r="L1480"/>
          <cell r="M1480"/>
        </row>
        <row r="1481">
          <cell r="B1481"/>
          <cell r="C1481"/>
          <cell r="E1481"/>
          <cell r="F1481"/>
          <cell r="G1481"/>
          <cell r="H1481"/>
          <cell r="J1481"/>
          <cell r="L1481"/>
          <cell r="M1481"/>
        </row>
        <row r="1482">
          <cell r="B1482"/>
          <cell r="C1482"/>
          <cell r="E1482"/>
          <cell r="F1482"/>
          <cell r="G1482"/>
          <cell r="H1482"/>
          <cell r="J1482"/>
          <cell r="L1482"/>
          <cell r="M1482"/>
        </row>
        <row r="1483">
          <cell r="B1483"/>
          <cell r="C1483"/>
          <cell r="E1483"/>
          <cell r="F1483"/>
          <cell r="G1483"/>
          <cell r="H1483"/>
          <cell r="J1483"/>
          <cell r="L1483"/>
          <cell r="M1483"/>
        </row>
        <row r="1484">
          <cell r="B1484"/>
          <cell r="C1484"/>
          <cell r="E1484"/>
          <cell r="F1484"/>
          <cell r="G1484"/>
          <cell r="H1484"/>
          <cell r="J1484"/>
          <cell r="L1484"/>
          <cell r="M1484"/>
        </row>
        <row r="1485">
          <cell r="B1485"/>
          <cell r="C1485"/>
          <cell r="E1485"/>
          <cell r="F1485"/>
          <cell r="G1485"/>
          <cell r="H1485"/>
          <cell r="J1485"/>
          <cell r="L1485"/>
          <cell r="M1485"/>
        </row>
        <row r="1486">
          <cell r="B1486"/>
          <cell r="C1486"/>
          <cell r="E1486"/>
          <cell r="F1486"/>
          <cell r="G1486"/>
          <cell r="H1486"/>
          <cell r="J1486"/>
          <cell r="L1486"/>
          <cell r="M1486"/>
        </row>
        <row r="1487">
          <cell r="B1487"/>
          <cell r="C1487"/>
          <cell r="E1487"/>
          <cell r="F1487"/>
          <cell r="G1487"/>
          <cell r="H1487"/>
          <cell r="J1487"/>
          <cell r="L1487"/>
          <cell r="M1487"/>
        </row>
        <row r="1488">
          <cell r="B1488"/>
          <cell r="C1488"/>
          <cell r="E1488"/>
          <cell r="F1488"/>
          <cell r="G1488"/>
          <cell r="H1488"/>
          <cell r="J1488"/>
          <cell r="L1488"/>
          <cell r="M1488"/>
        </row>
        <row r="1489">
          <cell r="B1489"/>
          <cell r="C1489"/>
          <cell r="E1489"/>
          <cell r="F1489"/>
          <cell r="G1489"/>
          <cell r="H1489"/>
          <cell r="J1489"/>
          <cell r="L1489"/>
          <cell r="M1489"/>
        </row>
        <row r="1490">
          <cell r="B1490"/>
          <cell r="C1490"/>
          <cell r="E1490"/>
          <cell r="F1490"/>
          <cell r="G1490"/>
          <cell r="H1490"/>
          <cell r="J1490"/>
          <cell r="L1490"/>
          <cell r="M1490"/>
        </row>
        <row r="1491">
          <cell r="B1491"/>
          <cell r="C1491"/>
          <cell r="E1491"/>
          <cell r="F1491"/>
          <cell r="G1491"/>
          <cell r="H1491"/>
          <cell r="J1491"/>
          <cell r="L1491"/>
          <cell r="M1491"/>
        </row>
        <row r="1492">
          <cell r="B1492"/>
          <cell r="C1492"/>
          <cell r="E1492"/>
          <cell r="F1492"/>
          <cell r="G1492"/>
          <cell r="H1492"/>
          <cell r="J1492"/>
          <cell r="L1492"/>
          <cell r="M1492"/>
        </row>
        <row r="1493">
          <cell r="B1493"/>
          <cell r="C1493"/>
          <cell r="E1493"/>
          <cell r="F1493"/>
          <cell r="G1493"/>
          <cell r="H1493"/>
          <cell r="J1493"/>
          <cell r="L1493"/>
          <cell r="M1493"/>
        </row>
        <row r="1494">
          <cell r="B1494"/>
          <cell r="C1494"/>
          <cell r="E1494"/>
          <cell r="F1494"/>
          <cell r="G1494"/>
          <cell r="H1494"/>
          <cell r="J1494"/>
          <cell r="L1494"/>
          <cell r="M1494"/>
        </row>
        <row r="1495">
          <cell r="B1495"/>
          <cell r="C1495"/>
          <cell r="E1495"/>
          <cell r="F1495"/>
          <cell r="G1495"/>
          <cell r="H1495"/>
          <cell r="J1495"/>
          <cell r="L1495"/>
          <cell r="M1495"/>
        </row>
        <row r="1496">
          <cell r="B1496"/>
          <cell r="C1496"/>
          <cell r="E1496"/>
          <cell r="F1496"/>
          <cell r="G1496"/>
          <cell r="H1496"/>
          <cell r="J1496"/>
          <cell r="L1496"/>
          <cell r="M1496"/>
        </row>
        <row r="1497">
          <cell r="B1497"/>
          <cell r="C1497"/>
          <cell r="E1497"/>
          <cell r="F1497"/>
          <cell r="G1497"/>
          <cell r="H1497"/>
          <cell r="J1497"/>
          <cell r="L1497"/>
          <cell r="M1497"/>
        </row>
        <row r="1498">
          <cell r="B1498"/>
          <cell r="C1498"/>
          <cell r="E1498"/>
          <cell r="F1498"/>
          <cell r="G1498"/>
          <cell r="H1498"/>
          <cell r="J1498"/>
          <cell r="L1498"/>
          <cell r="M1498"/>
        </row>
        <row r="1499">
          <cell r="B1499"/>
          <cell r="C1499"/>
          <cell r="E1499"/>
          <cell r="F1499"/>
          <cell r="G1499"/>
          <cell r="H1499"/>
          <cell r="J1499"/>
          <cell r="L1499"/>
          <cell r="M1499"/>
        </row>
        <row r="1500">
          <cell r="B1500"/>
          <cell r="C1500"/>
          <cell r="E1500"/>
          <cell r="F1500"/>
          <cell r="G1500"/>
          <cell r="H1500"/>
          <cell r="J1500"/>
          <cell r="L1500"/>
          <cell r="M1500"/>
        </row>
        <row r="1501">
          <cell r="B1501"/>
          <cell r="C1501"/>
          <cell r="E1501"/>
          <cell r="F1501"/>
          <cell r="G1501"/>
          <cell r="H1501"/>
          <cell r="J1501"/>
          <cell r="L1501"/>
          <cell r="M1501"/>
        </row>
        <row r="1502">
          <cell r="B1502"/>
          <cell r="C1502"/>
          <cell r="E1502"/>
          <cell r="F1502"/>
          <cell r="G1502"/>
          <cell r="H1502"/>
          <cell r="J1502"/>
          <cell r="L1502"/>
          <cell r="M1502"/>
        </row>
        <row r="1503">
          <cell r="B1503"/>
          <cell r="C1503"/>
          <cell r="E1503"/>
          <cell r="F1503"/>
          <cell r="G1503"/>
          <cell r="H1503"/>
          <cell r="J1503"/>
          <cell r="L1503"/>
          <cell r="M1503"/>
        </row>
        <row r="1504">
          <cell r="B1504"/>
          <cell r="C1504"/>
          <cell r="E1504"/>
          <cell r="F1504"/>
          <cell r="G1504"/>
          <cell r="H1504"/>
          <cell r="J1504"/>
          <cell r="L1504"/>
          <cell r="M1504"/>
        </row>
        <row r="1505">
          <cell r="B1505"/>
          <cell r="C1505"/>
          <cell r="E1505"/>
          <cell r="F1505"/>
          <cell r="G1505"/>
          <cell r="H1505"/>
          <cell r="J1505"/>
          <cell r="L1505"/>
          <cell r="M1505"/>
        </row>
        <row r="1506">
          <cell r="B1506"/>
          <cell r="C1506"/>
          <cell r="E1506"/>
          <cell r="F1506"/>
          <cell r="G1506"/>
          <cell r="H1506"/>
          <cell r="J1506"/>
          <cell r="L1506"/>
          <cell r="M1506"/>
        </row>
        <row r="1507">
          <cell r="B1507"/>
          <cell r="C1507"/>
          <cell r="E1507"/>
          <cell r="F1507"/>
          <cell r="G1507"/>
          <cell r="H1507"/>
          <cell r="J1507"/>
          <cell r="L1507"/>
          <cell r="M1507"/>
        </row>
        <row r="1508">
          <cell r="B1508"/>
          <cell r="C1508"/>
          <cell r="E1508"/>
          <cell r="F1508"/>
          <cell r="G1508"/>
          <cell r="H1508"/>
          <cell r="J1508"/>
          <cell r="L1508"/>
          <cell r="M1508"/>
        </row>
        <row r="1509">
          <cell r="B1509"/>
          <cell r="C1509"/>
          <cell r="E1509"/>
          <cell r="F1509"/>
          <cell r="G1509"/>
          <cell r="H1509"/>
          <cell r="J1509"/>
          <cell r="L1509"/>
          <cell r="M1509"/>
        </row>
        <row r="1510">
          <cell r="B1510"/>
          <cell r="C1510"/>
          <cell r="E1510"/>
          <cell r="F1510"/>
          <cell r="G1510"/>
          <cell r="H1510"/>
          <cell r="J1510"/>
          <cell r="L1510"/>
          <cell r="M1510"/>
        </row>
        <row r="1511">
          <cell r="B1511"/>
          <cell r="C1511"/>
          <cell r="E1511"/>
          <cell r="F1511"/>
          <cell r="G1511"/>
          <cell r="H1511"/>
          <cell r="J1511"/>
          <cell r="L1511"/>
          <cell r="M1511"/>
        </row>
        <row r="1512">
          <cell r="B1512"/>
          <cell r="C1512"/>
          <cell r="E1512"/>
          <cell r="F1512"/>
          <cell r="G1512"/>
          <cell r="H1512"/>
          <cell r="J1512"/>
          <cell r="L1512"/>
          <cell r="M1512"/>
        </row>
        <row r="1513">
          <cell r="B1513"/>
          <cell r="C1513"/>
          <cell r="E1513"/>
          <cell r="F1513"/>
          <cell r="G1513"/>
          <cell r="H1513"/>
          <cell r="J1513"/>
          <cell r="L1513"/>
          <cell r="M1513"/>
        </row>
        <row r="1514">
          <cell r="B1514"/>
          <cell r="C1514"/>
          <cell r="E1514"/>
          <cell r="F1514"/>
          <cell r="G1514"/>
          <cell r="H1514"/>
          <cell r="J1514"/>
          <cell r="L1514"/>
          <cell r="M1514"/>
        </row>
        <row r="1515">
          <cell r="B1515"/>
          <cell r="C1515"/>
          <cell r="E1515"/>
          <cell r="F1515"/>
          <cell r="G1515"/>
          <cell r="H1515"/>
          <cell r="J1515"/>
          <cell r="L1515"/>
          <cell r="M1515"/>
        </row>
        <row r="1516">
          <cell r="B1516"/>
          <cell r="C1516"/>
          <cell r="E1516"/>
          <cell r="F1516"/>
          <cell r="G1516"/>
          <cell r="H1516"/>
          <cell r="J1516"/>
          <cell r="L1516"/>
          <cell r="M1516"/>
        </row>
        <row r="1517">
          <cell r="B1517"/>
          <cell r="C1517"/>
          <cell r="E1517"/>
          <cell r="F1517"/>
          <cell r="G1517"/>
          <cell r="H1517"/>
          <cell r="J1517"/>
          <cell r="L1517"/>
          <cell r="M1517"/>
        </row>
        <row r="1518">
          <cell r="B1518"/>
          <cell r="C1518"/>
          <cell r="E1518"/>
          <cell r="F1518"/>
          <cell r="G1518"/>
          <cell r="H1518"/>
          <cell r="J1518"/>
          <cell r="L1518"/>
          <cell r="M1518"/>
        </row>
        <row r="1519">
          <cell r="B1519"/>
          <cell r="C1519"/>
          <cell r="E1519"/>
          <cell r="F1519"/>
          <cell r="G1519"/>
          <cell r="H1519"/>
          <cell r="J1519"/>
          <cell r="L1519"/>
          <cell r="M1519"/>
        </row>
        <row r="1520">
          <cell r="B1520"/>
          <cell r="C1520"/>
          <cell r="E1520"/>
          <cell r="F1520"/>
          <cell r="G1520"/>
          <cell r="H1520"/>
          <cell r="J1520"/>
          <cell r="L1520"/>
          <cell r="M1520"/>
        </row>
        <row r="1521">
          <cell r="B1521"/>
          <cell r="C1521"/>
          <cell r="E1521"/>
          <cell r="F1521"/>
          <cell r="G1521"/>
          <cell r="H1521"/>
          <cell r="J1521"/>
          <cell r="L1521"/>
          <cell r="M1521"/>
        </row>
        <row r="1522">
          <cell r="B1522"/>
          <cell r="C1522"/>
          <cell r="E1522"/>
          <cell r="F1522"/>
          <cell r="G1522"/>
          <cell r="H1522"/>
          <cell r="J1522"/>
          <cell r="L1522"/>
          <cell r="M1522"/>
        </row>
        <row r="1523">
          <cell r="B1523"/>
          <cell r="C1523"/>
          <cell r="E1523"/>
          <cell r="F1523"/>
          <cell r="G1523"/>
          <cell r="H1523"/>
          <cell r="J1523"/>
          <cell r="L1523"/>
          <cell r="M1523"/>
        </row>
        <row r="1524">
          <cell r="B1524"/>
          <cell r="C1524"/>
          <cell r="E1524"/>
          <cell r="F1524"/>
          <cell r="G1524"/>
          <cell r="H1524"/>
          <cell r="J1524"/>
          <cell r="L1524"/>
          <cell r="M1524"/>
        </row>
        <row r="1525">
          <cell r="B1525"/>
          <cell r="C1525"/>
          <cell r="E1525"/>
          <cell r="F1525"/>
          <cell r="G1525"/>
          <cell r="H1525"/>
          <cell r="J1525"/>
          <cell r="L1525"/>
          <cell r="M1525"/>
        </row>
        <row r="1526">
          <cell r="B1526"/>
          <cell r="C1526"/>
          <cell r="E1526"/>
          <cell r="F1526"/>
          <cell r="G1526"/>
          <cell r="H1526"/>
          <cell r="J1526"/>
          <cell r="L1526"/>
          <cell r="M1526"/>
        </row>
        <row r="1527">
          <cell r="B1527"/>
          <cell r="C1527"/>
          <cell r="E1527"/>
          <cell r="F1527"/>
          <cell r="G1527"/>
          <cell r="H1527"/>
          <cell r="J1527"/>
          <cell r="L1527"/>
          <cell r="M1527"/>
        </row>
        <row r="1528">
          <cell r="B1528"/>
          <cell r="C1528"/>
          <cell r="E1528"/>
          <cell r="F1528"/>
          <cell r="G1528"/>
          <cell r="H1528"/>
          <cell r="J1528"/>
          <cell r="L1528"/>
          <cell r="M1528"/>
        </row>
        <row r="1529">
          <cell r="B1529"/>
          <cell r="C1529"/>
          <cell r="E1529"/>
          <cell r="F1529"/>
          <cell r="G1529"/>
          <cell r="H1529"/>
          <cell r="J1529"/>
          <cell r="L1529"/>
          <cell r="M1529"/>
        </row>
        <row r="1530">
          <cell r="B1530"/>
          <cell r="C1530"/>
          <cell r="E1530"/>
          <cell r="F1530"/>
          <cell r="G1530"/>
          <cell r="H1530"/>
          <cell r="J1530"/>
          <cell r="L1530"/>
          <cell r="M1530"/>
        </row>
        <row r="1531">
          <cell r="B1531"/>
          <cell r="C1531"/>
          <cell r="E1531"/>
          <cell r="F1531"/>
          <cell r="G1531"/>
          <cell r="H1531"/>
          <cell r="J1531"/>
          <cell r="L1531"/>
          <cell r="M1531"/>
        </row>
        <row r="1532">
          <cell r="B1532"/>
          <cell r="C1532"/>
          <cell r="E1532"/>
          <cell r="F1532"/>
          <cell r="G1532"/>
          <cell r="H1532"/>
          <cell r="J1532"/>
          <cell r="L1532"/>
          <cell r="M1532"/>
        </row>
        <row r="1533">
          <cell r="B1533"/>
          <cell r="C1533"/>
          <cell r="E1533"/>
          <cell r="F1533"/>
          <cell r="G1533"/>
          <cell r="H1533"/>
          <cell r="J1533"/>
          <cell r="L1533"/>
          <cell r="M1533"/>
        </row>
        <row r="1534">
          <cell r="B1534"/>
          <cell r="C1534"/>
          <cell r="E1534"/>
          <cell r="F1534"/>
          <cell r="G1534"/>
          <cell r="H1534"/>
          <cell r="J1534"/>
          <cell r="L1534"/>
          <cell r="M1534"/>
        </row>
        <row r="1535">
          <cell r="B1535"/>
          <cell r="C1535"/>
          <cell r="E1535"/>
          <cell r="F1535"/>
          <cell r="G1535"/>
          <cell r="H1535"/>
          <cell r="J1535"/>
          <cell r="L1535"/>
          <cell r="M1535"/>
        </row>
        <row r="1536">
          <cell r="B1536"/>
          <cell r="C1536"/>
          <cell r="E1536"/>
          <cell r="F1536"/>
          <cell r="G1536"/>
          <cell r="H1536"/>
          <cell r="J1536"/>
          <cell r="L1536"/>
          <cell r="M1536"/>
        </row>
        <row r="1537">
          <cell r="B1537"/>
          <cell r="C1537"/>
          <cell r="E1537"/>
          <cell r="F1537"/>
          <cell r="G1537"/>
          <cell r="H1537"/>
          <cell r="J1537"/>
          <cell r="L1537"/>
          <cell r="M1537"/>
        </row>
        <row r="1538">
          <cell r="B1538"/>
          <cell r="C1538"/>
          <cell r="E1538"/>
          <cell r="F1538"/>
          <cell r="G1538"/>
          <cell r="H1538"/>
          <cell r="J1538"/>
          <cell r="L1538"/>
          <cell r="M1538"/>
        </row>
        <row r="1539">
          <cell r="B1539"/>
          <cell r="C1539"/>
          <cell r="E1539"/>
          <cell r="F1539"/>
          <cell r="G1539"/>
          <cell r="H1539"/>
          <cell r="J1539"/>
          <cell r="L1539"/>
          <cell r="M1539"/>
        </row>
        <row r="1540">
          <cell r="B1540"/>
          <cell r="C1540"/>
          <cell r="E1540"/>
          <cell r="F1540"/>
          <cell r="G1540"/>
          <cell r="H1540"/>
          <cell r="J1540"/>
          <cell r="L1540"/>
          <cell r="M1540"/>
        </row>
        <row r="1541">
          <cell r="B1541"/>
          <cell r="C1541"/>
          <cell r="E1541"/>
          <cell r="F1541"/>
          <cell r="G1541"/>
          <cell r="H1541"/>
          <cell r="J1541"/>
          <cell r="L1541"/>
          <cell r="M1541"/>
        </row>
        <row r="1542">
          <cell r="B1542"/>
          <cell r="C1542"/>
          <cell r="E1542"/>
          <cell r="F1542"/>
          <cell r="G1542"/>
          <cell r="H1542"/>
          <cell r="J1542"/>
          <cell r="L1542"/>
          <cell r="M1542"/>
        </row>
        <row r="1543">
          <cell r="B1543"/>
          <cell r="C1543"/>
          <cell r="E1543"/>
          <cell r="F1543"/>
          <cell r="G1543"/>
          <cell r="H1543"/>
          <cell r="J1543"/>
          <cell r="L1543"/>
          <cell r="M1543"/>
        </row>
        <row r="1544">
          <cell r="B1544"/>
          <cell r="C1544"/>
          <cell r="E1544"/>
          <cell r="F1544"/>
          <cell r="G1544"/>
          <cell r="H1544"/>
          <cell r="J1544"/>
          <cell r="L1544"/>
          <cell r="M1544"/>
        </row>
        <row r="1545">
          <cell r="B1545"/>
          <cell r="C1545"/>
          <cell r="E1545"/>
          <cell r="F1545"/>
          <cell r="G1545"/>
          <cell r="H1545"/>
          <cell r="J1545"/>
          <cell r="L1545"/>
          <cell r="M1545"/>
        </row>
        <row r="1546">
          <cell r="B1546"/>
          <cell r="C1546"/>
          <cell r="E1546"/>
          <cell r="F1546"/>
          <cell r="G1546"/>
          <cell r="H1546"/>
          <cell r="J1546"/>
          <cell r="L1546"/>
          <cell r="M1546"/>
        </row>
        <row r="1547">
          <cell r="B1547"/>
          <cell r="C1547"/>
          <cell r="E1547"/>
          <cell r="F1547"/>
          <cell r="G1547"/>
          <cell r="H1547"/>
          <cell r="J1547"/>
          <cell r="L1547"/>
          <cell r="M1547"/>
        </row>
        <row r="1548">
          <cell r="B1548"/>
          <cell r="C1548"/>
          <cell r="E1548"/>
          <cell r="F1548"/>
          <cell r="G1548"/>
          <cell r="H1548"/>
          <cell r="J1548"/>
          <cell r="L1548"/>
          <cell r="M1548"/>
        </row>
        <row r="1549">
          <cell r="B1549"/>
          <cell r="C1549"/>
          <cell r="E1549"/>
          <cell r="F1549"/>
          <cell r="G1549"/>
          <cell r="H1549"/>
          <cell r="J1549"/>
          <cell r="L1549"/>
          <cell r="M1549"/>
        </row>
        <row r="1550">
          <cell r="B1550"/>
          <cell r="C1550"/>
          <cell r="E1550"/>
          <cell r="F1550"/>
          <cell r="G1550"/>
          <cell r="H1550"/>
          <cell r="J1550"/>
          <cell r="L1550"/>
          <cell r="M1550"/>
        </row>
        <row r="1551">
          <cell r="B1551"/>
          <cell r="C1551"/>
          <cell r="E1551"/>
          <cell r="F1551"/>
          <cell r="G1551"/>
          <cell r="H1551"/>
          <cell r="J1551"/>
          <cell r="L1551"/>
          <cell r="M1551"/>
        </row>
        <row r="1552">
          <cell r="B1552"/>
          <cell r="C1552"/>
          <cell r="E1552"/>
          <cell r="F1552"/>
          <cell r="G1552"/>
          <cell r="H1552"/>
          <cell r="J1552"/>
          <cell r="L1552"/>
          <cell r="M1552"/>
        </row>
        <row r="1553">
          <cell r="B1553"/>
          <cell r="C1553"/>
          <cell r="E1553"/>
          <cell r="F1553"/>
          <cell r="G1553"/>
          <cell r="H1553"/>
          <cell r="J1553"/>
          <cell r="L1553"/>
          <cell r="M1553"/>
        </row>
        <row r="1554">
          <cell r="B1554"/>
          <cell r="C1554"/>
          <cell r="E1554"/>
          <cell r="F1554"/>
          <cell r="G1554"/>
          <cell r="H1554"/>
          <cell r="J1554"/>
          <cell r="L1554"/>
          <cell r="M1554"/>
        </row>
        <row r="1555">
          <cell r="B1555"/>
          <cell r="C1555"/>
          <cell r="E1555"/>
          <cell r="F1555"/>
          <cell r="G1555"/>
          <cell r="H1555"/>
          <cell r="J1555"/>
          <cell r="L1555"/>
          <cell r="M1555"/>
        </row>
        <row r="1556">
          <cell r="B1556"/>
          <cell r="C1556"/>
          <cell r="E1556"/>
          <cell r="F1556"/>
          <cell r="G1556"/>
          <cell r="H1556"/>
          <cell r="J1556"/>
          <cell r="L1556"/>
          <cell r="M1556"/>
        </row>
        <row r="1557">
          <cell r="B1557"/>
          <cell r="C1557"/>
          <cell r="E1557"/>
          <cell r="F1557"/>
          <cell r="G1557"/>
          <cell r="H1557"/>
          <cell r="J1557"/>
          <cell r="L1557"/>
          <cell r="M1557"/>
        </row>
        <row r="1558">
          <cell r="B1558"/>
          <cell r="C1558"/>
          <cell r="E1558"/>
          <cell r="F1558"/>
          <cell r="G1558"/>
          <cell r="H1558"/>
          <cell r="J1558"/>
          <cell r="L1558"/>
          <cell r="M1558"/>
        </row>
        <row r="1559">
          <cell r="B1559"/>
          <cell r="C1559"/>
          <cell r="E1559"/>
          <cell r="F1559"/>
          <cell r="G1559"/>
          <cell r="H1559"/>
          <cell r="J1559"/>
          <cell r="L1559"/>
          <cell r="M1559"/>
        </row>
        <row r="1560">
          <cell r="B1560"/>
          <cell r="C1560"/>
          <cell r="E1560"/>
          <cell r="F1560"/>
          <cell r="G1560"/>
          <cell r="H1560"/>
          <cell r="J1560"/>
          <cell r="L1560"/>
          <cell r="M1560"/>
        </row>
        <row r="1561">
          <cell r="B1561"/>
          <cell r="C1561"/>
          <cell r="E1561"/>
          <cell r="F1561"/>
          <cell r="G1561"/>
          <cell r="H1561"/>
          <cell r="J1561"/>
          <cell r="L1561"/>
          <cell r="M1561"/>
        </row>
        <row r="1562">
          <cell r="B1562"/>
          <cell r="C1562"/>
          <cell r="E1562"/>
          <cell r="F1562"/>
          <cell r="G1562"/>
          <cell r="H1562"/>
          <cell r="J1562"/>
          <cell r="L1562"/>
          <cell r="M1562"/>
        </row>
        <row r="1563">
          <cell r="B1563"/>
          <cell r="C1563"/>
          <cell r="E1563"/>
          <cell r="F1563"/>
          <cell r="G1563"/>
          <cell r="H1563"/>
          <cell r="J1563"/>
          <cell r="L1563"/>
          <cell r="M1563"/>
        </row>
        <row r="1564">
          <cell r="B1564"/>
          <cell r="C1564"/>
          <cell r="E1564"/>
          <cell r="F1564"/>
          <cell r="G1564"/>
          <cell r="H1564"/>
          <cell r="J1564"/>
          <cell r="L1564"/>
          <cell r="M1564"/>
        </row>
        <row r="1565">
          <cell r="B1565"/>
          <cell r="C1565"/>
          <cell r="E1565"/>
          <cell r="F1565"/>
          <cell r="G1565"/>
          <cell r="H1565"/>
          <cell r="J1565"/>
          <cell r="L1565"/>
          <cell r="M1565"/>
        </row>
        <row r="1566">
          <cell r="B1566"/>
          <cell r="C1566"/>
          <cell r="E1566"/>
          <cell r="F1566"/>
          <cell r="G1566"/>
          <cell r="H1566"/>
          <cell r="J1566"/>
          <cell r="L1566"/>
          <cell r="M1566"/>
        </row>
        <row r="1567">
          <cell r="B1567"/>
          <cell r="C1567"/>
          <cell r="E1567"/>
          <cell r="F1567"/>
          <cell r="G1567"/>
          <cell r="H1567"/>
          <cell r="J1567"/>
          <cell r="L1567"/>
          <cell r="M1567"/>
        </row>
        <row r="1568">
          <cell r="B1568"/>
          <cell r="C1568"/>
          <cell r="E1568"/>
          <cell r="F1568"/>
          <cell r="G1568"/>
          <cell r="H1568"/>
          <cell r="J1568"/>
          <cell r="L1568"/>
          <cell r="M1568"/>
        </row>
        <row r="1569">
          <cell r="B1569"/>
          <cell r="C1569"/>
          <cell r="E1569"/>
          <cell r="F1569"/>
          <cell r="G1569"/>
          <cell r="H1569"/>
          <cell r="J1569"/>
          <cell r="L1569"/>
          <cell r="M1569"/>
        </row>
        <row r="1570">
          <cell r="B1570"/>
          <cell r="C1570"/>
          <cell r="E1570"/>
          <cell r="F1570"/>
          <cell r="G1570"/>
          <cell r="H1570"/>
          <cell r="J1570"/>
          <cell r="L1570"/>
          <cell r="M1570"/>
        </row>
        <row r="1571">
          <cell r="B1571"/>
          <cell r="C1571"/>
          <cell r="E1571"/>
          <cell r="F1571"/>
          <cell r="G1571"/>
          <cell r="H1571"/>
          <cell r="J1571"/>
          <cell r="L1571"/>
          <cell r="M1571"/>
        </row>
        <row r="1572">
          <cell r="B1572"/>
          <cell r="C1572"/>
          <cell r="E1572"/>
          <cell r="F1572"/>
          <cell r="G1572"/>
          <cell r="H1572"/>
          <cell r="J1572"/>
          <cell r="L1572"/>
          <cell r="M1572"/>
        </row>
        <row r="1573">
          <cell r="B1573"/>
          <cell r="C1573"/>
          <cell r="E1573"/>
          <cell r="F1573"/>
          <cell r="G1573"/>
          <cell r="H1573"/>
          <cell r="J1573"/>
          <cell r="L1573"/>
          <cell r="M1573"/>
        </row>
        <row r="1574">
          <cell r="B1574"/>
          <cell r="C1574"/>
          <cell r="E1574"/>
          <cell r="F1574"/>
          <cell r="G1574"/>
          <cell r="H1574"/>
          <cell r="J1574"/>
          <cell r="L1574"/>
          <cell r="M1574"/>
        </row>
        <row r="1575">
          <cell r="B1575"/>
          <cell r="C1575"/>
          <cell r="E1575"/>
          <cell r="F1575"/>
          <cell r="G1575"/>
          <cell r="H1575"/>
          <cell r="J1575"/>
          <cell r="L1575"/>
          <cell r="M1575"/>
        </row>
        <row r="1576">
          <cell r="B1576"/>
          <cell r="C1576"/>
          <cell r="E1576"/>
          <cell r="F1576"/>
          <cell r="G1576"/>
          <cell r="H1576"/>
          <cell r="J1576"/>
          <cell r="L1576"/>
          <cell r="M1576"/>
        </row>
        <row r="1577">
          <cell r="B1577"/>
          <cell r="C1577"/>
          <cell r="E1577"/>
          <cell r="F1577"/>
          <cell r="G1577"/>
          <cell r="H1577"/>
          <cell r="J1577"/>
          <cell r="L1577"/>
          <cell r="M1577"/>
        </row>
        <row r="1578">
          <cell r="B1578"/>
          <cell r="C1578"/>
          <cell r="E1578"/>
          <cell r="F1578"/>
          <cell r="G1578"/>
          <cell r="H1578"/>
          <cell r="J1578"/>
          <cell r="L1578"/>
          <cell r="M1578"/>
        </row>
        <row r="1579">
          <cell r="B1579"/>
          <cell r="C1579"/>
          <cell r="E1579"/>
          <cell r="F1579"/>
          <cell r="G1579"/>
          <cell r="H1579"/>
          <cell r="J1579"/>
          <cell r="L1579"/>
          <cell r="M1579"/>
        </row>
        <row r="1580">
          <cell r="B1580"/>
          <cell r="C1580"/>
          <cell r="E1580"/>
          <cell r="F1580"/>
          <cell r="G1580"/>
          <cell r="H1580"/>
          <cell r="J1580"/>
          <cell r="L1580"/>
          <cell r="M1580"/>
        </row>
        <row r="1581">
          <cell r="B1581"/>
          <cell r="C1581"/>
          <cell r="E1581"/>
          <cell r="F1581"/>
          <cell r="G1581"/>
          <cell r="H1581"/>
          <cell r="J1581"/>
          <cell r="L1581"/>
          <cell r="M1581"/>
        </row>
        <row r="1582">
          <cell r="B1582"/>
          <cell r="C1582"/>
          <cell r="E1582"/>
          <cell r="F1582"/>
          <cell r="G1582"/>
          <cell r="H1582"/>
          <cell r="J1582"/>
          <cell r="L1582"/>
          <cell r="M1582"/>
        </row>
        <row r="1583">
          <cell r="B1583"/>
          <cell r="C1583"/>
          <cell r="E1583"/>
          <cell r="F1583"/>
          <cell r="G1583"/>
          <cell r="H1583"/>
          <cell r="J1583"/>
          <cell r="L1583"/>
          <cell r="M1583"/>
        </row>
        <row r="1584">
          <cell r="B1584"/>
          <cell r="C1584"/>
          <cell r="E1584"/>
          <cell r="F1584"/>
          <cell r="G1584"/>
          <cell r="H1584"/>
          <cell r="J1584"/>
          <cell r="L1584"/>
          <cell r="M1584"/>
        </row>
        <row r="1585">
          <cell r="B1585"/>
          <cell r="C1585"/>
          <cell r="E1585"/>
          <cell r="F1585"/>
          <cell r="G1585"/>
          <cell r="H1585"/>
          <cell r="J1585"/>
          <cell r="L1585"/>
          <cell r="M1585"/>
        </row>
        <row r="1586">
          <cell r="B1586"/>
          <cell r="C1586"/>
          <cell r="E1586"/>
          <cell r="F1586"/>
          <cell r="G1586"/>
          <cell r="H1586"/>
          <cell r="J1586"/>
          <cell r="L1586"/>
          <cell r="M1586"/>
        </row>
        <row r="1587">
          <cell r="B1587"/>
          <cell r="C1587"/>
          <cell r="E1587"/>
          <cell r="F1587"/>
          <cell r="G1587"/>
          <cell r="H1587"/>
          <cell r="J1587"/>
          <cell r="L1587"/>
          <cell r="M1587"/>
        </row>
        <row r="1588">
          <cell r="B1588"/>
          <cell r="C1588"/>
          <cell r="E1588"/>
          <cell r="F1588"/>
          <cell r="G1588"/>
          <cell r="H1588"/>
          <cell r="J1588"/>
          <cell r="L1588"/>
          <cell r="M1588"/>
        </row>
        <row r="1589">
          <cell r="B1589"/>
          <cell r="C1589"/>
          <cell r="E1589"/>
          <cell r="F1589"/>
          <cell r="G1589"/>
          <cell r="H1589"/>
          <cell r="J1589"/>
          <cell r="L1589"/>
          <cell r="M1589"/>
        </row>
        <row r="1590">
          <cell r="B1590"/>
          <cell r="C1590"/>
          <cell r="E1590"/>
          <cell r="F1590"/>
          <cell r="G1590"/>
          <cell r="H1590"/>
          <cell r="J1590"/>
          <cell r="L1590"/>
          <cell r="M1590"/>
        </row>
        <row r="1591">
          <cell r="B1591"/>
          <cell r="C1591"/>
          <cell r="E1591"/>
          <cell r="F1591"/>
          <cell r="G1591"/>
          <cell r="H1591"/>
          <cell r="J1591"/>
          <cell r="L1591"/>
          <cell r="M1591"/>
        </row>
        <row r="1592">
          <cell r="B1592"/>
          <cell r="C1592"/>
          <cell r="E1592"/>
          <cell r="F1592"/>
          <cell r="G1592"/>
          <cell r="H1592"/>
          <cell r="J1592"/>
          <cell r="L1592"/>
          <cell r="M1592"/>
        </row>
        <row r="1593">
          <cell r="B1593"/>
          <cell r="C1593"/>
          <cell r="E1593"/>
          <cell r="F1593"/>
          <cell r="G1593"/>
          <cell r="H1593"/>
          <cell r="J1593"/>
          <cell r="L1593"/>
          <cell r="M1593"/>
        </row>
        <row r="1594">
          <cell r="B1594"/>
          <cell r="C1594"/>
          <cell r="E1594"/>
          <cell r="F1594"/>
          <cell r="G1594"/>
          <cell r="H1594"/>
          <cell r="J1594"/>
          <cell r="L1594"/>
          <cell r="M1594"/>
        </row>
        <row r="1595">
          <cell r="B1595"/>
          <cell r="C1595"/>
          <cell r="E1595"/>
          <cell r="F1595"/>
          <cell r="G1595"/>
          <cell r="H1595"/>
          <cell r="J1595"/>
          <cell r="L1595"/>
          <cell r="M1595"/>
        </row>
        <row r="1596">
          <cell r="B1596"/>
          <cell r="C1596"/>
          <cell r="E1596"/>
          <cell r="F1596"/>
          <cell r="G1596"/>
          <cell r="H1596"/>
          <cell r="J1596"/>
          <cell r="L1596"/>
          <cell r="M1596"/>
        </row>
        <row r="1597">
          <cell r="B1597"/>
          <cell r="C1597"/>
          <cell r="E1597"/>
          <cell r="F1597"/>
          <cell r="G1597"/>
          <cell r="H1597"/>
          <cell r="J1597"/>
          <cell r="L1597"/>
          <cell r="M1597"/>
        </row>
        <row r="1598">
          <cell r="B1598"/>
          <cell r="C1598"/>
          <cell r="E1598"/>
          <cell r="F1598"/>
          <cell r="G1598"/>
          <cell r="H1598"/>
          <cell r="J1598"/>
          <cell r="L1598"/>
          <cell r="M1598"/>
        </row>
        <row r="1599">
          <cell r="B1599"/>
          <cell r="C1599"/>
          <cell r="E1599"/>
          <cell r="F1599"/>
          <cell r="G1599"/>
          <cell r="H1599"/>
          <cell r="J1599"/>
          <cell r="L1599"/>
          <cell r="M1599"/>
        </row>
        <row r="1600">
          <cell r="B1600"/>
          <cell r="C1600"/>
          <cell r="E1600"/>
          <cell r="F1600"/>
          <cell r="G1600"/>
          <cell r="H1600"/>
          <cell r="J1600"/>
          <cell r="L1600"/>
          <cell r="M1600"/>
        </row>
        <row r="1601">
          <cell r="B1601"/>
          <cell r="C1601"/>
          <cell r="E1601"/>
          <cell r="F1601"/>
          <cell r="G1601"/>
          <cell r="H1601"/>
          <cell r="J1601"/>
          <cell r="L1601"/>
          <cell r="M1601"/>
        </row>
        <row r="1602">
          <cell r="B1602"/>
          <cell r="C1602"/>
          <cell r="E1602"/>
          <cell r="F1602"/>
          <cell r="G1602"/>
          <cell r="H1602"/>
          <cell r="J1602"/>
          <cell r="L1602"/>
          <cell r="M1602"/>
        </row>
        <row r="1603">
          <cell r="B1603"/>
          <cell r="C1603"/>
          <cell r="E1603"/>
          <cell r="F1603"/>
          <cell r="G1603"/>
          <cell r="H1603"/>
          <cell r="J1603"/>
          <cell r="L1603"/>
          <cell r="M1603"/>
        </row>
        <row r="1604">
          <cell r="B1604"/>
          <cell r="C1604"/>
          <cell r="E1604"/>
          <cell r="F1604"/>
          <cell r="G1604"/>
          <cell r="H1604"/>
          <cell r="J1604"/>
          <cell r="L1604"/>
          <cell r="M1604"/>
        </row>
        <row r="1605">
          <cell r="B1605"/>
          <cell r="C1605"/>
          <cell r="E1605"/>
          <cell r="F1605"/>
          <cell r="G1605"/>
          <cell r="H1605"/>
          <cell r="J1605"/>
          <cell r="L1605"/>
          <cell r="M1605"/>
        </row>
        <row r="1606">
          <cell r="B1606"/>
          <cell r="C1606"/>
          <cell r="E1606"/>
          <cell r="F1606"/>
          <cell r="G1606"/>
          <cell r="H1606"/>
          <cell r="J1606"/>
          <cell r="L1606"/>
          <cell r="M1606"/>
        </row>
        <row r="1607">
          <cell r="B1607"/>
          <cell r="C1607"/>
          <cell r="E1607"/>
          <cell r="F1607"/>
          <cell r="G1607"/>
          <cell r="H1607"/>
          <cell r="J1607"/>
          <cell r="L1607"/>
          <cell r="M1607"/>
        </row>
        <row r="1608">
          <cell r="B1608"/>
          <cell r="C1608"/>
          <cell r="E1608"/>
          <cell r="F1608"/>
          <cell r="G1608"/>
          <cell r="H1608"/>
          <cell r="J1608"/>
          <cell r="L1608"/>
          <cell r="M1608"/>
        </row>
        <row r="1609">
          <cell r="B1609"/>
          <cell r="C1609"/>
          <cell r="E1609"/>
          <cell r="F1609"/>
          <cell r="G1609"/>
          <cell r="H1609"/>
          <cell r="J1609"/>
          <cell r="L1609"/>
          <cell r="M1609"/>
        </row>
        <row r="1610">
          <cell r="B1610"/>
          <cell r="C1610"/>
          <cell r="E1610"/>
          <cell r="F1610"/>
          <cell r="G1610"/>
          <cell r="H1610"/>
          <cell r="J1610"/>
          <cell r="L1610"/>
          <cell r="M1610"/>
        </row>
        <row r="1611">
          <cell r="B1611"/>
          <cell r="C1611"/>
          <cell r="E1611"/>
          <cell r="F1611"/>
          <cell r="G1611"/>
          <cell r="H1611"/>
          <cell r="J1611"/>
          <cell r="L1611"/>
          <cell r="M1611"/>
        </row>
        <row r="1612">
          <cell r="B1612"/>
          <cell r="C1612"/>
          <cell r="E1612"/>
          <cell r="F1612"/>
          <cell r="G1612"/>
          <cell r="H1612"/>
          <cell r="J1612"/>
          <cell r="L1612"/>
          <cell r="M1612"/>
        </row>
        <row r="1613">
          <cell r="B1613"/>
          <cell r="C1613"/>
          <cell r="E1613"/>
          <cell r="F1613"/>
          <cell r="G1613"/>
          <cell r="H1613"/>
          <cell r="J1613"/>
          <cell r="L1613"/>
          <cell r="M1613"/>
        </row>
        <row r="1614">
          <cell r="B1614"/>
          <cell r="C1614"/>
          <cell r="E1614"/>
          <cell r="F1614"/>
          <cell r="G1614"/>
          <cell r="H1614"/>
          <cell r="J1614"/>
          <cell r="L1614"/>
          <cell r="M1614"/>
        </row>
        <row r="1615">
          <cell r="B1615"/>
          <cell r="C1615"/>
          <cell r="E1615"/>
          <cell r="F1615"/>
          <cell r="G1615"/>
          <cell r="H1615"/>
          <cell r="J1615"/>
          <cell r="L1615"/>
          <cell r="M1615"/>
        </row>
        <row r="1616">
          <cell r="B1616"/>
          <cell r="C1616"/>
          <cell r="E1616"/>
          <cell r="F1616"/>
          <cell r="G1616"/>
          <cell r="H1616"/>
          <cell r="J1616"/>
          <cell r="L1616"/>
          <cell r="M1616"/>
        </row>
        <row r="1617">
          <cell r="B1617"/>
          <cell r="C1617"/>
          <cell r="E1617"/>
          <cell r="F1617"/>
          <cell r="G1617"/>
          <cell r="H1617"/>
          <cell r="J1617"/>
          <cell r="L1617"/>
          <cell r="M1617"/>
        </row>
        <row r="1618">
          <cell r="B1618"/>
          <cell r="C1618"/>
          <cell r="E1618"/>
          <cell r="F1618"/>
          <cell r="G1618"/>
          <cell r="H1618"/>
          <cell r="J1618"/>
          <cell r="L1618"/>
          <cell r="M1618"/>
        </row>
        <row r="1619">
          <cell r="B1619"/>
          <cell r="C1619"/>
          <cell r="E1619"/>
          <cell r="F1619"/>
          <cell r="G1619"/>
          <cell r="H1619"/>
          <cell r="J1619"/>
          <cell r="L1619"/>
          <cell r="M1619"/>
        </row>
        <row r="1620">
          <cell r="B1620"/>
          <cell r="C1620"/>
          <cell r="E1620"/>
          <cell r="F1620"/>
          <cell r="G1620"/>
          <cell r="H1620"/>
          <cell r="J1620"/>
          <cell r="L1620"/>
          <cell r="M1620"/>
        </row>
        <row r="1621">
          <cell r="B1621"/>
          <cell r="C1621"/>
          <cell r="E1621"/>
          <cell r="F1621"/>
          <cell r="G1621"/>
          <cell r="H1621"/>
          <cell r="J1621"/>
          <cell r="L1621"/>
          <cell r="M1621"/>
        </row>
        <row r="1622">
          <cell r="B1622"/>
          <cell r="C1622"/>
          <cell r="E1622"/>
          <cell r="F1622"/>
          <cell r="G1622"/>
          <cell r="H1622"/>
          <cell r="J1622"/>
          <cell r="L1622"/>
          <cell r="M1622"/>
        </row>
        <row r="1623">
          <cell r="B1623"/>
          <cell r="C1623"/>
          <cell r="E1623"/>
          <cell r="F1623"/>
          <cell r="G1623"/>
          <cell r="H1623"/>
          <cell r="J1623"/>
          <cell r="L1623"/>
          <cell r="M1623"/>
        </row>
        <row r="1624">
          <cell r="B1624"/>
          <cell r="C1624"/>
          <cell r="E1624"/>
          <cell r="F1624"/>
          <cell r="G1624"/>
          <cell r="H1624"/>
          <cell r="J1624"/>
          <cell r="L1624"/>
          <cell r="M1624"/>
        </row>
        <row r="1625">
          <cell r="B1625"/>
          <cell r="C1625"/>
          <cell r="E1625"/>
          <cell r="F1625"/>
          <cell r="G1625"/>
          <cell r="H1625"/>
          <cell r="J1625"/>
          <cell r="L1625"/>
          <cell r="M1625"/>
        </row>
        <row r="1626">
          <cell r="B1626"/>
          <cell r="C1626"/>
          <cell r="E1626"/>
          <cell r="F1626"/>
          <cell r="G1626"/>
          <cell r="H1626"/>
          <cell r="J1626"/>
          <cell r="L1626"/>
          <cell r="M1626"/>
        </row>
        <row r="1627">
          <cell r="B1627"/>
          <cell r="C1627"/>
          <cell r="E1627"/>
          <cell r="F1627"/>
          <cell r="G1627"/>
          <cell r="H1627"/>
          <cell r="J1627"/>
          <cell r="L1627"/>
          <cell r="M1627"/>
        </row>
        <row r="1628">
          <cell r="B1628"/>
          <cell r="C1628"/>
          <cell r="E1628"/>
          <cell r="F1628"/>
          <cell r="G1628"/>
          <cell r="H1628"/>
          <cell r="J1628"/>
          <cell r="L1628"/>
          <cell r="M1628"/>
        </row>
        <row r="1629">
          <cell r="B1629"/>
          <cell r="C1629"/>
          <cell r="E1629"/>
          <cell r="F1629"/>
          <cell r="G1629"/>
          <cell r="H1629"/>
          <cell r="J1629"/>
          <cell r="L1629"/>
          <cell r="M1629"/>
        </row>
        <row r="1630">
          <cell r="B1630"/>
          <cell r="C1630"/>
          <cell r="E1630"/>
          <cell r="F1630"/>
          <cell r="G1630"/>
          <cell r="H1630"/>
          <cell r="J1630"/>
          <cell r="L1630"/>
          <cell r="M1630"/>
        </row>
        <row r="1631">
          <cell r="B1631"/>
          <cell r="C1631"/>
          <cell r="E1631"/>
          <cell r="F1631"/>
          <cell r="G1631"/>
          <cell r="H1631"/>
          <cell r="J1631"/>
          <cell r="L1631"/>
          <cell r="M1631"/>
        </row>
        <row r="1632">
          <cell r="B1632"/>
          <cell r="C1632"/>
          <cell r="E1632"/>
          <cell r="F1632"/>
          <cell r="G1632"/>
          <cell r="H1632"/>
          <cell r="J1632"/>
          <cell r="L1632"/>
          <cell r="M1632"/>
        </row>
        <row r="1633">
          <cell r="B1633"/>
          <cell r="C1633"/>
          <cell r="E1633"/>
          <cell r="F1633"/>
          <cell r="G1633"/>
          <cell r="H1633"/>
          <cell r="J1633"/>
          <cell r="L1633"/>
          <cell r="M1633"/>
        </row>
        <row r="1634">
          <cell r="B1634"/>
          <cell r="C1634"/>
          <cell r="E1634"/>
          <cell r="F1634"/>
          <cell r="G1634"/>
          <cell r="H1634"/>
          <cell r="J1634"/>
          <cell r="L1634"/>
          <cell r="M1634"/>
        </row>
        <row r="1635">
          <cell r="B1635"/>
          <cell r="C1635"/>
          <cell r="E1635"/>
          <cell r="F1635"/>
          <cell r="G1635"/>
          <cell r="H1635"/>
          <cell r="J1635"/>
          <cell r="L1635"/>
          <cell r="M1635"/>
        </row>
        <row r="1636">
          <cell r="B1636"/>
          <cell r="C1636"/>
          <cell r="E1636"/>
          <cell r="F1636"/>
          <cell r="G1636"/>
          <cell r="H1636"/>
          <cell r="J1636"/>
          <cell r="L1636"/>
          <cell r="M1636"/>
        </row>
        <row r="1637">
          <cell r="B1637"/>
          <cell r="C1637"/>
          <cell r="E1637"/>
          <cell r="F1637"/>
          <cell r="G1637"/>
          <cell r="H1637"/>
          <cell r="J1637"/>
          <cell r="L1637"/>
          <cell r="M1637"/>
        </row>
        <row r="1638">
          <cell r="B1638"/>
          <cell r="C1638"/>
          <cell r="E1638"/>
          <cell r="F1638"/>
          <cell r="G1638"/>
          <cell r="H1638"/>
          <cell r="J1638"/>
          <cell r="L1638"/>
          <cell r="M1638"/>
        </row>
        <row r="1639">
          <cell r="B1639"/>
          <cell r="C1639"/>
          <cell r="E1639"/>
          <cell r="F1639"/>
          <cell r="G1639"/>
          <cell r="H1639"/>
          <cell r="J1639"/>
          <cell r="L1639"/>
          <cell r="M1639"/>
        </row>
        <row r="1640">
          <cell r="B1640"/>
          <cell r="C1640"/>
          <cell r="E1640"/>
          <cell r="F1640"/>
          <cell r="G1640"/>
          <cell r="H1640"/>
          <cell r="J1640"/>
          <cell r="L1640"/>
          <cell r="M1640"/>
        </row>
        <row r="1641">
          <cell r="B1641"/>
          <cell r="C1641"/>
          <cell r="E1641"/>
          <cell r="F1641"/>
          <cell r="G1641"/>
          <cell r="H1641"/>
          <cell r="J1641"/>
          <cell r="L1641"/>
          <cell r="M1641"/>
        </row>
        <row r="1642">
          <cell r="B1642"/>
          <cell r="C1642"/>
          <cell r="E1642"/>
          <cell r="F1642"/>
          <cell r="G1642"/>
          <cell r="H1642"/>
          <cell r="J1642"/>
          <cell r="L1642"/>
          <cell r="M1642"/>
        </row>
        <row r="1643">
          <cell r="B1643"/>
          <cell r="C1643"/>
          <cell r="E1643"/>
          <cell r="F1643"/>
          <cell r="G1643"/>
          <cell r="H1643"/>
          <cell r="J1643"/>
          <cell r="L1643"/>
          <cell r="M1643"/>
        </row>
        <row r="1644">
          <cell r="B1644"/>
          <cell r="C1644"/>
          <cell r="E1644"/>
          <cell r="F1644"/>
          <cell r="G1644"/>
          <cell r="H1644"/>
          <cell r="J1644"/>
          <cell r="L1644"/>
          <cell r="M1644"/>
        </row>
        <row r="1645">
          <cell r="B1645"/>
          <cell r="C1645"/>
          <cell r="E1645"/>
          <cell r="F1645"/>
          <cell r="G1645"/>
          <cell r="H1645"/>
          <cell r="J1645"/>
          <cell r="L1645"/>
          <cell r="M1645"/>
        </row>
        <row r="1646">
          <cell r="B1646"/>
          <cell r="C1646"/>
          <cell r="E1646"/>
          <cell r="F1646"/>
          <cell r="G1646"/>
          <cell r="H1646"/>
          <cell r="J1646"/>
          <cell r="L1646"/>
          <cell r="M1646"/>
        </row>
        <row r="1647">
          <cell r="B1647"/>
          <cell r="C1647"/>
          <cell r="E1647"/>
          <cell r="F1647"/>
          <cell r="G1647"/>
          <cell r="H1647"/>
          <cell r="J1647"/>
          <cell r="L1647"/>
          <cell r="M1647"/>
        </row>
        <row r="1648">
          <cell r="B1648"/>
          <cell r="C1648"/>
          <cell r="E1648"/>
          <cell r="F1648"/>
          <cell r="G1648"/>
          <cell r="H1648"/>
          <cell r="J1648"/>
          <cell r="L1648"/>
          <cell r="M1648"/>
        </row>
        <row r="1649">
          <cell r="B1649"/>
          <cell r="C1649"/>
          <cell r="E1649"/>
          <cell r="F1649"/>
          <cell r="G1649"/>
          <cell r="H1649"/>
          <cell r="J1649"/>
          <cell r="L1649"/>
          <cell r="M1649"/>
        </row>
        <row r="1650">
          <cell r="B1650"/>
          <cell r="C1650"/>
          <cell r="E1650"/>
          <cell r="F1650"/>
          <cell r="G1650"/>
          <cell r="H1650"/>
          <cell r="J1650"/>
          <cell r="L1650"/>
          <cell r="M1650"/>
        </row>
        <row r="1651">
          <cell r="B1651"/>
          <cell r="C1651"/>
          <cell r="E1651"/>
          <cell r="F1651"/>
          <cell r="G1651"/>
          <cell r="H1651"/>
          <cell r="J1651"/>
          <cell r="L1651"/>
          <cell r="M1651"/>
        </row>
        <row r="1652">
          <cell r="B1652"/>
          <cell r="C1652"/>
          <cell r="E1652"/>
          <cell r="F1652"/>
          <cell r="G1652"/>
          <cell r="H1652"/>
          <cell r="J1652"/>
          <cell r="L1652"/>
          <cell r="M1652"/>
        </row>
        <row r="1653">
          <cell r="B1653"/>
          <cell r="C1653"/>
          <cell r="E1653"/>
          <cell r="F1653"/>
          <cell r="G1653"/>
          <cell r="H1653"/>
          <cell r="J1653"/>
          <cell r="L1653"/>
          <cell r="M1653"/>
        </row>
        <row r="1654">
          <cell r="B1654"/>
          <cell r="C1654"/>
          <cell r="E1654"/>
          <cell r="F1654"/>
          <cell r="G1654"/>
          <cell r="H1654"/>
          <cell r="J1654"/>
          <cell r="L1654"/>
          <cell r="M1654"/>
        </row>
        <row r="1655">
          <cell r="B1655"/>
          <cell r="C1655"/>
          <cell r="E1655"/>
          <cell r="F1655"/>
          <cell r="G1655"/>
          <cell r="H1655"/>
          <cell r="J1655"/>
          <cell r="L1655"/>
          <cell r="M1655"/>
        </row>
        <row r="1656">
          <cell r="B1656"/>
          <cell r="C1656"/>
          <cell r="E1656"/>
          <cell r="F1656"/>
          <cell r="G1656"/>
          <cell r="H1656"/>
          <cell r="J1656"/>
          <cell r="L1656"/>
          <cell r="M1656"/>
        </row>
        <row r="1657">
          <cell r="B1657"/>
          <cell r="C1657"/>
          <cell r="E1657"/>
          <cell r="F1657"/>
          <cell r="G1657"/>
          <cell r="H1657"/>
          <cell r="J1657"/>
          <cell r="L1657"/>
          <cell r="M1657"/>
        </row>
        <row r="1658">
          <cell r="B1658"/>
          <cell r="C1658"/>
          <cell r="E1658"/>
          <cell r="F1658"/>
          <cell r="G1658"/>
          <cell r="H1658"/>
          <cell r="J1658"/>
          <cell r="L1658"/>
          <cell r="M1658"/>
        </row>
        <row r="1659">
          <cell r="B1659"/>
          <cell r="C1659"/>
          <cell r="E1659"/>
          <cell r="F1659"/>
          <cell r="G1659"/>
          <cell r="H1659"/>
          <cell r="J1659"/>
          <cell r="L1659"/>
          <cell r="M1659"/>
        </row>
        <row r="1660">
          <cell r="B1660"/>
          <cell r="C1660"/>
          <cell r="E1660"/>
          <cell r="F1660"/>
          <cell r="G1660"/>
          <cell r="H1660"/>
          <cell r="J1660"/>
          <cell r="L1660"/>
          <cell r="M1660"/>
        </row>
        <row r="1661">
          <cell r="B1661"/>
          <cell r="C1661"/>
          <cell r="E1661"/>
          <cell r="F1661"/>
          <cell r="G1661"/>
          <cell r="H1661"/>
          <cell r="J1661"/>
          <cell r="L1661"/>
          <cell r="M1661"/>
        </row>
        <row r="1662">
          <cell r="B1662"/>
          <cell r="C1662"/>
          <cell r="E1662"/>
          <cell r="F1662"/>
          <cell r="G1662"/>
          <cell r="H1662"/>
          <cell r="J1662"/>
          <cell r="L1662"/>
          <cell r="M1662"/>
        </row>
        <row r="1663">
          <cell r="B1663"/>
          <cell r="C1663"/>
          <cell r="E1663"/>
          <cell r="F1663"/>
          <cell r="G1663"/>
          <cell r="H1663"/>
          <cell r="J1663"/>
          <cell r="L1663"/>
          <cell r="M1663"/>
        </row>
        <row r="1664">
          <cell r="B1664"/>
          <cell r="C1664"/>
          <cell r="E1664"/>
          <cell r="F1664"/>
          <cell r="G1664"/>
          <cell r="H1664"/>
          <cell r="J1664"/>
          <cell r="L1664"/>
          <cell r="M1664"/>
        </row>
        <row r="1665">
          <cell r="B1665"/>
          <cell r="C1665"/>
          <cell r="E1665"/>
          <cell r="F1665"/>
          <cell r="G1665"/>
          <cell r="H1665"/>
          <cell r="J1665"/>
          <cell r="L1665"/>
          <cell r="M1665"/>
        </row>
        <row r="1666">
          <cell r="B1666"/>
          <cell r="C1666"/>
          <cell r="E1666"/>
          <cell r="F1666"/>
          <cell r="G1666"/>
          <cell r="H1666"/>
          <cell r="J1666"/>
          <cell r="L1666"/>
          <cell r="M1666"/>
        </row>
        <row r="1667">
          <cell r="B1667"/>
          <cell r="C1667"/>
          <cell r="E1667"/>
          <cell r="F1667"/>
          <cell r="G1667"/>
          <cell r="H1667"/>
          <cell r="J1667"/>
          <cell r="L1667"/>
          <cell r="M1667"/>
        </row>
        <row r="1668">
          <cell r="B1668"/>
          <cell r="C1668"/>
          <cell r="E1668"/>
          <cell r="F1668"/>
          <cell r="G1668"/>
          <cell r="H1668"/>
          <cell r="J1668"/>
          <cell r="L1668"/>
          <cell r="M1668"/>
        </row>
        <row r="1669">
          <cell r="B1669"/>
          <cell r="C1669"/>
          <cell r="E1669"/>
          <cell r="F1669"/>
          <cell r="G1669"/>
          <cell r="H1669"/>
          <cell r="J1669"/>
          <cell r="L1669"/>
          <cell r="M1669"/>
        </row>
        <row r="1670">
          <cell r="B1670"/>
          <cell r="C1670"/>
          <cell r="E1670"/>
          <cell r="F1670"/>
          <cell r="G1670"/>
          <cell r="H1670"/>
          <cell r="J1670"/>
          <cell r="L1670"/>
          <cell r="M1670"/>
        </row>
        <row r="1671">
          <cell r="B1671"/>
          <cell r="C1671"/>
          <cell r="E1671"/>
          <cell r="F1671"/>
          <cell r="G1671"/>
          <cell r="H1671"/>
          <cell r="J1671"/>
          <cell r="L1671"/>
          <cell r="M1671"/>
        </row>
        <row r="1672">
          <cell r="B1672"/>
          <cell r="C1672"/>
          <cell r="E1672"/>
          <cell r="F1672"/>
          <cell r="G1672"/>
          <cell r="H1672"/>
          <cell r="J1672"/>
          <cell r="L1672"/>
          <cell r="M1672"/>
        </row>
        <row r="1673">
          <cell r="B1673"/>
          <cell r="C1673"/>
          <cell r="E1673"/>
          <cell r="F1673"/>
          <cell r="G1673"/>
          <cell r="H1673"/>
          <cell r="J1673"/>
          <cell r="L1673"/>
          <cell r="M1673"/>
        </row>
        <row r="1674">
          <cell r="B1674"/>
          <cell r="C1674"/>
          <cell r="E1674"/>
          <cell r="F1674"/>
          <cell r="G1674"/>
          <cell r="H1674"/>
          <cell r="J1674"/>
          <cell r="L1674"/>
          <cell r="M1674"/>
        </row>
        <row r="1675">
          <cell r="B1675"/>
          <cell r="C1675"/>
          <cell r="E1675"/>
          <cell r="F1675"/>
          <cell r="G1675"/>
          <cell r="H1675"/>
          <cell r="J1675"/>
          <cell r="L1675"/>
          <cell r="M1675"/>
        </row>
        <row r="1676">
          <cell r="B1676"/>
          <cell r="C1676"/>
          <cell r="E1676"/>
          <cell r="F1676"/>
          <cell r="G1676"/>
          <cell r="H1676"/>
          <cell r="J1676"/>
          <cell r="L1676"/>
          <cell r="M1676"/>
        </row>
        <row r="1677">
          <cell r="B1677"/>
          <cell r="C1677"/>
          <cell r="E1677"/>
          <cell r="F1677"/>
          <cell r="G1677"/>
          <cell r="H1677"/>
          <cell r="J1677"/>
          <cell r="L1677"/>
          <cell r="M1677"/>
        </row>
        <row r="1678">
          <cell r="B1678"/>
          <cell r="C1678"/>
          <cell r="E1678"/>
          <cell r="F1678"/>
          <cell r="G1678"/>
          <cell r="H1678"/>
          <cell r="J1678"/>
          <cell r="L1678"/>
          <cell r="M1678"/>
        </row>
        <row r="1679">
          <cell r="B1679"/>
          <cell r="C1679"/>
          <cell r="E1679"/>
          <cell r="F1679"/>
          <cell r="G1679"/>
          <cell r="H1679"/>
          <cell r="J1679"/>
          <cell r="L1679"/>
          <cell r="M1679"/>
        </row>
        <row r="1680">
          <cell r="B1680"/>
          <cell r="C1680"/>
          <cell r="E1680"/>
          <cell r="F1680"/>
          <cell r="G1680"/>
          <cell r="H1680"/>
          <cell r="J1680"/>
          <cell r="L1680"/>
          <cell r="M1680"/>
        </row>
        <row r="1681">
          <cell r="B1681"/>
          <cell r="C1681"/>
          <cell r="E1681"/>
          <cell r="F1681"/>
          <cell r="G1681"/>
          <cell r="H1681"/>
          <cell r="J1681"/>
          <cell r="L1681"/>
          <cell r="M1681"/>
        </row>
        <row r="1682">
          <cell r="B1682"/>
          <cell r="C1682"/>
          <cell r="E1682"/>
          <cell r="F1682"/>
          <cell r="G1682"/>
          <cell r="H1682"/>
          <cell r="J1682"/>
          <cell r="L1682"/>
          <cell r="M1682"/>
        </row>
        <row r="1683">
          <cell r="B1683"/>
          <cell r="C1683"/>
          <cell r="E1683"/>
          <cell r="F1683"/>
          <cell r="G1683"/>
          <cell r="H1683"/>
          <cell r="J1683"/>
          <cell r="L1683"/>
          <cell r="M1683"/>
        </row>
        <row r="1684">
          <cell r="B1684"/>
          <cell r="C1684"/>
          <cell r="E1684"/>
          <cell r="F1684"/>
          <cell r="G1684"/>
          <cell r="H1684"/>
          <cell r="J1684"/>
          <cell r="L1684"/>
          <cell r="M1684"/>
        </row>
        <row r="1685">
          <cell r="B1685"/>
          <cell r="C1685"/>
          <cell r="E1685"/>
          <cell r="F1685"/>
          <cell r="G1685"/>
          <cell r="H1685"/>
          <cell r="J1685"/>
          <cell r="L1685"/>
          <cell r="M1685"/>
        </row>
        <row r="1686">
          <cell r="B1686"/>
          <cell r="C1686"/>
          <cell r="E1686"/>
          <cell r="F1686"/>
          <cell r="G1686"/>
          <cell r="H1686"/>
          <cell r="J1686"/>
          <cell r="L1686"/>
          <cell r="M1686"/>
        </row>
        <row r="1687">
          <cell r="B1687"/>
          <cell r="C1687"/>
          <cell r="E1687"/>
          <cell r="F1687"/>
          <cell r="G1687"/>
          <cell r="H1687"/>
          <cell r="J1687"/>
          <cell r="L1687"/>
          <cell r="M1687"/>
        </row>
        <row r="1688">
          <cell r="B1688"/>
          <cell r="C1688"/>
          <cell r="E1688"/>
          <cell r="F1688"/>
          <cell r="G1688"/>
          <cell r="H1688"/>
          <cell r="J1688"/>
          <cell r="L1688"/>
          <cell r="M1688"/>
        </row>
        <row r="1689">
          <cell r="B1689"/>
          <cell r="C1689"/>
          <cell r="E1689"/>
          <cell r="F1689"/>
          <cell r="G1689"/>
          <cell r="H1689"/>
          <cell r="J1689"/>
          <cell r="L1689"/>
          <cell r="M1689"/>
        </row>
        <row r="1690">
          <cell r="B1690"/>
          <cell r="C1690"/>
          <cell r="E1690"/>
          <cell r="F1690"/>
          <cell r="G1690"/>
          <cell r="H1690"/>
          <cell r="J1690"/>
          <cell r="L1690"/>
          <cell r="M1690"/>
        </row>
        <row r="1691">
          <cell r="B1691"/>
          <cell r="C1691"/>
          <cell r="E1691"/>
          <cell r="F1691"/>
          <cell r="G1691"/>
          <cell r="H1691"/>
          <cell r="J1691"/>
          <cell r="L1691"/>
          <cell r="M1691"/>
        </row>
        <row r="1692">
          <cell r="B1692"/>
          <cell r="C1692"/>
          <cell r="E1692"/>
          <cell r="F1692"/>
          <cell r="G1692"/>
          <cell r="H1692"/>
          <cell r="J1692"/>
          <cell r="L1692"/>
          <cell r="M1692"/>
        </row>
        <row r="1693">
          <cell r="B1693"/>
          <cell r="C1693"/>
          <cell r="E1693"/>
          <cell r="F1693"/>
          <cell r="G1693"/>
          <cell r="H1693"/>
          <cell r="J1693"/>
          <cell r="L1693"/>
          <cell r="M1693"/>
        </row>
        <row r="1694">
          <cell r="B1694"/>
          <cell r="C1694"/>
          <cell r="E1694"/>
          <cell r="F1694"/>
          <cell r="G1694"/>
          <cell r="H1694"/>
          <cell r="J1694"/>
          <cell r="L1694"/>
          <cell r="M1694"/>
        </row>
        <row r="1695">
          <cell r="B1695"/>
          <cell r="C1695"/>
          <cell r="E1695"/>
          <cell r="F1695"/>
          <cell r="G1695"/>
          <cell r="H1695"/>
          <cell r="J1695"/>
          <cell r="L1695"/>
          <cell r="M1695"/>
        </row>
        <row r="1696">
          <cell r="B1696"/>
          <cell r="C1696"/>
          <cell r="E1696"/>
          <cell r="F1696"/>
          <cell r="G1696"/>
          <cell r="H1696"/>
          <cell r="J1696"/>
          <cell r="L1696"/>
          <cell r="M1696"/>
        </row>
        <row r="1697">
          <cell r="B1697"/>
          <cell r="C1697"/>
          <cell r="E1697"/>
          <cell r="F1697"/>
          <cell r="G1697"/>
          <cell r="H1697"/>
          <cell r="J1697"/>
          <cell r="L1697"/>
          <cell r="M1697"/>
        </row>
        <row r="1698">
          <cell r="B1698"/>
          <cell r="C1698"/>
          <cell r="E1698"/>
          <cell r="F1698"/>
          <cell r="G1698"/>
          <cell r="H1698"/>
          <cell r="J1698"/>
          <cell r="L1698"/>
          <cell r="M1698"/>
        </row>
        <row r="1699">
          <cell r="B1699"/>
          <cell r="C1699"/>
          <cell r="E1699"/>
          <cell r="F1699"/>
          <cell r="G1699"/>
          <cell r="H1699"/>
          <cell r="J1699"/>
          <cell r="L1699"/>
          <cell r="M1699"/>
        </row>
        <row r="1700">
          <cell r="B1700"/>
          <cell r="C1700"/>
          <cell r="E1700"/>
          <cell r="F1700"/>
          <cell r="G1700"/>
          <cell r="H1700"/>
          <cell r="J1700"/>
          <cell r="L1700"/>
          <cell r="M1700"/>
        </row>
        <row r="1701">
          <cell r="B1701"/>
          <cell r="C1701"/>
          <cell r="E1701"/>
          <cell r="F1701"/>
          <cell r="G1701"/>
          <cell r="H1701"/>
          <cell r="J1701"/>
          <cell r="L1701"/>
          <cell r="M1701"/>
        </row>
        <row r="1702">
          <cell r="B1702"/>
          <cell r="C1702"/>
          <cell r="E1702"/>
          <cell r="F1702"/>
          <cell r="G1702"/>
          <cell r="H1702"/>
          <cell r="J1702"/>
          <cell r="L1702"/>
          <cell r="M1702"/>
        </row>
        <row r="1703">
          <cell r="B1703"/>
          <cell r="C1703"/>
          <cell r="E1703"/>
          <cell r="F1703"/>
          <cell r="G1703"/>
          <cell r="H1703"/>
          <cell r="J1703"/>
          <cell r="L1703"/>
          <cell r="M1703"/>
        </row>
        <row r="1704">
          <cell r="B1704"/>
          <cell r="C1704"/>
          <cell r="E1704"/>
          <cell r="F1704"/>
          <cell r="G1704"/>
          <cell r="H1704"/>
          <cell r="J1704"/>
          <cell r="L1704"/>
          <cell r="M1704"/>
        </row>
        <row r="1705">
          <cell r="B1705"/>
          <cell r="C1705"/>
          <cell r="E1705"/>
          <cell r="F1705"/>
          <cell r="G1705"/>
          <cell r="H1705"/>
          <cell r="J1705"/>
          <cell r="L1705"/>
          <cell r="M1705"/>
        </row>
        <row r="1706">
          <cell r="B1706"/>
          <cell r="C1706"/>
          <cell r="E1706"/>
          <cell r="F1706"/>
          <cell r="G1706"/>
          <cell r="H1706"/>
          <cell r="J1706"/>
          <cell r="L1706"/>
          <cell r="M1706"/>
        </row>
        <row r="1707">
          <cell r="B1707"/>
          <cell r="C1707"/>
          <cell r="E1707"/>
          <cell r="F1707"/>
          <cell r="G1707"/>
          <cell r="H1707"/>
          <cell r="J1707"/>
          <cell r="L1707"/>
          <cell r="M1707"/>
        </row>
        <row r="1708">
          <cell r="B1708"/>
          <cell r="C1708"/>
          <cell r="E1708"/>
          <cell r="F1708"/>
          <cell r="G1708"/>
          <cell r="H1708"/>
          <cell r="J1708"/>
          <cell r="L1708"/>
          <cell r="M1708"/>
        </row>
        <row r="1709">
          <cell r="B1709"/>
          <cell r="C1709"/>
          <cell r="E1709"/>
          <cell r="F1709"/>
          <cell r="G1709"/>
          <cell r="H1709"/>
          <cell r="J1709"/>
          <cell r="L1709"/>
          <cell r="M1709"/>
        </row>
        <row r="1710">
          <cell r="B1710"/>
          <cell r="C1710"/>
          <cell r="E1710"/>
          <cell r="F1710"/>
          <cell r="G1710"/>
          <cell r="H1710"/>
          <cell r="J1710"/>
          <cell r="L1710"/>
          <cell r="M1710"/>
        </row>
        <row r="1711">
          <cell r="B1711"/>
          <cell r="C1711"/>
          <cell r="E1711"/>
          <cell r="F1711"/>
          <cell r="G1711"/>
          <cell r="H1711"/>
          <cell r="J1711"/>
          <cell r="L1711"/>
          <cell r="M1711"/>
        </row>
        <row r="1712">
          <cell r="B1712"/>
          <cell r="C1712"/>
          <cell r="E1712"/>
          <cell r="F1712"/>
          <cell r="G1712"/>
          <cell r="H1712"/>
          <cell r="J1712"/>
          <cell r="L1712"/>
          <cell r="M1712"/>
        </row>
        <row r="1713">
          <cell r="B1713"/>
          <cell r="C1713"/>
          <cell r="E1713"/>
          <cell r="F1713"/>
          <cell r="G1713"/>
          <cell r="H1713"/>
          <cell r="J1713"/>
          <cell r="L1713"/>
          <cell r="M1713"/>
        </row>
        <row r="1714">
          <cell r="B1714"/>
          <cell r="C1714"/>
          <cell r="E1714"/>
          <cell r="F1714"/>
          <cell r="G1714"/>
          <cell r="H1714"/>
          <cell r="J1714"/>
          <cell r="L1714"/>
          <cell r="M1714"/>
        </row>
        <row r="1715">
          <cell r="B1715"/>
          <cell r="C1715"/>
          <cell r="E1715"/>
          <cell r="F1715"/>
          <cell r="G1715"/>
          <cell r="H1715"/>
          <cell r="J1715"/>
          <cell r="L1715"/>
          <cell r="M1715"/>
        </row>
        <row r="1716">
          <cell r="B1716"/>
          <cell r="C1716"/>
          <cell r="E1716"/>
          <cell r="F1716"/>
          <cell r="G1716"/>
          <cell r="H1716"/>
          <cell r="J1716"/>
          <cell r="L1716"/>
          <cell r="M1716"/>
        </row>
        <row r="1717">
          <cell r="B1717"/>
          <cell r="C1717"/>
          <cell r="E1717"/>
          <cell r="F1717"/>
          <cell r="G1717"/>
          <cell r="H1717"/>
          <cell r="J1717"/>
          <cell r="L1717"/>
          <cell r="M1717"/>
        </row>
        <row r="1718">
          <cell r="B1718"/>
          <cell r="C1718"/>
          <cell r="E1718"/>
          <cell r="F1718"/>
          <cell r="G1718"/>
          <cell r="H1718"/>
          <cell r="J1718"/>
          <cell r="L1718"/>
          <cell r="M1718"/>
        </row>
        <row r="1719">
          <cell r="B1719"/>
          <cell r="C1719"/>
          <cell r="E1719"/>
          <cell r="F1719"/>
          <cell r="G1719"/>
          <cell r="H1719"/>
          <cell r="J1719"/>
          <cell r="L1719"/>
          <cell r="M1719"/>
        </row>
        <row r="1720">
          <cell r="B1720"/>
          <cell r="C1720"/>
          <cell r="E1720"/>
          <cell r="F1720"/>
          <cell r="G1720"/>
          <cell r="H1720"/>
          <cell r="J1720"/>
          <cell r="L1720"/>
          <cell r="M1720"/>
        </row>
        <row r="1721">
          <cell r="B1721"/>
          <cell r="C1721"/>
          <cell r="E1721"/>
          <cell r="F1721"/>
          <cell r="G1721"/>
          <cell r="H1721"/>
          <cell r="J1721"/>
          <cell r="L1721"/>
          <cell r="M1721"/>
        </row>
        <row r="1722">
          <cell r="B1722"/>
          <cell r="C1722"/>
          <cell r="E1722"/>
          <cell r="F1722"/>
          <cell r="G1722"/>
          <cell r="H1722"/>
          <cell r="J1722"/>
          <cell r="L1722"/>
          <cell r="M1722"/>
        </row>
        <row r="1723">
          <cell r="B1723"/>
          <cell r="C1723"/>
          <cell r="E1723"/>
          <cell r="F1723"/>
          <cell r="G1723"/>
          <cell r="H1723"/>
          <cell r="J1723"/>
          <cell r="L1723"/>
          <cell r="M1723"/>
        </row>
        <row r="1724">
          <cell r="B1724"/>
          <cell r="C1724"/>
          <cell r="E1724"/>
          <cell r="F1724"/>
          <cell r="G1724"/>
          <cell r="H1724"/>
          <cell r="J1724"/>
          <cell r="L1724"/>
          <cell r="M1724"/>
        </row>
        <row r="1725">
          <cell r="B1725"/>
          <cell r="C1725"/>
          <cell r="E1725"/>
          <cell r="F1725"/>
          <cell r="G1725"/>
          <cell r="H1725"/>
          <cell r="J1725"/>
          <cell r="L1725"/>
          <cell r="M1725"/>
        </row>
        <row r="1726">
          <cell r="B1726"/>
          <cell r="C1726"/>
          <cell r="E1726"/>
          <cell r="F1726"/>
          <cell r="G1726"/>
          <cell r="H1726"/>
          <cell r="J1726"/>
          <cell r="L1726"/>
          <cell r="M1726"/>
        </row>
        <row r="1727">
          <cell r="B1727"/>
          <cell r="C1727"/>
          <cell r="E1727"/>
          <cell r="F1727"/>
          <cell r="G1727"/>
          <cell r="H1727"/>
          <cell r="J1727"/>
          <cell r="L1727"/>
          <cell r="M1727"/>
        </row>
        <row r="1728">
          <cell r="B1728"/>
          <cell r="C1728"/>
          <cell r="E1728"/>
          <cell r="F1728"/>
          <cell r="G1728"/>
          <cell r="H1728"/>
          <cell r="J1728"/>
          <cell r="L1728"/>
          <cell r="M1728"/>
        </row>
        <row r="1729">
          <cell r="B1729"/>
          <cell r="C1729"/>
          <cell r="E1729"/>
          <cell r="F1729"/>
          <cell r="G1729"/>
          <cell r="H1729"/>
          <cell r="J1729"/>
          <cell r="L1729"/>
          <cell r="M1729"/>
        </row>
        <row r="1730">
          <cell r="B1730"/>
          <cell r="C1730"/>
          <cell r="E1730"/>
          <cell r="F1730"/>
          <cell r="G1730"/>
          <cell r="H1730"/>
          <cell r="J1730"/>
          <cell r="L1730"/>
          <cell r="M1730"/>
        </row>
        <row r="1731">
          <cell r="B1731"/>
          <cell r="C1731"/>
          <cell r="E1731"/>
          <cell r="F1731"/>
          <cell r="G1731"/>
          <cell r="H1731"/>
          <cell r="J1731"/>
          <cell r="L1731"/>
          <cell r="M1731"/>
        </row>
        <row r="1732">
          <cell r="B1732"/>
          <cell r="C1732"/>
          <cell r="E1732"/>
          <cell r="F1732"/>
          <cell r="G1732"/>
          <cell r="H1732"/>
          <cell r="J1732"/>
          <cell r="L1732"/>
          <cell r="M1732"/>
        </row>
        <row r="1733">
          <cell r="B1733"/>
          <cell r="C1733"/>
          <cell r="E1733"/>
          <cell r="F1733"/>
          <cell r="G1733"/>
          <cell r="H1733"/>
          <cell r="J1733"/>
          <cell r="L1733"/>
          <cell r="M1733"/>
        </row>
        <row r="1734">
          <cell r="B1734"/>
          <cell r="C1734"/>
          <cell r="E1734"/>
          <cell r="F1734"/>
          <cell r="G1734"/>
          <cell r="H1734"/>
          <cell r="J1734"/>
          <cell r="L1734"/>
          <cell r="M1734"/>
        </row>
        <row r="1735">
          <cell r="B1735"/>
          <cell r="C1735"/>
          <cell r="E1735"/>
          <cell r="F1735"/>
          <cell r="G1735"/>
          <cell r="H1735"/>
          <cell r="J1735"/>
          <cell r="L1735"/>
          <cell r="M1735"/>
        </row>
        <row r="1736">
          <cell r="B1736"/>
          <cell r="C1736"/>
          <cell r="E1736"/>
          <cell r="F1736"/>
          <cell r="G1736"/>
          <cell r="H1736"/>
          <cell r="J1736"/>
          <cell r="L1736"/>
          <cell r="M1736"/>
        </row>
        <row r="1737">
          <cell r="B1737"/>
          <cell r="C1737"/>
          <cell r="E1737"/>
          <cell r="F1737"/>
          <cell r="G1737"/>
          <cell r="H1737"/>
          <cell r="J1737"/>
          <cell r="L1737"/>
          <cell r="M1737"/>
        </row>
        <row r="1738">
          <cell r="B1738"/>
          <cell r="C1738"/>
          <cell r="E1738"/>
          <cell r="F1738"/>
          <cell r="G1738"/>
          <cell r="H1738"/>
          <cell r="J1738"/>
          <cell r="L1738"/>
          <cell r="M1738"/>
        </row>
        <row r="1739">
          <cell r="B1739"/>
          <cell r="C1739"/>
          <cell r="E1739"/>
          <cell r="F1739"/>
          <cell r="G1739"/>
          <cell r="H1739"/>
          <cell r="J1739"/>
          <cell r="L1739"/>
          <cell r="M1739"/>
        </row>
        <row r="1740">
          <cell r="B1740"/>
          <cell r="C1740"/>
          <cell r="E1740"/>
          <cell r="F1740"/>
          <cell r="G1740"/>
          <cell r="H1740"/>
          <cell r="J1740"/>
          <cell r="L1740"/>
          <cell r="M1740"/>
        </row>
        <row r="1741">
          <cell r="B1741"/>
          <cell r="C1741"/>
          <cell r="E1741"/>
          <cell r="F1741"/>
          <cell r="G1741"/>
          <cell r="H1741"/>
          <cell r="J1741"/>
          <cell r="L1741"/>
          <cell r="M1741"/>
        </row>
        <row r="1742">
          <cell r="B1742"/>
          <cell r="C1742"/>
          <cell r="E1742"/>
          <cell r="F1742"/>
          <cell r="G1742"/>
          <cell r="H1742"/>
          <cell r="J1742"/>
          <cell r="L1742"/>
          <cell r="M1742"/>
        </row>
        <row r="1743">
          <cell r="B1743"/>
          <cell r="C1743"/>
          <cell r="E1743"/>
          <cell r="F1743"/>
          <cell r="G1743"/>
          <cell r="H1743"/>
          <cell r="J1743"/>
          <cell r="L1743"/>
          <cell r="M1743"/>
        </row>
        <row r="1744">
          <cell r="B1744"/>
          <cell r="C1744"/>
          <cell r="E1744"/>
          <cell r="F1744"/>
          <cell r="G1744"/>
          <cell r="H1744"/>
          <cell r="J1744"/>
          <cell r="L1744"/>
          <cell r="M1744"/>
        </row>
        <row r="1745">
          <cell r="B1745"/>
          <cell r="C1745"/>
          <cell r="E1745"/>
          <cell r="F1745"/>
          <cell r="G1745"/>
          <cell r="H1745"/>
          <cell r="J1745"/>
          <cell r="L1745"/>
          <cell r="M1745"/>
        </row>
        <row r="1746">
          <cell r="B1746"/>
          <cell r="C1746"/>
          <cell r="E1746"/>
          <cell r="F1746"/>
          <cell r="G1746"/>
          <cell r="H1746"/>
          <cell r="J1746"/>
          <cell r="L1746"/>
          <cell r="M1746"/>
        </row>
        <row r="1747">
          <cell r="B1747"/>
          <cell r="C1747"/>
          <cell r="E1747"/>
          <cell r="F1747"/>
          <cell r="G1747"/>
          <cell r="H1747"/>
          <cell r="J1747"/>
          <cell r="L1747"/>
          <cell r="M1747"/>
        </row>
        <row r="1748">
          <cell r="B1748"/>
          <cell r="C1748"/>
          <cell r="E1748"/>
          <cell r="F1748"/>
          <cell r="G1748"/>
          <cell r="H1748"/>
          <cell r="J1748"/>
          <cell r="L1748"/>
          <cell r="M1748"/>
        </row>
        <row r="1749">
          <cell r="B1749"/>
          <cell r="C1749"/>
          <cell r="E1749"/>
          <cell r="F1749"/>
          <cell r="G1749"/>
          <cell r="H1749"/>
          <cell r="J1749"/>
          <cell r="L1749"/>
          <cell r="M1749"/>
        </row>
        <row r="1750">
          <cell r="B1750"/>
          <cell r="C1750"/>
          <cell r="E1750"/>
          <cell r="F1750"/>
          <cell r="G1750"/>
          <cell r="H1750"/>
          <cell r="J1750"/>
          <cell r="L1750"/>
          <cell r="M1750"/>
        </row>
        <row r="1751">
          <cell r="B1751"/>
          <cell r="C1751"/>
          <cell r="E1751"/>
          <cell r="F1751"/>
          <cell r="G1751"/>
          <cell r="H1751"/>
          <cell r="J1751"/>
          <cell r="L1751"/>
          <cell r="M1751"/>
        </row>
        <row r="1752">
          <cell r="B1752"/>
          <cell r="C1752"/>
          <cell r="E1752"/>
          <cell r="F1752"/>
          <cell r="G1752"/>
          <cell r="H1752"/>
          <cell r="J1752"/>
          <cell r="L1752"/>
          <cell r="M1752"/>
        </row>
        <row r="1753">
          <cell r="B1753"/>
          <cell r="C1753"/>
          <cell r="E1753"/>
          <cell r="F1753"/>
          <cell r="G1753"/>
          <cell r="H1753"/>
          <cell r="J1753"/>
          <cell r="L1753"/>
          <cell r="M1753"/>
        </row>
        <row r="1754">
          <cell r="B1754"/>
          <cell r="C1754"/>
          <cell r="E1754"/>
          <cell r="F1754"/>
          <cell r="G1754"/>
          <cell r="H1754"/>
          <cell r="J1754"/>
          <cell r="L1754"/>
          <cell r="M1754"/>
        </row>
        <row r="1755">
          <cell r="B1755"/>
          <cell r="C1755"/>
          <cell r="E1755"/>
          <cell r="F1755"/>
          <cell r="G1755"/>
          <cell r="H1755"/>
          <cell r="J1755"/>
          <cell r="L1755"/>
          <cell r="M1755"/>
        </row>
        <row r="1756">
          <cell r="B1756"/>
          <cell r="C1756"/>
          <cell r="E1756"/>
          <cell r="F1756"/>
          <cell r="G1756"/>
          <cell r="H1756"/>
          <cell r="J1756"/>
          <cell r="L1756"/>
          <cell r="M1756"/>
        </row>
        <row r="1757">
          <cell r="B1757"/>
          <cell r="C1757"/>
          <cell r="E1757"/>
          <cell r="F1757"/>
          <cell r="G1757"/>
          <cell r="H1757"/>
          <cell r="J1757"/>
          <cell r="L1757"/>
          <cell r="M1757"/>
        </row>
        <row r="1758">
          <cell r="B1758"/>
          <cell r="C1758"/>
          <cell r="E1758"/>
          <cell r="F1758"/>
          <cell r="G1758"/>
          <cell r="H1758"/>
          <cell r="J1758"/>
          <cell r="L1758"/>
          <cell r="M1758"/>
        </row>
        <row r="1759">
          <cell r="B1759"/>
          <cell r="C1759"/>
          <cell r="E1759"/>
          <cell r="F1759"/>
          <cell r="G1759"/>
          <cell r="H1759"/>
          <cell r="J1759"/>
          <cell r="L1759"/>
          <cell r="M1759"/>
        </row>
        <row r="1760">
          <cell r="B1760"/>
          <cell r="C1760"/>
          <cell r="E1760"/>
          <cell r="F1760"/>
          <cell r="G1760"/>
          <cell r="H1760"/>
          <cell r="J1760"/>
          <cell r="L1760"/>
          <cell r="M1760"/>
        </row>
        <row r="1761">
          <cell r="B1761"/>
          <cell r="C1761"/>
          <cell r="E1761"/>
          <cell r="F1761"/>
          <cell r="G1761"/>
          <cell r="H1761"/>
          <cell r="J1761"/>
          <cell r="L1761"/>
          <cell r="M1761"/>
        </row>
        <row r="1762">
          <cell r="B1762"/>
          <cell r="C1762"/>
          <cell r="E1762"/>
          <cell r="F1762"/>
          <cell r="G1762"/>
          <cell r="H1762"/>
          <cell r="J1762"/>
          <cell r="L1762"/>
          <cell r="M1762"/>
        </row>
        <row r="1763">
          <cell r="B1763"/>
          <cell r="C1763"/>
          <cell r="E1763"/>
          <cell r="F1763"/>
          <cell r="G1763"/>
          <cell r="H1763"/>
          <cell r="J1763"/>
          <cell r="L1763"/>
          <cell r="M1763"/>
        </row>
        <row r="1764">
          <cell r="B1764"/>
          <cell r="C1764"/>
          <cell r="E1764"/>
          <cell r="F1764"/>
          <cell r="G1764"/>
          <cell r="H1764"/>
          <cell r="J1764"/>
          <cell r="L1764"/>
          <cell r="M1764"/>
        </row>
        <row r="1765">
          <cell r="B1765"/>
          <cell r="C1765"/>
          <cell r="E1765"/>
          <cell r="F1765"/>
          <cell r="G1765"/>
          <cell r="H1765"/>
          <cell r="J1765"/>
          <cell r="L1765"/>
          <cell r="M1765"/>
        </row>
        <row r="1766">
          <cell r="B1766"/>
          <cell r="C1766"/>
          <cell r="E1766"/>
          <cell r="F1766"/>
          <cell r="G1766"/>
          <cell r="H1766"/>
          <cell r="J1766"/>
          <cell r="L1766"/>
          <cell r="M1766"/>
        </row>
        <row r="1767">
          <cell r="B1767"/>
          <cell r="C1767"/>
          <cell r="E1767"/>
          <cell r="F1767"/>
          <cell r="G1767"/>
          <cell r="H1767"/>
          <cell r="J1767"/>
          <cell r="L1767"/>
          <cell r="M1767"/>
        </row>
        <row r="1768">
          <cell r="B1768"/>
          <cell r="C1768"/>
          <cell r="E1768"/>
          <cell r="F1768"/>
          <cell r="G1768"/>
          <cell r="H1768"/>
          <cell r="J1768"/>
          <cell r="L1768"/>
          <cell r="M1768"/>
        </row>
        <row r="1769">
          <cell r="B1769"/>
          <cell r="C1769"/>
          <cell r="E1769"/>
          <cell r="F1769"/>
          <cell r="G1769"/>
          <cell r="H1769"/>
          <cell r="J1769"/>
          <cell r="L1769"/>
          <cell r="M1769"/>
        </row>
        <row r="1770">
          <cell r="B1770"/>
          <cell r="C1770"/>
          <cell r="E1770"/>
          <cell r="F1770"/>
          <cell r="G1770"/>
          <cell r="H1770"/>
          <cell r="J1770"/>
          <cell r="L1770"/>
          <cell r="M1770"/>
        </row>
        <row r="1771">
          <cell r="B1771"/>
          <cell r="C1771"/>
          <cell r="E1771"/>
          <cell r="F1771"/>
          <cell r="G1771"/>
          <cell r="H1771"/>
          <cell r="J1771"/>
          <cell r="L1771"/>
          <cell r="M1771"/>
        </row>
        <row r="1772">
          <cell r="B1772"/>
          <cell r="C1772"/>
          <cell r="E1772"/>
          <cell r="F1772"/>
          <cell r="G1772"/>
          <cell r="H1772"/>
          <cell r="J1772"/>
          <cell r="L1772"/>
          <cell r="M1772"/>
        </row>
        <row r="1773">
          <cell r="B1773"/>
          <cell r="C1773"/>
          <cell r="E1773"/>
          <cell r="F1773"/>
          <cell r="G1773"/>
          <cell r="H1773"/>
          <cell r="J1773"/>
          <cell r="L1773"/>
          <cell r="M1773"/>
        </row>
        <row r="1774">
          <cell r="B1774"/>
          <cell r="C1774"/>
          <cell r="E1774"/>
          <cell r="F1774"/>
          <cell r="G1774"/>
          <cell r="H1774"/>
          <cell r="J1774"/>
          <cell r="L1774"/>
          <cell r="M1774"/>
        </row>
        <row r="1775">
          <cell r="B1775"/>
          <cell r="C1775"/>
          <cell r="E1775"/>
          <cell r="F1775"/>
          <cell r="G1775"/>
          <cell r="H1775"/>
          <cell r="J1775"/>
          <cell r="L1775"/>
          <cell r="M1775"/>
        </row>
        <row r="1776">
          <cell r="B1776"/>
          <cell r="C1776"/>
          <cell r="E1776"/>
          <cell r="F1776"/>
          <cell r="G1776"/>
          <cell r="H1776"/>
          <cell r="J1776"/>
          <cell r="L1776"/>
          <cell r="M1776"/>
        </row>
        <row r="1777">
          <cell r="B1777"/>
          <cell r="C1777"/>
          <cell r="E1777"/>
          <cell r="F1777"/>
          <cell r="G1777"/>
          <cell r="H1777"/>
          <cell r="J1777"/>
          <cell r="L1777"/>
          <cell r="M1777"/>
        </row>
        <row r="1778">
          <cell r="B1778"/>
          <cell r="C1778"/>
          <cell r="E1778"/>
          <cell r="F1778"/>
          <cell r="G1778"/>
          <cell r="H1778"/>
          <cell r="J1778"/>
          <cell r="L1778"/>
          <cell r="M1778"/>
        </row>
        <row r="1779">
          <cell r="B1779"/>
          <cell r="C1779"/>
          <cell r="E1779"/>
          <cell r="F1779"/>
          <cell r="G1779"/>
          <cell r="H1779"/>
          <cell r="J1779"/>
          <cell r="L1779"/>
          <cell r="M1779"/>
        </row>
        <row r="1780">
          <cell r="B1780"/>
          <cell r="C1780"/>
          <cell r="E1780"/>
          <cell r="F1780"/>
          <cell r="G1780"/>
          <cell r="H1780"/>
          <cell r="J1780"/>
          <cell r="L1780"/>
          <cell r="M1780"/>
        </row>
        <row r="1781">
          <cell r="B1781"/>
          <cell r="C1781"/>
          <cell r="E1781"/>
          <cell r="F1781"/>
          <cell r="G1781"/>
          <cell r="H1781"/>
          <cell r="J1781"/>
          <cell r="L1781"/>
          <cell r="M1781"/>
        </row>
        <row r="1782">
          <cell r="B1782"/>
          <cell r="C1782"/>
          <cell r="E1782"/>
          <cell r="F1782"/>
          <cell r="G1782"/>
          <cell r="H1782"/>
          <cell r="J1782"/>
          <cell r="L1782"/>
          <cell r="M1782"/>
        </row>
        <row r="1783">
          <cell r="B1783"/>
          <cell r="C1783"/>
          <cell r="E1783"/>
          <cell r="F1783"/>
          <cell r="G1783"/>
          <cell r="H1783"/>
          <cell r="J1783"/>
          <cell r="L1783"/>
          <cell r="M1783"/>
        </row>
        <row r="1784">
          <cell r="B1784"/>
          <cell r="C1784"/>
          <cell r="E1784"/>
          <cell r="F1784"/>
          <cell r="G1784"/>
          <cell r="H1784"/>
          <cell r="J1784"/>
          <cell r="L1784"/>
          <cell r="M1784"/>
        </row>
        <row r="1785">
          <cell r="B1785"/>
          <cell r="C1785"/>
          <cell r="E1785"/>
          <cell r="F1785"/>
          <cell r="G1785"/>
          <cell r="H1785"/>
          <cell r="J1785"/>
          <cell r="L1785"/>
          <cell r="M1785"/>
        </row>
        <row r="1786">
          <cell r="B1786"/>
          <cell r="C1786"/>
          <cell r="E1786"/>
          <cell r="F1786"/>
          <cell r="G1786"/>
          <cell r="H1786"/>
          <cell r="J1786"/>
          <cell r="L1786"/>
          <cell r="M1786"/>
        </row>
        <row r="1787">
          <cell r="B1787"/>
          <cell r="C1787"/>
          <cell r="E1787"/>
          <cell r="F1787"/>
          <cell r="G1787"/>
          <cell r="H1787"/>
          <cell r="J1787"/>
          <cell r="L1787"/>
          <cell r="M1787"/>
        </row>
        <row r="1788">
          <cell r="B1788"/>
          <cell r="C1788"/>
          <cell r="E1788"/>
          <cell r="F1788"/>
          <cell r="G1788"/>
          <cell r="H1788"/>
          <cell r="J1788"/>
          <cell r="L1788"/>
          <cell r="M1788"/>
        </row>
        <row r="1789">
          <cell r="B1789"/>
          <cell r="C1789"/>
          <cell r="E1789"/>
          <cell r="F1789"/>
          <cell r="G1789"/>
          <cell r="H1789"/>
          <cell r="J1789"/>
          <cell r="L1789"/>
          <cell r="M1789"/>
        </row>
        <row r="1790">
          <cell r="B1790"/>
          <cell r="C1790"/>
          <cell r="E1790"/>
          <cell r="F1790"/>
          <cell r="G1790"/>
          <cell r="H1790"/>
          <cell r="J1790"/>
          <cell r="L1790"/>
          <cell r="M1790"/>
        </row>
        <row r="1791">
          <cell r="B1791"/>
          <cell r="C1791"/>
          <cell r="E1791"/>
          <cell r="F1791"/>
          <cell r="G1791"/>
          <cell r="H1791"/>
          <cell r="J1791"/>
          <cell r="L1791"/>
          <cell r="M1791"/>
        </row>
        <row r="1792">
          <cell r="B1792"/>
          <cell r="C1792"/>
          <cell r="E1792"/>
          <cell r="F1792"/>
          <cell r="G1792"/>
          <cell r="H1792"/>
          <cell r="J1792"/>
          <cell r="L1792"/>
          <cell r="M1792"/>
        </row>
        <row r="1793">
          <cell r="B1793"/>
          <cell r="C1793"/>
          <cell r="E1793"/>
          <cell r="F1793"/>
          <cell r="G1793"/>
          <cell r="H1793"/>
          <cell r="J1793"/>
          <cell r="L1793"/>
          <cell r="M1793"/>
        </row>
        <row r="1794">
          <cell r="B1794"/>
          <cell r="C1794"/>
          <cell r="E1794"/>
          <cell r="F1794"/>
          <cell r="G1794"/>
          <cell r="H1794"/>
          <cell r="J1794"/>
          <cell r="L1794"/>
          <cell r="M1794"/>
        </row>
        <row r="1795">
          <cell r="B1795"/>
          <cell r="C1795"/>
          <cell r="E1795"/>
          <cell r="F1795"/>
          <cell r="G1795"/>
          <cell r="H1795"/>
          <cell r="J1795"/>
          <cell r="L1795"/>
          <cell r="M1795"/>
        </row>
        <row r="1796">
          <cell r="B1796"/>
          <cell r="C1796"/>
          <cell r="E1796"/>
          <cell r="F1796"/>
          <cell r="G1796"/>
          <cell r="H1796"/>
          <cell r="J1796"/>
          <cell r="L1796"/>
          <cell r="M1796"/>
        </row>
        <row r="1797">
          <cell r="B1797"/>
          <cell r="C1797"/>
          <cell r="E1797"/>
          <cell r="F1797"/>
          <cell r="G1797"/>
          <cell r="H1797"/>
          <cell r="J1797"/>
          <cell r="L1797"/>
          <cell r="M1797"/>
        </row>
        <row r="1798">
          <cell r="B1798"/>
          <cell r="C1798"/>
          <cell r="E1798"/>
          <cell r="F1798"/>
          <cell r="G1798"/>
          <cell r="H1798"/>
          <cell r="J1798"/>
          <cell r="L1798"/>
          <cell r="M1798"/>
        </row>
        <row r="1799">
          <cell r="B1799"/>
          <cell r="C1799"/>
          <cell r="E1799"/>
          <cell r="F1799"/>
          <cell r="G1799"/>
          <cell r="H1799"/>
          <cell r="J1799"/>
          <cell r="L1799"/>
          <cell r="M1799"/>
        </row>
        <row r="1800">
          <cell r="B1800"/>
          <cell r="C1800"/>
          <cell r="E1800"/>
          <cell r="F1800"/>
          <cell r="G1800"/>
          <cell r="H1800"/>
          <cell r="J1800"/>
          <cell r="L1800"/>
          <cell r="M1800"/>
        </row>
        <row r="1801">
          <cell r="B1801"/>
          <cell r="C1801"/>
          <cell r="E1801"/>
          <cell r="F1801"/>
          <cell r="G1801"/>
          <cell r="H1801"/>
          <cell r="J1801"/>
          <cell r="L1801"/>
          <cell r="M1801"/>
        </row>
        <row r="1802">
          <cell r="B1802"/>
          <cell r="C1802"/>
          <cell r="E1802"/>
          <cell r="F1802"/>
          <cell r="G1802"/>
          <cell r="H1802"/>
          <cell r="J1802"/>
          <cell r="L1802"/>
          <cell r="M1802"/>
        </row>
        <row r="1803">
          <cell r="B1803"/>
          <cell r="C1803"/>
          <cell r="E1803"/>
          <cell r="F1803"/>
          <cell r="G1803"/>
          <cell r="H1803"/>
          <cell r="J1803"/>
          <cell r="L1803"/>
          <cell r="M1803"/>
        </row>
        <row r="1804">
          <cell r="B1804"/>
          <cell r="C1804"/>
          <cell r="E1804"/>
          <cell r="F1804"/>
          <cell r="G1804"/>
          <cell r="H1804"/>
          <cell r="J1804"/>
          <cell r="L1804"/>
          <cell r="M1804"/>
        </row>
        <row r="1805">
          <cell r="B1805"/>
          <cell r="C1805"/>
          <cell r="E1805"/>
          <cell r="F1805"/>
          <cell r="G1805"/>
          <cell r="H1805"/>
          <cell r="J1805"/>
          <cell r="L1805"/>
          <cell r="M1805"/>
        </row>
        <row r="1806">
          <cell r="B1806"/>
          <cell r="C1806"/>
          <cell r="E1806"/>
          <cell r="F1806"/>
          <cell r="G1806"/>
          <cell r="H1806"/>
          <cell r="J1806"/>
          <cell r="L1806"/>
          <cell r="M1806"/>
        </row>
        <row r="1807">
          <cell r="B1807"/>
          <cell r="C1807"/>
          <cell r="E1807"/>
          <cell r="F1807"/>
          <cell r="G1807"/>
          <cell r="H1807"/>
          <cell r="J1807"/>
          <cell r="L1807"/>
          <cell r="M1807"/>
        </row>
        <row r="1808">
          <cell r="B1808"/>
          <cell r="C1808"/>
          <cell r="E1808"/>
          <cell r="F1808"/>
          <cell r="G1808"/>
          <cell r="H1808"/>
          <cell r="J1808"/>
          <cell r="L1808"/>
          <cell r="M1808"/>
        </row>
        <row r="1809">
          <cell r="B1809"/>
          <cell r="C1809"/>
          <cell r="E1809"/>
          <cell r="F1809"/>
          <cell r="G1809"/>
          <cell r="H1809"/>
          <cell r="J1809"/>
          <cell r="L1809"/>
          <cell r="M1809"/>
        </row>
        <row r="1810">
          <cell r="B1810"/>
          <cell r="C1810"/>
          <cell r="E1810"/>
          <cell r="F1810"/>
          <cell r="G1810"/>
          <cell r="H1810"/>
          <cell r="J1810"/>
          <cell r="L1810"/>
          <cell r="M1810"/>
        </row>
        <row r="1811">
          <cell r="B1811"/>
          <cell r="C1811"/>
          <cell r="E1811"/>
          <cell r="F1811"/>
          <cell r="G1811"/>
          <cell r="H1811"/>
          <cell r="J1811"/>
          <cell r="L1811"/>
          <cell r="M1811"/>
        </row>
        <row r="1812">
          <cell r="B1812"/>
          <cell r="C1812"/>
          <cell r="E1812"/>
          <cell r="F1812"/>
          <cell r="G1812"/>
          <cell r="H1812"/>
          <cell r="J1812"/>
          <cell r="L1812"/>
          <cell r="M1812"/>
        </row>
        <row r="1813">
          <cell r="B1813"/>
          <cell r="C1813"/>
          <cell r="E1813"/>
          <cell r="F1813"/>
          <cell r="G1813"/>
          <cell r="H1813"/>
          <cell r="J1813"/>
          <cell r="L1813"/>
          <cell r="M1813"/>
        </row>
        <row r="1814">
          <cell r="B1814"/>
          <cell r="C1814"/>
          <cell r="E1814"/>
          <cell r="F1814"/>
          <cell r="G1814"/>
          <cell r="H1814"/>
          <cell r="J1814"/>
          <cell r="L1814"/>
          <cell r="M1814"/>
        </row>
        <row r="1815">
          <cell r="B1815"/>
          <cell r="C1815"/>
          <cell r="E1815"/>
          <cell r="F1815"/>
          <cell r="G1815"/>
          <cell r="H1815"/>
          <cell r="J1815"/>
          <cell r="L1815"/>
          <cell r="M1815"/>
        </row>
        <row r="1816">
          <cell r="B1816"/>
          <cell r="C1816"/>
          <cell r="E1816"/>
          <cell r="F1816"/>
          <cell r="G1816"/>
          <cell r="H1816"/>
          <cell r="J1816"/>
          <cell r="L1816"/>
          <cell r="M1816"/>
        </row>
        <row r="1817">
          <cell r="B1817"/>
          <cell r="C1817"/>
          <cell r="E1817"/>
          <cell r="F1817"/>
          <cell r="G1817"/>
          <cell r="H1817"/>
          <cell r="J1817"/>
          <cell r="L1817"/>
          <cell r="M1817"/>
        </row>
        <row r="1818">
          <cell r="B1818"/>
          <cell r="C1818"/>
          <cell r="E1818"/>
          <cell r="F1818"/>
          <cell r="G1818"/>
          <cell r="H1818"/>
          <cell r="J1818"/>
          <cell r="L1818"/>
          <cell r="M1818"/>
        </row>
        <row r="1819">
          <cell r="B1819"/>
          <cell r="C1819"/>
          <cell r="E1819"/>
          <cell r="F1819"/>
          <cell r="G1819"/>
          <cell r="H1819"/>
          <cell r="J1819"/>
          <cell r="L1819"/>
          <cell r="M1819"/>
        </row>
        <row r="1820">
          <cell r="B1820"/>
          <cell r="C1820"/>
          <cell r="E1820"/>
          <cell r="F1820"/>
          <cell r="G1820"/>
          <cell r="H1820"/>
          <cell r="J1820"/>
          <cell r="L1820"/>
          <cell r="M1820"/>
        </row>
        <row r="1821">
          <cell r="B1821"/>
          <cell r="C1821"/>
          <cell r="E1821"/>
          <cell r="F1821"/>
          <cell r="G1821"/>
          <cell r="H1821"/>
          <cell r="J1821"/>
          <cell r="L1821"/>
          <cell r="M1821"/>
        </row>
        <row r="1822">
          <cell r="B1822"/>
          <cell r="C1822"/>
          <cell r="E1822"/>
          <cell r="F1822"/>
          <cell r="G1822"/>
          <cell r="H1822"/>
          <cell r="J1822"/>
          <cell r="L1822"/>
          <cell r="M1822"/>
        </row>
        <row r="1823">
          <cell r="B1823"/>
          <cell r="C1823"/>
          <cell r="E1823"/>
          <cell r="F1823"/>
          <cell r="G1823"/>
          <cell r="H1823"/>
          <cell r="J1823"/>
          <cell r="L1823"/>
          <cell r="M1823"/>
        </row>
        <row r="1824">
          <cell r="B1824"/>
          <cell r="C1824"/>
          <cell r="E1824"/>
          <cell r="F1824"/>
          <cell r="G1824"/>
          <cell r="H1824"/>
          <cell r="J1824"/>
          <cell r="L1824"/>
          <cell r="M1824"/>
        </row>
        <row r="1825">
          <cell r="B1825"/>
          <cell r="C1825"/>
          <cell r="E1825"/>
          <cell r="F1825"/>
          <cell r="G1825"/>
          <cell r="H1825"/>
          <cell r="J1825"/>
          <cell r="L1825"/>
          <cell r="M1825"/>
        </row>
        <row r="1826">
          <cell r="B1826"/>
          <cell r="C1826"/>
          <cell r="E1826"/>
          <cell r="F1826"/>
          <cell r="G1826"/>
          <cell r="H1826"/>
          <cell r="J1826"/>
          <cell r="L1826"/>
          <cell r="M1826"/>
        </row>
        <row r="1827">
          <cell r="B1827"/>
          <cell r="C1827"/>
          <cell r="E1827"/>
          <cell r="F1827"/>
          <cell r="G1827"/>
          <cell r="H1827"/>
          <cell r="J1827"/>
          <cell r="L1827"/>
          <cell r="M1827"/>
        </row>
        <row r="1828">
          <cell r="B1828"/>
          <cell r="C1828"/>
          <cell r="E1828"/>
          <cell r="F1828"/>
          <cell r="G1828"/>
          <cell r="H1828"/>
          <cell r="J1828"/>
          <cell r="L1828"/>
          <cell r="M1828"/>
        </row>
        <row r="1829">
          <cell r="B1829"/>
          <cell r="C1829"/>
          <cell r="E1829"/>
          <cell r="F1829"/>
          <cell r="G1829"/>
          <cell r="H1829"/>
          <cell r="J1829"/>
          <cell r="L1829"/>
          <cell r="M1829"/>
        </row>
        <row r="1830">
          <cell r="B1830"/>
          <cell r="C1830"/>
          <cell r="E1830"/>
          <cell r="F1830"/>
          <cell r="G1830"/>
          <cell r="H1830"/>
          <cell r="J1830"/>
          <cell r="L1830"/>
          <cell r="M1830"/>
        </row>
        <row r="1831">
          <cell r="B1831"/>
          <cell r="C1831"/>
          <cell r="E1831"/>
          <cell r="F1831"/>
          <cell r="G1831"/>
          <cell r="H1831"/>
          <cell r="J1831"/>
          <cell r="L1831"/>
          <cell r="M1831"/>
        </row>
        <row r="1832">
          <cell r="B1832"/>
          <cell r="C1832"/>
          <cell r="E1832"/>
          <cell r="F1832"/>
          <cell r="G1832"/>
          <cell r="H1832"/>
          <cell r="J1832"/>
          <cell r="L1832"/>
          <cell r="M1832"/>
        </row>
        <row r="1833">
          <cell r="B1833"/>
          <cell r="C1833"/>
          <cell r="E1833"/>
          <cell r="F1833"/>
          <cell r="G1833"/>
          <cell r="H1833"/>
          <cell r="J1833"/>
          <cell r="L1833"/>
          <cell r="M1833"/>
        </row>
        <row r="1834">
          <cell r="B1834"/>
          <cell r="C1834"/>
          <cell r="E1834"/>
          <cell r="F1834"/>
          <cell r="G1834"/>
          <cell r="H1834"/>
          <cell r="J1834"/>
          <cell r="L1834"/>
          <cell r="M1834"/>
        </row>
        <row r="1835">
          <cell r="B1835"/>
          <cell r="C1835"/>
          <cell r="E1835"/>
          <cell r="F1835"/>
          <cell r="G1835"/>
          <cell r="H1835"/>
          <cell r="J1835"/>
          <cell r="L1835"/>
          <cell r="M1835"/>
        </row>
        <row r="1836">
          <cell r="B1836"/>
          <cell r="C1836"/>
          <cell r="E1836"/>
          <cell r="F1836"/>
          <cell r="G1836"/>
          <cell r="H1836"/>
          <cell r="J1836"/>
          <cell r="L1836"/>
          <cell r="M1836"/>
        </row>
        <row r="1837">
          <cell r="B1837"/>
          <cell r="C1837"/>
          <cell r="E1837"/>
          <cell r="F1837"/>
          <cell r="G1837"/>
          <cell r="H1837"/>
          <cell r="J1837"/>
          <cell r="L1837"/>
          <cell r="M1837"/>
        </row>
        <row r="1838">
          <cell r="B1838"/>
          <cell r="C1838"/>
          <cell r="E1838"/>
          <cell r="F1838"/>
          <cell r="G1838"/>
          <cell r="H1838"/>
          <cell r="J1838"/>
          <cell r="L1838"/>
          <cell r="M1838"/>
        </row>
        <row r="1839">
          <cell r="B1839"/>
          <cell r="C1839"/>
          <cell r="E1839"/>
          <cell r="F1839"/>
          <cell r="G1839"/>
          <cell r="H1839"/>
          <cell r="J1839"/>
          <cell r="L1839"/>
          <cell r="M1839"/>
        </row>
        <row r="1840">
          <cell r="B1840"/>
          <cell r="C1840"/>
          <cell r="E1840"/>
          <cell r="F1840"/>
          <cell r="G1840"/>
          <cell r="H1840"/>
          <cell r="J1840"/>
          <cell r="L1840"/>
          <cell r="M1840"/>
        </row>
        <row r="1841">
          <cell r="B1841"/>
          <cell r="C1841"/>
          <cell r="E1841"/>
          <cell r="F1841"/>
          <cell r="G1841"/>
          <cell r="H1841"/>
          <cell r="J1841"/>
          <cell r="L1841"/>
          <cell r="M1841"/>
        </row>
        <row r="1842">
          <cell r="B1842"/>
          <cell r="C1842"/>
          <cell r="E1842"/>
          <cell r="F1842"/>
          <cell r="G1842"/>
          <cell r="H1842"/>
          <cell r="J1842"/>
          <cell r="L1842"/>
          <cell r="M1842"/>
        </row>
        <row r="1843">
          <cell r="B1843"/>
          <cell r="C1843"/>
          <cell r="E1843"/>
          <cell r="F1843"/>
          <cell r="G1843"/>
          <cell r="H1843"/>
          <cell r="J1843"/>
          <cell r="L1843"/>
          <cell r="M1843"/>
        </row>
        <row r="1844">
          <cell r="B1844"/>
          <cell r="C1844"/>
          <cell r="E1844"/>
          <cell r="F1844"/>
          <cell r="G1844"/>
          <cell r="H1844"/>
          <cell r="J1844"/>
          <cell r="L1844"/>
          <cell r="M1844"/>
        </row>
        <row r="1845">
          <cell r="B1845"/>
          <cell r="C1845"/>
          <cell r="E1845"/>
          <cell r="F1845"/>
          <cell r="G1845"/>
          <cell r="H1845"/>
          <cell r="J1845"/>
          <cell r="L1845"/>
          <cell r="M1845"/>
        </row>
        <row r="1846">
          <cell r="B1846"/>
          <cell r="C1846"/>
          <cell r="E1846"/>
          <cell r="F1846"/>
          <cell r="G1846"/>
          <cell r="H1846"/>
          <cell r="J1846"/>
          <cell r="L1846"/>
          <cell r="M1846"/>
        </row>
        <row r="1847">
          <cell r="B1847"/>
          <cell r="C1847"/>
          <cell r="E1847"/>
          <cell r="F1847"/>
          <cell r="G1847"/>
          <cell r="H1847"/>
          <cell r="J1847"/>
          <cell r="L1847"/>
          <cell r="M1847"/>
        </row>
        <row r="1848">
          <cell r="B1848"/>
          <cell r="C1848"/>
          <cell r="E1848"/>
          <cell r="F1848"/>
          <cell r="G1848"/>
          <cell r="H1848"/>
          <cell r="J1848"/>
          <cell r="L1848"/>
          <cell r="M1848"/>
        </row>
        <row r="1849">
          <cell r="B1849"/>
          <cell r="C1849"/>
          <cell r="E1849"/>
          <cell r="F1849"/>
          <cell r="G1849"/>
          <cell r="H1849"/>
          <cell r="J1849"/>
          <cell r="L1849"/>
          <cell r="M1849"/>
        </row>
        <row r="1850">
          <cell r="B1850"/>
          <cell r="C1850"/>
          <cell r="E1850"/>
          <cell r="F1850"/>
          <cell r="G1850"/>
          <cell r="H1850"/>
          <cell r="J1850"/>
          <cell r="L1850"/>
          <cell r="M1850"/>
        </row>
        <row r="1851">
          <cell r="B1851"/>
          <cell r="C1851"/>
          <cell r="E1851"/>
          <cell r="F1851"/>
          <cell r="G1851"/>
          <cell r="H1851"/>
          <cell r="J1851"/>
          <cell r="L1851"/>
          <cell r="M1851"/>
        </row>
        <row r="1852">
          <cell r="B1852"/>
          <cell r="C1852"/>
          <cell r="E1852"/>
          <cell r="F1852"/>
          <cell r="G1852"/>
          <cell r="H1852"/>
          <cell r="J1852"/>
          <cell r="L1852"/>
          <cell r="M1852"/>
        </row>
        <row r="1853">
          <cell r="B1853"/>
          <cell r="C1853"/>
          <cell r="E1853"/>
          <cell r="F1853"/>
          <cell r="G1853"/>
          <cell r="H1853"/>
          <cell r="J1853"/>
          <cell r="L1853"/>
          <cell r="M1853"/>
        </row>
        <row r="1854">
          <cell r="B1854"/>
          <cell r="C1854"/>
          <cell r="E1854"/>
          <cell r="F1854"/>
          <cell r="G1854"/>
          <cell r="H1854"/>
          <cell r="J1854"/>
          <cell r="L1854"/>
          <cell r="M1854"/>
        </row>
        <row r="1855">
          <cell r="B1855"/>
          <cell r="C1855"/>
          <cell r="E1855"/>
          <cell r="F1855"/>
          <cell r="G1855"/>
          <cell r="H1855"/>
          <cell r="J1855"/>
          <cell r="L1855"/>
          <cell r="M1855"/>
        </row>
        <row r="1856">
          <cell r="B1856"/>
          <cell r="C1856"/>
          <cell r="E1856"/>
          <cell r="F1856"/>
          <cell r="G1856"/>
          <cell r="H1856"/>
          <cell r="J1856"/>
          <cell r="L1856"/>
          <cell r="M1856"/>
        </row>
        <row r="1857">
          <cell r="B1857"/>
          <cell r="C1857"/>
          <cell r="E1857"/>
          <cell r="F1857"/>
          <cell r="G1857"/>
          <cell r="H1857"/>
          <cell r="J1857"/>
          <cell r="L1857"/>
          <cell r="M1857"/>
        </row>
        <row r="1858">
          <cell r="B1858"/>
          <cell r="C1858"/>
          <cell r="E1858"/>
          <cell r="F1858"/>
          <cell r="G1858"/>
          <cell r="H1858"/>
          <cell r="J1858"/>
          <cell r="L1858"/>
          <cell r="M1858"/>
        </row>
        <row r="1859">
          <cell r="B1859"/>
          <cell r="C1859"/>
          <cell r="E1859"/>
          <cell r="F1859"/>
          <cell r="G1859"/>
          <cell r="H1859"/>
          <cell r="J1859"/>
          <cell r="L1859"/>
          <cell r="M1859"/>
        </row>
        <row r="1860">
          <cell r="B1860"/>
          <cell r="C1860"/>
          <cell r="E1860"/>
          <cell r="F1860"/>
          <cell r="G1860"/>
          <cell r="H1860"/>
          <cell r="J1860"/>
          <cell r="L1860"/>
          <cell r="M1860"/>
        </row>
        <row r="1861">
          <cell r="B1861"/>
          <cell r="C1861"/>
          <cell r="E1861"/>
          <cell r="F1861"/>
          <cell r="G1861"/>
          <cell r="H1861"/>
          <cell r="J1861"/>
          <cell r="L1861"/>
          <cell r="M1861"/>
        </row>
        <row r="1862">
          <cell r="B1862"/>
          <cell r="C1862"/>
          <cell r="E1862"/>
          <cell r="F1862"/>
          <cell r="G1862"/>
          <cell r="H1862"/>
          <cell r="J1862"/>
          <cell r="L1862"/>
          <cell r="M1862"/>
        </row>
        <row r="1863">
          <cell r="B1863"/>
          <cell r="C1863"/>
          <cell r="E1863"/>
          <cell r="F1863"/>
          <cell r="G1863"/>
          <cell r="H1863"/>
          <cell r="J1863"/>
          <cell r="L1863"/>
          <cell r="M1863"/>
        </row>
        <row r="1864">
          <cell r="B1864"/>
          <cell r="C1864"/>
          <cell r="E1864"/>
          <cell r="F1864"/>
          <cell r="G1864"/>
          <cell r="H1864"/>
          <cell r="J1864"/>
          <cell r="L1864"/>
          <cell r="M1864"/>
        </row>
        <row r="1865">
          <cell r="B1865"/>
          <cell r="C1865"/>
          <cell r="E1865"/>
          <cell r="F1865"/>
          <cell r="G1865"/>
          <cell r="H1865"/>
          <cell r="J1865"/>
          <cell r="L1865"/>
          <cell r="M1865"/>
        </row>
        <row r="1866">
          <cell r="B1866"/>
          <cell r="C1866"/>
          <cell r="E1866"/>
          <cell r="F1866"/>
          <cell r="G1866"/>
          <cell r="H1866"/>
          <cell r="J1866"/>
          <cell r="L1866"/>
          <cell r="M1866"/>
        </row>
        <row r="1867">
          <cell r="B1867"/>
          <cell r="C1867"/>
          <cell r="E1867"/>
          <cell r="F1867"/>
          <cell r="G1867"/>
          <cell r="H1867"/>
          <cell r="J1867"/>
          <cell r="L1867"/>
          <cell r="M1867"/>
        </row>
        <row r="1868">
          <cell r="B1868"/>
          <cell r="C1868"/>
          <cell r="E1868"/>
          <cell r="F1868"/>
          <cell r="G1868"/>
          <cell r="H1868"/>
          <cell r="J1868"/>
          <cell r="L1868"/>
          <cell r="M1868"/>
        </row>
        <row r="1869">
          <cell r="B1869"/>
          <cell r="C1869"/>
          <cell r="E1869"/>
          <cell r="F1869"/>
          <cell r="G1869"/>
          <cell r="H1869"/>
          <cell r="J1869"/>
          <cell r="L1869"/>
          <cell r="M1869"/>
        </row>
        <row r="1870">
          <cell r="B1870"/>
          <cell r="C1870"/>
          <cell r="E1870"/>
          <cell r="F1870"/>
          <cell r="G1870"/>
          <cell r="H1870"/>
          <cell r="J1870"/>
          <cell r="L1870"/>
          <cell r="M1870"/>
        </row>
        <row r="1871">
          <cell r="B1871"/>
          <cell r="C1871"/>
          <cell r="E1871"/>
          <cell r="F1871"/>
          <cell r="G1871"/>
          <cell r="H1871"/>
          <cell r="J1871"/>
          <cell r="L1871"/>
          <cell r="M1871"/>
        </row>
        <row r="1872">
          <cell r="B1872"/>
          <cell r="C1872"/>
          <cell r="E1872"/>
          <cell r="F1872"/>
          <cell r="G1872"/>
          <cell r="H1872"/>
          <cell r="J1872"/>
          <cell r="L1872"/>
          <cell r="M1872"/>
        </row>
        <row r="1873">
          <cell r="B1873"/>
          <cell r="C1873"/>
          <cell r="E1873"/>
          <cell r="F1873"/>
          <cell r="G1873"/>
          <cell r="H1873"/>
          <cell r="J1873"/>
          <cell r="L1873"/>
          <cell r="M1873"/>
        </row>
        <row r="1874">
          <cell r="B1874"/>
          <cell r="C1874"/>
          <cell r="E1874"/>
          <cell r="F1874"/>
          <cell r="G1874"/>
          <cell r="H1874"/>
          <cell r="J1874"/>
          <cell r="L1874"/>
          <cell r="M1874"/>
        </row>
        <row r="1875">
          <cell r="B1875"/>
          <cell r="C1875"/>
          <cell r="E1875"/>
          <cell r="F1875"/>
          <cell r="G1875"/>
          <cell r="H1875"/>
          <cell r="J1875"/>
          <cell r="L1875"/>
          <cell r="M1875"/>
        </row>
        <row r="1876">
          <cell r="B1876"/>
          <cell r="C1876"/>
          <cell r="E1876"/>
          <cell r="F1876"/>
          <cell r="G1876"/>
          <cell r="H1876"/>
          <cell r="J1876"/>
          <cell r="L1876"/>
          <cell r="M1876"/>
        </row>
        <row r="1877">
          <cell r="B1877"/>
          <cell r="C1877"/>
          <cell r="E1877"/>
          <cell r="F1877"/>
          <cell r="G1877"/>
          <cell r="H1877"/>
          <cell r="J1877"/>
          <cell r="L1877"/>
          <cell r="M1877"/>
        </row>
        <row r="1878">
          <cell r="B1878"/>
          <cell r="C1878"/>
          <cell r="E1878"/>
          <cell r="F1878"/>
          <cell r="G1878"/>
          <cell r="H1878"/>
          <cell r="J1878"/>
          <cell r="L1878"/>
          <cell r="M1878"/>
        </row>
        <row r="1879">
          <cell r="B1879"/>
          <cell r="C1879"/>
          <cell r="E1879"/>
          <cell r="F1879"/>
          <cell r="G1879"/>
          <cell r="H1879"/>
          <cell r="J1879"/>
          <cell r="L1879"/>
          <cell r="M1879"/>
        </row>
        <row r="1880">
          <cell r="B1880"/>
          <cell r="C1880"/>
          <cell r="E1880"/>
          <cell r="F1880"/>
          <cell r="G1880"/>
          <cell r="H1880"/>
          <cell r="J1880"/>
          <cell r="L1880"/>
          <cell r="M1880"/>
        </row>
        <row r="1881">
          <cell r="B1881"/>
          <cell r="C1881"/>
          <cell r="E1881"/>
          <cell r="F1881"/>
          <cell r="G1881"/>
          <cell r="H1881"/>
          <cell r="J1881"/>
          <cell r="L1881"/>
          <cell r="M1881"/>
        </row>
        <row r="1882">
          <cell r="B1882"/>
          <cell r="C1882"/>
          <cell r="E1882"/>
          <cell r="F1882"/>
          <cell r="G1882"/>
          <cell r="H1882"/>
          <cell r="J1882"/>
          <cell r="L1882"/>
          <cell r="M1882"/>
        </row>
        <row r="1883">
          <cell r="B1883"/>
          <cell r="C1883"/>
          <cell r="E1883"/>
          <cell r="F1883"/>
          <cell r="G1883"/>
          <cell r="H1883"/>
          <cell r="J1883"/>
          <cell r="L1883"/>
          <cell r="M1883"/>
        </row>
        <row r="1884">
          <cell r="B1884"/>
          <cell r="C1884"/>
          <cell r="E1884"/>
          <cell r="F1884"/>
          <cell r="G1884"/>
          <cell r="H1884"/>
          <cell r="J1884"/>
          <cell r="L1884"/>
          <cell r="M1884"/>
        </row>
        <row r="1885">
          <cell r="B1885"/>
          <cell r="C1885"/>
          <cell r="E1885"/>
          <cell r="F1885"/>
          <cell r="G1885"/>
          <cell r="H1885"/>
          <cell r="J1885"/>
          <cell r="L1885"/>
          <cell r="M1885"/>
        </row>
        <row r="1886">
          <cell r="B1886"/>
          <cell r="C1886"/>
          <cell r="E1886"/>
          <cell r="F1886"/>
          <cell r="G1886"/>
          <cell r="H1886"/>
          <cell r="J1886"/>
          <cell r="L1886"/>
          <cell r="M1886"/>
        </row>
        <row r="1887">
          <cell r="B1887"/>
          <cell r="C1887"/>
          <cell r="E1887"/>
          <cell r="F1887"/>
          <cell r="G1887"/>
          <cell r="H1887"/>
          <cell r="J1887"/>
          <cell r="L1887"/>
          <cell r="M1887"/>
        </row>
        <row r="1888">
          <cell r="B1888"/>
          <cell r="C1888"/>
          <cell r="E1888"/>
          <cell r="F1888"/>
          <cell r="G1888"/>
          <cell r="H1888"/>
          <cell r="J1888"/>
          <cell r="L1888"/>
          <cell r="M1888"/>
        </row>
        <row r="1889">
          <cell r="B1889"/>
          <cell r="C1889"/>
          <cell r="E1889"/>
          <cell r="F1889"/>
          <cell r="G1889"/>
          <cell r="H1889"/>
          <cell r="J1889"/>
          <cell r="L1889"/>
          <cell r="M1889"/>
        </row>
        <row r="1890">
          <cell r="B1890"/>
          <cell r="C1890"/>
          <cell r="E1890"/>
          <cell r="F1890"/>
          <cell r="G1890"/>
          <cell r="H1890"/>
          <cell r="J1890"/>
          <cell r="L1890"/>
          <cell r="M1890"/>
        </row>
        <row r="1891">
          <cell r="B1891"/>
          <cell r="C1891"/>
          <cell r="E1891"/>
          <cell r="F1891"/>
          <cell r="G1891"/>
          <cell r="H1891"/>
          <cell r="J1891"/>
          <cell r="L1891"/>
          <cell r="M1891"/>
        </row>
        <row r="1892">
          <cell r="B1892"/>
          <cell r="C1892"/>
          <cell r="E1892"/>
          <cell r="F1892"/>
          <cell r="G1892"/>
          <cell r="H1892"/>
          <cell r="J1892"/>
          <cell r="L1892"/>
          <cell r="M1892"/>
        </row>
        <row r="1893">
          <cell r="B1893"/>
          <cell r="C1893"/>
          <cell r="E1893"/>
          <cell r="F1893"/>
          <cell r="G1893"/>
          <cell r="H1893"/>
          <cell r="J1893"/>
          <cell r="L1893"/>
          <cell r="M1893"/>
        </row>
        <row r="1894">
          <cell r="B1894"/>
          <cell r="C1894"/>
          <cell r="E1894"/>
          <cell r="F1894"/>
          <cell r="G1894"/>
          <cell r="H1894"/>
          <cell r="J1894"/>
          <cell r="L1894"/>
          <cell r="M1894"/>
        </row>
        <row r="1895">
          <cell r="B1895"/>
          <cell r="C1895"/>
          <cell r="E1895"/>
          <cell r="F1895"/>
          <cell r="G1895"/>
          <cell r="H1895"/>
          <cell r="J1895"/>
          <cell r="L1895"/>
          <cell r="M1895"/>
        </row>
        <row r="1896">
          <cell r="B1896"/>
          <cell r="C1896"/>
          <cell r="E1896"/>
          <cell r="F1896"/>
          <cell r="G1896"/>
          <cell r="H1896"/>
          <cell r="J1896"/>
          <cell r="L1896"/>
          <cell r="M1896"/>
        </row>
        <row r="1897">
          <cell r="B1897"/>
          <cell r="C1897"/>
          <cell r="E1897"/>
          <cell r="F1897"/>
          <cell r="G1897"/>
          <cell r="H1897"/>
          <cell r="J1897"/>
          <cell r="L1897"/>
          <cell r="M1897"/>
        </row>
        <row r="1898">
          <cell r="B1898"/>
          <cell r="C1898"/>
          <cell r="E1898"/>
          <cell r="F1898"/>
          <cell r="G1898"/>
          <cell r="H1898"/>
          <cell r="J1898"/>
          <cell r="L1898"/>
          <cell r="M1898"/>
        </row>
        <row r="1899">
          <cell r="B1899"/>
          <cell r="C1899"/>
          <cell r="E1899"/>
          <cell r="F1899"/>
          <cell r="G1899"/>
          <cell r="H1899"/>
          <cell r="J1899"/>
          <cell r="L1899"/>
          <cell r="M1899"/>
        </row>
        <row r="1900">
          <cell r="B1900"/>
          <cell r="C1900"/>
          <cell r="E1900"/>
          <cell r="F1900"/>
          <cell r="G1900"/>
          <cell r="H1900"/>
          <cell r="J1900"/>
          <cell r="L1900"/>
          <cell r="M1900"/>
        </row>
        <row r="1901">
          <cell r="B1901"/>
          <cell r="C1901"/>
          <cell r="E1901"/>
          <cell r="F1901"/>
          <cell r="G1901"/>
          <cell r="H1901"/>
          <cell r="J1901"/>
          <cell r="L1901"/>
          <cell r="M1901"/>
        </row>
        <row r="1902">
          <cell r="B1902"/>
          <cell r="C1902"/>
          <cell r="E1902"/>
          <cell r="F1902"/>
          <cell r="G1902"/>
          <cell r="H1902"/>
          <cell r="J1902"/>
          <cell r="L1902"/>
          <cell r="M1902"/>
        </row>
        <row r="1903">
          <cell r="B1903"/>
          <cell r="C1903"/>
          <cell r="E1903"/>
          <cell r="F1903"/>
          <cell r="G1903"/>
          <cell r="H1903"/>
          <cell r="J1903"/>
          <cell r="L1903"/>
          <cell r="M1903"/>
        </row>
        <row r="1904">
          <cell r="B1904"/>
          <cell r="C1904"/>
          <cell r="E1904"/>
          <cell r="F1904"/>
          <cell r="G1904"/>
          <cell r="H1904"/>
          <cell r="J1904"/>
          <cell r="L1904"/>
          <cell r="M1904"/>
        </row>
        <row r="1905">
          <cell r="B1905"/>
          <cell r="C1905"/>
          <cell r="E1905"/>
          <cell r="F1905"/>
          <cell r="G1905"/>
          <cell r="H1905"/>
          <cell r="J1905"/>
          <cell r="L1905"/>
          <cell r="M1905"/>
        </row>
        <row r="1906">
          <cell r="B1906"/>
          <cell r="C1906"/>
          <cell r="E1906"/>
          <cell r="F1906"/>
          <cell r="G1906"/>
          <cell r="H1906"/>
          <cell r="J1906"/>
          <cell r="L1906"/>
          <cell r="M1906"/>
        </row>
        <row r="1907">
          <cell r="B1907"/>
          <cell r="C1907"/>
          <cell r="E1907"/>
          <cell r="F1907"/>
          <cell r="G1907"/>
          <cell r="H1907"/>
          <cell r="J1907"/>
          <cell r="L1907"/>
          <cell r="M1907"/>
        </row>
        <row r="1908">
          <cell r="B1908"/>
          <cell r="C1908"/>
          <cell r="E1908"/>
          <cell r="F1908"/>
          <cell r="G1908"/>
          <cell r="H1908"/>
          <cell r="J1908"/>
          <cell r="L1908"/>
          <cell r="M1908"/>
        </row>
        <row r="1909">
          <cell r="B1909"/>
          <cell r="C1909"/>
          <cell r="E1909"/>
          <cell r="F1909"/>
          <cell r="G1909"/>
          <cell r="H1909"/>
          <cell r="J1909"/>
          <cell r="L1909"/>
          <cell r="M1909"/>
        </row>
        <row r="1910">
          <cell r="B1910"/>
          <cell r="C1910"/>
          <cell r="E1910"/>
          <cell r="F1910"/>
          <cell r="G1910"/>
          <cell r="H1910"/>
          <cell r="J1910"/>
          <cell r="L1910"/>
          <cell r="M1910"/>
        </row>
        <row r="1911">
          <cell r="B1911"/>
          <cell r="C1911"/>
          <cell r="E1911"/>
          <cell r="F1911"/>
          <cell r="G1911"/>
          <cell r="H1911"/>
          <cell r="J1911"/>
          <cell r="L1911"/>
          <cell r="M1911"/>
        </row>
        <row r="1912">
          <cell r="B1912"/>
          <cell r="C1912"/>
          <cell r="E1912"/>
          <cell r="F1912"/>
          <cell r="G1912"/>
          <cell r="H1912"/>
          <cell r="J1912"/>
          <cell r="L1912"/>
          <cell r="M1912"/>
        </row>
        <row r="1913">
          <cell r="B1913"/>
          <cell r="C1913"/>
          <cell r="E1913"/>
          <cell r="F1913"/>
          <cell r="G1913"/>
          <cell r="H1913"/>
          <cell r="J1913"/>
          <cell r="L1913"/>
          <cell r="M1913"/>
        </row>
        <row r="1914">
          <cell r="B1914"/>
          <cell r="C1914"/>
          <cell r="E1914"/>
          <cell r="F1914"/>
          <cell r="G1914"/>
          <cell r="H1914"/>
          <cell r="J1914"/>
          <cell r="L1914"/>
          <cell r="M1914"/>
        </row>
        <row r="1915">
          <cell r="B1915"/>
          <cell r="C1915"/>
          <cell r="E1915"/>
          <cell r="F1915"/>
          <cell r="G1915"/>
          <cell r="H1915"/>
          <cell r="J1915"/>
          <cell r="L1915"/>
          <cell r="M1915"/>
        </row>
        <row r="1916">
          <cell r="B1916"/>
          <cell r="C1916"/>
          <cell r="E1916"/>
          <cell r="F1916"/>
          <cell r="G1916"/>
          <cell r="H1916"/>
          <cell r="J1916"/>
          <cell r="L1916"/>
          <cell r="M1916"/>
        </row>
        <row r="1917">
          <cell r="B1917"/>
          <cell r="C1917"/>
          <cell r="E1917"/>
          <cell r="F1917"/>
          <cell r="G1917"/>
          <cell r="H1917"/>
          <cell r="J1917"/>
          <cell r="L1917"/>
          <cell r="M1917"/>
        </row>
        <row r="1918">
          <cell r="B1918"/>
          <cell r="C1918"/>
          <cell r="E1918"/>
          <cell r="F1918"/>
          <cell r="G1918"/>
          <cell r="H1918"/>
          <cell r="J1918"/>
          <cell r="L1918"/>
          <cell r="M1918"/>
        </row>
        <row r="1919">
          <cell r="B1919"/>
          <cell r="C1919"/>
          <cell r="E1919"/>
          <cell r="F1919"/>
          <cell r="G1919"/>
          <cell r="H1919"/>
          <cell r="J1919"/>
          <cell r="L1919"/>
          <cell r="M1919"/>
        </row>
        <row r="1920">
          <cell r="B1920"/>
          <cell r="C1920"/>
          <cell r="E1920"/>
          <cell r="F1920"/>
          <cell r="G1920"/>
          <cell r="H1920"/>
          <cell r="J1920"/>
          <cell r="L1920"/>
          <cell r="M1920"/>
        </row>
        <row r="1921">
          <cell r="B1921"/>
          <cell r="C1921"/>
          <cell r="E1921"/>
          <cell r="F1921"/>
          <cell r="G1921"/>
          <cell r="H1921"/>
          <cell r="J1921"/>
          <cell r="L1921"/>
          <cell r="M1921"/>
        </row>
        <row r="1922">
          <cell r="B1922"/>
          <cell r="C1922"/>
          <cell r="E1922"/>
          <cell r="F1922"/>
          <cell r="G1922"/>
          <cell r="H1922"/>
          <cell r="J1922"/>
          <cell r="L1922"/>
          <cell r="M1922"/>
        </row>
        <row r="1923">
          <cell r="B1923"/>
          <cell r="C1923"/>
          <cell r="E1923"/>
          <cell r="F1923"/>
          <cell r="G1923"/>
          <cell r="H1923"/>
          <cell r="J1923"/>
          <cell r="L1923"/>
          <cell r="M1923"/>
        </row>
        <row r="1924">
          <cell r="B1924"/>
          <cell r="C1924"/>
          <cell r="E1924"/>
          <cell r="F1924"/>
          <cell r="G1924"/>
          <cell r="H1924"/>
          <cell r="J1924"/>
          <cell r="L1924"/>
          <cell r="M1924"/>
        </row>
        <row r="1925">
          <cell r="B1925"/>
          <cell r="C1925"/>
          <cell r="E1925"/>
          <cell r="F1925"/>
          <cell r="G1925"/>
          <cell r="H1925"/>
          <cell r="J1925"/>
          <cell r="L1925"/>
          <cell r="M1925"/>
        </row>
        <row r="1926">
          <cell r="B1926"/>
          <cell r="C1926"/>
          <cell r="E1926"/>
          <cell r="F1926"/>
          <cell r="G1926"/>
          <cell r="H1926"/>
          <cell r="J1926"/>
          <cell r="L1926"/>
          <cell r="M1926"/>
        </row>
        <row r="1927">
          <cell r="B1927"/>
          <cell r="C1927"/>
          <cell r="E1927"/>
          <cell r="F1927"/>
          <cell r="G1927"/>
          <cell r="H1927"/>
          <cell r="J1927"/>
          <cell r="L1927"/>
          <cell r="M1927"/>
        </row>
        <row r="1928">
          <cell r="B1928"/>
          <cell r="C1928"/>
          <cell r="E1928"/>
          <cell r="F1928"/>
          <cell r="G1928"/>
          <cell r="H1928"/>
          <cell r="J1928"/>
          <cell r="L1928"/>
          <cell r="M1928"/>
        </row>
        <row r="1929">
          <cell r="B1929"/>
          <cell r="C1929"/>
          <cell r="E1929"/>
          <cell r="F1929"/>
          <cell r="G1929"/>
          <cell r="H1929"/>
          <cell r="J1929"/>
          <cell r="L1929"/>
          <cell r="M1929"/>
        </row>
        <row r="1930">
          <cell r="B1930"/>
          <cell r="C1930"/>
          <cell r="E1930"/>
          <cell r="F1930"/>
          <cell r="G1930"/>
          <cell r="H1930"/>
          <cell r="J1930"/>
          <cell r="L1930"/>
          <cell r="M1930"/>
        </row>
        <row r="1931">
          <cell r="B1931"/>
          <cell r="C1931"/>
          <cell r="E1931"/>
          <cell r="F1931"/>
          <cell r="G1931"/>
          <cell r="H1931"/>
          <cell r="J1931"/>
          <cell r="L1931"/>
          <cell r="M1931"/>
        </row>
        <row r="1932">
          <cell r="B1932"/>
          <cell r="C1932"/>
          <cell r="E1932"/>
          <cell r="F1932"/>
          <cell r="G1932"/>
          <cell r="H1932"/>
          <cell r="J1932"/>
          <cell r="L1932"/>
          <cell r="M1932"/>
        </row>
        <row r="1933">
          <cell r="B1933"/>
          <cell r="C1933"/>
          <cell r="E1933"/>
          <cell r="F1933"/>
          <cell r="G1933"/>
          <cell r="H1933"/>
          <cell r="J1933"/>
          <cell r="L1933"/>
          <cell r="M1933"/>
        </row>
        <row r="1934">
          <cell r="B1934"/>
          <cell r="C1934"/>
          <cell r="E1934"/>
          <cell r="F1934"/>
          <cell r="G1934"/>
          <cell r="H1934"/>
          <cell r="J1934"/>
          <cell r="L1934"/>
          <cell r="M1934"/>
        </row>
        <row r="1935">
          <cell r="B1935"/>
          <cell r="C1935"/>
          <cell r="E1935"/>
          <cell r="F1935"/>
          <cell r="G1935"/>
          <cell r="H1935"/>
          <cell r="J1935"/>
          <cell r="L1935"/>
          <cell r="M1935"/>
        </row>
        <row r="1936">
          <cell r="B1936"/>
          <cell r="C1936"/>
          <cell r="E1936"/>
          <cell r="F1936"/>
          <cell r="G1936"/>
          <cell r="H1936"/>
          <cell r="J1936"/>
          <cell r="L1936"/>
          <cell r="M1936"/>
        </row>
        <row r="1937">
          <cell r="B1937"/>
          <cell r="C1937"/>
          <cell r="E1937"/>
          <cell r="F1937"/>
          <cell r="G1937"/>
          <cell r="H1937"/>
          <cell r="J1937"/>
          <cell r="L1937"/>
          <cell r="M1937"/>
        </row>
        <row r="1938">
          <cell r="B1938"/>
          <cell r="C1938"/>
          <cell r="E1938"/>
          <cell r="F1938"/>
          <cell r="G1938"/>
          <cell r="H1938"/>
          <cell r="J1938"/>
          <cell r="L1938"/>
          <cell r="M1938"/>
        </row>
        <row r="1939">
          <cell r="B1939"/>
          <cell r="C1939"/>
          <cell r="E1939"/>
          <cell r="F1939"/>
          <cell r="G1939"/>
          <cell r="H1939"/>
          <cell r="J1939"/>
          <cell r="L1939"/>
          <cell r="M1939"/>
        </row>
        <row r="1940">
          <cell r="B1940"/>
          <cell r="C1940"/>
          <cell r="E1940"/>
          <cell r="F1940"/>
          <cell r="G1940"/>
          <cell r="H1940"/>
          <cell r="J1940"/>
          <cell r="L1940"/>
          <cell r="M1940"/>
        </row>
        <row r="1941">
          <cell r="B1941"/>
          <cell r="C1941"/>
          <cell r="E1941"/>
          <cell r="F1941"/>
          <cell r="G1941"/>
          <cell r="H1941"/>
          <cell r="J1941"/>
          <cell r="L1941"/>
          <cell r="M1941"/>
        </row>
        <row r="1942">
          <cell r="B1942"/>
          <cell r="C1942"/>
          <cell r="E1942"/>
          <cell r="F1942"/>
          <cell r="G1942"/>
          <cell r="H1942"/>
          <cell r="J1942"/>
          <cell r="L1942"/>
          <cell r="M1942"/>
        </row>
        <row r="1943">
          <cell r="B1943"/>
          <cell r="C1943"/>
          <cell r="E1943"/>
          <cell r="F1943"/>
          <cell r="G1943"/>
          <cell r="H1943"/>
          <cell r="J1943"/>
          <cell r="L1943"/>
          <cell r="M1943"/>
        </row>
        <row r="1944">
          <cell r="B1944"/>
          <cell r="C1944"/>
          <cell r="E1944"/>
          <cell r="F1944"/>
          <cell r="G1944"/>
          <cell r="H1944"/>
          <cell r="J1944"/>
          <cell r="L1944"/>
          <cell r="M1944"/>
        </row>
        <row r="1945">
          <cell r="B1945"/>
          <cell r="C1945"/>
          <cell r="E1945"/>
          <cell r="F1945"/>
          <cell r="G1945"/>
          <cell r="H1945"/>
          <cell r="J1945"/>
          <cell r="L1945"/>
          <cell r="M1945"/>
        </row>
        <row r="1946">
          <cell r="B1946"/>
          <cell r="C1946"/>
          <cell r="E1946"/>
          <cell r="F1946"/>
          <cell r="G1946"/>
          <cell r="H1946"/>
          <cell r="J1946"/>
          <cell r="L1946"/>
          <cell r="M1946"/>
        </row>
        <row r="1947">
          <cell r="B1947"/>
          <cell r="C1947"/>
          <cell r="E1947"/>
          <cell r="F1947"/>
          <cell r="G1947"/>
          <cell r="H1947"/>
          <cell r="J1947"/>
          <cell r="L1947"/>
          <cell r="M1947"/>
        </row>
        <row r="1948">
          <cell r="B1948"/>
          <cell r="C1948"/>
          <cell r="E1948"/>
          <cell r="F1948"/>
          <cell r="G1948"/>
          <cell r="H1948"/>
          <cell r="J1948"/>
          <cell r="L1948"/>
          <cell r="M1948"/>
        </row>
        <row r="1949">
          <cell r="B1949"/>
          <cell r="C1949"/>
          <cell r="E1949"/>
          <cell r="F1949"/>
          <cell r="G1949"/>
          <cell r="H1949"/>
          <cell r="J1949"/>
          <cell r="L1949"/>
          <cell r="M1949"/>
        </row>
        <row r="1950">
          <cell r="B1950"/>
          <cell r="C1950"/>
          <cell r="E1950"/>
          <cell r="F1950"/>
          <cell r="G1950"/>
          <cell r="H1950"/>
          <cell r="J1950"/>
          <cell r="L1950"/>
          <cell r="M1950"/>
        </row>
        <row r="1951">
          <cell r="B1951"/>
          <cell r="C1951"/>
          <cell r="E1951"/>
          <cell r="F1951"/>
          <cell r="G1951"/>
          <cell r="H1951"/>
          <cell r="J1951"/>
          <cell r="L1951"/>
          <cell r="M1951"/>
        </row>
        <row r="1952">
          <cell r="B1952"/>
          <cell r="C1952"/>
          <cell r="E1952"/>
          <cell r="F1952"/>
          <cell r="G1952"/>
          <cell r="H1952"/>
          <cell r="J1952"/>
          <cell r="L1952"/>
          <cell r="M1952"/>
        </row>
        <row r="1953">
          <cell r="B1953"/>
          <cell r="C1953"/>
          <cell r="E1953"/>
          <cell r="F1953"/>
          <cell r="G1953"/>
          <cell r="H1953"/>
          <cell r="J1953"/>
          <cell r="L1953"/>
          <cell r="M1953"/>
        </row>
        <row r="1954">
          <cell r="B1954"/>
          <cell r="C1954"/>
          <cell r="E1954"/>
          <cell r="F1954"/>
          <cell r="G1954"/>
          <cell r="H1954"/>
          <cell r="J1954"/>
          <cell r="L1954"/>
          <cell r="M1954"/>
        </row>
        <row r="1955">
          <cell r="B1955"/>
          <cell r="C1955"/>
          <cell r="E1955"/>
          <cell r="F1955"/>
          <cell r="G1955"/>
          <cell r="H1955"/>
          <cell r="J1955"/>
          <cell r="L1955"/>
          <cell r="M1955"/>
        </row>
        <row r="1956">
          <cell r="B1956"/>
          <cell r="C1956"/>
          <cell r="E1956"/>
          <cell r="F1956"/>
          <cell r="G1956"/>
          <cell r="H1956"/>
          <cell r="J1956"/>
          <cell r="L1956"/>
          <cell r="M1956"/>
        </row>
        <row r="1957">
          <cell r="B1957"/>
          <cell r="C1957"/>
          <cell r="E1957"/>
          <cell r="F1957"/>
          <cell r="G1957"/>
          <cell r="H1957"/>
          <cell r="J1957"/>
          <cell r="L1957"/>
          <cell r="M1957"/>
        </row>
        <row r="1958">
          <cell r="B1958"/>
          <cell r="C1958"/>
          <cell r="E1958"/>
          <cell r="F1958"/>
          <cell r="G1958"/>
          <cell r="H1958"/>
          <cell r="J1958"/>
          <cell r="L1958"/>
          <cell r="M1958"/>
        </row>
        <row r="1959">
          <cell r="B1959"/>
          <cell r="C1959"/>
          <cell r="E1959"/>
          <cell r="F1959"/>
          <cell r="G1959"/>
          <cell r="H1959"/>
          <cell r="J1959"/>
          <cell r="L1959"/>
          <cell r="M1959"/>
        </row>
        <row r="1960">
          <cell r="B1960"/>
          <cell r="C1960"/>
          <cell r="E1960"/>
          <cell r="F1960"/>
          <cell r="G1960"/>
          <cell r="H1960"/>
          <cell r="J1960"/>
          <cell r="L1960"/>
          <cell r="M1960"/>
        </row>
        <row r="1961">
          <cell r="B1961"/>
          <cell r="C1961"/>
          <cell r="E1961"/>
          <cell r="F1961"/>
          <cell r="G1961"/>
          <cell r="H1961"/>
          <cell r="J1961"/>
          <cell r="L1961"/>
          <cell r="M1961"/>
        </row>
        <row r="1962">
          <cell r="B1962"/>
          <cell r="C1962"/>
          <cell r="E1962"/>
          <cell r="F1962"/>
          <cell r="G1962"/>
          <cell r="H1962"/>
          <cell r="J1962"/>
          <cell r="L1962"/>
          <cell r="M1962"/>
        </row>
        <row r="1963">
          <cell r="B1963"/>
          <cell r="C1963"/>
          <cell r="E1963"/>
          <cell r="F1963"/>
          <cell r="G1963"/>
          <cell r="H1963"/>
          <cell r="J1963"/>
          <cell r="L1963"/>
          <cell r="M1963"/>
        </row>
        <row r="1964">
          <cell r="B1964"/>
          <cell r="C1964"/>
          <cell r="E1964"/>
          <cell r="F1964"/>
          <cell r="G1964"/>
          <cell r="H1964"/>
          <cell r="J1964"/>
          <cell r="L1964"/>
          <cell r="M1964"/>
        </row>
        <row r="1965">
          <cell r="B1965"/>
          <cell r="C1965"/>
          <cell r="E1965"/>
          <cell r="F1965"/>
          <cell r="G1965"/>
          <cell r="H1965"/>
          <cell r="J1965"/>
          <cell r="L1965"/>
          <cell r="M1965"/>
        </row>
        <row r="1966">
          <cell r="B1966"/>
          <cell r="C1966"/>
          <cell r="E1966"/>
          <cell r="F1966"/>
          <cell r="G1966"/>
          <cell r="H1966"/>
          <cell r="J1966"/>
          <cell r="L1966"/>
          <cell r="M1966"/>
        </row>
        <row r="1967">
          <cell r="B1967"/>
          <cell r="C1967"/>
          <cell r="E1967"/>
          <cell r="F1967"/>
          <cell r="G1967"/>
          <cell r="H1967"/>
          <cell r="J1967"/>
          <cell r="L1967"/>
          <cell r="M1967"/>
        </row>
        <row r="1968">
          <cell r="B1968"/>
          <cell r="C1968"/>
          <cell r="E1968"/>
          <cell r="F1968"/>
          <cell r="G1968"/>
          <cell r="H1968"/>
          <cell r="J1968"/>
          <cell r="L1968"/>
          <cell r="M1968"/>
        </row>
        <row r="1969">
          <cell r="B1969"/>
          <cell r="C1969"/>
          <cell r="E1969"/>
          <cell r="F1969"/>
          <cell r="G1969"/>
          <cell r="H1969"/>
          <cell r="J1969"/>
          <cell r="L1969"/>
          <cell r="M1969"/>
        </row>
        <row r="1970">
          <cell r="B1970"/>
          <cell r="C1970"/>
          <cell r="E1970"/>
          <cell r="F1970"/>
          <cell r="G1970"/>
          <cell r="H1970"/>
          <cell r="J1970"/>
          <cell r="L1970"/>
          <cell r="M1970"/>
        </row>
        <row r="1971">
          <cell r="B1971"/>
          <cell r="C1971"/>
          <cell r="E1971"/>
          <cell r="F1971"/>
          <cell r="G1971"/>
          <cell r="H1971"/>
          <cell r="J1971"/>
          <cell r="L1971"/>
          <cell r="M1971"/>
        </row>
        <row r="1972">
          <cell r="B1972"/>
          <cell r="C1972"/>
          <cell r="E1972"/>
          <cell r="F1972"/>
          <cell r="G1972"/>
          <cell r="H1972"/>
          <cell r="J1972"/>
          <cell r="L1972"/>
          <cell r="M1972"/>
        </row>
        <row r="1973">
          <cell r="B1973"/>
          <cell r="C1973"/>
          <cell r="E1973"/>
          <cell r="F1973"/>
          <cell r="G1973"/>
          <cell r="H1973"/>
          <cell r="J1973"/>
          <cell r="L1973"/>
          <cell r="M1973"/>
        </row>
        <row r="1974">
          <cell r="B1974"/>
          <cell r="C1974"/>
          <cell r="E1974"/>
          <cell r="F1974"/>
          <cell r="G1974"/>
          <cell r="H1974"/>
          <cell r="J1974"/>
          <cell r="L1974"/>
          <cell r="M1974"/>
        </row>
        <row r="1975">
          <cell r="B1975"/>
          <cell r="C1975"/>
          <cell r="E1975"/>
          <cell r="F1975"/>
          <cell r="G1975"/>
          <cell r="H1975"/>
          <cell r="J1975"/>
          <cell r="L1975"/>
          <cell r="M1975"/>
        </row>
        <row r="1976">
          <cell r="B1976"/>
          <cell r="C1976"/>
          <cell r="E1976"/>
          <cell r="F1976"/>
          <cell r="G1976"/>
          <cell r="H1976"/>
          <cell r="J1976"/>
          <cell r="L1976"/>
          <cell r="M1976"/>
        </row>
        <row r="1977">
          <cell r="B1977"/>
          <cell r="C1977"/>
          <cell r="E1977"/>
          <cell r="F1977"/>
          <cell r="G1977"/>
          <cell r="H1977"/>
          <cell r="J1977"/>
          <cell r="L1977"/>
          <cell r="M1977"/>
        </row>
        <row r="1978">
          <cell r="B1978"/>
          <cell r="C1978"/>
          <cell r="E1978"/>
          <cell r="F1978"/>
          <cell r="G1978"/>
          <cell r="H1978"/>
          <cell r="J1978"/>
          <cell r="L1978"/>
          <cell r="M1978"/>
        </row>
        <row r="1979">
          <cell r="B1979"/>
          <cell r="C1979"/>
          <cell r="E1979"/>
          <cell r="F1979"/>
          <cell r="G1979"/>
          <cell r="H1979"/>
          <cell r="J1979"/>
          <cell r="L1979"/>
          <cell r="M1979"/>
        </row>
        <row r="1980">
          <cell r="B1980"/>
          <cell r="C1980"/>
          <cell r="E1980"/>
          <cell r="F1980"/>
          <cell r="G1980"/>
          <cell r="H1980"/>
          <cell r="J1980"/>
          <cell r="L1980"/>
          <cell r="M1980"/>
        </row>
        <row r="1981">
          <cell r="B1981"/>
          <cell r="C1981"/>
          <cell r="E1981"/>
          <cell r="F1981"/>
          <cell r="G1981"/>
          <cell r="H1981"/>
          <cell r="J1981"/>
          <cell r="L1981"/>
          <cell r="M1981"/>
        </row>
        <row r="1982">
          <cell r="B1982"/>
          <cell r="C1982"/>
          <cell r="E1982"/>
          <cell r="F1982"/>
          <cell r="G1982"/>
          <cell r="H1982"/>
          <cell r="J1982"/>
          <cell r="L1982"/>
          <cell r="M1982"/>
        </row>
        <row r="1983">
          <cell r="B1983"/>
          <cell r="C1983"/>
          <cell r="E1983"/>
          <cell r="F1983"/>
          <cell r="G1983"/>
          <cell r="H1983"/>
          <cell r="J1983"/>
          <cell r="L1983"/>
          <cell r="M1983"/>
        </row>
        <row r="1984">
          <cell r="B1984"/>
          <cell r="C1984"/>
          <cell r="E1984"/>
          <cell r="F1984"/>
          <cell r="G1984"/>
          <cell r="H1984"/>
          <cell r="J1984"/>
          <cell r="L1984"/>
          <cell r="M1984"/>
        </row>
        <row r="1985">
          <cell r="B1985"/>
          <cell r="C1985"/>
          <cell r="E1985"/>
          <cell r="F1985"/>
          <cell r="G1985"/>
          <cell r="H1985"/>
          <cell r="J1985"/>
          <cell r="L1985"/>
          <cell r="M1985"/>
        </row>
        <row r="1986">
          <cell r="B1986"/>
          <cell r="C1986"/>
          <cell r="E1986"/>
          <cell r="F1986"/>
          <cell r="G1986"/>
          <cell r="H1986"/>
          <cell r="J1986"/>
          <cell r="L1986"/>
          <cell r="M1986"/>
        </row>
        <row r="1987">
          <cell r="B1987"/>
          <cell r="C1987"/>
          <cell r="E1987"/>
          <cell r="F1987"/>
          <cell r="G1987"/>
          <cell r="H1987"/>
          <cell r="J1987"/>
          <cell r="L1987"/>
          <cell r="M1987"/>
        </row>
        <row r="1988">
          <cell r="B1988"/>
          <cell r="C1988"/>
          <cell r="E1988"/>
          <cell r="F1988"/>
          <cell r="G1988"/>
          <cell r="H1988"/>
          <cell r="J1988"/>
          <cell r="L1988"/>
          <cell r="M1988"/>
        </row>
        <row r="1989">
          <cell r="B1989"/>
          <cell r="C1989"/>
          <cell r="E1989"/>
          <cell r="F1989"/>
          <cell r="G1989"/>
          <cell r="H1989"/>
          <cell r="J1989"/>
          <cell r="L1989"/>
          <cell r="M1989"/>
        </row>
        <row r="1990">
          <cell r="B1990"/>
          <cell r="C1990"/>
          <cell r="E1990"/>
          <cell r="F1990"/>
          <cell r="G1990"/>
          <cell r="H1990"/>
          <cell r="J1990"/>
          <cell r="L1990"/>
          <cell r="M1990"/>
        </row>
        <row r="1991">
          <cell r="B1991"/>
          <cell r="C1991"/>
          <cell r="E1991"/>
          <cell r="F1991"/>
          <cell r="G1991"/>
          <cell r="H1991"/>
          <cell r="J1991"/>
          <cell r="L1991"/>
          <cell r="M1991"/>
        </row>
        <row r="1992">
          <cell r="B1992"/>
          <cell r="C1992"/>
          <cell r="E1992"/>
          <cell r="F1992"/>
          <cell r="G1992"/>
          <cell r="H1992"/>
          <cell r="J1992"/>
          <cell r="L1992"/>
          <cell r="M1992"/>
        </row>
        <row r="1993">
          <cell r="B1993"/>
          <cell r="C1993"/>
          <cell r="E1993"/>
          <cell r="F1993"/>
          <cell r="G1993"/>
          <cell r="H1993"/>
          <cell r="J1993"/>
          <cell r="L1993"/>
          <cell r="M1993"/>
        </row>
        <row r="1994">
          <cell r="B1994"/>
          <cell r="C1994"/>
          <cell r="E1994"/>
          <cell r="F1994"/>
          <cell r="G1994"/>
          <cell r="H1994"/>
          <cell r="J1994"/>
          <cell r="L1994"/>
          <cell r="M1994"/>
        </row>
        <row r="1995">
          <cell r="B1995"/>
          <cell r="C1995"/>
          <cell r="E1995"/>
          <cell r="F1995"/>
          <cell r="G1995"/>
          <cell r="H1995"/>
          <cell r="J1995"/>
          <cell r="L1995"/>
          <cell r="M1995"/>
        </row>
        <row r="1996">
          <cell r="B1996"/>
          <cell r="C1996"/>
          <cell r="E1996"/>
          <cell r="F1996"/>
          <cell r="G1996"/>
          <cell r="H1996"/>
          <cell r="J1996"/>
          <cell r="L1996"/>
          <cell r="M1996"/>
        </row>
        <row r="1997">
          <cell r="B1997"/>
          <cell r="C1997"/>
          <cell r="E1997"/>
          <cell r="F1997"/>
          <cell r="G1997"/>
          <cell r="H1997"/>
          <cell r="J1997"/>
          <cell r="L1997"/>
          <cell r="M1997"/>
        </row>
        <row r="1998">
          <cell r="B1998"/>
          <cell r="C1998"/>
          <cell r="E1998"/>
          <cell r="F1998"/>
          <cell r="G1998"/>
          <cell r="H1998"/>
          <cell r="J1998"/>
          <cell r="L1998"/>
          <cell r="M1998"/>
        </row>
        <row r="1999">
          <cell r="B1999"/>
          <cell r="C1999"/>
          <cell r="E1999"/>
          <cell r="F1999"/>
          <cell r="G1999"/>
          <cell r="H1999"/>
          <cell r="J1999"/>
          <cell r="L1999"/>
          <cell r="M1999"/>
        </row>
        <row r="2000">
          <cell r="B2000"/>
          <cell r="C2000"/>
          <cell r="E2000"/>
          <cell r="F2000"/>
          <cell r="G2000"/>
          <cell r="H2000"/>
          <cell r="J2000"/>
          <cell r="L2000"/>
          <cell r="M2000"/>
        </row>
        <row r="2001">
          <cell r="B2001"/>
          <cell r="C2001"/>
          <cell r="E2001"/>
          <cell r="F2001"/>
          <cell r="G2001"/>
          <cell r="H2001"/>
          <cell r="J2001"/>
          <cell r="L2001"/>
          <cell r="M2001"/>
        </row>
        <row r="2002">
          <cell r="B2002"/>
          <cell r="C2002"/>
          <cell r="E2002"/>
          <cell r="F2002"/>
          <cell r="G2002"/>
          <cell r="H2002"/>
          <cell r="J2002"/>
          <cell r="L2002"/>
          <cell r="M2002"/>
        </row>
        <row r="2003">
          <cell r="B2003"/>
          <cell r="C2003"/>
          <cell r="E2003"/>
          <cell r="F2003"/>
          <cell r="G2003"/>
          <cell r="H2003"/>
          <cell r="J2003"/>
          <cell r="L2003"/>
          <cell r="M2003"/>
        </row>
        <row r="2004">
          <cell r="B2004"/>
          <cell r="C2004"/>
          <cell r="E2004"/>
          <cell r="F2004"/>
          <cell r="G2004"/>
          <cell r="H2004"/>
          <cell r="J2004"/>
          <cell r="L2004"/>
          <cell r="M2004"/>
        </row>
        <row r="2005">
          <cell r="B2005"/>
          <cell r="C2005"/>
          <cell r="E2005"/>
          <cell r="F2005"/>
          <cell r="G2005"/>
          <cell r="H2005"/>
          <cell r="J2005"/>
          <cell r="L2005"/>
          <cell r="M2005"/>
        </row>
        <row r="2006">
          <cell r="B2006"/>
          <cell r="C2006"/>
          <cell r="E2006"/>
          <cell r="F2006"/>
          <cell r="G2006"/>
          <cell r="H2006"/>
          <cell r="J2006"/>
          <cell r="L2006"/>
          <cell r="M2006"/>
        </row>
        <row r="2007">
          <cell r="B2007"/>
          <cell r="C2007"/>
          <cell r="E2007"/>
          <cell r="F2007"/>
          <cell r="G2007"/>
          <cell r="H2007"/>
          <cell r="J2007"/>
          <cell r="L2007"/>
          <cell r="M2007"/>
        </row>
        <row r="2008">
          <cell r="B2008"/>
          <cell r="C2008"/>
          <cell r="E2008"/>
          <cell r="F2008"/>
          <cell r="G2008"/>
          <cell r="H2008"/>
          <cell r="J2008"/>
          <cell r="L2008"/>
          <cell r="M2008"/>
        </row>
        <row r="2009">
          <cell r="B2009"/>
          <cell r="C2009"/>
          <cell r="E2009"/>
          <cell r="F2009"/>
          <cell r="G2009"/>
          <cell r="H2009"/>
          <cell r="J2009"/>
          <cell r="L2009"/>
          <cell r="M2009"/>
        </row>
        <row r="2010">
          <cell r="B2010"/>
          <cell r="C2010"/>
          <cell r="E2010"/>
          <cell r="F2010"/>
          <cell r="G2010"/>
          <cell r="H2010"/>
          <cell r="J2010"/>
          <cell r="L2010"/>
          <cell r="M2010"/>
        </row>
        <row r="2011">
          <cell r="B2011"/>
          <cell r="C2011"/>
          <cell r="E2011"/>
          <cell r="F2011"/>
          <cell r="G2011"/>
          <cell r="H2011"/>
          <cell r="J2011"/>
          <cell r="L2011"/>
          <cell r="M2011"/>
        </row>
        <row r="2012">
          <cell r="B2012"/>
          <cell r="C2012"/>
          <cell r="E2012"/>
          <cell r="F2012"/>
          <cell r="G2012"/>
          <cell r="H2012"/>
          <cell r="J2012"/>
          <cell r="L2012"/>
          <cell r="M2012"/>
        </row>
        <row r="2013">
          <cell r="B2013"/>
          <cell r="C2013"/>
          <cell r="E2013"/>
          <cell r="F2013"/>
          <cell r="G2013"/>
          <cell r="H2013"/>
          <cell r="J2013"/>
          <cell r="L2013"/>
          <cell r="M2013"/>
        </row>
        <row r="2014">
          <cell r="B2014"/>
          <cell r="C2014"/>
          <cell r="E2014"/>
          <cell r="F2014"/>
          <cell r="G2014"/>
          <cell r="H2014"/>
          <cell r="J2014"/>
          <cell r="L2014"/>
          <cell r="M2014"/>
        </row>
        <row r="2015">
          <cell r="B2015"/>
          <cell r="C2015"/>
          <cell r="E2015"/>
          <cell r="F2015"/>
          <cell r="G2015"/>
          <cell r="H2015"/>
          <cell r="J2015"/>
          <cell r="L2015"/>
          <cell r="M2015"/>
        </row>
        <row r="2016">
          <cell r="B2016"/>
          <cell r="C2016"/>
          <cell r="E2016"/>
          <cell r="F2016"/>
          <cell r="G2016"/>
          <cell r="H2016"/>
          <cell r="J2016"/>
          <cell r="L2016"/>
          <cell r="M2016"/>
        </row>
        <row r="2017">
          <cell r="B2017"/>
          <cell r="C2017"/>
          <cell r="E2017"/>
          <cell r="F2017"/>
          <cell r="G2017"/>
          <cell r="H2017"/>
          <cell r="J2017"/>
          <cell r="L2017"/>
          <cell r="M2017"/>
        </row>
        <row r="2018">
          <cell r="B2018"/>
          <cell r="C2018"/>
          <cell r="E2018"/>
          <cell r="F2018"/>
          <cell r="G2018"/>
          <cell r="H2018"/>
          <cell r="J2018"/>
          <cell r="L2018"/>
          <cell r="M2018"/>
        </row>
        <row r="2019">
          <cell r="B2019"/>
          <cell r="C2019"/>
          <cell r="E2019"/>
          <cell r="F2019"/>
          <cell r="G2019"/>
          <cell r="H2019"/>
          <cell r="J2019"/>
          <cell r="L2019"/>
          <cell r="M2019"/>
        </row>
        <row r="2020">
          <cell r="B2020"/>
          <cell r="C2020"/>
          <cell r="E2020"/>
          <cell r="F2020"/>
          <cell r="G2020"/>
          <cell r="H2020"/>
          <cell r="J2020"/>
          <cell r="L2020"/>
          <cell r="M2020"/>
        </row>
        <row r="2021">
          <cell r="B2021"/>
          <cell r="C2021"/>
          <cell r="E2021"/>
          <cell r="F2021"/>
          <cell r="G2021"/>
          <cell r="H2021"/>
          <cell r="J2021"/>
          <cell r="L2021"/>
          <cell r="M2021"/>
        </row>
        <row r="2022">
          <cell r="B2022"/>
          <cell r="C2022"/>
          <cell r="E2022"/>
          <cell r="F2022"/>
          <cell r="G2022"/>
          <cell r="H2022"/>
          <cell r="J2022"/>
          <cell r="L2022"/>
          <cell r="M2022"/>
        </row>
        <row r="2023">
          <cell r="B2023"/>
          <cell r="C2023"/>
          <cell r="E2023"/>
          <cell r="F2023"/>
          <cell r="G2023"/>
          <cell r="H2023"/>
          <cell r="J2023"/>
          <cell r="L2023"/>
          <cell r="M2023"/>
        </row>
        <row r="2024">
          <cell r="B2024"/>
          <cell r="C2024"/>
          <cell r="E2024"/>
          <cell r="F2024"/>
          <cell r="G2024"/>
          <cell r="H2024"/>
          <cell r="J2024"/>
          <cell r="L2024"/>
          <cell r="M2024"/>
        </row>
        <row r="2025">
          <cell r="B2025"/>
          <cell r="C2025"/>
          <cell r="E2025"/>
          <cell r="F2025"/>
          <cell r="G2025"/>
          <cell r="H2025"/>
          <cell r="J2025"/>
          <cell r="L2025"/>
          <cell r="M2025"/>
        </row>
        <row r="2026">
          <cell r="B2026"/>
          <cell r="C2026"/>
          <cell r="E2026"/>
          <cell r="F2026"/>
          <cell r="G2026"/>
          <cell r="H2026"/>
          <cell r="J2026"/>
          <cell r="L2026"/>
          <cell r="M2026"/>
        </row>
        <row r="2027">
          <cell r="B2027"/>
          <cell r="C2027"/>
          <cell r="E2027"/>
          <cell r="F2027"/>
          <cell r="G2027"/>
          <cell r="H2027"/>
          <cell r="J2027"/>
          <cell r="L2027"/>
          <cell r="M2027"/>
        </row>
        <row r="2028">
          <cell r="B2028"/>
          <cell r="C2028"/>
          <cell r="E2028"/>
          <cell r="F2028"/>
          <cell r="G2028"/>
          <cell r="H2028"/>
          <cell r="J2028"/>
          <cell r="L2028"/>
          <cell r="M2028"/>
        </row>
        <row r="2029">
          <cell r="B2029"/>
          <cell r="C2029"/>
          <cell r="E2029"/>
          <cell r="F2029"/>
          <cell r="G2029"/>
          <cell r="H2029"/>
          <cell r="J2029"/>
          <cell r="L2029"/>
          <cell r="M2029"/>
        </row>
        <row r="2030">
          <cell r="B2030"/>
          <cell r="C2030"/>
          <cell r="E2030"/>
          <cell r="F2030"/>
          <cell r="G2030"/>
          <cell r="H2030"/>
          <cell r="J2030"/>
          <cell r="L2030"/>
          <cell r="M2030"/>
        </row>
        <row r="2031">
          <cell r="B2031"/>
          <cell r="C2031"/>
          <cell r="E2031"/>
          <cell r="F2031"/>
          <cell r="G2031"/>
          <cell r="H2031"/>
          <cell r="J2031"/>
          <cell r="L2031"/>
          <cell r="M2031"/>
        </row>
        <row r="2032">
          <cell r="B2032"/>
          <cell r="C2032"/>
          <cell r="E2032"/>
          <cell r="F2032"/>
          <cell r="G2032"/>
          <cell r="H2032"/>
          <cell r="J2032"/>
          <cell r="L2032"/>
          <cell r="M2032"/>
        </row>
        <row r="2033">
          <cell r="B2033"/>
          <cell r="C2033"/>
          <cell r="E2033"/>
          <cell r="F2033"/>
          <cell r="G2033"/>
          <cell r="H2033"/>
          <cell r="J2033"/>
          <cell r="L2033"/>
          <cell r="M2033"/>
        </row>
        <row r="2034">
          <cell r="B2034"/>
          <cell r="C2034"/>
          <cell r="E2034"/>
          <cell r="F2034"/>
          <cell r="G2034"/>
          <cell r="H2034"/>
          <cell r="J2034"/>
          <cell r="L2034"/>
          <cell r="M2034"/>
        </row>
        <row r="2035">
          <cell r="B2035"/>
          <cell r="C2035"/>
          <cell r="E2035"/>
          <cell r="F2035"/>
          <cell r="G2035"/>
          <cell r="H2035"/>
          <cell r="J2035"/>
          <cell r="L2035"/>
          <cell r="M2035"/>
        </row>
        <row r="2036">
          <cell r="B2036"/>
          <cell r="C2036"/>
          <cell r="E2036"/>
          <cell r="F2036"/>
          <cell r="G2036"/>
          <cell r="H2036"/>
          <cell r="J2036"/>
          <cell r="L2036"/>
          <cell r="M2036"/>
        </row>
        <row r="2037">
          <cell r="B2037"/>
          <cell r="C2037"/>
          <cell r="E2037"/>
          <cell r="F2037"/>
          <cell r="G2037"/>
          <cell r="H2037"/>
          <cell r="J2037"/>
          <cell r="L2037"/>
          <cell r="M2037"/>
        </row>
        <row r="2038">
          <cell r="B2038"/>
          <cell r="C2038"/>
          <cell r="E2038"/>
          <cell r="F2038"/>
          <cell r="G2038"/>
          <cell r="H2038"/>
          <cell r="J2038"/>
          <cell r="L2038"/>
          <cell r="M2038"/>
        </row>
        <row r="2039">
          <cell r="B2039"/>
          <cell r="C2039"/>
          <cell r="E2039"/>
          <cell r="F2039"/>
          <cell r="G2039"/>
          <cell r="H2039"/>
          <cell r="J2039"/>
          <cell r="L2039"/>
          <cell r="M2039"/>
        </row>
        <row r="2040">
          <cell r="B2040"/>
          <cell r="C2040"/>
          <cell r="E2040"/>
          <cell r="F2040"/>
          <cell r="G2040"/>
          <cell r="H2040"/>
          <cell r="J2040"/>
          <cell r="L2040"/>
          <cell r="M2040"/>
        </row>
        <row r="2041">
          <cell r="B2041"/>
          <cell r="C2041"/>
          <cell r="E2041"/>
          <cell r="F2041"/>
          <cell r="G2041"/>
          <cell r="H2041"/>
          <cell r="J2041"/>
          <cell r="L2041"/>
          <cell r="M2041"/>
        </row>
        <row r="2042">
          <cell r="B2042"/>
          <cell r="C2042"/>
          <cell r="E2042"/>
          <cell r="F2042"/>
          <cell r="G2042"/>
          <cell r="H2042"/>
          <cell r="J2042"/>
          <cell r="L2042"/>
          <cell r="M2042"/>
        </row>
        <row r="2043">
          <cell r="B2043"/>
          <cell r="C2043"/>
          <cell r="E2043"/>
          <cell r="F2043"/>
          <cell r="G2043"/>
          <cell r="H2043"/>
          <cell r="J2043"/>
          <cell r="L2043"/>
          <cell r="M2043"/>
        </row>
        <row r="2044">
          <cell r="B2044"/>
          <cell r="C2044"/>
          <cell r="E2044"/>
          <cell r="F2044"/>
          <cell r="G2044"/>
          <cell r="H2044"/>
          <cell r="J2044"/>
          <cell r="L2044"/>
          <cell r="M2044"/>
        </row>
        <row r="2045">
          <cell r="B2045"/>
          <cell r="C2045"/>
          <cell r="E2045"/>
          <cell r="F2045"/>
          <cell r="G2045"/>
          <cell r="H2045"/>
          <cell r="J2045"/>
          <cell r="L2045"/>
          <cell r="M2045"/>
        </row>
        <row r="2046">
          <cell r="B2046"/>
          <cell r="C2046"/>
          <cell r="E2046"/>
          <cell r="F2046"/>
          <cell r="G2046"/>
          <cell r="H2046"/>
          <cell r="J2046"/>
          <cell r="L2046"/>
          <cell r="M2046"/>
        </row>
        <row r="2047">
          <cell r="B2047"/>
          <cell r="C2047"/>
          <cell r="E2047"/>
          <cell r="F2047"/>
          <cell r="G2047"/>
          <cell r="H2047"/>
          <cell r="J2047"/>
          <cell r="L2047"/>
          <cell r="M2047"/>
        </row>
        <row r="2048">
          <cell r="B2048"/>
          <cell r="C2048"/>
          <cell r="E2048"/>
          <cell r="F2048"/>
          <cell r="G2048"/>
          <cell r="H2048"/>
          <cell r="J2048"/>
          <cell r="L2048"/>
          <cell r="M2048"/>
        </row>
        <row r="2049">
          <cell r="B2049"/>
          <cell r="C2049"/>
          <cell r="E2049"/>
          <cell r="F2049"/>
          <cell r="G2049"/>
          <cell r="H2049"/>
          <cell r="J2049"/>
          <cell r="L2049"/>
          <cell r="M2049"/>
        </row>
        <row r="2050">
          <cell r="B2050"/>
          <cell r="C2050"/>
          <cell r="E2050"/>
          <cell r="F2050"/>
          <cell r="G2050"/>
          <cell r="H2050"/>
          <cell r="J2050"/>
          <cell r="L2050"/>
          <cell r="M2050"/>
        </row>
        <row r="2051">
          <cell r="B2051"/>
          <cell r="C2051"/>
          <cell r="E2051"/>
          <cell r="F2051"/>
          <cell r="G2051"/>
          <cell r="H2051"/>
          <cell r="J2051"/>
          <cell r="L2051"/>
          <cell r="M2051"/>
        </row>
        <row r="2052">
          <cell r="B2052"/>
          <cell r="C2052"/>
          <cell r="E2052"/>
          <cell r="F2052"/>
          <cell r="G2052"/>
          <cell r="H2052"/>
          <cell r="J2052"/>
          <cell r="L2052"/>
          <cell r="M2052"/>
        </row>
        <row r="2053">
          <cell r="B2053"/>
          <cell r="C2053"/>
          <cell r="E2053"/>
          <cell r="F2053"/>
          <cell r="G2053"/>
          <cell r="H2053"/>
          <cell r="J2053"/>
          <cell r="L2053"/>
          <cell r="M2053"/>
        </row>
        <row r="2054">
          <cell r="B2054"/>
          <cell r="C2054"/>
          <cell r="E2054"/>
          <cell r="F2054"/>
          <cell r="G2054"/>
          <cell r="H2054"/>
          <cell r="J2054"/>
          <cell r="L2054"/>
          <cell r="M2054"/>
        </row>
        <row r="2055">
          <cell r="B2055"/>
          <cell r="C2055"/>
          <cell r="E2055"/>
          <cell r="F2055"/>
          <cell r="G2055"/>
          <cell r="H2055"/>
          <cell r="J2055"/>
          <cell r="L2055"/>
          <cell r="M2055"/>
        </row>
        <row r="2056">
          <cell r="B2056"/>
          <cell r="C2056"/>
          <cell r="E2056"/>
          <cell r="F2056"/>
          <cell r="G2056"/>
          <cell r="H2056"/>
          <cell r="J2056"/>
          <cell r="L2056"/>
          <cell r="M2056"/>
        </row>
        <row r="2057">
          <cell r="B2057"/>
          <cell r="C2057"/>
          <cell r="E2057"/>
          <cell r="F2057"/>
          <cell r="G2057"/>
          <cell r="H2057"/>
          <cell r="J2057"/>
          <cell r="L2057"/>
          <cell r="M2057"/>
        </row>
        <row r="2058">
          <cell r="B2058"/>
          <cell r="C2058"/>
          <cell r="E2058"/>
          <cell r="F2058"/>
          <cell r="G2058"/>
          <cell r="H2058"/>
          <cell r="J2058"/>
          <cell r="L2058"/>
          <cell r="M2058"/>
        </row>
        <row r="2059">
          <cell r="B2059"/>
          <cell r="C2059"/>
          <cell r="E2059"/>
          <cell r="F2059"/>
          <cell r="G2059"/>
          <cell r="H2059"/>
          <cell r="J2059"/>
          <cell r="L2059"/>
          <cell r="M2059"/>
        </row>
        <row r="2060">
          <cell r="B2060"/>
          <cell r="C2060"/>
          <cell r="E2060"/>
          <cell r="F2060"/>
          <cell r="G2060"/>
          <cell r="H2060"/>
          <cell r="J2060"/>
          <cell r="L2060"/>
          <cell r="M2060"/>
        </row>
        <row r="2061">
          <cell r="B2061"/>
          <cell r="C2061"/>
          <cell r="E2061"/>
          <cell r="F2061"/>
          <cell r="G2061"/>
          <cell r="H2061"/>
          <cell r="J2061"/>
          <cell r="L2061"/>
          <cell r="M2061"/>
        </row>
        <row r="2062">
          <cell r="B2062"/>
          <cell r="C2062"/>
          <cell r="E2062"/>
          <cell r="F2062"/>
          <cell r="G2062"/>
          <cell r="H2062"/>
          <cell r="J2062"/>
          <cell r="L2062"/>
          <cell r="M2062"/>
        </row>
        <row r="2063">
          <cell r="B2063"/>
          <cell r="C2063"/>
          <cell r="E2063"/>
          <cell r="F2063"/>
          <cell r="G2063"/>
          <cell r="H2063"/>
          <cell r="J2063"/>
          <cell r="L2063"/>
          <cell r="M2063"/>
        </row>
        <row r="2064">
          <cell r="B2064"/>
          <cell r="C2064"/>
          <cell r="E2064"/>
          <cell r="F2064"/>
          <cell r="G2064"/>
          <cell r="H2064"/>
          <cell r="J2064"/>
          <cell r="L2064"/>
          <cell r="M2064"/>
        </row>
        <row r="2065">
          <cell r="B2065"/>
          <cell r="C2065"/>
          <cell r="E2065"/>
          <cell r="F2065"/>
          <cell r="G2065"/>
          <cell r="H2065"/>
          <cell r="J2065"/>
          <cell r="L2065"/>
          <cell r="M2065"/>
        </row>
        <row r="2066">
          <cell r="B2066"/>
          <cell r="C2066"/>
          <cell r="E2066"/>
          <cell r="F2066"/>
          <cell r="G2066"/>
          <cell r="H2066"/>
          <cell r="J2066"/>
          <cell r="L2066"/>
          <cell r="M2066"/>
        </row>
        <row r="2067">
          <cell r="B2067"/>
          <cell r="C2067"/>
          <cell r="E2067"/>
          <cell r="F2067"/>
          <cell r="G2067"/>
          <cell r="H2067"/>
          <cell r="J2067"/>
          <cell r="L2067"/>
          <cell r="M2067"/>
        </row>
        <row r="2068">
          <cell r="B2068"/>
          <cell r="C2068"/>
          <cell r="E2068"/>
          <cell r="F2068"/>
          <cell r="G2068"/>
          <cell r="H2068"/>
          <cell r="J2068"/>
          <cell r="L2068"/>
          <cell r="M2068"/>
        </row>
        <row r="2069">
          <cell r="B2069"/>
          <cell r="C2069"/>
          <cell r="E2069"/>
          <cell r="F2069"/>
          <cell r="G2069"/>
          <cell r="H2069"/>
          <cell r="J2069"/>
          <cell r="L2069"/>
          <cell r="M2069"/>
        </row>
        <row r="2070">
          <cell r="B2070"/>
          <cell r="C2070"/>
          <cell r="E2070"/>
          <cell r="F2070"/>
          <cell r="G2070"/>
          <cell r="H2070"/>
          <cell r="J2070"/>
          <cell r="L2070"/>
          <cell r="M2070"/>
        </row>
        <row r="2071">
          <cell r="B2071"/>
          <cell r="C2071"/>
          <cell r="E2071"/>
          <cell r="F2071"/>
          <cell r="G2071"/>
          <cell r="H2071"/>
          <cell r="J2071"/>
          <cell r="L2071"/>
          <cell r="M2071"/>
        </row>
        <row r="2072">
          <cell r="B2072"/>
          <cell r="C2072"/>
          <cell r="E2072"/>
          <cell r="F2072"/>
          <cell r="G2072"/>
          <cell r="H2072"/>
          <cell r="J2072"/>
          <cell r="L2072"/>
          <cell r="M2072"/>
        </row>
        <row r="2073">
          <cell r="B2073"/>
          <cell r="C2073"/>
          <cell r="E2073"/>
          <cell r="F2073"/>
          <cell r="G2073"/>
          <cell r="H2073"/>
          <cell r="J2073"/>
          <cell r="L2073"/>
          <cell r="M2073"/>
        </row>
        <row r="2074">
          <cell r="B2074"/>
          <cell r="C2074"/>
          <cell r="E2074"/>
          <cell r="F2074"/>
          <cell r="G2074"/>
          <cell r="H2074"/>
          <cell r="J2074"/>
          <cell r="L2074"/>
          <cell r="M2074"/>
        </row>
        <row r="2075">
          <cell r="B2075"/>
          <cell r="C2075"/>
          <cell r="E2075"/>
          <cell r="F2075"/>
          <cell r="G2075"/>
          <cell r="H2075"/>
          <cell r="J2075"/>
          <cell r="L2075"/>
          <cell r="M2075"/>
        </row>
        <row r="2076">
          <cell r="B2076"/>
          <cell r="C2076"/>
          <cell r="E2076"/>
          <cell r="F2076"/>
          <cell r="G2076"/>
          <cell r="H2076"/>
          <cell r="J2076"/>
          <cell r="L2076"/>
          <cell r="M2076"/>
        </row>
        <row r="2077">
          <cell r="B2077"/>
          <cell r="C2077"/>
          <cell r="E2077"/>
          <cell r="F2077"/>
          <cell r="G2077"/>
          <cell r="H2077"/>
          <cell r="J2077"/>
          <cell r="L2077"/>
          <cell r="M2077"/>
        </row>
        <row r="2078">
          <cell r="B2078"/>
          <cell r="C2078"/>
          <cell r="E2078"/>
          <cell r="F2078"/>
          <cell r="G2078"/>
          <cell r="H2078"/>
          <cell r="J2078"/>
          <cell r="L2078"/>
          <cell r="M2078"/>
        </row>
        <row r="2079">
          <cell r="B2079"/>
          <cell r="C2079"/>
          <cell r="E2079"/>
          <cell r="F2079"/>
          <cell r="G2079"/>
          <cell r="H2079"/>
          <cell r="J2079"/>
          <cell r="L2079"/>
          <cell r="M2079"/>
        </row>
        <row r="2080">
          <cell r="B2080"/>
          <cell r="C2080"/>
          <cell r="E2080"/>
          <cell r="F2080"/>
          <cell r="G2080"/>
          <cell r="H2080"/>
          <cell r="J2080"/>
          <cell r="L2080"/>
          <cell r="M2080"/>
        </row>
        <row r="2081">
          <cell r="B2081"/>
          <cell r="C2081"/>
          <cell r="E2081"/>
          <cell r="F2081"/>
          <cell r="G2081"/>
          <cell r="H2081"/>
          <cell r="J2081"/>
          <cell r="L2081"/>
          <cell r="M2081"/>
        </row>
        <row r="2082">
          <cell r="B2082"/>
          <cell r="C2082"/>
          <cell r="E2082"/>
          <cell r="F2082"/>
          <cell r="G2082"/>
          <cell r="H2082"/>
          <cell r="J2082"/>
          <cell r="L2082"/>
          <cell r="M2082"/>
        </row>
        <row r="2083">
          <cell r="B2083"/>
          <cell r="C2083"/>
          <cell r="E2083"/>
          <cell r="F2083"/>
          <cell r="G2083"/>
          <cell r="H2083"/>
          <cell r="J2083"/>
          <cell r="L2083"/>
          <cell r="M2083"/>
        </row>
        <row r="2084">
          <cell r="B2084"/>
          <cell r="C2084"/>
          <cell r="E2084"/>
          <cell r="F2084"/>
          <cell r="G2084"/>
          <cell r="H2084"/>
          <cell r="J2084"/>
          <cell r="L2084"/>
          <cell r="M2084"/>
        </row>
        <row r="2085">
          <cell r="B2085"/>
          <cell r="C2085"/>
          <cell r="E2085"/>
          <cell r="F2085"/>
          <cell r="G2085"/>
          <cell r="H2085"/>
          <cell r="J2085"/>
          <cell r="L2085"/>
          <cell r="M2085"/>
        </row>
        <row r="2086">
          <cell r="B2086"/>
          <cell r="C2086"/>
          <cell r="E2086"/>
          <cell r="F2086"/>
          <cell r="G2086"/>
          <cell r="H2086"/>
          <cell r="J2086"/>
          <cell r="L2086"/>
          <cell r="M2086"/>
        </row>
        <row r="2087">
          <cell r="B2087"/>
          <cell r="C2087"/>
          <cell r="E2087"/>
          <cell r="F2087"/>
          <cell r="G2087"/>
          <cell r="H2087"/>
          <cell r="J2087"/>
          <cell r="L2087"/>
          <cell r="M2087"/>
        </row>
        <row r="2088">
          <cell r="B2088"/>
          <cell r="C2088"/>
          <cell r="E2088"/>
          <cell r="F2088"/>
          <cell r="G2088"/>
          <cell r="H2088"/>
          <cell r="J2088"/>
          <cell r="L2088"/>
          <cell r="M2088"/>
        </row>
        <row r="2089">
          <cell r="B2089"/>
          <cell r="C2089"/>
          <cell r="E2089"/>
          <cell r="F2089"/>
          <cell r="G2089"/>
          <cell r="H2089"/>
          <cell r="J2089"/>
          <cell r="L2089"/>
          <cell r="M2089"/>
        </row>
        <row r="2090">
          <cell r="B2090"/>
          <cell r="C2090"/>
          <cell r="E2090"/>
          <cell r="F2090"/>
          <cell r="G2090"/>
          <cell r="H2090"/>
          <cell r="J2090"/>
          <cell r="L2090"/>
          <cell r="M2090"/>
        </row>
        <row r="2091">
          <cell r="B2091"/>
          <cell r="C2091"/>
          <cell r="E2091"/>
          <cell r="F2091"/>
          <cell r="G2091"/>
          <cell r="H2091"/>
          <cell r="J2091"/>
          <cell r="L2091"/>
          <cell r="M2091"/>
        </row>
        <row r="2092">
          <cell r="B2092"/>
          <cell r="C2092"/>
          <cell r="E2092"/>
          <cell r="F2092"/>
          <cell r="G2092"/>
          <cell r="H2092"/>
          <cell r="J2092"/>
          <cell r="L2092"/>
          <cell r="M2092"/>
        </row>
        <row r="2093">
          <cell r="B2093"/>
          <cell r="C2093"/>
          <cell r="E2093"/>
          <cell r="F2093"/>
          <cell r="G2093"/>
          <cell r="H2093"/>
          <cell r="J2093"/>
          <cell r="L2093"/>
          <cell r="M2093"/>
        </row>
        <row r="2094">
          <cell r="B2094"/>
          <cell r="C2094"/>
          <cell r="E2094"/>
          <cell r="F2094"/>
          <cell r="G2094"/>
          <cell r="H2094"/>
          <cell r="J2094"/>
          <cell r="L2094"/>
          <cell r="M2094"/>
        </row>
        <row r="2095">
          <cell r="B2095"/>
          <cell r="C2095"/>
          <cell r="E2095"/>
          <cell r="F2095"/>
          <cell r="G2095"/>
          <cell r="H2095"/>
          <cell r="J2095"/>
          <cell r="L2095"/>
          <cell r="M2095"/>
        </row>
        <row r="2096">
          <cell r="B2096"/>
          <cell r="C2096"/>
          <cell r="E2096"/>
          <cell r="F2096"/>
          <cell r="G2096"/>
          <cell r="H2096"/>
          <cell r="J2096"/>
          <cell r="L2096"/>
          <cell r="M2096"/>
        </row>
        <row r="2097">
          <cell r="B2097"/>
          <cell r="C2097"/>
          <cell r="E2097"/>
          <cell r="F2097"/>
          <cell r="G2097"/>
          <cell r="H2097"/>
          <cell r="J2097"/>
          <cell r="L2097"/>
          <cell r="M2097"/>
        </row>
        <row r="2098">
          <cell r="B2098"/>
          <cell r="C2098"/>
          <cell r="E2098"/>
          <cell r="F2098"/>
          <cell r="G2098"/>
          <cell r="H2098"/>
          <cell r="J2098"/>
          <cell r="L2098"/>
          <cell r="M2098"/>
        </row>
        <row r="2099">
          <cell r="B2099"/>
          <cell r="C2099"/>
          <cell r="E2099"/>
          <cell r="F2099"/>
          <cell r="G2099"/>
          <cell r="H2099"/>
          <cell r="J2099"/>
          <cell r="L2099"/>
          <cell r="M2099"/>
        </row>
        <row r="2100">
          <cell r="B2100"/>
          <cell r="C2100"/>
          <cell r="E2100"/>
          <cell r="F2100"/>
          <cell r="G2100"/>
          <cell r="H2100"/>
          <cell r="J2100"/>
          <cell r="L2100"/>
          <cell r="M2100"/>
        </row>
        <row r="2101">
          <cell r="B2101"/>
          <cell r="C2101"/>
          <cell r="E2101"/>
          <cell r="F2101"/>
          <cell r="G2101"/>
          <cell r="H2101"/>
          <cell r="J2101"/>
          <cell r="L2101"/>
          <cell r="M2101"/>
        </row>
        <row r="2102">
          <cell r="B2102"/>
          <cell r="C2102"/>
          <cell r="E2102"/>
          <cell r="F2102"/>
          <cell r="G2102"/>
          <cell r="H2102"/>
          <cell r="J2102"/>
          <cell r="L2102"/>
          <cell r="M2102"/>
        </row>
        <row r="2103">
          <cell r="B2103"/>
          <cell r="C2103"/>
          <cell r="E2103"/>
          <cell r="F2103"/>
          <cell r="G2103"/>
          <cell r="H2103"/>
          <cell r="J2103"/>
          <cell r="L2103"/>
          <cell r="M2103"/>
        </row>
        <row r="2104">
          <cell r="B2104"/>
          <cell r="C2104"/>
          <cell r="E2104"/>
          <cell r="F2104"/>
          <cell r="G2104"/>
          <cell r="H2104"/>
          <cell r="J2104"/>
          <cell r="L2104"/>
          <cell r="M2104"/>
        </row>
        <row r="2105">
          <cell r="B2105"/>
          <cell r="C2105"/>
          <cell r="E2105"/>
          <cell r="F2105"/>
          <cell r="G2105"/>
          <cell r="H2105"/>
          <cell r="J2105"/>
          <cell r="L2105"/>
          <cell r="M2105"/>
        </row>
        <row r="2106">
          <cell r="B2106"/>
          <cell r="C2106"/>
          <cell r="E2106"/>
          <cell r="F2106"/>
          <cell r="G2106"/>
          <cell r="H2106"/>
          <cell r="J2106"/>
          <cell r="L2106"/>
          <cell r="M2106"/>
        </row>
        <row r="2107">
          <cell r="B2107"/>
          <cell r="C2107"/>
          <cell r="E2107"/>
          <cell r="F2107"/>
          <cell r="G2107"/>
          <cell r="H2107"/>
          <cell r="J2107"/>
          <cell r="L2107"/>
          <cell r="M2107"/>
        </row>
        <row r="2108">
          <cell r="B2108"/>
          <cell r="C2108"/>
          <cell r="E2108"/>
          <cell r="F2108"/>
          <cell r="G2108"/>
          <cell r="H2108"/>
          <cell r="J2108"/>
          <cell r="L2108"/>
          <cell r="M2108"/>
        </row>
        <row r="2109">
          <cell r="B2109"/>
          <cell r="C2109"/>
          <cell r="E2109"/>
          <cell r="F2109"/>
          <cell r="G2109"/>
          <cell r="H2109"/>
          <cell r="J2109"/>
          <cell r="L2109"/>
          <cell r="M2109"/>
        </row>
        <row r="2110">
          <cell r="B2110"/>
          <cell r="C2110"/>
          <cell r="E2110"/>
          <cell r="F2110"/>
          <cell r="G2110"/>
          <cell r="H2110"/>
          <cell r="J2110"/>
          <cell r="L2110"/>
          <cell r="M2110"/>
        </row>
        <row r="2111">
          <cell r="B2111"/>
          <cell r="C2111"/>
          <cell r="E2111"/>
          <cell r="F2111"/>
          <cell r="G2111"/>
          <cell r="H2111"/>
          <cell r="J2111"/>
          <cell r="L2111"/>
          <cell r="M2111"/>
        </row>
        <row r="2112">
          <cell r="B2112"/>
          <cell r="C2112"/>
          <cell r="E2112"/>
          <cell r="F2112"/>
          <cell r="G2112"/>
          <cell r="H2112"/>
          <cell r="J2112"/>
          <cell r="L2112"/>
          <cell r="M2112"/>
        </row>
        <row r="2113">
          <cell r="B2113"/>
          <cell r="C2113"/>
          <cell r="E2113"/>
          <cell r="F2113"/>
          <cell r="G2113"/>
          <cell r="H2113"/>
          <cell r="J2113"/>
          <cell r="L2113"/>
          <cell r="M2113"/>
        </row>
        <row r="2114">
          <cell r="B2114"/>
          <cell r="C2114"/>
          <cell r="E2114"/>
          <cell r="F2114"/>
          <cell r="G2114"/>
          <cell r="H2114"/>
          <cell r="J2114"/>
          <cell r="L2114"/>
          <cell r="M2114"/>
        </row>
        <row r="2115">
          <cell r="B2115"/>
          <cell r="C2115"/>
          <cell r="E2115"/>
          <cell r="F2115"/>
          <cell r="G2115"/>
          <cell r="H2115"/>
          <cell r="J2115"/>
          <cell r="L2115"/>
          <cell r="M2115"/>
        </row>
        <row r="2116">
          <cell r="B2116"/>
          <cell r="C2116"/>
          <cell r="E2116"/>
          <cell r="F2116"/>
          <cell r="G2116"/>
          <cell r="H2116"/>
          <cell r="J2116"/>
          <cell r="L2116"/>
          <cell r="M2116"/>
        </row>
        <row r="2117">
          <cell r="B2117"/>
          <cell r="C2117"/>
          <cell r="E2117"/>
          <cell r="F2117"/>
          <cell r="G2117"/>
          <cell r="H2117"/>
          <cell r="J2117"/>
          <cell r="L2117"/>
          <cell r="M2117"/>
        </row>
        <row r="2118">
          <cell r="B2118"/>
          <cell r="C2118"/>
          <cell r="E2118"/>
          <cell r="F2118"/>
          <cell r="G2118"/>
          <cell r="H2118"/>
          <cell r="J2118"/>
          <cell r="L2118"/>
          <cell r="M2118"/>
        </row>
        <row r="2119">
          <cell r="B2119"/>
          <cell r="C2119"/>
          <cell r="E2119"/>
          <cell r="F2119"/>
          <cell r="G2119"/>
          <cell r="H2119"/>
          <cell r="J2119"/>
          <cell r="L2119"/>
          <cell r="M2119"/>
        </row>
        <row r="2120">
          <cell r="B2120"/>
          <cell r="C2120"/>
          <cell r="E2120"/>
          <cell r="F2120"/>
          <cell r="G2120"/>
          <cell r="H2120"/>
          <cell r="J2120"/>
          <cell r="L2120"/>
          <cell r="M2120"/>
        </row>
        <row r="2121">
          <cell r="B2121"/>
          <cell r="C2121"/>
          <cell r="E2121"/>
          <cell r="F2121"/>
          <cell r="G2121"/>
          <cell r="H2121"/>
          <cell r="J2121"/>
          <cell r="L2121"/>
          <cell r="M2121"/>
        </row>
        <row r="2122">
          <cell r="B2122"/>
          <cell r="C2122"/>
          <cell r="E2122"/>
          <cell r="F2122"/>
          <cell r="G2122"/>
          <cell r="H2122"/>
          <cell r="J2122"/>
          <cell r="L2122"/>
          <cell r="M2122"/>
        </row>
        <row r="2123">
          <cell r="B2123"/>
          <cell r="C2123"/>
          <cell r="E2123"/>
          <cell r="F2123"/>
          <cell r="G2123"/>
          <cell r="H2123"/>
          <cell r="J2123"/>
          <cell r="L2123"/>
          <cell r="M2123"/>
        </row>
        <row r="2124">
          <cell r="B2124"/>
          <cell r="C2124"/>
          <cell r="E2124"/>
          <cell r="F2124"/>
          <cell r="G2124"/>
          <cell r="H2124"/>
          <cell r="J2124"/>
          <cell r="L2124"/>
          <cell r="M2124"/>
        </row>
        <row r="2125">
          <cell r="B2125"/>
          <cell r="C2125"/>
          <cell r="E2125"/>
          <cell r="F2125"/>
          <cell r="G2125"/>
          <cell r="H2125"/>
          <cell r="J2125"/>
          <cell r="L2125"/>
          <cell r="M2125"/>
        </row>
        <row r="2126">
          <cell r="B2126"/>
          <cell r="C2126"/>
          <cell r="E2126"/>
          <cell r="F2126"/>
          <cell r="G2126"/>
          <cell r="H2126"/>
          <cell r="J2126"/>
          <cell r="L2126"/>
          <cell r="M2126"/>
        </row>
        <row r="2127">
          <cell r="B2127"/>
          <cell r="C2127"/>
          <cell r="E2127"/>
          <cell r="F2127"/>
          <cell r="G2127"/>
          <cell r="H2127"/>
          <cell r="J2127"/>
          <cell r="L2127"/>
          <cell r="M2127"/>
        </row>
        <row r="2128">
          <cell r="B2128"/>
          <cell r="C2128"/>
          <cell r="E2128"/>
          <cell r="F2128"/>
          <cell r="G2128"/>
          <cell r="H2128"/>
          <cell r="J2128"/>
          <cell r="L2128"/>
          <cell r="M2128"/>
        </row>
        <row r="2129">
          <cell r="B2129"/>
          <cell r="C2129"/>
          <cell r="E2129"/>
          <cell r="F2129"/>
          <cell r="G2129"/>
          <cell r="H2129"/>
          <cell r="J2129"/>
          <cell r="L2129"/>
          <cell r="M2129"/>
        </row>
        <row r="2130">
          <cell r="B2130"/>
          <cell r="C2130"/>
          <cell r="E2130"/>
          <cell r="F2130"/>
          <cell r="G2130"/>
          <cell r="H2130"/>
          <cell r="J2130"/>
          <cell r="L2130"/>
          <cell r="M2130"/>
        </row>
        <row r="2131">
          <cell r="B2131"/>
          <cell r="C2131"/>
          <cell r="E2131"/>
          <cell r="F2131"/>
          <cell r="G2131"/>
          <cell r="H2131"/>
          <cell r="J2131"/>
          <cell r="L2131"/>
          <cell r="M2131"/>
        </row>
        <row r="2132">
          <cell r="B2132"/>
          <cell r="C2132"/>
          <cell r="E2132"/>
          <cell r="F2132"/>
          <cell r="G2132"/>
          <cell r="H2132"/>
          <cell r="J2132"/>
          <cell r="L2132"/>
          <cell r="M2132"/>
        </row>
        <row r="2133">
          <cell r="B2133"/>
          <cell r="C2133"/>
          <cell r="E2133"/>
          <cell r="F2133"/>
          <cell r="G2133"/>
          <cell r="H2133"/>
          <cell r="J2133"/>
          <cell r="L2133"/>
          <cell r="M2133"/>
        </row>
        <row r="2134">
          <cell r="B2134"/>
          <cell r="C2134"/>
          <cell r="E2134"/>
          <cell r="F2134"/>
          <cell r="G2134"/>
          <cell r="H2134"/>
          <cell r="J2134"/>
          <cell r="L2134"/>
          <cell r="M2134"/>
        </row>
        <row r="2135">
          <cell r="B2135"/>
          <cell r="C2135"/>
          <cell r="E2135"/>
          <cell r="F2135"/>
          <cell r="G2135"/>
          <cell r="H2135"/>
          <cell r="J2135"/>
          <cell r="L2135"/>
          <cell r="M2135"/>
        </row>
        <row r="2136">
          <cell r="B2136"/>
          <cell r="C2136"/>
          <cell r="E2136"/>
          <cell r="F2136"/>
          <cell r="G2136"/>
          <cell r="H2136"/>
          <cell r="J2136"/>
          <cell r="L2136"/>
          <cell r="M2136"/>
        </row>
        <row r="2137">
          <cell r="B2137"/>
          <cell r="C2137"/>
          <cell r="E2137"/>
          <cell r="F2137"/>
          <cell r="G2137"/>
          <cell r="H2137"/>
          <cell r="J2137"/>
          <cell r="L2137"/>
          <cell r="M2137"/>
        </row>
        <row r="2138">
          <cell r="B2138"/>
          <cell r="C2138"/>
          <cell r="E2138"/>
          <cell r="F2138"/>
          <cell r="G2138"/>
          <cell r="H2138"/>
          <cell r="J2138"/>
          <cell r="L2138"/>
          <cell r="M2138"/>
        </row>
        <row r="2139">
          <cell r="B2139"/>
          <cell r="C2139"/>
          <cell r="E2139"/>
          <cell r="F2139"/>
          <cell r="G2139"/>
          <cell r="H2139"/>
          <cell r="J2139"/>
          <cell r="L2139"/>
          <cell r="M2139"/>
        </row>
        <row r="2140">
          <cell r="B2140"/>
          <cell r="C2140"/>
          <cell r="E2140"/>
          <cell r="F2140"/>
          <cell r="G2140"/>
          <cell r="H2140"/>
          <cell r="J2140"/>
          <cell r="L2140"/>
          <cell r="M2140"/>
        </row>
        <row r="2141">
          <cell r="B2141"/>
          <cell r="C2141"/>
          <cell r="E2141"/>
          <cell r="F2141"/>
          <cell r="G2141"/>
          <cell r="H2141"/>
          <cell r="J2141"/>
          <cell r="L2141"/>
          <cell r="M2141"/>
        </row>
        <row r="2142">
          <cell r="B2142"/>
          <cell r="C2142"/>
          <cell r="E2142"/>
          <cell r="F2142"/>
          <cell r="G2142"/>
          <cell r="H2142"/>
          <cell r="J2142"/>
          <cell r="L2142"/>
          <cell r="M2142"/>
        </row>
        <row r="2143">
          <cell r="B2143"/>
          <cell r="C2143"/>
          <cell r="E2143"/>
          <cell r="F2143"/>
          <cell r="G2143"/>
          <cell r="H2143"/>
          <cell r="J2143"/>
          <cell r="L2143"/>
          <cell r="M2143"/>
        </row>
        <row r="2144">
          <cell r="B2144"/>
          <cell r="C2144"/>
          <cell r="E2144"/>
          <cell r="F2144"/>
          <cell r="G2144"/>
          <cell r="H2144"/>
          <cell r="J2144"/>
          <cell r="L2144"/>
          <cell r="M2144"/>
        </row>
        <row r="2145">
          <cell r="B2145"/>
          <cell r="C2145"/>
          <cell r="E2145"/>
          <cell r="F2145"/>
          <cell r="G2145"/>
          <cell r="H2145"/>
          <cell r="J2145"/>
          <cell r="L2145"/>
          <cell r="M2145"/>
        </row>
        <row r="2146">
          <cell r="B2146"/>
          <cell r="C2146"/>
          <cell r="E2146"/>
          <cell r="F2146"/>
          <cell r="G2146"/>
          <cell r="H2146"/>
          <cell r="J2146"/>
          <cell r="L2146"/>
          <cell r="M2146"/>
        </row>
        <row r="2147">
          <cell r="B2147"/>
          <cell r="C2147"/>
          <cell r="E2147"/>
          <cell r="F2147"/>
          <cell r="G2147"/>
          <cell r="H2147"/>
          <cell r="J2147"/>
          <cell r="L2147"/>
          <cell r="M2147"/>
        </row>
        <row r="2148">
          <cell r="B2148"/>
          <cell r="C2148"/>
          <cell r="E2148"/>
          <cell r="F2148"/>
          <cell r="G2148"/>
          <cell r="H2148"/>
          <cell r="J2148"/>
          <cell r="L2148"/>
          <cell r="M2148"/>
        </row>
        <row r="2149">
          <cell r="B2149"/>
          <cell r="C2149"/>
          <cell r="E2149"/>
          <cell r="F2149"/>
          <cell r="G2149"/>
          <cell r="H2149"/>
          <cell r="J2149"/>
          <cell r="L2149"/>
          <cell r="M2149"/>
        </row>
        <row r="2150">
          <cell r="B2150"/>
          <cell r="C2150"/>
          <cell r="E2150"/>
          <cell r="F2150"/>
          <cell r="G2150"/>
          <cell r="H2150"/>
          <cell r="J2150"/>
          <cell r="L2150"/>
          <cell r="M2150"/>
        </row>
        <row r="2151">
          <cell r="B2151"/>
          <cell r="C2151"/>
          <cell r="E2151"/>
          <cell r="F2151"/>
          <cell r="G2151"/>
          <cell r="H2151"/>
          <cell r="J2151"/>
          <cell r="L2151"/>
          <cell r="M2151"/>
        </row>
        <row r="2152">
          <cell r="B2152"/>
          <cell r="C2152"/>
          <cell r="E2152"/>
          <cell r="F2152"/>
          <cell r="G2152"/>
          <cell r="H2152"/>
          <cell r="J2152"/>
          <cell r="L2152"/>
          <cell r="M2152"/>
        </row>
        <row r="2153">
          <cell r="B2153"/>
          <cell r="C2153"/>
          <cell r="E2153"/>
          <cell r="F2153"/>
          <cell r="G2153"/>
          <cell r="H2153"/>
          <cell r="J2153"/>
          <cell r="L2153"/>
          <cell r="M2153"/>
        </row>
        <row r="2154">
          <cell r="B2154"/>
          <cell r="C2154"/>
          <cell r="E2154"/>
          <cell r="F2154"/>
          <cell r="G2154"/>
          <cell r="H2154"/>
          <cell r="J2154"/>
          <cell r="L2154"/>
          <cell r="M2154"/>
        </row>
        <row r="2155">
          <cell r="B2155"/>
          <cell r="C2155"/>
          <cell r="E2155"/>
          <cell r="F2155"/>
          <cell r="G2155"/>
          <cell r="H2155"/>
          <cell r="J2155"/>
          <cell r="L2155"/>
          <cell r="M2155"/>
        </row>
        <row r="2156">
          <cell r="B2156"/>
          <cell r="C2156"/>
          <cell r="E2156"/>
          <cell r="F2156"/>
          <cell r="G2156"/>
          <cell r="H2156"/>
          <cell r="J2156"/>
          <cell r="L2156"/>
          <cell r="M2156"/>
        </row>
        <row r="2157">
          <cell r="B2157"/>
          <cell r="C2157"/>
          <cell r="E2157"/>
          <cell r="F2157"/>
          <cell r="G2157"/>
          <cell r="H2157"/>
          <cell r="J2157"/>
          <cell r="L2157"/>
          <cell r="M2157"/>
        </row>
        <row r="2158">
          <cell r="B2158"/>
          <cell r="C2158"/>
          <cell r="E2158"/>
          <cell r="F2158"/>
          <cell r="G2158"/>
          <cell r="H2158"/>
          <cell r="J2158"/>
          <cell r="L2158"/>
          <cell r="M2158"/>
        </row>
        <row r="2159">
          <cell r="B2159"/>
          <cell r="C2159"/>
          <cell r="E2159"/>
          <cell r="F2159"/>
          <cell r="G2159"/>
          <cell r="H2159"/>
          <cell r="J2159"/>
          <cell r="L2159"/>
          <cell r="M2159"/>
        </row>
        <row r="2160">
          <cell r="B2160"/>
          <cell r="C2160"/>
          <cell r="E2160"/>
          <cell r="F2160"/>
          <cell r="G2160"/>
          <cell r="H2160"/>
          <cell r="J2160"/>
          <cell r="L2160"/>
          <cell r="M2160"/>
        </row>
        <row r="2161">
          <cell r="B2161"/>
          <cell r="C2161"/>
          <cell r="E2161"/>
          <cell r="F2161"/>
          <cell r="G2161"/>
          <cell r="H2161"/>
          <cell r="J2161"/>
          <cell r="L2161"/>
          <cell r="M2161"/>
        </row>
        <row r="2162">
          <cell r="B2162"/>
          <cell r="C2162"/>
          <cell r="E2162"/>
          <cell r="F2162"/>
          <cell r="G2162"/>
          <cell r="H2162"/>
          <cell r="J2162"/>
          <cell r="L2162"/>
          <cell r="M2162"/>
        </row>
        <row r="2163">
          <cell r="B2163"/>
          <cell r="C2163"/>
          <cell r="E2163"/>
          <cell r="F2163"/>
          <cell r="G2163"/>
          <cell r="H2163"/>
          <cell r="J2163"/>
          <cell r="L2163"/>
          <cell r="M2163"/>
        </row>
        <row r="2164">
          <cell r="B2164"/>
          <cell r="C2164"/>
          <cell r="E2164"/>
          <cell r="F2164"/>
          <cell r="G2164"/>
          <cell r="H2164"/>
          <cell r="J2164"/>
          <cell r="L2164"/>
          <cell r="M2164"/>
        </row>
        <row r="2165">
          <cell r="B2165"/>
          <cell r="C2165"/>
          <cell r="E2165"/>
          <cell r="F2165"/>
          <cell r="G2165"/>
          <cell r="H2165"/>
          <cell r="J2165"/>
          <cell r="L2165"/>
          <cell r="M2165"/>
        </row>
        <row r="2166">
          <cell r="B2166"/>
          <cell r="C2166"/>
          <cell r="E2166"/>
          <cell r="F2166"/>
          <cell r="G2166"/>
          <cell r="H2166"/>
          <cell r="J2166"/>
          <cell r="L2166"/>
          <cell r="M2166"/>
        </row>
        <row r="2167">
          <cell r="B2167"/>
          <cell r="C2167"/>
          <cell r="E2167"/>
          <cell r="F2167"/>
          <cell r="G2167"/>
          <cell r="H2167"/>
          <cell r="J2167"/>
          <cell r="L2167"/>
          <cell r="M2167"/>
        </row>
        <row r="2168">
          <cell r="B2168"/>
          <cell r="C2168"/>
          <cell r="E2168"/>
          <cell r="F2168"/>
          <cell r="G2168"/>
          <cell r="H2168"/>
          <cell r="J2168"/>
          <cell r="L2168"/>
          <cell r="M2168"/>
        </row>
        <row r="2169">
          <cell r="B2169"/>
          <cell r="C2169"/>
          <cell r="E2169"/>
          <cell r="F2169"/>
          <cell r="G2169"/>
          <cell r="H2169"/>
          <cell r="J2169"/>
          <cell r="L2169"/>
          <cell r="M2169"/>
        </row>
        <row r="2170">
          <cell r="B2170"/>
          <cell r="C2170"/>
          <cell r="E2170"/>
          <cell r="F2170"/>
          <cell r="G2170"/>
          <cell r="H2170"/>
          <cell r="J2170"/>
          <cell r="L2170"/>
          <cell r="M2170"/>
        </row>
        <row r="2171">
          <cell r="B2171"/>
          <cell r="C2171"/>
          <cell r="E2171"/>
          <cell r="F2171"/>
          <cell r="G2171"/>
          <cell r="H2171"/>
          <cell r="J2171"/>
          <cell r="L2171"/>
          <cell r="M2171"/>
        </row>
        <row r="2172">
          <cell r="B2172"/>
          <cell r="C2172"/>
          <cell r="E2172"/>
          <cell r="F2172"/>
          <cell r="G2172"/>
          <cell r="H2172"/>
          <cell r="J2172"/>
          <cell r="L2172"/>
          <cell r="M2172"/>
        </row>
        <row r="2173">
          <cell r="B2173"/>
          <cell r="C2173"/>
          <cell r="E2173"/>
          <cell r="F2173"/>
          <cell r="G2173"/>
          <cell r="H2173"/>
          <cell r="J2173"/>
          <cell r="L2173"/>
          <cell r="M2173"/>
        </row>
        <row r="2174">
          <cell r="B2174"/>
          <cell r="C2174"/>
          <cell r="E2174"/>
          <cell r="F2174"/>
          <cell r="G2174"/>
          <cell r="H2174"/>
          <cell r="J2174"/>
          <cell r="L2174"/>
          <cell r="M2174"/>
        </row>
        <row r="2175">
          <cell r="B2175"/>
          <cell r="C2175"/>
          <cell r="E2175"/>
          <cell r="F2175"/>
          <cell r="G2175"/>
          <cell r="H2175"/>
          <cell r="J2175"/>
          <cell r="L2175"/>
          <cell r="M2175"/>
        </row>
        <row r="2176">
          <cell r="B2176"/>
          <cell r="C2176"/>
          <cell r="E2176"/>
          <cell r="F2176"/>
          <cell r="G2176"/>
          <cell r="H2176"/>
          <cell r="J2176"/>
          <cell r="L2176"/>
          <cell r="M2176"/>
        </row>
        <row r="2177">
          <cell r="B2177"/>
          <cell r="C2177"/>
          <cell r="E2177"/>
          <cell r="F2177"/>
          <cell r="G2177"/>
          <cell r="H2177"/>
          <cell r="J2177"/>
          <cell r="L2177"/>
          <cell r="M2177"/>
        </row>
        <row r="2178">
          <cell r="B2178"/>
          <cell r="C2178"/>
          <cell r="E2178"/>
          <cell r="F2178"/>
          <cell r="G2178"/>
          <cell r="H2178"/>
          <cell r="J2178"/>
          <cell r="L2178"/>
          <cell r="M2178"/>
        </row>
        <row r="2179">
          <cell r="B2179"/>
          <cell r="C2179"/>
          <cell r="E2179"/>
          <cell r="F2179"/>
          <cell r="G2179"/>
          <cell r="H2179"/>
          <cell r="J2179"/>
          <cell r="L2179"/>
          <cell r="M2179"/>
        </row>
        <row r="2180">
          <cell r="B2180"/>
          <cell r="C2180"/>
          <cell r="E2180"/>
          <cell r="F2180"/>
          <cell r="G2180"/>
          <cell r="H2180"/>
          <cell r="J2180"/>
          <cell r="L2180"/>
          <cell r="M2180"/>
        </row>
        <row r="2181">
          <cell r="B2181"/>
          <cell r="C2181"/>
          <cell r="E2181"/>
          <cell r="F2181"/>
          <cell r="G2181"/>
          <cell r="H2181"/>
          <cell r="J2181"/>
          <cell r="L2181"/>
          <cell r="M2181"/>
        </row>
        <row r="2182">
          <cell r="B2182"/>
          <cell r="C2182"/>
          <cell r="E2182"/>
          <cell r="F2182"/>
          <cell r="G2182"/>
          <cell r="H2182"/>
          <cell r="J2182"/>
          <cell r="L2182"/>
          <cell r="M2182"/>
        </row>
        <row r="2183">
          <cell r="B2183"/>
          <cell r="C2183"/>
          <cell r="E2183"/>
          <cell r="F2183"/>
          <cell r="G2183"/>
          <cell r="H2183"/>
          <cell r="J2183"/>
          <cell r="L2183"/>
          <cell r="M2183"/>
        </row>
        <row r="2184">
          <cell r="B2184"/>
          <cell r="C2184"/>
          <cell r="E2184"/>
          <cell r="F2184"/>
          <cell r="G2184"/>
          <cell r="H2184"/>
          <cell r="J2184"/>
          <cell r="L2184"/>
          <cell r="M2184"/>
        </row>
        <row r="2185">
          <cell r="B2185"/>
          <cell r="C2185"/>
          <cell r="E2185"/>
          <cell r="F2185"/>
          <cell r="G2185"/>
          <cell r="H2185"/>
          <cell r="J2185"/>
          <cell r="L2185"/>
          <cell r="M2185"/>
        </row>
        <row r="2186">
          <cell r="B2186"/>
          <cell r="C2186"/>
          <cell r="E2186"/>
          <cell r="F2186"/>
          <cell r="G2186"/>
          <cell r="H2186"/>
          <cell r="J2186"/>
          <cell r="L2186"/>
          <cell r="M2186"/>
        </row>
        <row r="2187">
          <cell r="B2187"/>
          <cell r="C2187"/>
          <cell r="E2187"/>
          <cell r="F2187"/>
          <cell r="G2187"/>
          <cell r="H2187"/>
          <cell r="J2187"/>
          <cell r="L2187"/>
          <cell r="M2187"/>
        </row>
        <row r="2188">
          <cell r="B2188"/>
          <cell r="C2188"/>
          <cell r="E2188"/>
          <cell r="F2188"/>
          <cell r="G2188"/>
          <cell r="H2188"/>
          <cell r="J2188"/>
          <cell r="L2188"/>
          <cell r="M2188"/>
        </row>
        <row r="2189">
          <cell r="B2189"/>
          <cell r="C2189"/>
          <cell r="E2189"/>
          <cell r="F2189"/>
          <cell r="G2189"/>
          <cell r="H2189"/>
          <cell r="J2189"/>
          <cell r="L2189"/>
          <cell r="M2189"/>
        </row>
        <row r="2190">
          <cell r="B2190"/>
          <cell r="C2190"/>
          <cell r="E2190"/>
          <cell r="F2190"/>
          <cell r="G2190"/>
          <cell r="H2190"/>
          <cell r="J2190"/>
          <cell r="L2190"/>
          <cell r="M2190"/>
        </row>
        <row r="2191">
          <cell r="B2191"/>
          <cell r="C2191"/>
          <cell r="E2191"/>
          <cell r="F2191"/>
          <cell r="G2191"/>
          <cell r="H2191"/>
          <cell r="J2191"/>
          <cell r="L2191"/>
          <cell r="M2191"/>
        </row>
        <row r="2192">
          <cell r="B2192"/>
          <cell r="C2192"/>
          <cell r="E2192"/>
          <cell r="F2192"/>
          <cell r="G2192"/>
          <cell r="H2192"/>
          <cell r="J2192"/>
          <cell r="L2192"/>
          <cell r="M2192"/>
        </row>
        <row r="2193">
          <cell r="B2193"/>
          <cell r="C2193"/>
          <cell r="E2193"/>
          <cell r="F2193"/>
          <cell r="G2193"/>
          <cell r="H2193"/>
          <cell r="J2193"/>
          <cell r="L2193"/>
          <cell r="M2193"/>
        </row>
        <row r="2194">
          <cell r="B2194"/>
          <cell r="C2194"/>
          <cell r="E2194"/>
          <cell r="F2194"/>
          <cell r="G2194"/>
          <cell r="H2194"/>
          <cell r="J2194"/>
          <cell r="L2194"/>
          <cell r="M2194"/>
        </row>
        <row r="2195">
          <cell r="B2195"/>
          <cell r="C2195"/>
          <cell r="E2195"/>
          <cell r="F2195"/>
          <cell r="G2195"/>
          <cell r="H2195"/>
          <cell r="J2195"/>
          <cell r="L2195"/>
          <cell r="M2195"/>
        </row>
        <row r="2196">
          <cell r="B2196"/>
          <cell r="C2196"/>
          <cell r="E2196"/>
          <cell r="F2196"/>
          <cell r="G2196"/>
          <cell r="H2196"/>
          <cell r="J2196"/>
          <cell r="L2196"/>
          <cell r="M2196"/>
        </row>
        <row r="2197">
          <cell r="B2197"/>
          <cell r="C2197"/>
          <cell r="E2197"/>
          <cell r="F2197"/>
          <cell r="G2197"/>
          <cell r="H2197"/>
          <cell r="J2197"/>
          <cell r="L2197"/>
          <cell r="M2197"/>
        </row>
        <row r="2198">
          <cell r="B2198"/>
          <cell r="C2198"/>
          <cell r="E2198"/>
          <cell r="F2198"/>
          <cell r="G2198"/>
          <cell r="H2198"/>
          <cell r="J2198"/>
          <cell r="L2198"/>
          <cell r="M2198"/>
        </row>
        <row r="2199">
          <cell r="B2199"/>
          <cell r="C2199"/>
          <cell r="E2199"/>
          <cell r="F2199"/>
          <cell r="G2199"/>
          <cell r="H2199"/>
          <cell r="J2199"/>
          <cell r="L2199"/>
          <cell r="M2199"/>
        </row>
        <row r="2200">
          <cell r="B2200"/>
          <cell r="C2200"/>
          <cell r="E2200"/>
          <cell r="F2200"/>
          <cell r="G2200"/>
          <cell r="H2200"/>
          <cell r="J2200"/>
          <cell r="L2200"/>
          <cell r="M2200"/>
        </row>
        <row r="2201">
          <cell r="B2201"/>
          <cell r="C2201"/>
          <cell r="E2201"/>
          <cell r="F2201"/>
          <cell r="G2201"/>
          <cell r="H2201"/>
          <cell r="J2201"/>
          <cell r="L2201"/>
          <cell r="M2201"/>
        </row>
        <row r="2202">
          <cell r="B2202"/>
          <cell r="C2202"/>
          <cell r="E2202"/>
          <cell r="F2202"/>
          <cell r="G2202"/>
          <cell r="H2202"/>
          <cell r="J2202"/>
          <cell r="L2202"/>
          <cell r="M2202"/>
        </row>
        <row r="2203">
          <cell r="B2203"/>
          <cell r="C2203"/>
          <cell r="E2203"/>
          <cell r="F2203"/>
          <cell r="G2203"/>
          <cell r="H2203"/>
          <cell r="J2203"/>
          <cell r="L2203"/>
          <cell r="M2203"/>
        </row>
        <row r="2204">
          <cell r="B2204"/>
          <cell r="C2204"/>
          <cell r="E2204"/>
          <cell r="F2204"/>
          <cell r="G2204"/>
          <cell r="H2204"/>
          <cell r="J2204"/>
          <cell r="L2204"/>
          <cell r="M2204"/>
        </row>
        <row r="2205">
          <cell r="B2205"/>
          <cell r="C2205"/>
          <cell r="E2205"/>
          <cell r="F2205"/>
          <cell r="G2205"/>
          <cell r="H2205"/>
          <cell r="J2205"/>
          <cell r="L2205"/>
          <cell r="M2205"/>
        </row>
        <row r="2206">
          <cell r="B2206"/>
          <cell r="C2206"/>
          <cell r="E2206"/>
          <cell r="F2206"/>
          <cell r="G2206"/>
          <cell r="H2206"/>
          <cell r="J2206"/>
          <cell r="L2206"/>
          <cell r="M2206"/>
        </row>
        <row r="2207">
          <cell r="B2207"/>
          <cell r="C2207"/>
          <cell r="E2207"/>
          <cell r="F2207"/>
          <cell r="G2207"/>
          <cell r="H2207"/>
          <cell r="J2207"/>
          <cell r="L2207"/>
          <cell r="M2207"/>
        </row>
        <row r="2208">
          <cell r="B2208"/>
          <cell r="C2208"/>
          <cell r="E2208"/>
          <cell r="F2208"/>
          <cell r="G2208"/>
          <cell r="H2208"/>
          <cell r="J2208"/>
          <cell r="L2208"/>
          <cell r="M2208"/>
        </row>
        <row r="2209">
          <cell r="B2209"/>
          <cell r="C2209"/>
          <cell r="E2209"/>
          <cell r="F2209"/>
          <cell r="G2209"/>
          <cell r="H2209"/>
          <cell r="J2209"/>
          <cell r="L2209"/>
          <cell r="M2209"/>
        </row>
        <row r="2210">
          <cell r="B2210"/>
          <cell r="C2210"/>
          <cell r="E2210"/>
          <cell r="F2210"/>
          <cell r="G2210"/>
          <cell r="H2210"/>
          <cell r="J2210"/>
          <cell r="L2210"/>
          <cell r="M2210"/>
        </row>
        <row r="2211">
          <cell r="B2211"/>
          <cell r="C2211"/>
          <cell r="E2211"/>
          <cell r="F2211"/>
          <cell r="G2211"/>
          <cell r="H2211"/>
          <cell r="J2211"/>
          <cell r="L2211"/>
          <cell r="M2211"/>
        </row>
        <row r="2212">
          <cell r="B2212"/>
          <cell r="C2212"/>
          <cell r="E2212"/>
          <cell r="F2212"/>
          <cell r="G2212"/>
          <cell r="H2212"/>
          <cell r="J2212"/>
          <cell r="L2212"/>
          <cell r="M2212"/>
        </row>
        <row r="2213">
          <cell r="B2213"/>
          <cell r="C2213"/>
          <cell r="E2213"/>
          <cell r="F2213"/>
          <cell r="G2213"/>
          <cell r="H2213"/>
          <cell r="J2213"/>
          <cell r="L2213"/>
          <cell r="M2213"/>
        </row>
        <row r="2214">
          <cell r="B2214"/>
          <cell r="C2214"/>
          <cell r="E2214"/>
          <cell r="F2214"/>
          <cell r="G2214"/>
          <cell r="H2214"/>
          <cell r="J2214"/>
          <cell r="L2214"/>
          <cell r="M2214"/>
        </row>
        <row r="2215">
          <cell r="B2215"/>
          <cell r="C2215"/>
          <cell r="E2215"/>
          <cell r="F2215"/>
          <cell r="G2215"/>
          <cell r="H2215"/>
          <cell r="J2215"/>
          <cell r="L2215"/>
          <cell r="M2215"/>
        </row>
        <row r="2216">
          <cell r="B2216"/>
          <cell r="C2216"/>
          <cell r="E2216"/>
          <cell r="F2216"/>
          <cell r="G2216"/>
          <cell r="H2216"/>
          <cell r="J2216"/>
          <cell r="L2216"/>
          <cell r="M2216"/>
        </row>
        <row r="2217">
          <cell r="B2217"/>
          <cell r="C2217"/>
          <cell r="E2217"/>
          <cell r="F2217"/>
          <cell r="G2217"/>
          <cell r="H2217"/>
          <cell r="J2217"/>
          <cell r="L2217"/>
          <cell r="M2217"/>
        </row>
        <row r="2218">
          <cell r="B2218"/>
          <cell r="C2218"/>
          <cell r="E2218"/>
          <cell r="F2218"/>
          <cell r="G2218"/>
          <cell r="H2218"/>
          <cell r="J2218"/>
          <cell r="L2218"/>
          <cell r="M2218"/>
        </row>
        <row r="2219">
          <cell r="B2219"/>
          <cell r="C2219"/>
          <cell r="E2219"/>
          <cell r="F2219"/>
          <cell r="G2219"/>
          <cell r="H2219"/>
          <cell r="J2219"/>
          <cell r="L2219"/>
          <cell r="M2219"/>
        </row>
        <row r="2220">
          <cell r="B2220"/>
          <cell r="C2220"/>
          <cell r="E2220"/>
          <cell r="F2220"/>
          <cell r="G2220"/>
          <cell r="H2220"/>
          <cell r="J2220"/>
          <cell r="L2220"/>
          <cell r="M2220"/>
        </row>
        <row r="2221">
          <cell r="B2221"/>
          <cell r="C2221"/>
          <cell r="E2221"/>
          <cell r="F2221"/>
          <cell r="G2221"/>
          <cell r="H2221"/>
          <cell r="J2221"/>
          <cell r="L2221"/>
          <cell r="M2221"/>
        </row>
        <row r="2222">
          <cell r="B2222"/>
          <cell r="C2222"/>
          <cell r="E2222"/>
          <cell r="F2222"/>
          <cell r="G2222"/>
          <cell r="H2222"/>
          <cell r="J2222"/>
          <cell r="L2222"/>
          <cell r="M2222"/>
        </row>
        <row r="2223">
          <cell r="B2223"/>
          <cell r="C2223"/>
          <cell r="E2223"/>
          <cell r="F2223"/>
          <cell r="G2223"/>
          <cell r="H2223"/>
          <cell r="J2223"/>
          <cell r="L2223"/>
          <cell r="M2223"/>
        </row>
        <row r="2224">
          <cell r="B2224"/>
          <cell r="C2224"/>
          <cell r="E2224"/>
          <cell r="F2224"/>
          <cell r="G2224"/>
          <cell r="H2224"/>
          <cell r="J2224"/>
          <cell r="L2224"/>
          <cell r="M2224"/>
        </row>
        <row r="2225">
          <cell r="B2225"/>
          <cell r="C2225"/>
          <cell r="E2225"/>
          <cell r="F2225"/>
          <cell r="G2225"/>
          <cell r="H2225"/>
          <cell r="J2225"/>
          <cell r="L2225"/>
          <cell r="M2225"/>
        </row>
        <row r="2226">
          <cell r="B2226"/>
          <cell r="C2226"/>
          <cell r="E2226"/>
          <cell r="F2226"/>
          <cell r="G2226"/>
          <cell r="H2226"/>
          <cell r="J2226"/>
          <cell r="L2226"/>
          <cell r="M2226"/>
        </row>
        <row r="2227">
          <cell r="B2227"/>
          <cell r="C2227"/>
          <cell r="E2227"/>
          <cell r="F2227"/>
          <cell r="G2227"/>
          <cell r="H2227"/>
          <cell r="J2227"/>
          <cell r="L2227"/>
          <cell r="M2227"/>
        </row>
        <row r="2228">
          <cell r="B2228"/>
          <cell r="C2228"/>
          <cell r="E2228"/>
          <cell r="F2228"/>
          <cell r="G2228"/>
          <cell r="H2228"/>
          <cell r="J2228"/>
          <cell r="L2228"/>
          <cell r="M2228"/>
        </row>
        <row r="2229">
          <cell r="B2229"/>
          <cell r="C2229"/>
          <cell r="E2229"/>
          <cell r="F2229"/>
          <cell r="G2229"/>
          <cell r="H2229"/>
          <cell r="J2229"/>
          <cell r="L2229"/>
          <cell r="M2229"/>
        </row>
        <row r="2230">
          <cell r="B2230"/>
          <cell r="C2230"/>
          <cell r="E2230"/>
          <cell r="F2230"/>
          <cell r="G2230"/>
          <cell r="H2230"/>
          <cell r="J2230"/>
          <cell r="L2230"/>
          <cell r="M2230"/>
        </row>
        <row r="2231">
          <cell r="B2231"/>
          <cell r="C2231"/>
          <cell r="E2231"/>
          <cell r="F2231"/>
          <cell r="G2231"/>
          <cell r="H2231"/>
          <cell r="J2231"/>
          <cell r="L2231"/>
          <cell r="M2231"/>
        </row>
        <row r="2232">
          <cell r="B2232"/>
          <cell r="C2232"/>
          <cell r="E2232"/>
          <cell r="F2232"/>
          <cell r="G2232"/>
          <cell r="H2232"/>
          <cell r="J2232"/>
          <cell r="L2232"/>
          <cell r="M2232"/>
        </row>
        <row r="2233">
          <cell r="B2233"/>
          <cell r="C2233"/>
          <cell r="E2233"/>
          <cell r="F2233"/>
          <cell r="G2233"/>
          <cell r="H2233"/>
          <cell r="J2233"/>
          <cell r="L2233"/>
          <cell r="M2233"/>
        </row>
        <row r="2234">
          <cell r="B2234"/>
          <cell r="C2234"/>
          <cell r="E2234"/>
          <cell r="F2234"/>
          <cell r="G2234"/>
          <cell r="H2234"/>
          <cell r="J2234"/>
          <cell r="L2234"/>
          <cell r="M2234"/>
        </row>
        <row r="2235">
          <cell r="B2235"/>
          <cell r="C2235"/>
          <cell r="E2235"/>
          <cell r="F2235"/>
          <cell r="G2235"/>
          <cell r="H2235"/>
          <cell r="J2235"/>
          <cell r="L2235"/>
          <cell r="M2235"/>
        </row>
        <row r="2236">
          <cell r="B2236"/>
          <cell r="C2236"/>
          <cell r="E2236"/>
          <cell r="F2236"/>
          <cell r="G2236"/>
          <cell r="H2236"/>
          <cell r="J2236"/>
          <cell r="L2236"/>
          <cell r="M2236"/>
        </row>
        <row r="2237">
          <cell r="B2237"/>
          <cell r="C2237"/>
          <cell r="E2237"/>
          <cell r="F2237"/>
          <cell r="G2237"/>
          <cell r="H2237"/>
          <cell r="J2237"/>
          <cell r="L2237"/>
          <cell r="M2237"/>
        </row>
        <row r="2238">
          <cell r="B2238"/>
          <cell r="C2238"/>
          <cell r="E2238"/>
          <cell r="F2238"/>
          <cell r="G2238"/>
          <cell r="H2238"/>
          <cell r="J2238"/>
          <cell r="L2238"/>
          <cell r="M2238"/>
        </row>
        <row r="2239">
          <cell r="B2239"/>
          <cell r="C2239"/>
          <cell r="E2239"/>
          <cell r="F2239"/>
          <cell r="G2239"/>
          <cell r="H2239"/>
          <cell r="J2239"/>
          <cell r="L2239"/>
          <cell r="M2239"/>
        </row>
        <row r="2240">
          <cell r="B2240"/>
          <cell r="C2240"/>
          <cell r="E2240"/>
          <cell r="F2240"/>
          <cell r="G2240"/>
          <cell r="H2240"/>
          <cell r="J2240"/>
          <cell r="L2240"/>
          <cell r="M2240"/>
        </row>
        <row r="2241">
          <cell r="B2241"/>
          <cell r="C2241"/>
          <cell r="E2241"/>
          <cell r="F2241"/>
          <cell r="G2241"/>
          <cell r="H2241"/>
          <cell r="J2241"/>
          <cell r="L2241"/>
          <cell r="M2241"/>
        </row>
        <row r="2242">
          <cell r="B2242"/>
          <cell r="C2242"/>
          <cell r="E2242"/>
          <cell r="F2242"/>
          <cell r="G2242"/>
          <cell r="H2242"/>
          <cell r="J2242"/>
          <cell r="L2242"/>
          <cell r="M2242"/>
        </row>
        <row r="2243">
          <cell r="B2243"/>
          <cell r="C2243"/>
          <cell r="E2243"/>
          <cell r="F2243"/>
          <cell r="G2243"/>
          <cell r="H2243"/>
          <cell r="J2243"/>
          <cell r="L2243"/>
          <cell r="M2243"/>
        </row>
        <row r="2244">
          <cell r="B2244"/>
          <cell r="C2244"/>
          <cell r="E2244"/>
          <cell r="F2244"/>
          <cell r="G2244"/>
          <cell r="H2244"/>
          <cell r="J2244"/>
          <cell r="L2244"/>
          <cell r="M2244"/>
        </row>
        <row r="2245">
          <cell r="B2245"/>
          <cell r="C2245"/>
          <cell r="E2245"/>
          <cell r="F2245"/>
          <cell r="G2245"/>
          <cell r="H2245"/>
          <cell r="J2245"/>
          <cell r="L2245"/>
          <cell r="M2245"/>
        </row>
        <row r="2246">
          <cell r="B2246"/>
          <cell r="C2246"/>
          <cell r="E2246"/>
          <cell r="F2246"/>
          <cell r="G2246"/>
          <cell r="H2246"/>
          <cell r="J2246"/>
          <cell r="L2246"/>
          <cell r="M2246"/>
        </row>
        <row r="2247">
          <cell r="B2247"/>
          <cell r="C2247"/>
          <cell r="E2247"/>
          <cell r="F2247"/>
          <cell r="G2247"/>
          <cell r="H2247"/>
          <cell r="J2247"/>
          <cell r="L2247"/>
          <cell r="M2247"/>
        </row>
        <row r="2248">
          <cell r="B2248"/>
          <cell r="C2248"/>
          <cell r="E2248"/>
          <cell r="F2248"/>
          <cell r="G2248"/>
          <cell r="H2248"/>
          <cell r="J2248"/>
          <cell r="L2248"/>
          <cell r="M2248"/>
        </row>
        <row r="2249">
          <cell r="B2249"/>
          <cell r="C2249"/>
          <cell r="E2249"/>
          <cell r="F2249"/>
          <cell r="G2249"/>
          <cell r="H2249"/>
          <cell r="J2249"/>
          <cell r="L2249"/>
          <cell r="M2249"/>
        </row>
        <row r="2250">
          <cell r="B2250"/>
          <cell r="C2250"/>
          <cell r="E2250"/>
          <cell r="F2250"/>
          <cell r="G2250"/>
          <cell r="H2250"/>
          <cell r="J2250"/>
          <cell r="L2250"/>
          <cell r="M2250"/>
        </row>
        <row r="2251">
          <cell r="B2251"/>
          <cell r="C2251"/>
          <cell r="E2251"/>
          <cell r="F2251"/>
          <cell r="G2251"/>
          <cell r="H2251"/>
          <cell r="J2251"/>
          <cell r="L2251"/>
          <cell r="M2251"/>
        </row>
        <row r="2252">
          <cell r="B2252"/>
          <cell r="C2252"/>
          <cell r="E2252"/>
          <cell r="F2252"/>
          <cell r="G2252"/>
          <cell r="H2252"/>
          <cell r="J2252"/>
          <cell r="L2252"/>
          <cell r="M2252"/>
        </row>
        <row r="2253">
          <cell r="B2253"/>
          <cell r="C2253"/>
          <cell r="E2253"/>
          <cell r="F2253"/>
          <cell r="G2253"/>
          <cell r="H2253"/>
          <cell r="J2253"/>
          <cell r="L2253"/>
          <cell r="M2253"/>
        </row>
        <row r="2254">
          <cell r="B2254"/>
          <cell r="C2254"/>
          <cell r="E2254"/>
          <cell r="F2254"/>
          <cell r="G2254"/>
          <cell r="H2254"/>
          <cell r="J2254"/>
          <cell r="L2254"/>
          <cell r="M2254"/>
        </row>
        <row r="2255">
          <cell r="B2255"/>
          <cell r="C2255"/>
          <cell r="E2255"/>
          <cell r="F2255"/>
          <cell r="G2255"/>
          <cell r="H2255"/>
          <cell r="J2255"/>
          <cell r="L2255"/>
          <cell r="M2255"/>
        </row>
        <row r="2256">
          <cell r="B2256"/>
          <cell r="C2256"/>
          <cell r="E2256"/>
          <cell r="F2256"/>
          <cell r="G2256"/>
          <cell r="H2256"/>
          <cell r="J2256"/>
          <cell r="L2256"/>
          <cell r="M2256"/>
        </row>
        <row r="2257">
          <cell r="B2257"/>
          <cell r="C2257"/>
          <cell r="E2257"/>
          <cell r="F2257"/>
          <cell r="G2257"/>
          <cell r="H2257"/>
          <cell r="J2257"/>
          <cell r="L2257"/>
          <cell r="M2257"/>
        </row>
        <row r="2258">
          <cell r="B2258"/>
          <cell r="C2258"/>
          <cell r="E2258"/>
          <cell r="F2258"/>
          <cell r="G2258"/>
          <cell r="H2258"/>
          <cell r="J2258"/>
          <cell r="L2258"/>
          <cell r="M2258"/>
        </row>
        <row r="2259">
          <cell r="B2259"/>
          <cell r="C2259"/>
          <cell r="E2259"/>
          <cell r="F2259"/>
          <cell r="G2259"/>
          <cell r="H2259"/>
          <cell r="J2259"/>
          <cell r="L2259"/>
          <cell r="M2259"/>
        </row>
        <row r="2260">
          <cell r="B2260"/>
          <cell r="C2260"/>
          <cell r="E2260"/>
          <cell r="F2260"/>
          <cell r="G2260"/>
          <cell r="H2260"/>
          <cell r="J2260"/>
          <cell r="L2260"/>
          <cell r="M2260"/>
        </row>
        <row r="2261">
          <cell r="B2261"/>
          <cell r="C2261"/>
          <cell r="E2261"/>
          <cell r="F2261"/>
          <cell r="G2261"/>
          <cell r="H2261"/>
          <cell r="J2261"/>
          <cell r="L2261"/>
          <cell r="M2261"/>
        </row>
        <row r="2262">
          <cell r="B2262"/>
          <cell r="C2262"/>
          <cell r="E2262"/>
          <cell r="F2262"/>
          <cell r="G2262"/>
          <cell r="H2262"/>
          <cell r="J2262"/>
          <cell r="L2262"/>
          <cell r="M2262"/>
        </row>
        <row r="2263">
          <cell r="B2263"/>
          <cell r="C2263"/>
          <cell r="E2263"/>
          <cell r="F2263"/>
          <cell r="G2263"/>
          <cell r="H2263"/>
          <cell r="J2263"/>
          <cell r="L2263"/>
          <cell r="M2263"/>
        </row>
        <row r="2264">
          <cell r="B2264"/>
          <cell r="C2264"/>
          <cell r="E2264"/>
          <cell r="F2264"/>
          <cell r="G2264"/>
          <cell r="H2264"/>
          <cell r="J2264"/>
          <cell r="L2264"/>
          <cell r="M2264"/>
        </row>
        <row r="2265">
          <cell r="B2265"/>
          <cell r="C2265"/>
          <cell r="E2265"/>
          <cell r="F2265"/>
          <cell r="G2265"/>
          <cell r="H2265"/>
          <cell r="J2265"/>
          <cell r="L2265"/>
          <cell r="M2265"/>
        </row>
        <row r="2266">
          <cell r="B2266"/>
          <cell r="C2266"/>
          <cell r="E2266"/>
          <cell r="F2266"/>
          <cell r="G2266"/>
          <cell r="H2266"/>
          <cell r="J2266"/>
          <cell r="L2266"/>
          <cell r="M2266"/>
        </row>
        <row r="2267">
          <cell r="B2267"/>
          <cell r="C2267"/>
          <cell r="E2267"/>
          <cell r="F2267"/>
          <cell r="G2267"/>
          <cell r="H2267"/>
          <cell r="J2267"/>
          <cell r="L2267"/>
          <cell r="M2267"/>
        </row>
        <row r="2268">
          <cell r="B2268"/>
          <cell r="C2268"/>
          <cell r="E2268"/>
          <cell r="F2268"/>
          <cell r="G2268"/>
          <cell r="H2268"/>
          <cell r="J2268"/>
          <cell r="L2268"/>
          <cell r="M2268"/>
        </row>
        <row r="2269">
          <cell r="B2269"/>
          <cell r="C2269"/>
          <cell r="E2269"/>
          <cell r="F2269"/>
          <cell r="G2269"/>
          <cell r="H2269"/>
          <cell r="J2269"/>
          <cell r="L2269"/>
          <cell r="M2269"/>
        </row>
        <row r="2270">
          <cell r="B2270"/>
          <cell r="C2270"/>
          <cell r="E2270"/>
          <cell r="F2270"/>
          <cell r="G2270"/>
          <cell r="H2270"/>
          <cell r="J2270"/>
          <cell r="L2270"/>
          <cell r="M2270"/>
        </row>
        <row r="2271">
          <cell r="B2271"/>
          <cell r="C2271"/>
          <cell r="E2271"/>
          <cell r="F2271"/>
          <cell r="G2271"/>
          <cell r="H2271"/>
          <cell r="J2271"/>
          <cell r="L2271"/>
          <cell r="M2271"/>
        </row>
        <row r="2272">
          <cell r="B2272"/>
          <cell r="C2272"/>
          <cell r="E2272"/>
          <cell r="F2272"/>
          <cell r="G2272"/>
          <cell r="H2272"/>
          <cell r="J2272"/>
          <cell r="L2272"/>
          <cell r="M2272"/>
        </row>
        <row r="2273">
          <cell r="B2273"/>
          <cell r="C2273"/>
          <cell r="E2273"/>
          <cell r="F2273"/>
          <cell r="G2273"/>
          <cell r="H2273"/>
          <cell r="J2273"/>
          <cell r="L2273"/>
          <cell r="M2273"/>
        </row>
        <row r="2274">
          <cell r="B2274"/>
          <cell r="C2274"/>
          <cell r="E2274"/>
          <cell r="F2274"/>
          <cell r="G2274"/>
          <cell r="H2274"/>
          <cell r="J2274"/>
          <cell r="L2274"/>
          <cell r="M2274"/>
        </row>
        <row r="2275">
          <cell r="B2275"/>
          <cell r="C2275"/>
          <cell r="E2275"/>
          <cell r="F2275"/>
          <cell r="G2275"/>
          <cell r="H2275"/>
          <cell r="J2275"/>
          <cell r="L2275"/>
          <cell r="M2275"/>
        </row>
        <row r="2276">
          <cell r="B2276"/>
          <cell r="C2276"/>
          <cell r="E2276"/>
          <cell r="F2276"/>
          <cell r="G2276"/>
          <cell r="H2276"/>
          <cell r="J2276"/>
          <cell r="L2276"/>
          <cell r="M2276"/>
        </row>
        <row r="2277">
          <cell r="B2277"/>
          <cell r="C2277"/>
          <cell r="E2277"/>
          <cell r="F2277"/>
          <cell r="G2277"/>
          <cell r="H2277"/>
          <cell r="J2277"/>
          <cell r="L2277"/>
          <cell r="M2277"/>
        </row>
        <row r="2278">
          <cell r="B2278"/>
          <cell r="C2278"/>
          <cell r="E2278"/>
          <cell r="F2278"/>
          <cell r="G2278"/>
          <cell r="H2278"/>
          <cell r="J2278"/>
          <cell r="L2278"/>
          <cell r="M2278"/>
        </row>
        <row r="2279">
          <cell r="B2279"/>
          <cell r="C2279"/>
          <cell r="E2279"/>
          <cell r="F2279"/>
          <cell r="G2279"/>
          <cell r="H2279"/>
          <cell r="J2279"/>
          <cell r="L2279"/>
          <cell r="M2279"/>
        </row>
        <row r="2280">
          <cell r="B2280"/>
          <cell r="C2280"/>
          <cell r="E2280"/>
          <cell r="F2280"/>
          <cell r="G2280"/>
          <cell r="H2280"/>
          <cell r="J2280"/>
          <cell r="L2280"/>
          <cell r="M2280"/>
        </row>
        <row r="2281">
          <cell r="B2281"/>
          <cell r="C2281"/>
          <cell r="E2281"/>
          <cell r="F2281"/>
          <cell r="G2281"/>
          <cell r="H2281"/>
          <cell r="J2281"/>
          <cell r="L2281"/>
          <cell r="M2281"/>
        </row>
        <row r="2282">
          <cell r="B2282"/>
          <cell r="C2282"/>
          <cell r="E2282"/>
          <cell r="F2282"/>
          <cell r="G2282"/>
          <cell r="H2282"/>
          <cell r="J2282"/>
          <cell r="L2282"/>
          <cell r="M2282"/>
        </row>
        <row r="2283">
          <cell r="B2283"/>
          <cell r="C2283"/>
          <cell r="E2283"/>
          <cell r="F2283"/>
          <cell r="G2283"/>
          <cell r="H2283"/>
          <cell r="J2283"/>
          <cell r="L2283"/>
          <cell r="M2283"/>
        </row>
        <row r="2284">
          <cell r="B2284"/>
          <cell r="C2284"/>
          <cell r="E2284"/>
          <cell r="F2284"/>
          <cell r="G2284"/>
          <cell r="H2284"/>
          <cell r="J2284"/>
          <cell r="L2284"/>
          <cell r="M2284"/>
        </row>
        <row r="2285">
          <cell r="B2285"/>
          <cell r="C2285"/>
          <cell r="E2285"/>
          <cell r="F2285"/>
          <cell r="G2285"/>
          <cell r="H2285"/>
          <cell r="J2285"/>
          <cell r="L2285"/>
          <cell r="M2285"/>
        </row>
        <row r="2286">
          <cell r="B2286"/>
          <cell r="C2286"/>
          <cell r="E2286"/>
          <cell r="F2286"/>
          <cell r="G2286"/>
          <cell r="H2286"/>
          <cell r="J2286"/>
          <cell r="L2286"/>
          <cell r="M2286"/>
        </row>
        <row r="2287">
          <cell r="B2287"/>
          <cell r="C2287"/>
          <cell r="E2287"/>
          <cell r="F2287"/>
          <cell r="G2287"/>
          <cell r="H2287"/>
          <cell r="J2287"/>
          <cell r="L2287"/>
          <cell r="M2287"/>
        </row>
        <row r="2288">
          <cell r="B2288"/>
          <cell r="C2288"/>
          <cell r="E2288"/>
          <cell r="F2288"/>
          <cell r="G2288"/>
          <cell r="H2288"/>
          <cell r="J2288"/>
          <cell r="L2288"/>
          <cell r="M2288"/>
        </row>
        <row r="2289">
          <cell r="B2289"/>
          <cell r="C2289"/>
          <cell r="E2289"/>
          <cell r="F2289"/>
          <cell r="G2289"/>
          <cell r="H2289"/>
          <cell r="J2289"/>
          <cell r="L2289"/>
          <cell r="M2289"/>
        </row>
        <row r="2290">
          <cell r="B2290"/>
          <cell r="C2290"/>
          <cell r="E2290"/>
          <cell r="F2290"/>
          <cell r="G2290"/>
          <cell r="H2290"/>
          <cell r="J2290"/>
          <cell r="L2290"/>
          <cell r="M2290"/>
        </row>
        <row r="2291">
          <cell r="B2291"/>
          <cell r="C2291"/>
          <cell r="E2291"/>
          <cell r="F2291"/>
          <cell r="G2291"/>
          <cell r="H2291"/>
          <cell r="J2291"/>
          <cell r="L2291"/>
          <cell r="M2291"/>
        </row>
        <row r="2292">
          <cell r="B2292"/>
          <cell r="C2292"/>
          <cell r="E2292"/>
          <cell r="F2292"/>
          <cell r="G2292"/>
          <cell r="H2292"/>
          <cell r="J2292"/>
          <cell r="L2292"/>
          <cell r="M2292"/>
        </row>
        <row r="2293">
          <cell r="B2293"/>
          <cell r="C2293"/>
          <cell r="E2293"/>
          <cell r="F2293"/>
          <cell r="G2293"/>
          <cell r="H2293"/>
          <cell r="J2293"/>
          <cell r="L2293"/>
          <cell r="M2293"/>
        </row>
        <row r="2294">
          <cell r="B2294"/>
          <cell r="C2294"/>
          <cell r="E2294"/>
          <cell r="F2294"/>
          <cell r="G2294"/>
          <cell r="H2294"/>
          <cell r="J2294"/>
          <cell r="L2294"/>
          <cell r="M2294"/>
        </row>
        <row r="2295">
          <cell r="B2295"/>
          <cell r="C2295"/>
          <cell r="E2295"/>
          <cell r="F2295"/>
          <cell r="G2295"/>
          <cell r="H2295"/>
          <cell r="J2295"/>
          <cell r="L2295"/>
          <cell r="M2295"/>
        </row>
        <row r="2296">
          <cell r="B2296"/>
          <cell r="C2296"/>
          <cell r="E2296"/>
          <cell r="F2296"/>
          <cell r="G2296"/>
          <cell r="H2296"/>
          <cell r="J2296"/>
          <cell r="L2296"/>
          <cell r="M2296"/>
        </row>
        <row r="2297">
          <cell r="B2297"/>
          <cell r="C2297"/>
          <cell r="E2297"/>
          <cell r="F2297"/>
          <cell r="G2297"/>
          <cell r="H2297"/>
          <cell r="J2297"/>
          <cell r="L2297"/>
          <cell r="M2297"/>
        </row>
        <row r="2298">
          <cell r="B2298"/>
          <cell r="C2298"/>
          <cell r="E2298"/>
          <cell r="F2298"/>
          <cell r="G2298"/>
          <cell r="H2298"/>
          <cell r="J2298"/>
          <cell r="L2298"/>
          <cell r="M2298"/>
        </row>
        <row r="2299">
          <cell r="B2299"/>
          <cell r="C2299"/>
          <cell r="E2299"/>
          <cell r="F2299"/>
          <cell r="G2299"/>
          <cell r="H2299"/>
          <cell r="J2299"/>
          <cell r="L2299"/>
          <cell r="M2299"/>
        </row>
        <row r="2300">
          <cell r="B2300"/>
          <cell r="C2300"/>
          <cell r="E2300"/>
          <cell r="F2300"/>
          <cell r="G2300"/>
          <cell r="H2300"/>
          <cell r="J2300"/>
          <cell r="L2300"/>
          <cell r="M2300"/>
        </row>
        <row r="2301">
          <cell r="B2301"/>
          <cell r="C2301"/>
          <cell r="E2301"/>
          <cell r="F2301"/>
          <cell r="G2301"/>
          <cell r="H2301"/>
          <cell r="J2301"/>
          <cell r="L2301"/>
          <cell r="M2301"/>
        </row>
        <row r="2302">
          <cell r="B2302"/>
          <cell r="C2302"/>
          <cell r="E2302"/>
          <cell r="F2302"/>
          <cell r="G2302"/>
          <cell r="H2302"/>
          <cell r="J2302"/>
          <cell r="L2302"/>
          <cell r="M2302"/>
        </row>
        <row r="2303">
          <cell r="B2303"/>
          <cell r="C2303"/>
          <cell r="E2303"/>
          <cell r="F2303"/>
          <cell r="G2303"/>
          <cell r="H2303"/>
          <cell r="J2303"/>
          <cell r="L2303"/>
          <cell r="M2303"/>
        </row>
        <row r="2304">
          <cell r="B2304"/>
          <cell r="C2304"/>
          <cell r="E2304"/>
          <cell r="F2304"/>
          <cell r="G2304"/>
          <cell r="H2304"/>
          <cell r="J2304"/>
          <cell r="L2304"/>
          <cell r="M2304"/>
        </row>
        <row r="2305">
          <cell r="B2305"/>
          <cell r="C2305"/>
          <cell r="E2305"/>
          <cell r="F2305"/>
          <cell r="G2305"/>
          <cell r="H2305"/>
          <cell r="J2305"/>
          <cell r="L2305"/>
          <cell r="M2305"/>
        </row>
        <row r="2306">
          <cell r="B2306"/>
          <cell r="C2306"/>
          <cell r="E2306"/>
          <cell r="F2306"/>
          <cell r="G2306"/>
          <cell r="H2306"/>
          <cell r="J2306"/>
          <cell r="L2306"/>
          <cell r="M2306"/>
        </row>
        <row r="2307">
          <cell r="B2307"/>
          <cell r="C2307"/>
          <cell r="E2307"/>
          <cell r="F2307"/>
          <cell r="G2307"/>
          <cell r="H2307"/>
          <cell r="J2307"/>
          <cell r="L2307"/>
          <cell r="M2307"/>
        </row>
        <row r="2308">
          <cell r="B2308"/>
          <cell r="C2308"/>
          <cell r="E2308"/>
          <cell r="F2308"/>
          <cell r="G2308"/>
          <cell r="H2308"/>
          <cell r="J2308"/>
          <cell r="L2308"/>
          <cell r="M2308"/>
        </row>
        <row r="2309">
          <cell r="B2309"/>
          <cell r="C2309"/>
          <cell r="E2309"/>
          <cell r="F2309"/>
          <cell r="G2309"/>
          <cell r="H2309"/>
          <cell r="J2309"/>
          <cell r="L2309"/>
          <cell r="M2309"/>
        </row>
        <row r="2310">
          <cell r="B2310"/>
          <cell r="C2310"/>
          <cell r="E2310"/>
          <cell r="F2310"/>
          <cell r="G2310"/>
          <cell r="H2310"/>
          <cell r="J2310"/>
          <cell r="L2310"/>
          <cell r="M2310"/>
        </row>
        <row r="2311">
          <cell r="B2311"/>
          <cell r="C2311"/>
          <cell r="E2311"/>
          <cell r="F2311"/>
          <cell r="G2311"/>
          <cell r="H2311"/>
          <cell r="J2311"/>
          <cell r="L2311"/>
          <cell r="M2311"/>
        </row>
        <row r="2312">
          <cell r="B2312"/>
          <cell r="C2312"/>
          <cell r="E2312"/>
          <cell r="F2312"/>
          <cell r="G2312"/>
          <cell r="H2312"/>
          <cell r="J2312"/>
          <cell r="L2312"/>
          <cell r="M2312"/>
        </row>
        <row r="2313">
          <cell r="B2313"/>
          <cell r="C2313"/>
          <cell r="E2313"/>
          <cell r="F2313"/>
          <cell r="G2313"/>
          <cell r="H2313"/>
          <cell r="J2313"/>
          <cell r="L2313"/>
          <cell r="M2313"/>
        </row>
        <row r="2314">
          <cell r="B2314"/>
          <cell r="C2314"/>
          <cell r="E2314"/>
          <cell r="F2314"/>
          <cell r="G2314"/>
          <cell r="H2314"/>
          <cell r="J2314"/>
          <cell r="L2314"/>
          <cell r="M2314"/>
        </row>
        <row r="2315">
          <cell r="B2315"/>
          <cell r="C2315"/>
          <cell r="E2315"/>
          <cell r="F2315"/>
          <cell r="G2315"/>
          <cell r="H2315"/>
          <cell r="J2315"/>
          <cell r="L2315"/>
          <cell r="M2315"/>
        </row>
        <row r="2316">
          <cell r="B2316"/>
          <cell r="C2316"/>
          <cell r="E2316"/>
          <cell r="F2316"/>
          <cell r="G2316"/>
          <cell r="H2316"/>
          <cell r="J2316"/>
          <cell r="L2316"/>
          <cell r="M2316"/>
        </row>
        <row r="2317">
          <cell r="B2317"/>
          <cell r="C2317"/>
          <cell r="E2317"/>
          <cell r="F2317"/>
          <cell r="G2317"/>
          <cell r="H2317"/>
          <cell r="J2317"/>
          <cell r="L2317"/>
          <cell r="M2317"/>
        </row>
        <row r="2318">
          <cell r="B2318"/>
          <cell r="C2318"/>
          <cell r="E2318"/>
          <cell r="F2318"/>
          <cell r="G2318"/>
          <cell r="H2318"/>
          <cell r="J2318"/>
          <cell r="L2318"/>
          <cell r="M2318"/>
        </row>
        <row r="2319">
          <cell r="B2319"/>
          <cell r="C2319"/>
          <cell r="E2319"/>
          <cell r="F2319"/>
          <cell r="G2319"/>
          <cell r="H2319"/>
          <cell r="J2319"/>
          <cell r="L2319"/>
          <cell r="M2319"/>
        </row>
        <row r="2320">
          <cell r="B2320"/>
          <cell r="C2320"/>
          <cell r="E2320"/>
          <cell r="F2320"/>
          <cell r="G2320"/>
          <cell r="H2320"/>
          <cell r="J2320"/>
          <cell r="L2320"/>
          <cell r="M2320"/>
        </row>
        <row r="2321">
          <cell r="B2321"/>
          <cell r="C2321"/>
          <cell r="E2321"/>
          <cell r="F2321"/>
          <cell r="G2321"/>
          <cell r="H2321"/>
          <cell r="J2321"/>
          <cell r="L2321"/>
          <cell r="M2321"/>
        </row>
        <row r="2322">
          <cell r="B2322"/>
          <cell r="C2322"/>
          <cell r="E2322"/>
          <cell r="F2322"/>
          <cell r="G2322"/>
          <cell r="H2322"/>
          <cell r="J2322"/>
          <cell r="L2322"/>
          <cell r="M2322"/>
        </row>
        <row r="2323">
          <cell r="B2323"/>
          <cell r="C2323"/>
          <cell r="E2323"/>
          <cell r="F2323"/>
          <cell r="G2323"/>
          <cell r="H2323"/>
          <cell r="J2323"/>
          <cell r="L2323"/>
          <cell r="M2323"/>
        </row>
        <row r="2324">
          <cell r="B2324"/>
          <cell r="C2324"/>
          <cell r="E2324"/>
          <cell r="F2324"/>
          <cell r="G2324"/>
          <cell r="H2324"/>
          <cell r="J2324"/>
          <cell r="L2324"/>
          <cell r="M2324"/>
        </row>
        <row r="2325">
          <cell r="B2325"/>
          <cell r="C2325"/>
          <cell r="E2325"/>
          <cell r="F2325"/>
          <cell r="G2325"/>
          <cell r="H2325"/>
          <cell r="J2325"/>
          <cell r="L2325"/>
          <cell r="M2325"/>
        </row>
        <row r="2326">
          <cell r="B2326"/>
          <cell r="C2326"/>
          <cell r="E2326"/>
          <cell r="F2326"/>
          <cell r="G2326"/>
          <cell r="H2326"/>
          <cell r="J2326"/>
          <cell r="L2326"/>
          <cell r="M2326"/>
        </row>
        <row r="2327">
          <cell r="B2327"/>
          <cell r="C2327"/>
          <cell r="E2327"/>
          <cell r="F2327"/>
          <cell r="G2327"/>
          <cell r="H2327"/>
          <cell r="J2327"/>
          <cell r="L2327"/>
          <cell r="M2327"/>
        </row>
        <row r="2328">
          <cell r="B2328"/>
          <cell r="C2328"/>
          <cell r="E2328"/>
          <cell r="F2328"/>
          <cell r="G2328"/>
          <cell r="H2328"/>
          <cell r="J2328"/>
          <cell r="L2328"/>
          <cell r="M2328"/>
        </row>
        <row r="2329">
          <cell r="B2329"/>
          <cell r="C2329"/>
          <cell r="E2329"/>
          <cell r="F2329"/>
          <cell r="G2329"/>
          <cell r="H2329"/>
          <cell r="J2329"/>
          <cell r="L2329"/>
          <cell r="M2329"/>
        </row>
        <row r="2330">
          <cell r="B2330"/>
          <cell r="C2330"/>
          <cell r="E2330"/>
          <cell r="F2330"/>
          <cell r="G2330"/>
          <cell r="H2330"/>
          <cell r="J2330"/>
          <cell r="L2330"/>
          <cell r="M2330"/>
        </row>
        <row r="2331">
          <cell r="B2331"/>
          <cell r="C2331"/>
          <cell r="E2331"/>
          <cell r="F2331"/>
          <cell r="G2331"/>
          <cell r="H2331"/>
          <cell r="J2331"/>
          <cell r="L2331"/>
          <cell r="M2331"/>
        </row>
        <row r="2332">
          <cell r="B2332"/>
          <cell r="C2332"/>
          <cell r="E2332"/>
          <cell r="F2332"/>
          <cell r="G2332"/>
          <cell r="H2332"/>
          <cell r="J2332"/>
          <cell r="L2332"/>
          <cell r="M2332"/>
        </row>
        <row r="2333">
          <cell r="B2333"/>
          <cell r="C2333"/>
          <cell r="E2333"/>
          <cell r="F2333"/>
          <cell r="G2333"/>
          <cell r="H2333"/>
          <cell r="J2333"/>
          <cell r="L2333"/>
          <cell r="M2333"/>
        </row>
        <row r="2334">
          <cell r="B2334"/>
          <cell r="C2334"/>
          <cell r="E2334"/>
          <cell r="F2334"/>
          <cell r="G2334"/>
          <cell r="H2334"/>
          <cell r="J2334"/>
          <cell r="L2334"/>
          <cell r="M2334"/>
        </row>
        <row r="2335">
          <cell r="B2335"/>
          <cell r="C2335"/>
          <cell r="E2335"/>
          <cell r="F2335"/>
          <cell r="G2335"/>
          <cell r="H2335"/>
          <cell r="J2335"/>
          <cell r="L2335"/>
          <cell r="M2335"/>
        </row>
        <row r="2336">
          <cell r="B2336"/>
          <cell r="C2336"/>
          <cell r="E2336"/>
          <cell r="F2336"/>
          <cell r="G2336"/>
          <cell r="H2336"/>
          <cell r="J2336"/>
          <cell r="L2336"/>
          <cell r="M2336"/>
        </row>
        <row r="2337">
          <cell r="B2337"/>
          <cell r="C2337"/>
          <cell r="E2337"/>
          <cell r="F2337"/>
          <cell r="G2337"/>
          <cell r="H2337"/>
          <cell r="J2337"/>
          <cell r="L2337"/>
          <cell r="M2337"/>
        </row>
        <row r="2338">
          <cell r="B2338"/>
          <cell r="C2338"/>
          <cell r="E2338"/>
          <cell r="F2338"/>
          <cell r="G2338"/>
          <cell r="H2338"/>
          <cell r="J2338"/>
          <cell r="L2338"/>
          <cell r="M2338"/>
        </row>
        <row r="2339">
          <cell r="B2339"/>
          <cell r="C2339"/>
          <cell r="E2339"/>
          <cell r="F2339"/>
          <cell r="G2339"/>
          <cell r="H2339"/>
          <cell r="J2339"/>
          <cell r="L2339"/>
          <cell r="M2339"/>
        </row>
        <row r="2340">
          <cell r="B2340"/>
          <cell r="C2340"/>
          <cell r="E2340"/>
          <cell r="F2340"/>
          <cell r="G2340"/>
          <cell r="H2340"/>
          <cell r="J2340"/>
          <cell r="L2340"/>
          <cell r="M2340"/>
        </row>
        <row r="2341">
          <cell r="B2341"/>
          <cell r="C2341"/>
          <cell r="E2341"/>
          <cell r="F2341"/>
          <cell r="G2341"/>
          <cell r="H2341"/>
          <cell r="J2341"/>
          <cell r="L2341"/>
          <cell r="M2341"/>
        </row>
        <row r="2342">
          <cell r="B2342"/>
          <cell r="C2342"/>
          <cell r="E2342"/>
          <cell r="F2342"/>
          <cell r="G2342"/>
          <cell r="H2342"/>
          <cell r="J2342"/>
          <cell r="L2342"/>
          <cell r="M2342"/>
        </row>
        <row r="2343">
          <cell r="B2343"/>
          <cell r="C2343"/>
          <cell r="E2343"/>
          <cell r="F2343"/>
          <cell r="G2343"/>
          <cell r="H2343"/>
          <cell r="J2343"/>
          <cell r="L2343"/>
          <cell r="M2343"/>
        </row>
        <row r="2344">
          <cell r="B2344"/>
          <cell r="C2344"/>
          <cell r="E2344"/>
          <cell r="F2344"/>
          <cell r="G2344"/>
          <cell r="H2344"/>
          <cell r="J2344"/>
          <cell r="L2344"/>
          <cell r="M2344"/>
        </row>
        <row r="2345">
          <cell r="B2345"/>
          <cell r="C2345"/>
          <cell r="E2345"/>
          <cell r="F2345"/>
          <cell r="G2345"/>
          <cell r="H2345"/>
          <cell r="J2345"/>
          <cell r="L2345"/>
          <cell r="M2345"/>
        </row>
        <row r="2346">
          <cell r="B2346"/>
          <cell r="C2346"/>
          <cell r="E2346"/>
          <cell r="F2346"/>
          <cell r="G2346"/>
          <cell r="H2346"/>
          <cell r="J2346"/>
          <cell r="L2346"/>
          <cell r="M2346"/>
        </row>
        <row r="2347">
          <cell r="B2347"/>
          <cell r="C2347"/>
          <cell r="E2347"/>
          <cell r="F2347"/>
          <cell r="G2347"/>
          <cell r="H2347"/>
          <cell r="J2347"/>
          <cell r="L2347"/>
          <cell r="M2347"/>
        </row>
        <row r="2348">
          <cell r="B2348"/>
          <cell r="C2348"/>
          <cell r="E2348"/>
          <cell r="F2348"/>
          <cell r="G2348"/>
          <cell r="H2348"/>
          <cell r="J2348"/>
          <cell r="L2348"/>
          <cell r="M2348"/>
        </row>
        <row r="2349">
          <cell r="B2349"/>
          <cell r="C2349"/>
          <cell r="E2349"/>
          <cell r="F2349"/>
          <cell r="G2349"/>
          <cell r="H2349"/>
          <cell r="J2349"/>
          <cell r="L2349"/>
          <cell r="M2349"/>
        </row>
        <row r="2350">
          <cell r="B2350"/>
          <cell r="C2350"/>
          <cell r="E2350"/>
          <cell r="F2350"/>
          <cell r="G2350"/>
          <cell r="H2350"/>
          <cell r="J2350"/>
          <cell r="L2350"/>
          <cell r="M2350"/>
        </row>
        <row r="2351">
          <cell r="B2351"/>
          <cell r="C2351"/>
          <cell r="E2351"/>
          <cell r="F2351"/>
          <cell r="G2351"/>
          <cell r="H2351"/>
          <cell r="J2351"/>
          <cell r="L2351"/>
          <cell r="M2351"/>
        </row>
        <row r="2352">
          <cell r="B2352"/>
          <cell r="C2352"/>
          <cell r="E2352"/>
          <cell r="F2352"/>
          <cell r="G2352"/>
          <cell r="H2352"/>
          <cell r="J2352"/>
          <cell r="L2352"/>
          <cell r="M2352"/>
        </row>
        <row r="2353">
          <cell r="B2353"/>
          <cell r="C2353"/>
          <cell r="E2353"/>
          <cell r="F2353"/>
          <cell r="G2353"/>
          <cell r="H2353"/>
          <cell r="J2353"/>
          <cell r="L2353"/>
          <cell r="M2353"/>
        </row>
        <row r="2354">
          <cell r="B2354"/>
          <cell r="C2354"/>
          <cell r="E2354"/>
          <cell r="F2354"/>
          <cell r="G2354"/>
          <cell r="H2354"/>
          <cell r="J2354"/>
          <cell r="L2354"/>
          <cell r="M2354"/>
        </row>
        <row r="2355">
          <cell r="B2355"/>
          <cell r="C2355"/>
          <cell r="E2355"/>
          <cell r="F2355"/>
          <cell r="G2355"/>
          <cell r="H2355"/>
          <cell r="J2355"/>
          <cell r="L2355"/>
          <cell r="M2355"/>
        </row>
        <row r="2356">
          <cell r="B2356"/>
          <cell r="C2356"/>
          <cell r="E2356"/>
          <cell r="F2356"/>
          <cell r="G2356"/>
          <cell r="H2356"/>
          <cell r="J2356"/>
          <cell r="L2356"/>
          <cell r="M2356"/>
        </row>
        <row r="2357">
          <cell r="B2357"/>
          <cell r="C2357"/>
          <cell r="E2357"/>
          <cell r="F2357"/>
          <cell r="G2357"/>
          <cell r="H2357"/>
          <cell r="J2357"/>
          <cell r="L2357"/>
          <cell r="M2357"/>
        </row>
        <row r="2358">
          <cell r="B2358"/>
          <cell r="C2358"/>
          <cell r="E2358"/>
          <cell r="F2358"/>
          <cell r="G2358"/>
          <cell r="H2358"/>
          <cell r="J2358"/>
          <cell r="L2358"/>
          <cell r="M2358"/>
        </row>
        <row r="2359">
          <cell r="B2359"/>
          <cell r="C2359"/>
          <cell r="E2359"/>
          <cell r="F2359"/>
          <cell r="G2359"/>
          <cell r="H2359"/>
          <cell r="J2359"/>
          <cell r="L2359"/>
          <cell r="M2359"/>
        </row>
        <row r="2360">
          <cell r="B2360"/>
          <cell r="C2360"/>
          <cell r="E2360"/>
          <cell r="F2360"/>
          <cell r="G2360"/>
          <cell r="H2360"/>
          <cell r="J2360"/>
          <cell r="L2360"/>
          <cell r="M2360"/>
        </row>
        <row r="2361">
          <cell r="B2361"/>
          <cell r="C2361"/>
          <cell r="E2361"/>
          <cell r="F2361"/>
          <cell r="G2361"/>
          <cell r="H2361"/>
          <cell r="J2361"/>
          <cell r="L2361"/>
          <cell r="M2361"/>
        </row>
        <row r="2362">
          <cell r="B2362"/>
          <cell r="C2362"/>
          <cell r="E2362"/>
          <cell r="F2362"/>
          <cell r="G2362"/>
          <cell r="H2362"/>
          <cell r="J2362"/>
          <cell r="L2362"/>
          <cell r="M2362"/>
        </row>
        <row r="2363">
          <cell r="B2363"/>
          <cell r="C2363"/>
          <cell r="E2363"/>
          <cell r="F2363"/>
          <cell r="G2363"/>
          <cell r="H2363"/>
          <cell r="J2363"/>
          <cell r="L2363"/>
          <cell r="M2363"/>
        </row>
        <row r="2364">
          <cell r="B2364"/>
          <cell r="C2364"/>
          <cell r="E2364"/>
          <cell r="F2364"/>
          <cell r="G2364"/>
          <cell r="H2364"/>
          <cell r="J2364"/>
          <cell r="L2364"/>
          <cell r="M2364"/>
        </row>
        <row r="2365">
          <cell r="B2365"/>
          <cell r="C2365"/>
          <cell r="E2365"/>
          <cell r="F2365"/>
          <cell r="G2365"/>
          <cell r="H2365"/>
          <cell r="J2365"/>
          <cell r="L2365"/>
          <cell r="M2365"/>
        </row>
        <row r="2366">
          <cell r="B2366"/>
          <cell r="C2366"/>
          <cell r="E2366"/>
          <cell r="F2366"/>
          <cell r="G2366"/>
          <cell r="H2366"/>
          <cell r="J2366"/>
          <cell r="L2366"/>
          <cell r="M2366"/>
        </row>
        <row r="2367">
          <cell r="B2367"/>
          <cell r="C2367"/>
          <cell r="E2367"/>
          <cell r="F2367"/>
          <cell r="G2367"/>
          <cell r="H2367"/>
          <cell r="J2367"/>
          <cell r="L2367"/>
          <cell r="M2367"/>
        </row>
        <row r="2368">
          <cell r="B2368"/>
          <cell r="C2368"/>
          <cell r="E2368"/>
          <cell r="F2368"/>
          <cell r="G2368"/>
          <cell r="H2368"/>
          <cell r="J2368"/>
          <cell r="L2368"/>
          <cell r="M2368"/>
        </row>
        <row r="2369">
          <cell r="B2369"/>
          <cell r="C2369"/>
          <cell r="E2369"/>
          <cell r="F2369"/>
          <cell r="G2369"/>
          <cell r="H2369"/>
          <cell r="J2369"/>
          <cell r="L2369"/>
          <cell r="M2369"/>
        </row>
        <row r="2370">
          <cell r="B2370"/>
          <cell r="C2370"/>
          <cell r="E2370"/>
          <cell r="F2370"/>
          <cell r="G2370"/>
          <cell r="H2370"/>
          <cell r="J2370"/>
          <cell r="L2370"/>
          <cell r="M2370"/>
        </row>
        <row r="2371">
          <cell r="B2371"/>
          <cell r="C2371"/>
          <cell r="E2371"/>
          <cell r="F2371"/>
          <cell r="G2371"/>
          <cell r="H2371"/>
          <cell r="J2371"/>
          <cell r="L2371"/>
          <cell r="M2371"/>
        </row>
        <row r="2372">
          <cell r="B2372"/>
          <cell r="C2372"/>
          <cell r="E2372"/>
          <cell r="F2372"/>
          <cell r="G2372"/>
          <cell r="H2372"/>
          <cell r="J2372"/>
          <cell r="L2372"/>
          <cell r="M2372"/>
        </row>
        <row r="2373">
          <cell r="B2373"/>
          <cell r="C2373"/>
          <cell r="E2373"/>
          <cell r="F2373"/>
          <cell r="G2373"/>
          <cell r="H2373"/>
          <cell r="J2373"/>
          <cell r="L2373"/>
          <cell r="M2373"/>
        </row>
        <row r="2374">
          <cell r="B2374"/>
          <cell r="C2374"/>
          <cell r="E2374"/>
          <cell r="F2374"/>
          <cell r="G2374"/>
          <cell r="H2374"/>
          <cell r="J2374"/>
          <cell r="L2374"/>
          <cell r="M2374"/>
        </row>
        <row r="2375">
          <cell r="B2375"/>
          <cell r="C2375"/>
          <cell r="E2375"/>
          <cell r="F2375"/>
          <cell r="G2375"/>
          <cell r="H2375"/>
          <cell r="J2375"/>
          <cell r="L2375"/>
          <cell r="M2375"/>
        </row>
        <row r="2376">
          <cell r="B2376"/>
          <cell r="C2376"/>
          <cell r="E2376"/>
          <cell r="F2376"/>
          <cell r="G2376"/>
          <cell r="H2376"/>
          <cell r="J2376"/>
          <cell r="L2376"/>
          <cell r="M2376"/>
        </row>
        <row r="2377">
          <cell r="B2377"/>
          <cell r="C2377"/>
          <cell r="E2377"/>
          <cell r="F2377"/>
          <cell r="G2377"/>
          <cell r="H2377"/>
          <cell r="J2377"/>
          <cell r="L2377"/>
          <cell r="M2377"/>
        </row>
        <row r="2378">
          <cell r="B2378"/>
          <cell r="C2378"/>
          <cell r="E2378"/>
          <cell r="F2378"/>
          <cell r="G2378"/>
          <cell r="H2378"/>
          <cell r="J2378"/>
          <cell r="L2378"/>
          <cell r="M2378"/>
        </row>
        <row r="2379">
          <cell r="B2379"/>
          <cell r="C2379"/>
          <cell r="E2379"/>
          <cell r="F2379"/>
          <cell r="G2379"/>
          <cell r="H2379"/>
          <cell r="J2379"/>
          <cell r="L2379"/>
          <cell r="M2379"/>
        </row>
        <row r="2380">
          <cell r="B2380"/>
          <cell r="C2380"/>
          <cell r="E2380"/>
          <cell r="F2380"/>
          <cell r="G2380"/>
          <cell r="H2380"/>
          <cell r="J2380"/>
          <cell r="L2380"/>
          <cell r="M2380"/>
        </row>
        <row r="2381">
          <cell r="B2381"/>
          <cell r="C2381"/>
          <cell r="E2381"/>
          <cell r="F2381"/>
          <cell r="G2381"/>
          <cell r="H2381"/>
          <cell r="J2381"/>
          <cell r="L2381"/>
          <cell r="M2381"/>
        </row>
        <row r="2382">
          <cell r="B2382"/>
          <cell r="C2382"/>
          <cell r="E2382"/>
          <cell r="F2382"/>
          <cell r="G2382"/>
          <cell r="H2382"/>
          <cell r="J2382"/>
          <cell r="L2382"/>
          <cell r="M2382"/>
        </row>
        <row r="2383">
          <cell r="B2383"/>
          <cell r="C2383"/>
          <cell r="E2383"/>
          <cell r="F2383"/>
          <cell r="G2383"/>
          <cell r="H2383"/>
          <cell r="J2383"/>
          <cell r="L2383"/>
          <cell r="M2383"/>
        </row>
        <row r="2384">
          <cell r="B2384"/>
          <cell r="C2384"/>
          <cell r="E2384"/>
          <cell r="F2384"/>
          <cell r="G2384"/>
          <cell r="H2384"/>
          <cell r="J2384"/>
          <cell r="L2384"/>
          <cell r="M2384"/>
        </row>
        <row r="2385">
          <cell r="B2385"/>
          <cell r="C2385"/>
          <cell r="E2385"/>
          <cell r="F2385"/>
          <cell r="G2385"/>
          <cell r="H2385"/>
          <cell r="J2385"/>
          <cell r="L2385"/>
          <cell r="M2385"/>
        </row>
        <row r="2386">
          <cell r="B2386"/>
          <cell r="C2386"/>
          <cell r="E2386"/>
          <cell r="F2386"/>
          <cell r="G2386"/>
          <cell r="H2386"/>
          <cell r="J2386"/>
          <cell r="L2386"/>
          <cell r="M2386"/>
        </row>
        <row r="2387">
          <cell r="B2387"/>
          <cell r="C2387"/>
          <cell r="E2387"/>
          <cell r="F2387"/>
          <cell r="G2387"/>
          <cell r="H2387"/>
          <cell r="J2387"/>
          <cell r="L2387"/>
          <cell r="M2387"/>
        </row>
        <row r="2388">
          <cell r="B2388"/>
          <cell r="C2388"/>
          <cell r="E2388"/>
          <cell r="F2388"/>
          <cell r="G2388"/>
          <cell r="H2388"/>
          <cell r="J2388"/>
          <cell r="L2388"/>
          <cell r="M2388"/>
        </row>
        <row r="2389">
          <cell r="B2389"/>
          <cell r="C2389"/>
          <cell r="E2389"/>
          <cell r="F2389"/>
          <cell r="G2389"/>
          <cell r="H2389"/>
          <cell r="J2389"/>
          <cell r="L2389"/>
          <cell r="M2389"/>
        </row>
        <row r="2390">
          <cell r="B2390"/>
          <cell r="C2390"/>
          <cell r="E2390"/>
          <cell r="F2390"/>
          <cell r="G2390"/>
          <cell r="H2390"/>
          <cell r="J2390"/>
          <cell r="L2390"/>
          <cell r="M2390"/>
        </row>
        <row r="2391">
          <cell r="B2391"/>
          <cell r="C2391"/>
          <cell r="E2391"/>
          <cell r="F2391"/>
          <cell r="G2391"/>
          <cell r="H2391"/>
          <cell r="J2391"/>
          <cell r="L2391"/>
          <cell r="M2391"/>
        </row>
        <row r="2392">
          <cell r="B2392"/>
          <cell r="C2392"/>
          <cell r="E2392"/>
          <cell r="F2392"/>
          <cell r="G2392"/>
          <cell r="H2392"/>
          <cell r="J2392"/>
          <cell r="L2392"/>
          <cell r="M2392"/>
        </row>
        <row r="2393">
          <cell r="B2393"/>
          <cell r="C2393"/>
          <cell r="E2393"/>
          <cell r="F2393"/>
          <cell r="G2393"/>
          <cell r="H2393"/>
          <cell r="J2393"/>
          <cell r="L2393"/>
          <cell r="M2393"/>
        </row>
        <row r="2394">
          <cell r="B2394"/>
          <cell r="C2394"/>
          <cell r="E2394"/>
          <cell r="F2394"/>
          <cell r="G2394"/>
          <cell r="H2394"/>
          <cell r="J2394"/>
          <cell r="L2394"/>
          <cell r="M2394"/>
        </row>
        <row r="2395">
          <cell r="B2395"/>
          <cell r="C2395"/>
          <cell r="E2395"/>
          <cell r="F2395"/>
          <cell r="G2395"/>
          <cell r="H2395"/>
          <cell r="J2395"/>
          <cell r="L2395"/>
          <cell r="M2395"/>
        </row>
        <row r="2396">
          <cell r="B2396"/>
          <cell r="C2396"/>
          <cell r="E2396"/>
          <cell r="F2396"/>
          <cell r="G2396"/>
          <cell r="H2396"/>
          <cell r="J2396"/>
          <cell r="L2396"/>
          <cell r="M2396"/>
        </row>
        <row r="2397">
          <cell r="B2397"/>
          <cell r="C2397"/>
          <cell r="E2397"/>
          <cell r="F2397"/>
          <cell r="G2397"/>
          <cell r="H2397"/>
          <cell r="J2397"/>
          <cell r="L2397"/>
          <cell r="M2397"/>
        </row>
        <row r="2398">
          <cell r="B2398"/>
          <cell r="C2398"/>
          <cell r="E2398"/>
          <cell r="F2398"/>
          <cell r="G2398"/>
          <cell r="H2398"/>
          <cell r="J2398"/>
          <cell r="L2398"/>
          <cell r="M2398"/>
        </row>
        <row r="2399">
          <cell r="B2399"/>
          <cell r="C2399"/>
          <cell r="E2399"/>
          <cell r="F2399"/>
          <cell r="G2399"/>
          <cell r="H2399"/>
          <cell r="J2399"/>
          <cell r="L2399"/>
          <cell r="M2399"/>
        </row>
        <row r="2400">
          <cell r="B2400"/>
          <cell r="C2400"/>
          <cell r="E2400"/>
          <cell r="F2400"/>
          <cell r="G2400"/>
          <cell r="H2400"/>
          <cell r="J2400"/>
          <cell r="L2400"/>
          <cell r="M2400"/>
        </row>
        <row r="2401">
          <cell r="B2401"/>
          <cell r="C2401"/>
          <cell r="E2401"/>
          <cell r="F2401"/>
          <cell r="G2401"/>
          <cell r="H2401"/>
          <cell r="J2401"/>
          <cell r="L2401"/>
          <cell r="M2401"/>
        </row>
        <row r="2402">
          <cell r="B2402"/>
          <cell r="C2402"/>
          <cell r="E2402"/>
          <cell r="F2402"/>
          <cell r="G2402"/>
          <cell r="H2402"/>
          <cell r="J2402"/>
          <cell r="L2402"/>
          <cell r="M2402"/>
        </row>
        <row r="2403">
          <cell r="B2403"/>
          <cell r="C2403"/>
          <cell r="E2403"/>
          <cell r="F2403"/>
          <cell r="G2403"/>
          <cell r="H2403"/>
          <cell r="J2403"/>
          <cell r="L2403"/>
          <cell r="M2403"/>
        </row>
        <row r="2404">
          <cell r="B2404"/>
          <cell r="C2404"/>
          <cell r="E2404"/>
          <cell r="F2404"/>
          <cell r="G2404"/>
          <cell r="H2404"/>
          <cell r="J2404"/>
          <cell r="L2404"/>
          <cell r="M2404"/>
        </row>
        <row r="2405">
          <cell r="B2405"/>
          <cell r="C2405"/>
          <cell r="E2405"/>
          <cell r="F2405"/>
          <cell r="G2405"/>
          <cell r="H2405"/>
          <cell r="J2405"/>
          <cell r="L2405"/>
          <cell r="M2405"/>
        </row>
        <row r="2406">
          <cell r="B2406"/>
          <cell r="C2406"/>
          <cell r="E2406"/>
          <cell r="F2406"/>
          <cell r="G2406"/>
          <cell r="H2406"/>
          <cell r="J2406"/>
          <cell r="L2406"/>
          <cell r="M2406"/>
        </row>
        <row r="2407">
          <cell r="B2407"/>
          <cell r="C2407"/>
          <cell r="E2407"/>
          <cell r="F2407"/>
          <cell r="G2407"/>
          <cell r="H2407"/>
          <cell r="J2407"/>
          <cell r="L2407"/>
          <cell r="M2407"/>
        </row>
        <row r="2408">
          <cell r="B2408"/>
          <cell r="C2408"/>
          <cell r="E2408"/>
          <cell r="F2408"/>
          <cell r="G2408"/>
          <cell r="H2408"/>
          <cell r="J2408"/>
          <cell r="L2408"/>
          <cell r="M2408"/>
        </row>
        <row r="2409">
          <cell r="B2409"/>
          <cell r="C2409"/>
          <cell r="E2409"/>
          <cell r="F2409"/>
          <cell r="G2409"/>
          <cell r="H2409"/>
          <cell r="J2409"/>
          <cell r="L2409"/>
          <cell r="M2409"/>
        </row>
        <row r="2410">
          <cell r="B2410"/>
          <cell r="C2410"/>
          <cell r="E2410"/>
          <cell r="F2410"/>
          <cell r="G2410"/>
          <cell r="H2410"/>
          <cell r="J2410"/>
          <cell r="L2410"/>
          <cell r="M2410"/>
        </row>
        <row r="2411">
          <cell r="B2411"/>
          <cell r="C2411"/>
          <cell r="E2411"/>
          <cell r="F2411"/>
          <cell r="G2411"/>
          <cell r="H2411"/>
          <cell r="J2411"/>
          <cell r="L2411"/>
          <cell r="M2411"/>
        </row>
        <row r="2412">
          <cell r="B2412"/>
          <cell r="C2412"/>
          <cell r="E2412"/>
          <cell r="F2412"/>
          <cell r="G2412"/>
          <cell r="H2412"/>
          <cell r="J2412"/>
          <cell r="L2412"/>
          <cell r="M2412"/>
        </row>
        <row r="2413">
          <cell r="B2413"/>
          <cell r="C2413"/>
          <cell r="E2413"/>
          <cell r="F2413"/>
          <cell r="G2413"/>
          <cell r="H2413"/>
          <cell r="J2413"/>
          <cell r="L2413"/>
          <cell r="M2413"/>
        </row>
        <row r="2414">
          <cell r="B2414"/>
          <cell r="C2414"/>
          <cell r="E2414"/>
          <cell r="F2414"/>
          <cell r="G2414"/>
          <cell r="H2414"/>
          <cell r="J2414"/>
          <cell r="L2414"/>
          <cell r="M2414"/>
        </row>
        <row r="2415">
          <cell r="B2415"/>
          <cell r="C2415"/>
          <cell r="E2415"/>
          <cell r="F2415"/>
          <cell r="G2415"/>
          <cell r="H2415"/>
          <cell r="J2415"/>
          <cell r="L2415"/>
          <cell r="M2415"/>
        </row>
        <row r="2416">
          <cell r="B2416"/>
          <cell r="C2416"/>
          <cell r="E2416"/>
          <cell r="F2416"/>
          <cell r="G2416"/>
          <cell r="H2416"/>
          <cell r="J2416"/>
          <cell r="L2416"/>
          <cell r="M2416"/>
        </row>
        <row r="2417">
          <cell r="B2417"/>
          <cell r="C2417"/>
          <cell r="E2417"/>
          <cell r="F2417"/>
          <cell r="G2417"/>
          <cell r="H2417"/>
          <cell r="J2417"/>
          <cell r="L2417"/>
          <cell r="M2417"/>
        </row>
        <row r="2418">
          <cell r="B2418"/>
          <cell r="C2418"/>
          <cell r="E2418"/>
          <cell r="F2418"/>
          <cell r="G2418"/>
          <cell r="H2418"/>
          <cell r="J2418"/>
          <cell r="L2418"/>
          <cell r="M2418"/>
        </row>
        <row r="2419">
          <cell r="B2419"/>
          <cell r="C2419"/>
          <cell r="E2419"/>
          <cell r="F2419"/>
          <cell r="G2419"/>
          <cell r="H2419"/>
          <cell r="J2419"/>
          <cell r="L2419"/>
          <cell r="M2419"/>
        </row>
        <row r="2420">
          <cell r="B2420"/>
          <cell r="C2420"/>
          <cell r="E2420"/>
          <cell r="F2420"/>
          <cell r="G2420"/>
          <cell r="H2420"/>
          <cell r="J2420"/>
          <cell r="L2420"/>
          <cell r="M2420"/>
        </row>
        <row r="2421">
          <cell r="B2421"/>
          <cell r="C2421"/>
          <cell r="E2421"/>
          <cell r="F2421"/>
          <cell r="G2421"/>
          <cell r="H2421"/>
          <cell r="J2421"/>
          <cell r="L2421"/>
          <cell r="M2421"/>
        </row>
        <row r="2422">
          <cell r="B2422"/>
          <cell r="C2422"/>
          <cell r="E2422"/>
          <cell r="F2422"/>
          <cell r="G2422"/>
          <cell r="H2422"/>
          <cell r="J2422"/>
          <cell r="L2422"/>
          <cell r="M2422"/>
        </row>
        <row r="2423">
          <cell r="B2423"/>
          <cell r="C2423"/>
          <cell r="E2423"/>
          <cell r="F2423"/>
          <cell r="G2423"/>
          <cell r="H2423"/>
          <cell r="J2423"/>
          <cell r="L2423"/>
          <cell r="M2423"/>
        </row>
        <row r="2424">
          <cell r="B2424"/>
          <cell r="C2424"/>
          <cell r="E2424"/>
          <cell r="F2424"/>
          <cell r="G2424"/>
          <cell r="H2424"/>
          <cell r="J2424"/>
          <cell r="L2424"/>
          <cell r="M2424"/>
        </row>
        <row r="2425">
          <cell r="B2425"/>
          <cell r="C2425"/>
          <cell r="E2425"/>
          <cell r="F2425"/>
          <cell r="G2425"/>
          <cell r="H2425"/>
          <cell r="J2425"/>
          <cell r="L2425"/>
          <cell r="M2425"/>
        </row>
        <row r="2426">
          <cell r="B2426"/>
          <cell r="C2426"/>
          <cell r="E2426"/>
          <cell r="F2426"/>
          <cell r="G2426"/>
          <cell r="H2426"/>
          <cell r="J2426"/>
          <cell r="L2426"/>
          <cell r="M2426"/>
        </row>
        <row r="2427">
          <cell r="B2427"/>
          <cell r="C2427"/>
          <cell r="E2427"/>
          <cell r="F2427"/>
          <cell r="G2427"/>
          <cell r="H2427"/>
          <cell r="J2427"/>
          <cell r="L2427"/>
          <cell r="M2427"/>
        </row>
        <row r="2428">
          <cell r="B2428"/>
          <cell r="C2428"/>
          <cell r="E2428"/>
          <cell r="F2428"/>
          <cell r="G2428"/>
          <cell r="H2428"/>
          <cell r="J2428"/>
          <cell r="L2428"/>
          <cell r="M2428"/>
        </row>
        <row r="2429">
          <cell r="B2429"/>
          <cell r="C2429"/>
          <cell r="E2429"/>
          <cell r="F2429"/>
          <cell r="G2429"/>
          <cell r="H2429"/>
          <cell r="J2429"/>
          <cell r="L2429"/>
          <cell r="M2429"/>
        </row>
        <row r="2430">
          <cell r="B2430"/>
          <cell r="C2430"/>
          <cell r="E2430"/>
          <cell r="F2430"/>
          <cell r="G2430"/>
          <cell r="H2430"/>
          <cell r="J2430"/>
          <cell r="L2430"/>
          <cell r="M2430"/>
        </row>
        <row r="2431">
          <cell r="B2431"/>
          <cell r="C2431"/>
          <cell r="E2431"/>
          <cell r="F2431"/>
          <cell r="G2431"/>
          <cell r="H2431"/>
          <cell r="J2431"/>
          <cell r="L2431"/>
          <cell r="M2431"/>
        </row>
        <row r="2432">
          <cell r="B2432"/>
          <cell r="C2432"/>
          <cell r="E2432"/>
          <cell r="F2432"/>
          <cell r="G2432"/>
          <cell r="H2432"/>
          <cell r="J2432"/>
          <cell r="L2432"/>
          <cell r="M2432"/>
        </row>
        <row r="2433">
          <cell r="B2433"/>
          <cell r="C2433"/>
          <cell r="E2433"/>
          <cell r="F2433"/>
          <cell r="G2433"/>
          <cell r="H2433"/>
          <cell r="J2433"/>
          <cell r="L2433"/>
          <cell r="M2433"/>
        </row>
        <row r="2434">
          <cell r="B2434"/>
          <cell r="C2434"/>
          <cell r="E2434"/>
          <cell r="F2434"/>
          <cell r="G2434"/>
          <cell r="H2434"/>
          <cell r="J2434"/>
          <cell r="L2434"/>
          <cell r="M2434"/>
        </row>
        <row r="2435">
          <cell r="B2435"/>
          <cell r="C2435"/>
          <cell r="E2435"/>
          <cell r="F2435"/>
          <cell r="G2435"/>
          <cell r="H2435"/>
          <cell r="J2435"/>
          <cell r="L2435"/>
          <cell r="M2435"/>
        </row>
        <row r="2436">
          <cell r="B2436"/>
          <cell r="C2436"/>
          <cell r="E2436"/>
          <cell r="F2436"/>
          <cell r="G2436"/>
          <cell r="H2436"/>
          <cell r="J2436"/>
          <cell r="L2436"/>
          <cell r="M2436"/>
        </row>
        <row r="2437">
          <cell r="B2437"/>
          <cell r="C2437"/>
          <cell r="E2437"/>
          <cell r="F2437"/>
          <cell r="G2437"/>
          <cell r="H2437"/>
          <cell r="J2437"/>
          <cell r="L2437"/>
          <cell r="M2437"/>
        </row>
        <row r="2438">
          <cell r="B2438"/>
          <cell r="C2438"/>
          <cell r="E2438"/>
          <cell r="F2438"/>
          <cell r="G2438"/>
          <cell r="H2438"/>
          <cell r="J2438"/>
          <cell r="L2438"/>
          <cell r="M2438"/>
        </row>
        <row r="2439">
          <cell r="B2439"/>
          <cell r="C2439"/>
          <cell r="E2439"/>
          <cell r="F2439"/>
          <cell r="G2439"/>
          <cell r="H2439"/>
          <cell r="J2439"/>
          <cell r="L2439"/>
          <cell r="M2439"/>
        </row>
        <row r="2440">
          <cell r="B2440"/>
          <cell r="C2440"/>
          <cell r="E2440"/>
          <cell r="F2440"/>
          <cell r="G2440"/>
          <cell r="H2440"/>
          <cell r="J2440"/>
          <cell r="L2440"/>
          <cell r="M2440"/>
        </row>
        <row r="2441">
          <cell r="B2441"/>
          <cell r="C2441"/>
          <cell r="E2441"/>
          <cell r="F2441"/>
          <cell r="G2441"/>
          <cell r="H2441"/>
          <cell r="J2441"/>
          <cell r="L2441"/>
          <cell r="M2441"/>
        </row>
        <row r="2442">
          <cell r="B2442"/>
          <cell r="C2442"/>
          <cell r="E2442"/>
          <cell r="F2442"/>
          <cell r="G2442"/>
          <cell r="H2442"/>
          <cell r="J2442"/>
          <cell r="L2442"/>
          <cell r="M2442"/>
        </row>
        <row r="2443">
          <cell r="B2443"/>
          <cell r="C2443"/>
          <cell r="E2443"/>
          <cell r="F2443"/>
          <cell r="G2443"/>
          <cell r="H2443"/>
          <cell r="J2443"/>
          <cell r="L2443"/>
          <cell r="M2443"/>
        </row>
        <row r="2444">
          <cell r="B2444"/>
          <cell r="C2444"/>
          <cell r="E2444"/>
          <cell r="F2444"/>
          <cell r="G2444"/>
          <cell r="H2444"/>
          <cell r="J2444"/>
          <cell r="L2444"/>
          <cell r="M2444"/>
        </row>
        <row r="2445">
          <cell r="B2445"/>
          <cell r="C2445"/>
          <cell r="E2445"/>
          <cell r="F2445"/>
          <cell r="G2445"/>
          <cell r="H2445"/>
          <cell r="J2445"/>
          <cell r="L2445"/>
          <cell r="M2445"/>
        </row>
        <row r="2446">
          <cell r="B2446"/>
          <cell r="C2446"/>
          <cell r="E2446"/>
          <cell r="F2446"/>
          <cell r="G2446"/>
          <cell r="H2446"/>
          <cell r="J2446"/>
          <cell r="L2446"/>
          <cell r="M2446"/>
        </row>
        <row r="2447">
          <cell r="B2447"/>
          <cell r="C2447"/>
          <cell r="E2447"/>
          <cell r="F2447"/>
          <cell r="G2447"/>
          <cell r="H2447"/>
          <cell r="J2447"/>
          <cell r="L2447"/>
          <cell r="M2447"/>
        </row>
        <row r="2448">
          <cell r="B2448"/>
          <cell r="C2448"/>
          <cell r="E2448"/>
          <cell r="F2448"/>
          <cell r="G2448"/>
          <cell r="H2448"/>
          <cell r="J2448"/>
          <cell r="L2448"/>
          <cell r="M2448"/>
        </row>
        <row r="2449">
          <cell r="B2449"/>
          <cell r="C2449"/>
          <cell r="E2449"/>
          <cell r="F2449"/>
          <cell r="G2449"/>
          <cell r="H2449"/>
          <cell r="J2449"/>
          <cell r="L2449"/>
          <cell r="M2449"/>
        </row>
        <row r="2450">
          <cell r="B2450"/>
          <cell r="C2450"/>
          <cell r="E2450"/>
          <cell r="F2450"/>
          <cell r="G2450"/>
          <cell r="H2450"/>
          <cell r="J2450"/>
          <cell r="L2450"/>
          <cell r="M2450"/>
        </row>
        <row r="2451">
          <cell r="B2451"/>
          <cell r="C2451"/>
          <cell r="E2451"/>
          <cell r="F2451"/>
          <cell r="G2451"/>
          <cell r="H2451"/>
          <cell r="J2451"/>
          <cell r="L2451"/>
          <cell r="M2451"/>
        </row>
        <row r="2452">
          <cell r="B2452"/>
          <cell r="C2452"/>
          <cell r="E2452"/>
          <cell r="F2452"/>
          <cell r="G2452"/>
          <cell r="H2452"/>
          <cell r="J2452"/>
          <cell r="L2452"/>
          <cell r="M2452"/>
        </row>
        <row r="2453">
          <cell r="B2453"/>
          <cell r="C2453"/>
          <cell r="E2453"/>
          <cell r="F2453"/>
          <cell r="G2453"/>
          <cell r="H2453"/>
          <cell r="J2453"/>
          <cell r="L2453"/>
          <cell r="M2453"/>
        </row>
        <row r="2454">
          <cell r="B2454"/>
          <cell r="C2454"/>
          <cell r="E2454"/>
          <cell r="F2454"/>
          <cell r="G2454"/>
          <cell r="H2454"/>
          <cell r="J2454"/>
          <cell r="L2454"/>
          <cell r="M2454"/>
        </row>
        <row r="2455">
          <cell r="B2455"/>
          <cell r="C2455"/>
          <cell r="E2455"/>
          <cell r="F2455"/>
          <cell r="G2455"/>
          <cell r="H2455"/>
          <cell r="J2455"/>
          <cell r="L2455"/>
          <cell r="M2455"/>
        </row>
        <row r="2456">
          <cell r="B2456"/>
          <cell r="C2456"/>
          <cell r="E2456"/>
          <cell r="F2456"/>
          <cell r="G2456"/>
          <cell r="H2456"/>
          <cell r="J2456"/>
          <cell r="L2456"/>
          <cell r="M2456"/>
        </row>
        <row r="2457">
          <cell r="B2457"/>
          <cell r="C2457"/>
          <cell r="E2457"/>
          <cell r="F2457"/>
          <cell r="G2457"/>
          <cell r="H2457"/>
          <cell r="J2457"/>
          <cell r="L2457"/>
          <cell r="M2457"/>
        </row>
        <row r="2458">
          <cell r="B2458"/>
          <cell r="C2458"/>
          <cell r="E2458"/>
          <cell r="F2458"/>
          <cell r="G2458"/>
          <cell r="H2458"/>
          <cell r="J2458"/>
          <cell r="L2458"/>
          <cell r="M2458"/>
        </row>
        <row r="2459">
          <cell r="B2459"/>
          <cell r="C2459"/>
          <cell r="E2459"/>
          <cell r="F2459"/>
          <cell r="G2459"/>
          <cell r="H2459"/>
          <cell r="J2459"/>
          <cell r="L2459"/>
          <cell r="M2459"/>
        </row>
        <row r="2460">
          <cell r="B2460"/>
          <cell r="C2460"/>
          <cell r="E2460"/>
          <cell r="F2460"/>
          <cell r="G2460"/>
          <cell r="H2460"/>
          <cell r="J2460"/>
          <cell r="L2460"/>
          <cell r="M2460"/>
        </row>
        <row r="2461">
          <cell r="B2461"/>
          <cell r="C2461"/>
          <cell r="E2461"/>
          <cell r="F2461"/>
          <cell r="G2461"/>
          <cell r="H2461"/>
          <cell r="J2461"/>
          <cell r="L2461"/>
          <cell r="M2461"/>
        </row>
        <row r="2462">
          <cell r="B2462"/>
          <cell r="C2462"/>
          <cell r="E2462"/>
          <cell r="F2462"/>
          <cell r="G2462"/>
          <cell r="H2462"/>
          <cell r="J2462"/>
          <cell r="L2462"/>
          <cell r="M2462"/>
        </row>
        <row r="2463">
          <cell r="B2463"/>
          <cell r="C2463"/>
          <cell r="E2463"/>
          <cell r="F2463"/>
          <cell r="G2463"/>
          <cell r="H2463"/>
          <cell r="J2463"/>
          <cell r="L2463"/>
          <cell r="M2463"/>
        </row>
        <row r="2464">
          <cell r="B2464"/>
          <cell r="C2464"/>
          <cell r="E2464"/>
          <cell r="F2464"/>
          <cell r="G2464"/>
          <cell r="H2464"/>
          <cell r="J2464"/>
          <cell r="L2464"/>
          <cell r="M2464"/>
        </row>
        <row r="2465">
          <cell r="B2465"/>
          <cell r="C2465"/>
          <cell r="E2465"/>
          <cell r="F2465"/>
          <cell r="G2465"/>
          <cell r="H2465"/>
          <cell r="J2465"/>
          <cell r="L2465"/>
          <cell r="M2465"/>
        </row>
        <row r="2466">
          <cell r="B2466"/>
          <cell r="C2466"/>
          <cell r="E2466"/>
          <cell r="F2466"/>
          <cell r="G2466"/>
          <cell r="H2466"/>
          <cell r="J2466"/>
          <cell r="L2466"/>
          <cell r="M2466"/>
        </row>
        <row r="2467">
          <cell r="B2467"/>
          <cell r="C2467"/>
          <cell r="E2467"/>
          <cell r="F2467"/>
          <cell r="G2467"/>
          <cell r="H2467"/>
          <cell r="J2467"/>
          <cell r="L2467"/>
          <cell r="M2467"/>
        </row>
        <row r="2468">
          <cell r="B2468"/>
          <cell r="C2468"/>
          <cell r="E2468"/>
          <cell r="F2468"/>
          <cell r="G2468"/>
          <cell r="H2468"/>
          <cell r="J2468"/>
          <cell r="L2468"/>
          <cell r="M2468"/>
        </row>
        <row r="2469">
          <cell r="B2469"/>
          <cell r="C2469"/>
          <cell r="E2469"/>
          <cell r="F2469"/>
          <cell r="G2469"/>
          <cell r="H2469"/>
          <cell r="J2469"/>
          <cell r="L2469"/>
          <cell r="M2469"/>
        </row>
        <row r="2470">
          <cell r="B2470"/>
          <cell r="C2470"/>
          <cell r="E2470"/>
          <cell r="F2470"/>
          <cell r="G2470"/>
          <cell r="H2470"/>
          <cell r="J2470"/>
          <cell r="L2470"/>
          <cell r="M2470"/>
        </row>
        <row r="2471">
          <cell r="B2471"/>
          <cell r="C2471"/>
          <cell r="E2471"/>
          <cell r="F2471"/>
          <cell r="G2471"/>
          <cell r="H2471"/>
          <cell r="J2471"/>
          <cell r="L2471"/>
          <cell r="M2471"/>
        </row>
        <row r="2472">
          <cell r="B2472"/>
          <cell r="C2472"/>
          <cell r="E2472"/>
          <cell r="F2472"/>
          <cell r="G2472"/>
          <cell r="H2472"/>
          <cell r="J2472"/>
          <cell r="L2472"/>
          <cell r="M2472"/>
        </row>
        <row r="2473">
          <cell r="B2473"/>
          <cell r="C2473"/>
          <cell r="E2473"/>
          <cell r="F2473"/>
          <cell r="G2473"/>
          <cell r="H2473"/>
          <cell r="J2473"/>
          <cell r="L2473"/>
          <cell r="M2473"/>
        </row>
        <row r="2474">
          <cell r="B2474"/>
          <cell r="C2474"/>
          <cell r="E2474"/>
          <cell r="F2474"/>
          <cell r="G2474"/>
          <cell r="H2474"/>
          <cell r="J2474"/>
          <cell r="L2474"/>
          <cell r="M2474"/>
        </row>
        <row r="2475">
          <cell r="B2475"/>
          <cell r="C2475"/>
          <cell r="E2475"/>
          <cell r="F2475"/>
          <cell r="G2475"/>
          <cell r="H2475"/>
          <cell r="J2475"/>
          <cell r="L2475"/>
          <cell r="M2475"/>
        </row>
        <row r="2476">
          <cell r="B2476"/>
          <cell r="C2476"/>
          <cell r="E2476"/>
          <cell r="F2476"/>
          <cell r="G2476"/>
          <cell r="H2476"/>
          <cell r="J2476"/>
          <cell r="L2476"/>
          <cell r="M2476"/>
        </row>
        <row r="2477">
          <cell r="B2477"/>
          <cell r="C2477"/>
          <cell r="E2477"/>
          <cell r="F2477"/>
          <cell r="G2477"/>
          <cell r="H2477"/>
          <cell r="J2477"/>
          <cell r="L2477"/>
          <cell r="M2477"/>
        </row>
        <row r="2478">
          <cell r="B2478"/>
          <cell r="C2478"/>
          <cell r="E2478"/>
          <cell r="F2478"/>
          <cell r="G2478"/>
          <cell r="H2478"/>
          <cell r="J2478"/>
          <cell r="L2478"/>
          <cell r="M2478"/>
        </row>
        <row r="2479">
          <cell r="B2479"/>
          <cell r="C2479"/>
          <cell r="E2479"/>
          <cell r="F2479"/>
          <cell r="G2479"/>
          <cell r="H2479"/>
          <cell r="J2479"/>
          <cell r="L2479"/>
          <cell r="M2479"/>
        </row>
        <row r="2480">
          <cell r="B2480"/>
          <cell r="C2480"/>
          <cell r="E2480"/>
          <cell r="F2480"/>
          <cell r="G2480"/>
          <cell r="H2480"/>
          <cell r="J2480"/>
          <cell r="L2480"/>
          <cell r="M2480"/>
        </row>
        <row r="2481">
          <cell r="B2481"/>
          <cell r="C2481"/>
          <cell r="E2481"/>
          <cell r="F2481"/>
          <cell r="G2481"/>
          <cell r="H2481"/>
          <cell r="J2481"/>
          <cell r="L2481"/>
          <cell r="M2481"/>
        </row>
        <row r="2482">
          <cell r="B2482"/>
          <cell r="C2482"/>
          <cell r="E2482"/>
          <cell r="F2482"/>
          <cell r="G2482"/>
          <cell r="H2482"/>
          <cell r="J2482"/>
          <cell r="L2482"/>
          <cell r="M2482"/>
        </row>
        <row r="2483">
          <cell r="B2483"/>
          <cell r="C2483"/>
          <cell r="E2483"/>
          <cell r="F2483"/>
          <cell r="G2483"/>
          <cell r="H2483"/>
          <cell r="J2483"/>
          <cell r="L2483"/>
          <cell r="M2483"/>
        </row>
        <row r="2484">
          <cell r="B2484"/>
          <cell r="C2484"/>
          <cell r="E2484"/>
          <cell r="F2484"/>
          <cell r="G2484"/>
          <cell r="H2484"/>
          <cell r="J2484"/>
          <cell r="L2484"/>
          <cell r="M2484"/>
        </row>
        <row r="2485">
          <cell r="B2485"/>
          <cell r="C2485"/>
          <cell r="E2485"/>
          <cell r="F2485"/>
          <cell r="G2485"/>
          <cell r="H2485"/>
          <cell r="J2485"/>
          <cell r="L2485"/>
          <cell r="M2485"/>
        </row>
        <row r="2486">
          <cell r="B2486"/>
          <cell r="C2486"/>
          <cell r="E2486"/>
          <cell r="F2486"/>
          <cell r="G2486"/>
          <cell r="H2486"/>
          <cell r="J2486"/>
          <cell r="L2486"/>
          <cell r="M2486"/>
        </row>
        <row r="2487">
          <cell r="B2487"/>
          <cell r="C2487"/>
          <cell r="E2487"/>
          <cell r="F2487"/>
          <cell r="G2487"/>
          <cell r="H2487"/>
          <cell r="J2487"/>
          <cell r="L2487"/>
          <cell r="M2487"/>
        </row>
        <row r="2488">
          <cell r="B2488"/>
          <cell r="C2488"/>
          <cell r="E2488"/>
          <cell r="F2488"/>
          <cell r="G2488"/>
          <cell r="H2488"/>
          <cell r="J2488"/>
          <cell r="L2488"/>
          <cell r="M2488"/>
        </row>
        <row r="2489">
          <cell r="B2489"/>
          <cell r="C2489"/>
          <cell r="E2489"/>
          <cell r="F2489"/>
          <cell r="G2489"/>
          <cell r="H2489"/>
          <cell r="J2489"/>
          <cell r="L2489"/>
          <cell r="M2489"/>
        </row>
        <row r="2490">
          <cell r="B2490"/>
          <cell r="C2490"/>
          <cell r="E2490"/>
          <cell r="F2490"/>
          <cell r="G2490"/>
          <cell r="H2490"/>
          <cell r="J2490"/>
          <cell r="L2490"/>
          <cell r="M2490"/>
        </row>
        <row r="2491">
          <cell r="B2491"/>
          <cell r="C2491"/>
          <cell r="E2491"/>
          <cell r="F2491"/>
          <cell r="G2491"/>
          <cell r="H2491"/>
          <cell r="J2491"/>
          <cell r="L2491"/>
          <cell r="M2491"/>
        </row>
        <row r="2492">
          <cell r="B2492"/>
          <cell r="C2492"/>
          <cell r="E2492"/>
          <cell r="F2492"/>
          <cell r="G2492"/>
          <cell r="H2492"/>
          <cell r="J2492"/>
          <cell r="L2492"/>
          <cell r="M2492"/>
        </row>
        <row r="2493">
          <cell r="B2493"/>
          <cell r="C2493"/>
          <cell r="E2493"/>
          <cell r="F2493"/>
          <cell r="G2493"/>
          <cell r="H2493"/>
          <cell r="J2493"/>
          <cell r="L2493"/>
          <cell r="M2493"/>
        </row>
        <row r="2494">
          <cell r="B2494"/>
          <cell r="C2494"/>
          <cell r="E2494"/>
          <cell r="F2494"/>
          <cell r="G2494"/>
          <cell r="H2494"/>
          <cell r="J2494"/>
          <cell r="L2494"/>
          <cell r="M2494"/>
        </row>
        <row r="2495">
          <cell r="B2495"/>
          <cell r="C2495"/>
          <cell r="E2495"/>
          <cell r="F2495"/>
          <cell r="G2495"/>
          <cell r="H2495"/>
          <cell r="J2495"/>
          <cell r="L2495"/>
          <cell r="M2495"/>
        </row>
        <row r="2496">
          <cell r="B2496"/>
          <cell r="C2496"/>
          <cell r="E2496"/>
          <cell r="F2496"/>
          <cell r="G2496"/>
          <cell r="H2496"/>
          <cell r="J2496"/>
          <cell r="L2496"/>
          <cell r="M2496"/>
        </row>
        <row r="2497">
          <cell r="B2497"/>
          <cell r="C2497"/>
          <cell r="E2497"/>
          <cell r="F2497"/>
          <cell r="G2497"/>
          <cell r="H2497"/>
          <cell r="J2497"/>
          <cell r="L2497"/>
          <cell r="M2497"/>
        </row>
        <row r="2498">
          <cell r="B2498"/>
          <cell r="C2498"/>
          <cell r="E2498"/>
          <cell r="F2498"/>
          <cell r="G2498"/>
          <cell r="H2498"/>
          <cell r="J2498"/>
          <cell r="L2498"/>
          <cell r="M2498"/>
        </row>
        <row r="2499">
          <cell r="B2499"/>
          <cell r="C2499"/>
          <cell r="E2499"/>
          <cell r="F2499"/>
          <cell r="G2499"/>
          <cell r="H2499"/>
          <cell r="J2499"/>
          <cell r="L2499"/>
          <cell r="M2499"/>
        </row>
        <row r="2500">
          <cell r="B2500"/>
          <cell r="C2500"/>
          <cell r="E2500"/>
          <cell r="F2500"/>
          <cell r="G2500"/>
          <cell r="H2500"/>
          <cell r="J2500"/>
          <cell r="L2500"/>
          <cell r="M2500"/>
        </row>
        <row r="2501">
          <cell r="B2501"/>
          <cell r="C2501"/>
          <cell r="E2501"/>
          <cell r="F2501"/>
          <cell r="G2501"/>
          <cell r="H2501"/>
          <cell r="J2501"/>
          <cell r="L2501"/>
          <cell r="M2501"/>
        </row>
        <row r="2502">
          <cell r="B2502"/>
          <cell r="C2502"/>
          <cell r="E2502"/>
          <cell r="F2502"/>
          <cell r="G2502"/>
          <cell r="H2502"/>
          <cell r="J2502"/>
          <cell r="L2502"/>
          <cell r="M2502"/>
        </row>
        <row r="2503">
          <cell r="B2503"/>
          <cell r="C2503"/>
          <cell r="E2503"/>
          <cell r="F2503"/>
          <cell r="G2503"/>
          <cell r="H2503"/>
          <cell r="J2503"/>
          <cell r="L2503"/>
          <cell r="M2503"/>
        </row>
        <row r="2504">
          <cell r="B2504"/>
          <cell r="C2504"/>
          <cell r="E2504"/>
          <cell r="F2504"/>
          <cell r="G2504"/>
          <cell r="H2504"/>
          <cell r="J2504"/>
          <cell r="L2504"/>
          <cell r="M2504"/>
        </row>
        <row r="2505">
          <cell r="B2505"/>
          <cell r="C2505"/>
          <cell r="E2505"/>
          <cell r="F2505"/>
          <cell r="G2505"/>
          <cell r="H2505"/>
          <cell r="J2505"/>
          <cell r="L2505"/>
          <cell r="M2505"/>
        </row>
        <row r="2506">
          <cell r="B2506"/>
          <cell r="C2506"/>
          <cell r="E2506"/>
          <cell r="F2506"/>
          <cell r="G2506"/>
          <cell r="H2506"/>
          <cell r="J2506"/>
          <cell r="L2506"/>
          <cell r="M2506"/>
        </row>
        <row r="2507">
          <cell r="B2507"/>
          <cell r="C2507"/>
          <cell r="E2507"/>
          <cell r="F2507"/>
          <cell r="G2507"/>
          <cell r="H2507"/>
          <cell r="J2507"/>
          <cell r="L2507"/>
          <cell r="M2507"/>
        </row>
        <row r="2508">
          <cell r="B2508"/>
          <cell r="C2508"/>
          <cell r="E2508"/>
          <cell r="F2508"/>
          <cell r="G2508"/>
          <cell r="H2508"/>
          <cell r="J2508"/>
          <cell r="L2508"/>
          <cell r="M2508"/>
        </row>
        <row r="2509">
          <cell r="B2509"/>
          <cell r="C2509"/>
          <cell r="E2509"/>
          <cell r="F2509"/>
          <cell r="G2509"/>
          <cell r="H2509"/>
          <cell r="J2509"/>
          <cell r="L2509"/>
          <cell r="M2509"/>
        </row>
        <row r="2510">
          <cell r="B2510"/>
          <cell r="C2510"/>
          <cell r="E2510"/>
          <cell r="F2510"/>
          <cell r="G2510"/>
          <cell r="H2510"/>
          <cell r="J2510"/>
          <cell r="L2510"/>
          <cell r="M2510"/>
        </row>
        <row r="2511">
          <cell r="B2511"/>
          <cell r="C2511"/>
          <cell r="E2511"/>
          <cell r="F2511"/>
          <cell r="G2511"/>
          <cell r="H2511"/>
          <cell r="J2511"/>
          <cell r="L2511"/>
          <cell r="M2511"/>
        </row>
        <row r="2512">
          <cell r="B2512"/>
          <cell r="C2512"/>
          <cell r="E2512"/>
          <cell r="F2512"/>
          <cell r="G2512"/>
          <cell r="H2512"/>
          <cell r="J2512"/>
          <cell r="L2512"/>
          <cell r="M2512"/>
        </row>
        <row r="2513">
          <cell r="B2513"/>
          <cell r="C2513"/>
          <cell r="E2513"/>
          <cell r="F2513"/>
          <cell r="G2513"/>
          <cell r="H2513"/>
          <cell r="J2513"/>
          <cell r="L2513"/>
          <cell r="M2513"/>
        </row>
        <row r="2514">
          <cell r="B2514"/>
          <cell r="C2514"/>
          <cell r="E2514"/>
          <cell r="F2514"/>
          <cell r="G2514"/>
          <cell r="H2514"/>
          <cell r="J2514"/>
          <cell r="L2514"/>
          <cell r="M2514"/>
        </row>
        <row r="2515">
          <cell r="B2515"/>
          <cell r="C2515"/>
          <cell r="E2515"/>
          <cell r="F2515"/>
          <cell r="G2515"/>
          <cell r="H2515"/>
          <cell r="J2515"/>
          <cell r="L2515"/>
          <cell r="M2515"/>
        </row>
        <row r="2516">
          <cell r="B2516"/>
          <cell r="C2516"/>
          <cell r="E2516"/>
          <cell r="F2516"/>
          <cell r="G2516"/>
          <cell r="H2516"/>
          <cell r="J2516"/>
          <cell r="L2516"/>
          <cell r="M2516"/>
        </row>
        <row r="2517">
          <cell r="B2517"/>
          <cell r="C2517"/>
          <cell r="E2517"/>
          <cell r="F2517"/>
          <cell r="G2517"/>
          <cell r="H2517"/>
          <cell r="J2517"/>
          <cell r="L2517"/>
          <cell r="M2517"/>
        </row>
        <row r="2518">
          <cell r="B2518"/>
          <cell r="C2518"/>
          <cell r="E2518"/>
          <cell r="F2518"/>
          <cell r="G2518"/>
          <cell r="H2518"/>
          <cell r="J2518"/>
          <cell r="L2518"/>
          <cell r="M2518"/>
        </row>
        <row r="2519">
          <cell r="B2519"/>
          <cell r="C2519"/>
          <cell r="E2519"/>
          <cell r="F2519"/>
          <cell r="G2519"/>
          <cell r="H2519"/>
          <cell r="J2519"/>
          <cell r="L2519"/>
          <cell r="M2519"/>
        </row>
        <row r="2520">
          <cell r="B2520"/>
          <cell r="C2520"/>
          <cell r="E2520"/>
          <cell r="F2520"/>
          <cell r="G2520"/>
          <cell r="H2520"/>
          <cell r="J2520"/>
          <cell r="L2520"/>
          <cell r="M2520"/>
        </row>
        <row r="2521">
          <cell r="B2521"/>
          <cell r="C2521"/>
          <cell r="E2521"/>
          <cell r="F2521"/>
          <cell r="G2521"/>
          <cell r="H2521"/>
          <cell r="J2521"/>
          <cell r="L2521"/>
          <cell r="M2521"/>
        </row>
        <row r="2522">
          <cell r="B2522"/>
          <cell r="C2522"/>
          <cell r="E2522"/>
          <cell r="F2522"/>
          <cell r="G2522"/>
          <cell r="H2522"/>
          <cell r="J2522"/>
          <cell r="L2522"/>
          <cell r="M2522"/>
        </row>
        <row r="2523">
          <cell r="B2523"/>
          <cell r="C2523"/>
          <cell r="E2523"/>
          <cell r="F2523"/>
          <cell r="G2523"/>
          <cell r="H2523"/>
          <cell r="J2523"/>
          <cell r="L2523"/>
          <cell r="M2523"/>
        </row>
        <row r="2524">
          <cell r="B2524"/>
          <cell r="C2524"/>
          <cell r="E2524"/>
          <cell r="F2524"/>
          <cell r="G2524"/>
          <cell r="H2524"/>
          <cell r="J2524"/>
          <cell r="L2524"/>
          <cell r="M2524"/>
        </row>
        <row r="2525">
          <cell r="B2525"/>
          <cell r="C2525"/>
          <cell r="E2525"/>
          <cell r="F2525"/>
          <cell r="G2525"/>
          <cell r="H2525"/>
          <cell r="J2525"/>
          <cell r="L2525"/>
          <cell r="M2525"/>
        </row>
        <row r="2526">
          <cell r="B2526"/>
          <cell r="C2526"/>
          <cell r="E2526"/>
          <cell r="F2526"/>
          <cell r="G2526"/>
          <cell r="H2526"/>
          <cell r="J2526"/>
          <cell r="L2526"/>
          <cell r="M2526"/>
        </row>
        <row r="2527">
          <cell r="B2527"/>
          <cell r="C2527"/>
          <cell r="E2527"/>
          <cell r="F2527"/>
          <cell r="G2527"/>
          <cell r="H2527"/>
          <cell r="J2527"/>
          <cell r="L2527"/>
          <cell r="M2527"/>
        </row>
        <row r="2528">
          <cell r="B2528"/>
          <cell r="C2528"/>
          <cell r="E2528"/>
          <cell r="F2528"/>
          <cell r="G2528"/>
          <cell r="H2528"/>
          <cell r="J2528"/>
          <cell r="L2528"/>
          <cell r="M2528"/>
        </row>
        <row r="2529">
          <cell r="B2529"/>
          <cell r="C2529"/>
          <cell r="E2529"/>
          <cell r="F2529"/>
          <cell r="G2529"/>
          <cell r="H2529"/>
          <cell r="J2529"/>
          <cell r="L2529"/>
          <cell r="M2529"/>
        </row>
        <row r="2530">
          <cell r="B2530"/>
          <cell r="C2530"/>
          <cell r="E2530"/>
          <cell r="F2530"/>
          <cell r="G2530"/>
          <cell r="H2530"/>
          <cell r="J2530"/>
          <cell r="L2530"/>
          <cell r="M2530"/>
        </row>
        <row r="2531">
          <cell r="B2531"/>
          <cell r="C2531"/>
          <cell r="E2531"/>
          <cell r="F2531"/>
          <cell r="G2531"/>
          <cell r="H2531"/>
          <cell r="J2531"/>
          <cell r="L2531"/>
          <cell r="M2531"/>
        </row>
        <row r="2532">
          <cell r="B2532"/>
          <cell r="C2532"/>
          <cell r="E2532"/>
          <cell r="F2532"/>
          <cell r="G2532"/>
          <cell r="H2532"/>
          <cell r="J2532"/>
          <cell r="L2532"/>
          <cell r="M2532"/>
        </row>
        <row r="2533">
          <cell r="B2533"/>
          <cell r="C2533"/>
          <cell r="E2533"/>
          <cell r="F2533"/>
          <cell r="G2533"/>
          <cell r="H2533"/>
          <cell r="J2533"/>
          <cell r="L2533"/>
          <cell r="M2533"/>
        </row>
        <row r="2534">
          <cell r="B2534"/>
          <cell r="C2534"/>
          <cell r="E2534"/>
          <cell r="F2534"/>
          <cell r="G2534"/>
          <cell r="H2534"/>
          <cell r="J2534"/>
          <cell r="L2534"/>
          <cell r="M2534"/>
        </row>
        <row r="2535">
          <cell r="B2535"/>
          <cell r="C2535"/>
          <cell r="E2535"/>
          <cell r="F2535"/>
          <cell r="G2535"/>
          <cell r="H2535"/>
          <cell r="J2535"/>
          <cell r="L2535"/>
          <cell r="M2535"/>
        </row>
        <row r="2536">
          <cell r="B2536"/>
          <cell r="C2536"/>
          <cell r="E2536"/>
          <cell r="F2536"/>
          <cell r="G2536"/>
          <cell r="H2536"/>
          <cell r="J2536"/>
          <cell r="L2536"/>
          <cell r="M2536"/>
        </row>
        <row r="2537">
          <cell r="B2537"/>
          <cell r="C2537"/>
          <cell r="E2537"/>
          <cell r="F2537"/>
          <cell r="G2537"/>
          <cell r="H2537"/>
          <cell r="J2537"/>
          <cell r="L2537"/>
          <cell r="M2537"/>
        </row>
        <row r="2538">
          <cell r="B2538"/>
          <cell r="C2538"/>
          <cell r="E2538"/>
          <cell r="F2538"/>
          <cell r="G2538"/>
          <cell r="H2538"/>
          <cell r="J2538"/>
          <cell r="L2538"/>
          <cell r="M2538"/>
        </row>
        <row r="2539">
          <cell r="B2539"/>
          <cell r="C2539"/>
          <cell r="E2539"/>
          <cell r="F2539"/>
          <cell r="G2539"/>
          <cell r="H2539"/>
          <cell r="J2539"/>
          <cell r="L2539"/>
          <cell r="M2539"/>
        </row>
        <row r="2540">
          <cell r="B2540"/>
          <cell r="C2540"/>
          <cell r="E2540"/>
          <cell r="F2540"/>
          <cell r="G2540"/>
          <cell r="H2540"/>
          <cell r="J2540"/>
          <cell r="L2540"/>
          <cell r="M2540"/>
        </row>
        <row r="2541">
          <cell r="B2541"/>
          <cell r="C2541"/>
          <cell r="E2541"/>
          <cell r="F2541"/>
          <cell r="G2541"/>
          <cell r="H2541"/>
          <cell r="J2541"/>
          <cell r="L2541"/>
          <cell r="M2541"/>
        </row>
        <row r="2542">
          <cell r="B2542"/>
          <cell r="C2542"/>
          <cell r="E2542"/>
          <cell r="F2542"/>
          <cell r="G2542"/>
          <cell r="H2542"/>
          <cell r="J2542"/>
          <cell r="L2542"/>
          <cell r="M2542"/>
        </row>
        <row r="2543">
          <cell r="B2543"/>
          <cell r="C2543"/>
          <cell r="E2543"/>
          <cell r="F2543"/>
          <cell r="G2543"/>
          <cell r="H2543"/>
          <cell r="J2543"/>
          <cell r="L2543"/>
          <cell r="M2543"/>
        </row>
        <row r="2544">
          <cell r="B2544"/>
          <cell r="C2544"/>
          <cell r="E2544"/>
          <cell r="F2544"/>
          <cell r="G2544"/>
          <cell r="H2544"/>
          <cell r="J2544"/>
          <cell r="L2544"/>
          <cell r="M2544"/>
        </row>
        <row r="2545">
          <cell r="B2545"/>
          <cell r="C2545"/>
          <cell r="E2545"/>
          <cell r="F2545"/>
          <cell r="G2545"/>
          <cell r="H2545"/>
          <cell r="J2545"/>
          <cell r="L2545"/>
          <cell r="M2545"/>
        </row>
        <row r="2546">
          <cell r="B2546"/>
          <cell r="C2546"/>
          <cell r="E2546"/>
          <cell r="F2546"/>
          <cell r="G2546"/>
          <cell r="H2546"/>
          <cell r="J2546"/>
          <cell r="L2546"/>
          <cell r="M2546"/>
        </row>
        <row r="2547">
          <cell r="B2547"/>
          <cell r="C2547"/>
          <cell r="E2547"/>
          <cell r="F2547"/>
          <cell r="G2547"/>
          <cell r="H2547"/>
          <cell r="J2547"/>
          <cell r="L2547"/>
          <cell r="M2547"/>
        </row>
        <row r="2548">
          <cell r="B2548"/>
          <cell r="C2548"/>
          <cell r="E2548"/>
          <cell r="F2548"/>
          <cell r="G2548"/>
          <cell r="H2548"/>
          <cell r="J2548"/>
          <cell r="L2548"/>
          <cell r="M2548"/>
        </row>
        <row r="2549">
          <cell r="B2549"/>
          <cell r="C2549"/>
          <cell r="E2549"/>
          <cell r="F2549"/>
          <cell r="G2549"/>
          <cell r="H2549"/>
          <cell r="J2549"/>
          <cell r="L2549"/>
          <cell r="M2549"/>
        </row>
        <row r="2550">
          <cell r="B2550"/>
          <cell r="C2550"/>
          <cell r="E2550"/>
          <cell r="F2550"/>
          <cell r="G2550"/>
          <cell r="H2550"/>
          <cell r="J2550"/>
          <cell r="L2550"/>
          <cell r="M2550"/>
        </row>
        <row r="2551">
          <cell r="B2551"/>
          <cell r="C2551"/>
          <cell r="E2551"/>
          <cell r="F2551"/>
          <cell r="G2551"/>
          <cell r="H2551"/>
          <cell r="J2551"/>
          <cell r="L2551"/>
          <cell r="M2551"/>
        </row>
        <row r="2552">
          <cell r="B2552"/>
          <cell r="C2552"/>
          <cell r="E2552"/>
          <cell r="F2552"/>
          <cell r="G2552"/>
          <cell r="H2552"/>
          <cell r="J2552"/>
          <cell r="L2552"/>
          <cell r="M2552"/>
        </row>
        <row r="2553">
          <cell r="B2553"/>
          <cell r="C2553"/>
          <cell r="E2553"/>
          <cell r="F2553"/>
          <cell r="G2553"/>
          <cell r="H2553"/>
          <cell r="J2553"/>
          <cell r="L2553"/>
          <cell r="M2553"/>
        </row>
        <row r="2554">
          <cell r="B2554"/>
          <cell r="C2554"/>
          <cell r="E2554"/>
          <cell r="F2554"/>
          <cell r="G2554"/>
          <cell r="H2554"/>
          <cell r="J2554"/>
          <cell r="L2554"/>
          <cell r="M2554"/>
        </row>
        <row r="2555">
          <cell r="B2555"/>
          <cell r="C2555"/>
          <cell r="E2555"/>
          <cell r="F2555"/>
          <cell r="G2555"/>
          <cell r="H2555"/>
          <cell r="J2555"/>
          <cell r="L2555"/>
          <cell r="M2555"/>
        </row>
        <row r="2556">
          <cell r="B2556"/>
          <cell r="C2556"/>
          <cell r="E2556"/>
          <cell r="F2556"/>
          <cell r="G2556"/>
          <cell r="H2556"/>
          <cell r="J2556"/>
          <cell r="L2556"/>
          <cell r="M2556"/>
        </row>
        <row r="2557">
          <cell r="B2557"/>
          <cell r="C2557"/>
          <cell r="E2557"/>
          <cell r="F2557"/>
          <cell r="G2557"/>
          <cell r="H2557"/>
          <cell r="J2557"/>
          <cell r="L2557"/>
          <cell r="M2557"/>
        </row>
        <row r="2558">
          <cell r="B2558"/>
          <cell r="C2558"/>
          <cell r="E2558"/>
          <cell r="F2558"/>
          <cell r="G2558"/>
          <cell r="H2558"/>
          <cell r="J2558"/>
          <cell r="L2558"/>
          <cell r="M2558"/>
        </row>
        <row r="2559">
          <cell r="B2559"/>
          <cell r="C2559"/>
          <cell r="E2559"/>
          <cell r="F2559"/>
          <cell r="G2559"/>
          <cell r="H2559"/>
          <cell r="J2559"/>
          <cell r="L2559"/>
          <cell r="M2559"/>
        </row>
        <row r="2560">
          <cell r="B2560"/>
          <cell r="C2560"/>
          <cell r="E2560"/>
          <cell r="F2560"/>
          <cell r="G2560"/>
          <cell r="H2560"/>
          <cell r="J2560"/>
          <cell r="L2560"/>
          <cell r="M2560"/>
        </row>
        <row r="2561">
          <cell r="B2561"/>
          <cell r="C2561"/>
          <cell r="E2561"/>
          <cell r="F2561"/>
          <cell r="G2561"/>
          <cell r="H2561"/>
          <cell r="J2561"/>
          <cell r="L2561"/>
          <cell r="M2561"/>
        </row>
        <row r="2562">
          <cell r="B2562"/>
          <cell r="C2562"/>
          <cell r="E2562"/>
          <cell r="F2562"/>
          <cell r="G2562"/>
          <cell r="H2562"/>
          <cell r="J2562"/>
          <cell r="L2562"/>
          <cell r="M2562"/>
        </row>
        <row r="2563">
          <cell r="B2563"/>
          <cell r="C2563"/>
          <cell r="E2563"/>
          <cell r="F2563"/>
          <cell r="G2563"/>
          <cell r="H2563"/>
          <cell r="J2563"/>
          <cell r="L2563"/>
          <cell r="M2563"/>
        </row>
        <row r="2564">
          <cell r="B2564"/>
          <cell r="C2564"/>
          <cell r="E2564"/>
          <cell r="F2564"/>
          <cell r="G2564"/>
          <cell r="H2564"/>
          <cell r="J2564"/>
          <cell r="L2564"/>
          <cell r="M2564"/>
        </row>
        <row r="2565">
          <cell r="B2565"/>
          <cell r="C2565"/>
          <cell r="E2565"/>
          <cell r="F2565"/>
          <cell r="G2565"/>
          <cell r="H2565"/>
          <cell r="J2565"/>
          <cell r="L2565"/>
          <cell r="M2565"/>
        </row>
        <row r="2566">
          <cell r="B2566"/>
          <cell r="C2566"/>
          <cell r="E2566"/>
          <cell r="F2566"/>
          <cell r="G2566"/>
          <cell r="H2566"/>
          <cell r="J2566"/>
          <cell r="L2566"/>
          <cell r="M2566"/>
        </row>
        <row r="2567">
          <cell r="B2567"/>
          <cell r="C2567"/>
          <cell r="E2567"/>
          <cell r="F2567"/>
          <cell r="G2567"/>
          <cell r="H2567"/>
          <cell r="J2567"/>
          <cell r="L2567"/>
          <cell r="M2567"/>
        </row>
        <row r="2568">
          <cell r="B2568"/>
          <cell r="C2568"/>
          <cell r="E2568"/>
          <cell r="F2568"/>
          <cell r="G2568"/>
          <cell r="H2568"/>
          <cell r="J2568"/>
          <cell r="L2568"/>
          <cell r="M2568"/>
        </row>
        <row r="2569">
          <cell r="B2569"/>
          <cell r="C2569"/>
          <cell r="E2569"/>
          <cell r="F2569"/>
          <cell r="G2569"/>
          <cell r="H2569"/>
          <cell r="J2569"/>
          <cell r="L2569"/>
          <cell r="M2569"/>
        </row>
        <row r="2570">
          <cell r="B2570"/>
          <cell r="C2570"/>
          <cell r="E2570"/>
          <cell r="F2570"/>
          <cell r="G2570"/>
          <cell r="H2570"/>
          <cell r="J2570"/>
          <cell r="L2570"/>
          <cell r="M2570"/>
        </row>
        <row r="2571">
          <cell r="B2571"/>
          <cell r="C2571"/>
          <cell r="E2571"/>
          <cell r="F2571"/>
          <cell r="G2571"/>
          <cell r="H2571"/>
          <cell r="J2571"/>
          <cell r="L2571"/>
          <cell r="M2571"/>
        </row>
        <row r="2572">
          <cell r="B2572"/>
          <cell r="C2572"/>
          <cell r="E2572"/>
          <cell r="F2572"/>
          <cell r="G2572"/>
          <cell r="H2572"/>
          <cell r="J2572"/>
          <cell r="L2572"/>
          <cell r="M2572"/>
        </row>
        <row r="2573">
          <cell r="B2573"/>
          <cell r="C2573"/>
          <cell r="E2573"/>
          <cell r="F2573"/>
          <cell r="G2573"/>
          <cell r="H2573"/>
          <cell r="J2573"/>
          <cell r="L2573"/>
          <cell r="M2573"/>
        </row>
        <row r="2574">
          <cell r="B2574"/>
          <cell r="C2574"/>
          <cell r="E2574"/>
          <cell r="F2574"/>
          <cell r="G2574"/>
          <cell r="H2574"/>
          <cell r="J2574"/>
          <cell r="L2574"/>
          <cell r="M2574"/>
        </row>
        <row r="2575">
          <cell r="B2575"/>
          <cell r="C2575"/>
          <cell r="E2575"/>
          <cell r="F2575"/>
          <cell r="G2575"/>
          <cell r="H2575"/>
          <cell r="J2575"/>
          <cell r="L2575"/>
          <cell r="M2575"/>
        </row>
        <row r="2576">
          <cell r="B2576"/>
          <cell r="C2576"/>
          <cell r="E2576"/>
          <cell r="F2576"/>
          <cell r="G2576"/>
          <cell r="H2576"/>
          <cell r="J2576"/>
          <cell r="L2576"/>
          <cell r="M2576"/>
        </row>
        <row r="2577">
          <cell r="B2577"/>
          <cell r="C2577"/>
          <cell r="E2577"/>
          <cell r="F2577"/>
          <cell r="G2577"/>
          <cell r="H2577"/>
          <cell r="J2577"/>
          <cell r="L2577"/>
          <cell r="M2577"/>
        </row>
        <row r="2578">
          <cell r="B2578"/>
          <cell r="C2578"/>
          <cell r="E2578"/>
          <cell r="F2578"/>
          <cell r="G2578"/>
          <cell r="H2578"/>
          <cell r="J2578"/>
          <cell r="L2578"/>
          <cell r="M2578"/>
        </row>
        <row r="2579">
          <cell r="B2579"/>
          <cell r="C2579"/>
          <cell r="E2579"/>
          <cell r="F2579"/>
          <cell r="G2579"/>
          <cell r="H2579"/>
          <cell r="J2579"/>
          <cell r="L2579"/>
          <cell r="M2579"/>
        </row>
        <row r="2580">
          <cell r="B2580"/>
          <cell r="C2580"/>
          <cell r="E2580"/>
          <cell r="F2580"/>
          <cell r="G2580"/>
          <cell r="H2580"/>
          <cell r="J2580"/>
          <cell r="L2580"/>
          <cell r="M2580"/>
        </row>
        <row r="2581">
          <cell r="B2581"/>
          <cell r="C2581"/>
          <cell r="E2581"/>
          <cell r="F2581"/>
          <cell r="G2581"/>
          <cell r="H2581"/>
          <cell r="J2581"/>
          <cell r="L2581"/>
          <cell r="M2581"/>
        </row>
        <row r="2582">
          <cell r="B2582"/>
          <cell r="C2582"/>
          <cell r="E2582"/>
          <cell r="F2582"/>
          <cell r="G2582"/>
          <cell r="H2582"/>
          <cell r="J2582"/>
          <cell r="L2582"/>
          <cell r="M2582"/>
        </row>
        <row r="2583">
          <cell r="B2583"/>
          <cell r="C2583"/>
          <cell r="E2583"/>
          <cell r="F2583"/>
          <cell r="G2583"/>
          <cell r="H2583"/>
          <cell r="J2583"/>
          <cell r="L2583"/>
          <cell r="M2583"/>
        </row>
        <row r="2584">
          <cell r="B2584"/>
          <cell r="C2584"/>
          <cell r="E2584"/>
          <cell r="F2584"/>
          <cell r="G2584"/>
          <cell r="H2584"/>
          <cell r="J2584"/>
          <cell r="L2584"/>
          <cell r="M2584"/>
        </row>
        <row r="2585">
          <cell r="B2585"/>
          <cell r="C2585"/>
          <cell r="E2585"/>
          <cell r="F2585"/>
          <cell r="G2585"/>
          <cell r="H2585"/>
          <cell r="J2585"/>
          <cell r="L2585"/>
          <cell r="M2585"/>
        </row>
        <row r="2586">
          <cell r="B2586"/>
          <cell r="C2586"/>
          <cell r="E2586"/>
          <cell r="F2586"/>
          <cell r="G2586"/>
          <cell r="H2586"/>
          <cell r="J2586"/>
          <cell r="L2586"/>
          <cell r="M2586"/>
        </row>
        <row r="2587">
          <cell r="B2587"/>
          <cell r="C2587"/>
          <cell r="E2587"/>
          <cell r="F2587"/>
          <cell r="G2587"/>
          <cell r="H2587"/>
          <cell r="J2587"/>
          <cell r="L2587"/>
          <cell r="M2587"/>
        </row>
        <row r="2588">
          <cell r="B2588"/>
          <cell r="C2588"/>
          <cell r="E2588"/>
          <cell r="F2588"/>
          <cell r="G2588"/>
          <cell r="H2588"/>
          <cell r="J2588"/>
          <cell r="L2588"/>
          <cell r="M2588"/>
        </row>
        <row r="2589">
          <cell r="B2589"/>
          <cell r="C2589"/>
          <cell r="E2589"/>
          <cell r="F2589"/>
          <cell r="G2589"/>
          <cell r="H2589"/>
          <cell r="J2589"/>
          <cell r="L2589"/>
          <cell r="M2589"/>
        </row>
        <row r="2590">
          <cell r="B2590"/>
          <cell r="C2590"/>
          <cell r="E2590"/>
          <cell r="F2590"/>
          <cell r="G2590"/>
          <cell r="H2590"/>
          <cell r="J2590"/>
          <cell r="L2590"/>
          <cell r="M2590"/>
        </row>
        <row r="2591">
          <cell r="B2591"/>
          <cell r="C2591"/>
          <cell r="E2591"/>
          <cell r="F2591"/>
          <cell r="G2591"/>
          <cell r="H2591"/>
          <cell r="J2591"/>
          <cell r="L2591"/>
          <cell r="M2591"/>
        </row>
        <row r="2592">
          <cell r="B2592"/>
          <cell r="C2592"/>
          <cell r="E2592"/>
          <cell r="F2592"/>
          <cell r="G2592"/>
          <cell r="H2592"/>
          <cell r="J2592"/>
          <cell r="L2592"/>
          <cell r="M2592"/>
        </row>
        <row r="2593">
          <cell r="B2593"/>
          <cell r="C2593"/>
          <cell r="E2593"/>
          <cell r="F2593"/>
          <cell r="G2593"/>
          <cell r="H2593"/>
          <cell r="J2593"/>
          <cell r="L2593"/>
          <cell r="M2593"/>
        </row>
        <row r="2594">
          <cell r="B2594"/>
          <cell r="C2594"/>
          <cell r="E2594"/>
          <cell r="F2594"/>
          <cell r="G2594"/>
          <cell r="H2594"/>
          <cell r="J2594"/>
          <cell r="L2594"/>
          <cell r="M2594"/>
        </row>
        <row r="2595">
          <cell r="B2595"/>
          <cell r="C2595"/>
          <cell r="E2595"/>
          <cell r="F2595"/>
          <cell r="G2595"/>
          <cell r="H2595"/>
          <cell r="J2595"/>
          <cell r="L2595"/>
          <cell r="M2595"/>
        </row>
        <row r="2596">
          <cell r="B2596"/>
          <cell r="C2596"/>
          <cell r="E2596"/>
          <cell r="F2596"/>
          <cell r="G2596"/>
          <cell r="H2596"/>
          <cell r="J2596"/>
          <cell r="L2596"/>
          <cell r="M2596"/>
        </row>
        <row r="2597">
          <cell r="B2597"/>
          <cell r="C2597"/>
          <cell r="E2597"/>
          <cell r="F2597"/>
          <cell r="G2597"/>
          <cell r="H2597"/>
          <cell r="J2597"/>
          <cell r="L2597"/>
          <cell r="M2597"/>
        </row>
        <row r="2598">
          <cell r="B2598"/>
          <cell r="C2598"/>
          <cell r="E2598"/>
          <cell r="F2598"/>
          <cell r="G2598"/>
          <cell r="H2598"/>
          <cell r="J2598"/>
          <cell r="L2598"/>
          <cell r="M2598"/>
        </row>
        <row r="2599">
          <cell r="B2599"/>
          <cell r="C2599"/>
          <cell r="E2599"/>
          <cell r="F2599"/>
          <cell r="G2599"/>
          <cell r="H2599"/>
          <cell r="J2599"/>
          <cell r="L2599"/>
          <cell r="M2599"/>
        </row>
        <row r="2600">
          <cell r="B2600"/>
          <cell r="C2600"/>
          <cell r="E2600"/>
          <cell r="F2600"/>
          <cell r="G2600"/>
          <cell r="H2600"/>
          <cell r="J2600"/>
          <cell r="L2600"/>
          <cell r="M2600"/>
        </row>
        <row r="2601">
          <cell r="B2601"/>
          <cell r="C2601"/>
          <cell r="E2601"/>
          <cell r="F2601"/>
          <cell r="G2601"/>
          <cell r="H2601"/>
          <cell r="J2601"/>
          <cell r="L2601"/>
          <cell r="M2601"/>
        </row>
        <row r="2602">
          <cell r="B2602"/>
          <cell r="C2602"/>
          <cell r="E2602"/>
          <cell r="F2602"/>
          <cell r="G2602"/>
          <cell r="H2602"/>
          <cell r="J2602"/>
          <cell r="L2602"/>
          <cell r="M2602"/>
        </row>
        <row r="2603">
          <cell r="B2603"/>
          <cell r="C2603"/>
          <cell r="E2603"/>
          <cell r="F2603"/>
          <cell r="G2603"/>
          <cell r="H2603"/>
          <cell r="J2603"/>
          <cell r="L2603"/>
          <cell r="M2603"/>
        </row>
        <row r="2604">
          <cell r="B2604"/>
          <cell r="C2604"/>
          <cell r="E2604"/>
          <cell r="F2604"/>
          <cell r="G2604"/>
          <cell r="H2604"/>
          <cell r="J2604"/>
          <cell r="L2604"/>
          <cell r="M2604"/>
        </row>
        <row r="2605">
          <cell r="B2605"/>
          <cell r="C2605"/>
          <cell r="E2605"/>
          <cell r="F2605"/>
          <cell r="G2605"/>
          <cell r="H2605"/>
          <cell r="J2605"/>
          <cell r="L2605"/>
          <cell r="M2605"/>
        </row>
        <row r="2606">
          <cell r="B2606"/>
          <cell r="C2606"/>
          <cell r="E2606"/>
          <cell r="F2606"/>
          <cell r="G2606"/>
          <cell r="H2606"/>
          <cell r="J2606"/>
          <cell r="L2606"/>
          <cell r="M2606"/>
        </row>
        <row r="2607">
          <cell r="B2607"/>
          <cell r="C2607"/>
          <cell r="E2607"/>
          <cell r="F2607"/>
          <cell r="G2607"/>
          <cell r="H2607"/>
          <cell r="J2607"/>
          <cell r="L2607"/>
          <cell r="M2607"/>
        </row>
        <row r="2608">
          <cell r="B2608"/>
          <cell r="C2608"/>
          <cell r="E2608"/>
          <cell r="F2608"/>
          <cell r="G2608"/>
          <cell r="H2608"/>
          <cell r="J2608"/>
          <cell r="L2608"/>
          <cell r="M2608"/>
        </row>
        <row r="2609">
          <cell r="B2609"/>
          <cell r="C2609"/>
          <cell r="E2609"/>
          <cell r="F2609"/>
          <cell r="G2609"/>
          <cell r="H2609"/>
          <cell r="J2609"/>
          <cell r="L2609"/>
          <cell r="M2609"/>
        </row>
        <row r="2610">
          <cell r="B2610"/>
          <cell r="C2610"/>
          <cell r="E2610"/>
          <cell r="F2610"/>
          <cell r="G2610"/>
          <cell r="H2610"/>
          <cell r="J2610"/>
          <cell r="L2610"/>
          <cell r="M2610"/>
        </row>
        <row r="2611">
          <cell r="B2611"/>
          <cell r="C2611"/>
          <cell r="E2611"/>
          <cell r="F2611"/>
          <cell r="G2611"/>
          <cell r="H2611"/>
          <cell r="J2611"/>
          <cell r="L2611"/>
          <cell r="M2611"/>
        </row>
        <row r="2612">
          <cell r="B2612"/>
          <cell r="C2612"/>
          <cell r="E2612"/>
          <cell r="F2612"/>
          <cell r="G2612"/>
          <cell r="H2612"/>
          <cell r="J2612"/>
          <cell r="L2612"/>
          <cell r="M2612"/>
        </row>
        <row r="2613">
          <cell r="B2613"/>
          <cell r="C2613"/>
          <cell r="E2613"/>
          <cell r="F2613"/>
          <cell r="G2613"/>
          <cell r="H2613"/>
          <cell r="J2613"/>
          <cell r="L2613"/>
          <cell r="M2613"/>
        </row>
        <row r="2614">
          <cell r="B2614"/>
          <cell r="C2614"/>
          <cell r="E2614"/>
          <cell r="F2614"/>
          <cell r="G2614"/>
          <cell r="H2614"/>
          <cell r="J2614"/>
          <cell r="L2614"/>
          <cell r="M2614"/>
        </row>
        <row r="2615">
          <cell r="B2615"/>
          <cell r="C2615"/>
          <cell r="E2615"/>
          <cell r="F2615"/>
          <cell r="G2615"/>
          <cell r="H2615"/>
          <cell r="J2615"/>
          <cell r="L2615"/>
          <cell r="M2615"/>
        </row>
        <row r="2616">
          <cell r="B2616"/>
          <cell r="C2616"/>
          <cell r="E2616"/>
          <cell r="F2616"/>
          <cell r="G2616"/>
          <cell r="H2616"/>
          <cell r="J2616"/>
          <cell r="L2616"/>
          <cell r="M2616"/>
        </row>
        <row r="2617">
          <cell r="B2617"/>
          <cell r="C2617"/>
          <cell r="E2617"/>
          <cell r="F2617"/>
          <cell r="G2617"/>
          <cell r="H2617"/>
          <cell r="J2617"/>
          <cell r="L2617"/>
          <cell r="M2617"/>
        </row>
        <row r="2618">
          <cell r="B2618"/>
          <cell r="C2618"/>
          <cell r="E2618"/>
          <cell r="F2618"/>
          <cell r="G2618"/>
          <cell r="H2618"/>
          <cell r="J2618"/>
          <cell r="L2618"/>
          <cell r="M2618"/>
        </row>
        <row r="2619">
          <cell r="B2619"/>
          <cell r="C2619"/>
          <cell r="E2619"/>
          <cell r="F2619"/>
          <cell r="G2619"/>
          <cell r="H2619"/>
          <cell r="J2619"/>
          <cell r="L2619"/>
          <cell r="M2619"/>
        </row>
        <row r="2620">
          <cell r="B2620"/>
          <cell r="C2620"/>
          <cell r="E2620"/>
          <cell r="F2620"/>
          <cell r="G2620"/>
          <cell r="H2620"/>
          <cell r="J2620"/>
          <cell r="L2620"/>
          <cell r="M2620"/>
        </row>
        <row r="2621">
          <cell r="B2621"/>
          <cell r="C2621"/>
          <cell r="E2621"/>
          <cell r="F2621"/>
          <cell r="G2621"/>
          <cell r="H2621"/>
          <cell r="J2621"/>
          <cell r="L2621"/>
          <cell r="M2621"/>
        </row>
        <row r="2622">
          <cell r="B2622"/>
          <cell r="C2622"/>
          <cell r="E2622"/>
          <cell r="F2622"/>
          <cell r="G2622"/>
          <cell r="H2622"/>
          <cell r="J2622"/>
          <cell r="L2622"/>
          <cell r="M2622"/>
        </row>
        <row r="2623">
          <cell r="B2623"/>
          <cell r="C2623"/>
          <cell r="E2623"/>
          <cell r="F2623"/>
          <cell r="G2623"/>
          <cell r="H2623"/>
          <cell r="J2623"/>
          <cell r="L2623"/>
          <cell r="M2623"/>
        </row>
        <row r="2624">
          <cell r="B2624"/>
          <cell r="C2624"/>
          <cell r="E2624"/>
          <cell r="F2624"/>
          <cell r="G2624"/>
          <cell r="H2624"/>
          <cell r="J2624"/>
          <cell r="L2624"/>
          <cell r="M2624"/>
        </row>
        <row r="2625">
          <cell r="B2625"/>
          <cell r="C2625"/>
          <cell r="E2625"/>
          <cell r="F2625"/>
          <cell r="G2625"/>
          <cell r="H2625"/>
          <cell r="J2625"/>
          <cell r="L2625"/>
          <cell r="M2625"/>
        </row>
        <row r="2626">
          <cell r="B2626"/>
          <cell r="C2626"/>
          <cell r="E2626"/>
          <cell r="F2626"/>
          <cell r="G2626"/>
          <cell r="H2626"/>
          <cell r="J2626"/>
          <cell r="L2626"/>
          <cell r="M2626"/>
        </row>
        <row r="2627">
          <cell r="B2627"/>
          <cell r="C2627"/>
          <cell r="E2627"/>
          <cell r="F2627"/>
          <cell r="G2627"/>
          <cell r="H2627"/>
          <cell r="J2627"/>
          <cell r="L2627"/>
          <cell r="M2627"/>
        </row>
        <row r="2628">
          <cell r="B2628"/>
          <cell r="C2628"/>
          <cell r="E2628"/>
          <cell r="F2628"/>
          <cell r="G2628"/>
          <cell r="H2628"/>
          <cell r="J2628"/>
          <cell r="L2628"/>
          <cell r="M2628"/>
        </row>
        <row r="2629">
          <cell r="B2629"/>
          <cell r="C2629"/>
          <cell r="E2629"/>
          <cell r="F2629"/>
          <cell r="G2629"/>
          <cell r="H2629"/>
          <cell r="J2629"/>
          <cell r="L2629"/>
          <cell r="M2629"/>
        </row>
        <row r="2630">
          <cell r="B2630"/>
          <cell r="C2630"/>
          <cell r="E2630"/>
          <cell r="F2630"/>
          <cell r="G2630"/>
          <cell r="H2630"/>
          <cell r="J2630"/>
          <cell r="L2630"/>
          <cell r="M2630"/>
        </row>
        <row r="2631">
          <cell r="B2631"/>
          <cell r="C2631"/>
          <cell r="E2631"/>
          <cell r="F2631"/>
          <cell r="G2631"/>
          <cell r="H2631"/>
          <cell r="J2631"/>
          <cell r="L2631"/>
          <cell r="M2631"/>
        </row>
        <row r="2632">
          <cell r="B2632"/>
          <cell r="C2632"/>
          <cell r="E2632"/>
          <cell r="F2632"/>
          <cell r="G2632"/>
          <cell r="H2632"/>
          <cell r="J2632"/>
          <cell r="L2632"/>
          <cell r="M2632"/>
        </row>
        <row r="2633">
          <cell r="B2633"/>
          <cell r="C2633"/>
          <cell r="E2633"/>
          <cell r="F2633"/>
          <cell r="G2633"/>
          <cell r="H2633"/>
          <cell r="J2633"/>
          <cell r="L2633"/>
          <cell r="M2633"/>
        </row>
        <row r="2634">
          <cell r="B2634"/>
          <cell r="C2634"/>
          <cell r="E2634"/>
          <cell r="F2634"/>
          <cell r="G2634"/>
          <cell r="H2634"/>
          <cell r="J2634"/>
          <cell r="L2634"/>
          <cell r="M2634"/>
        </row>
        <row r="2635">
          <cell r="B2635"/>
          <cell r="C2635"/>
          <cell r="E2635"/>
          <cell r="F2635"/>
          <cell r="G2635"/>
          <cell r="H2635"/>
          <cell r="J2635"/>
          <cell r="L2635"/>
          <cell r="M2635"/>
        </row>
        <row r="2636">
          <cell r="B2636"/>
          <cell r="C2636"/>
          <cell r="E2636"/>
          <cell r="F2636"/>
          <cell r="G2636"/>
          <cell r="H2636"/>
          <cell r="J2636"/>
          <cell r="L2636"/>
          <cell r="M2636"/>
        </row>
        <row r="2637">
          <cell r="B2637"/>
          <cell r="C2637"/>
          <cell r="E2637"/>
          <cell r="F2637"/>
          <cell r="G2637"/>
          <cell r="H2637"/>
          <cell r="J2637"/>
          <cell r="L2637"/>
          <cell r="M2637"/>
        </row>
        <row r="2638">
          <cell r="B2638"/>
          <cell r="C2638"/>
          <cell r="E2638"/>
          <cell r="F2638"/>
          <cell r="G2638"/>
          <cell r="H2638"/>
          <cell r="J2638"/>
          <cell r="L2638"/>
          <cell r="M2638"/>
        </row>
        <row r="2639">
          <cell r="B2639"/>
          <cell r="C2639"/>
          <cell r="E2639"/>
          <cell r="F2639"/>
          <cell r="G2639"/>
          <cell r="H2639"/>
          <cell r="J2639"/>
          <cell r="L2639"/>
          <cell r="M2639"/>
        </row>
        <row r="2640">
          <cell r="B2640"/>
          <cell r="C2640"/>
          <cell r="E2640"/>
          <cell r="F2640"/>
          <cell r="G2640"/>
          <cell r="H2640"/>
          <cell r="J2640"/>
          <cell r="L2640"/>
          <cell r="M2640"/>
        </row>
        <row r="2641">
          <cell r="B2641"/>
          <cell r="C2641"/>
          <cell r="E2641"/>
          <cell r="F2641"/>
          <cell r="G2641"/>
          <cell r="H2641"/>
          <cell r="J2641"/>
          <cell r="L2641"/>
          <cell r="M2641"/>
        </row>
        <row r="2642">
          <cell r="B2642"/>
          <cell r="C2642"/>
          <cell r="E2642"/>
          <cell r="F2642"/>
          <cell r="G2642"/>
          <cell r="H2642"/>
          <cell r="J2642"/>
          <cell r="L2642"/>
          <cell r="M2642"/>
        </row>
        <row r="2643">
          <cell r="B2643"/>
          <cell r="C2643"/>
          <cell r="E2643"/>
          <cell r="F2643"/>
          <cell r="G2643"/>
          <cell r="H2643"/>
          <cell r="J2643"/>
          <cell r="L2643"/>
          <cell r="M2643"/>
        </row>
        <row r="2644">
          <cell r="B2644"/>
          <cell r="C2644"/>
          <cell r="E2644"/>
          <cell r="F2644"/>
          <cell r="G2644"/>
          <cell r="H2644"/>
          <cell r="J2644"/>
          <cell r="L2644"/>
          <cell r="M2644"/>
        </row>
        <row r="2645">
          <cell r="B2645"/>
          <cell r="C2645"/>
          <cell r="E2645"/>
          <cell r="F2645"/>
          <cell r="G2645"/>
          <cell r="H2645"/>
          <cell r="J2645"/>
          <cell r="L2645"/>
          <cell r="M2645"/>
        </row>
        <row r="2646">
          <cell r="B2646"/>
          <cell r="C2646"/>
          <cell r="E2646"/>
          <cell r="F2646"/>
          <cell r="G2646"/>
          <cell r="H2646"/>
          <cell r="J2646"/>
          <cell r="L2646"/>
          <cell r="M2646"/>
        </row>
        <row r="2647">
          <cell r="B2647"/>
          <cell r="C2647"/>
          <cell r="E2647"/>
          <cell r="F2647"/>
          <cell r="G2647"/>
          <cell r="H2647"/>
          <cell r="J2647"/>
          <cell r="L2647"/>
          <cell r="M2647"/>
        </row>
        <row r="2648">
          <cell r="B2648"/>
          <cell r="C2648"/>
          <cell r="E2648"/>
          <cell r="F2648"/>
          <cell r="G2648"/>
          <cell r="H2648"/>
          <cell r="J2648"/>
          <cell r="L2648"/>
          <cell r="M2648"/>
        </row>
        <row r="2649">
          <cell r="B2649"/>
          <cell r="C2649"/>
          <cell r="E2649"/>
          <cell r="F2649"/>
          <cell r="G2649"/>
          <cell r="H2649"/>
          <cell r="J2649"/>
          <cell r="L2649"/>
          <cell r="M2649"/>
        </row>
        <row r="2650">
          <cell r="B2650"/>
          <cell r="C2650"/>
          <cell r="E2650"/>
          <cell r="F2650"/>
          <cell r="G2650"/>
          <cell r="H2650"/>
          <cell r="J2650"/>
          <cell r="L2650"/>
          <cell r="M2650"/>
        </row>
        <row r="2651">
          <cell r="B2651"/>
          <cell r="C2651"/>
          <cell r="E2651"/>
          <cell r="F2651"/>
          <cell r="G2651"/>
          <cell r="H2651"/>
          <cell r="J2651"/>
          <cell r="L2651"/>
          <cell r="M2651"/>
        </row>
        <row r="2652">
          <cell r="B2652"/>
          <cell r="C2652"/>
          <cell r="E2652"/>
          <cell r="F2652"/>
          <cell r="G2652"/>
          <cell r="H2652"/>
          <cell r="J2652"/>
          <cell r="L2652"/>
          <cell r="M2652"/>
        </row>
        <row r="2653">
          <cell r="B2653"/>
          <cell r="C2653"/>
          <cell r="E2653"/>
          <cell r="F2653"/>
          <cell r="G2653"/>
          <cell r="H2653"/>
          <cell r="J2653"/>
          <cell r="L2653"/>
          <cell r="M2653"/>
        </row>
        <row r="2654">
          <cell r="B2654"/>
          <cell r="C2654"/>
          <cell r="E2654"/>
          <cell r="F2654"/>
          <cell r="G2654"/>
          <cell r="H2654"/>
          <cell r="J2654"/>
          <cell r="L2654"/>
          <cell r="M2654"/>
        </row>
        <row r="2655">
          <cell r="B2655"/>
          <cell r="C2655"/>
          <cell r="E2655"/>
          <cell r="F2655"/>
          <cell r="G2655"/>
          <cell r="H2655"/>
          <cell r="J2655"/>
          <cell r="L2655"/>
          <cell r="M2655"/>
        </row>
        <row r="2656">
          <cell r="B2656"/>
          <cell r="C2656"/>
          <cell r="E2656"/>
          <cell r="F2656"/>
          <cell r="G2656"/>
          <cell r="H2656"/>
          <cell r="J2656"/>
          <cell r="L2656"/>
          <cell r="M2656"/>
        </row>
        <row r="2657">
          <cell r="B2657"/>
          <cell r="C2657"/>
          <cell r="E2657"/>
          <cell r="F2657"/>
          <cell r="G2657"/>
          <cell r="H2657"/>
          <cell r="J2657"/>
          <cell r="L2657"/>
          <cell r="M2657"/>
        </row>
        <row r="2658">
          <cell r="B2658"/>
          <cell r="C2658"/>
          <cell r="E2658"/>
          <cell r="F2658"/>
          <cell r="G2658"/>
          <cell r="H2658"/>
          <cell r="J2658"/>
          <cell r="L2658"/>
          <cell r="M2658"/>
        </row>
        <row r="2659">
          <cell r="B2659"/>
          <cell r="C2659"/>
          <cell r="E2659"/>
          <cell r="F2659"/>
          <cell r="G2659"/>
          <cell r="H2659"/>
          <cell r="J2659"/>
          <cell r="L2659"/>
          <cell r="M2659"/>
        </row>
        <row r="2660">
          <cell r="B2660"/>
          <cell r="C2660"/>
          <cell r="E2660"/>
          <cell r="F2660"/>
          <cell r="G2660"/>
          <cell r="H2660"/>
          <cell r="J2660"/>
          <cell r="L2660"/>
          <cell r="M2660"/>
        </row>
        <row r="2661">
          <cell r="B2661"/>
          <cell r="C2661"/>
          <cell r="E2661"/>
          <cell r="F2661"/>
          <cell r="G2661"/>
          <cell r="H2661"/>
          <cell r="J2661"/>
          <cell r="L2661"/>
          <cell r="M2661"/>
        </row>
        <row r="2662">
          <cell r="B2662"/>
          <cell r="C2662"/>
          <cell r="E2662"/>
          <cell r="F2662"/>
          <cell r="G2662"/>
          <cell r="H2662"/>
          <cell r="J2662"/>
          <cell r="L2662"/>
          <cell r="M2662"/>
        </row>
        <row r="2663">
          <cell r="B2663"/>
          <cell r="C2663"/>
          <cell r="E2663"/>
          <cell r="F2663"/>
          <cell r="G2663"/>
          <cell r="H2663"/>
          <cell r="J2663"/>
          <cell r="L2663"/>
          <cell r="M2663"/>
        </row>
        <row r="2664">
          <cell r="B2664"/>
          <cell r="C2664"/>
          <cell r="E2664"/>
          <cell r="F2664"/>
          <cell r="G2664"/>
          <cell r="H2664"/>
          <cell r="J2664"/>
          <cell r="L2664"/>
          <cell r="M2664"/>
        </row>
        <row r="2665">
          <cell r="B2665"/>
          <cell r="C2665"/>
          <cell r="E2665"/>
          <cell r="F2665"/>
          <cell r="G2665"/>
          <cell r="H2665"/>
          <cell r="J2665"/>
          <cell r="L2665"/>
          <cell r="M2665"/>
        </row>
        <row r="2666">
          <cell r="B2666"/>
          <cell r="C2666"/>
          <cell r="E2666"/>
          <cell r="F2666"/>
          <cell r="G2666"/>
          <cell r="H2666"/>
          <cell r="J2666"/>
          <cell r="L2666"/>
          <cell r="M2666"/>
        </row>
        <row r="2667">
          <cell r="B2667"/>
          <cell r="C2667"/>
          <cell r="E2667"/>
          <cell r="F2667"/>
          <cell r="G2667"/>
          <cell r="H2667"/>
          <cell r="J2667"/>
          <cell r="L2667"/>
          <cell r="M2667"/>
        </row>
        <row r="2668">
          <cell r="B2668"/>
          <cell r="C2668"/>
          <cell r="E2668"/>
          <cell r="F2668"/>
          <cell r="G2668"/>
          <cell r="H2668"/>
          <cell r="J2668"/>
          <cell r="L2668"/>
          <cell r="M2668"/>
        </row>
        <row r="2669">
          <cell r="B2669"/>
          <cell r="C2669"/>
          <cell r="E2669"/>
          <cell r="F2669"/>
          <cell r="G2669"/>
          <cell r="H2669"/>
          <cell r="J2669"/>
          <cell r="L2669"/>
          <cell r="M2669"/>
        </row>
        <row r="2670">
          <cell r="B2670"/>
          <cell r="C2670"/>
          <cell r="E2670"/>
          <cell r="F2670"/>
          <cell r="G2670"/>
          <cell r="H2670"/>
          <cell r="J2670"/>
          <cell r="L2670"/>
          <cell r="M2670"/>
        </row>
        <row r="2671">
          <cell r="B2671"/>
          <cell r="C2671"/>
          <cell r="E2671"/>
          <cell r="F2671"/>
          <cell r="G2671"/>
          <cell r="H2671"/>
          <cell r="J2671"/>
          <cell r="L2671"/>
          <cell r="M2671"/>
        </row>
        <row r="2672">
          <cell r="B2672"/>
          <cell r="C2672"/>
          <cell r="E2672"/>
          <cell r="F2672"/>
          <cell r="G2672"/>
          <cell r="H2672"/>
          <cell r="J2672"/>
          <cell r="L2672"/>
          <cell r="M2672"/>
        </row>
        <row r="2673">
          <cell r="B2673"/>
          <cell r="C2673"/>
          <cell r="E2673"/>
          <cell r="F2673"/>
          <cell r="G2673"/>
          <cell r="H2673"/>
          <cell r="J2673"/>
          <cell r="L2673"/>
          <cell r="M2673"/>
        </row>
        <row r="2674">
          <cell r="B2674"/>
          <cell r="C2674"/>
          <cell r="E2674"/>
          <cell r="F2674"/>
          <cell r="G2674"/>
          <cell r="H2674"/>
          <cell r="J2674"/>
          <cell r="L2674"/>
          <cell r="M2674"/>
        </row>
        <row r="2675">
          <cell r="B2675"/>
          <cell r="C2675"/>
          <cell r="E2675"/>
          <cell r="F2675"/>
          <cell r="G2675"/>
          <cell r="H2675"/>
          <cell r="J2675"/>
          <cell r="L2675"/>
          <cell r="M2675"/>
        </row>
        <row r="2676">
          <cell r="B2676"/>
          <cell r="C2676"/>
          <cell r="E2676"/>
          <cell r="F2676"/>
          <cell r="G2676"/>
          <cell r="H2676"/>
          <cell r="J2676"/>
          <cell r="L2676"/>
          <cell r="M2676"/>
        </row>
        <row r="2677">
          <cell r="B2677"/>
          <cell r="C2677"/>
          <cell r="E2677"/>
          <cell r="F2677"/>
          <cell r="G2677"/>
          <cell r="H2677"/>
          <cell r="J2677"/>
          <cell r="L2677"/>
          <cell r="M2677"/>
        </row>
        <row r="2678">
          <cell r="B2678"/>
          <cell r="C2678"/>
          <cell r="E2678"/>
          <cell r="F2678"/>
          <cell r="G2678"/>
          <cell r="H2678"/>
          <cell r="J2678"/>
          <cell r="L2678"/>
          <cell r="M2678"/>
        </row>
        <row r="2679">
          <cell r="B2679"/>
          <cell r="C2679"/>
          <cell r="E2679"/>
          <cell r="F2679"/>
          <cell r="G2679"/>
          <cell r="H2679"/>
          <cell r="J2679"/>
          <cell r="L2679"/>
          <cell r="M2679"/>
        </row>
        <row r="2680">
          <cell r="B2680"/>
          <cell r="C2680"/>
          <cell r="E2680"/>
          <cell r="F2680"/>
          <cell r="G2680"/>
          <cell r="H2680"/>
          <cell r="J2680"/>
          <cell r="L2680"/>
          <cell r="M2680"/>
        </row>
        <row r="2681">
          <cell r="B2681"/>
          <cell r="C2681"/>
          <cell r="E2681"/>
          <cell r="F2681"/>
          <cell r="G2681"/>
          <cell r="H2681"/>
          <cell r="J2681"/>
          <cell r="L2681"/>
          <cell r="M2681"/>
        </row>
        <row r="2682">
          <cell r="B2682"/>
          <cell r="C2682"/>
          <cell r="E2682"/>
          <cell r="F2682"/>
          <cell r="G2682"/>
          <cell r="H2682"/>
          <cell r="J2682"/>
          <cell r="L2682"/>
          <cell r="M2682"/>
        </row>
        <row r="2683">
          <cell r="B2683"/>
          <cell r="C2683"/>
          <cell r="E2683"/>
          <cell r="F2683"/>
          <cell r="G2683"/>
          <cell r="H2683"/>
          <cell r="J2683"/>
          <cell r="L2683"/>
          <cell r="M2683"/>
        </row>
        <row r="2684">
          <cell r="B2684"/>
          <cell r="C2684"/>
          <cell r="E2684"/>
          <cell r="F2684"/>
          <cell r="G2684"/>
          <cell r="H2684"/>
          <cell r="J2684"/>
          <cell r="L2684"/>
          <cell r="M2684"/>
        </row>
        <row r="2685">
          <cell r="B2685"/>
          <cell r="C2685"/>
          <cell r="E2685"/>
          <cell r="F2685"/>
          <cell r="G2685"/>
          <cell r="H2685"/>
          <cell r="J2685"/>
          <cell r="L2685"/>
          <cell r="M2685"/>
        </row>
        <row r="2686">
          <cell r="B2686"/>
          <cell r="C2686"/>
          <cell r="E2686"/>
          <cell r="F2686"/>
          <cell r="G2686"/>
          <cell r="H2686"/>
          <cell r="J2686"/>
          <cell r="L2686"/>
          <cell r="M2686"/>
        </row>
        <row r="2687">
          <cell r="B2687"/>
          <cell r="C2687"/>
          <cell r="E2687"/>
          <cell r="F2687"/>
          <cell r="G2687"/>
          <cell r="H2687"/>
          <cell r="J2687"/>
          <cell r="L2687"/>
          <cell r="M2687"/>
        </row>
        <row r="2688">
          <cell r="B2688"/>
          <cell r="C2688"/>
          <cell r="E2688"/>
          <cell r="F2688"/>
          <cell r="G2688"/>
          <cell r="H2688"/>
          <cell r="J2688"/>
          <cell r="L2688"/>
          <cell r="M2688"/>
        </row>
        <row r="2689">
          <cell r="B2689"/>
          <cell r="C2689"/>
          <cell r="E2689"/>
          <cell r="F2689"/>
          <cell r="G2689"/>
          <cell r="H2689"/>
          <cell r="J2689"/>
          <cell r="L2689"/>
          <cell r="M2689"/>
        </row>
        <row r="2690">
          <cell r="B2690"/>
          <cell r="C2690"/>
          <cell r="E2690"/>
          <cell r="F2690"/>
          <cell r="G2690"/>
          <cell r="H2690"/>
          <cell r="J2690"/>
          <cell r="L2690"/>
          <cell r="M2690"/>
        </row>
        <row r="2691">
          <cell r="B2691"/>
          <cell r="C2691"/>
          <cell r="E2691"/>
          <cell r="F2691"/>
          <cell r="G2691"/>
          <cell r="H2691"/>
          <cell r="J2691"/>
          <cell r="L2691"/>
          <cell r="M2691"/>
        </row>
        <row r="2692">
          <cell r="B2692"/>
          <cell r="C2692"/>
          <cell r="E2692"/>
          <cell r="F2692"/>
          <cell r="G2692"/>
          <cell r="H2692"/>
          <cell r="J2692"/>
          <cell r="L2692"/>
          <cell r="M2692"/>
        </row>
        <row r="2693">
          <cell r="B2693"/>
          <cell r="C2693"/>
          <cell r="E2693"/>
          <cell r="F2693"/>
          <cell r="G2693"/>
          <cell r="H2693"/>
          <cell r="J2693"/>
          <cell r="L2693"/>
          <cell r="M2693"/>
        </row>
        <row r="2694">
          <cell r="B2694"/>
          <cell r="C2694"/>
          <cell r="E2694"/>
          <cell r="F2694"/>
          <cell r="G2694"/>
          <cell r="H2694"/>
          <cell r="J2694"/>
          <cell r="L2694"/>
          <cell r="M2694"/>
        </row>
        <row r="2695">
          <cell r="B2695"/>
          <cell r="C2695"/>
          <cell r="E2695"/>
          <cell r="F2695"/>
          <cell r="G2695"/>
          <cell r="H2695"/>
          <cell r="J2695"/>
          <cell r="L2695"/>
          <cell r="M2695"/>
        </row>
        <row r="2696">
          <cell r="B2696"/>
          <cell r="C2696"/>
          <cell r="E2696"/>
          <cell r="F2696"/>
          <cell r="G2696"/>
          <cell r="H2696"/>
          <cell r="J2696"/>
          <cell r="L2696"/>
          <cell r="M2696"/>
        </row>
        <row r="2697">
          <cell r="B2697"/>
          <cell r="C2697"/>
          <cell r="E2697"/>
          <cell r="F2697"/>
          <cell r="G2697"/>
          <cell r="H2697"/>
          <cell r="J2697"/>
          <cell r="L2697"/>
          <cell r="M2697"/>
        </row>
        <row r="2698">
          <cell r="B2698"/>
          <cell r="C2698"/>
          <cell r="E2698"/>
          <cell r="F2698"/>
          <cell r="G2698"/>
          <cell r="H2698"/>
          <cell r="J2698"/>
          <cell r="L2698"/>
          <cell r="M2698"/>
        </row>
        <row r="2699">
          <cell r="B2699"/>
          <cell r="C2699"/>
          <cell r="E2699"/>
          <cell r="F2699"/>
          <cell r="G2699"/>
          <cell r="H2699"/>
          <cell r="J2699"/>
          <cell r="L2699"/>
          <cell r="M2699"/>
        </row>
        <row r="2700">
          <cell r="B2700"/>
          <cell r="C2700"/>
          <cell r="E2700"/>
          <cell r="F2700"/>
          <cell r="G2700"/>
          <cell r="H2700"/>
          <cell r="J2700"/>
          <cell r="L2700"/>
          <cell r="M2700"/>
        </row>
        <row r="2701">
          <cell r="B2701"/>
          <cell r="C2701"/>
          <cell r="E2701"/>
          <cell r="F2701"/>
          <cell r="G2701"/>
          <cell r="H2701"/>
          <cell r="J2701"/>
          <cell r="L2701"/>
          <cell r="M2701"/>
        </row>
        <row r="2702">
          <cell r="B2702"/>
          <cell r="C2702"/>
          <cell r="E2702"/>
          <cell r="F2702"/>
          <cell r="G2702"/>
          <cell r="H2702"/>
          <cell r="J2702"/>
          <cell r="L2702"/>
          <cell r="M2702"/>
        </row>
        <row r="2703">
          <cell r="B2703"/>
          <cell r="C2703"/>
          <cell r="E2703"/>
          <cell r="F2703"/>
          <cell r="G2703"/>
          <cell r="H2703"/>
          <cell r="J2703"/>
          <cell r="L2703"/>
          <cell r="M2703"/>
        </row>
        <row r="2704">
          <cell r="B2704"/>
          <cell r="C2704"/>
          <cell r="E2704"/>
          <cell r="F2704"/>
          <cell r="G2704"/>
          <cell r="H2704"/>
          <cell r="J2704"/>
          <cell r="L2704"/>
          <cell r="M2704"/>
        </row>
        <row r="2705">
          <cell r="B2705"/>
          <cell r="C2705"/>
          <cell r="E2705"/>
          <cell r="F2705"/>
          <cell r="G2705"/>
          <cell r="H2705"/>
          <cell r="J2705"/>
          <cell r="L2705"/>
          <cell r="M2705"/>
        </row>
        <row r="2706">
          <cell r="B2706"/>
          <cell r="C2706"/>
          <cell r="E2706"/>
          <cell r="F2706"/>
          <cell r="G2706"/>
          <cell r="H2706"/>
          <cell r="J2706"/>
          <cell r="L2706"/>
          <cell r="M2706"/>
        </row>
        <row r="2707">
          <cell r="B2707"/>
          <cell r="C2707"/>
          <cell r="E2707"/>
          <cell r="F2707"/>
          <cell r="G2707"/>
          <cell r="H2707"/>
          <cell r="J2707"/>
          <cell r="L2707"/>
          <cell r="M2707"/>
        </row>
        <row r="2708">
          <cell r="B2708"/>
          <cell r="C2708"/>
          <cell r="E2708"/>
          <cell r="F2708"/>
          <cell r="G2708"/>
          <cell r="H2708"/>
          <cell r="J2708"/>
          <cell r="L2708"/>
          <cell r="M2708"/>
        </row>
        <row r="2709">
          <cell r="B2709"/>
          <cell r="C2709"/>
          <cell r="E2709"/>
          <cell r="F2709"/>
          <cell r="G2709"/>
          <cell r="H2709"/>
          <cell r="J2709"/>
          <cell r="L2709"/>
          <cell r="M2709"/>
        </row>
        <row r="2710">
          <cell r="B2710"/>
          <cell r="C2710"/>
          <cell r="E2710"/>
          <cell r="F2710"/>
          <cell r="G2710"/>
          <cell r="H2710"/>
          <cell r="J2710"/>
          <cell r="L2710"/>
          <cell r="M2710"/>
        </row>
        <row r="2711">
          <cell r="B2711"/>
          <cell r="C2711"/>
          <cell r="E2711"/>
          <cell r="F2711"/>
          <cell r="G2711"/>
          <cell r="H2711"/>
          <cell r="J2711"/>
          <cell r="L2711"/>
          <cell r="M2711"/>
        </row>
        <row r="2712">
          <cell r="B2712"/>
          <cell r="C2712"/>
          <cell r="E2712"/>
          <cell r="F2712"/>
          <cell r="G2712"/>
          <cell r="H2712"/>
          <cell r="J2712"/>
          <cell r="L2712"/>
          <cell r="M2712"/>
        </row>
        <row r="2713">
          <cell r="B2713"/>
          <cell r="C2713"/>
          <cell r="E2713"/>
          <cell r="F2713"/>
          <cell r="G2713"/>
          <cell r="H2713"/>
          <cell r="J2713"/>
          <cell r="L2713"/>
          <cell r="M2713"/>
        </row>
        <row r="2714">
          <cell r="B2714"/>
          <cell r="C2714"/>
          <cell r="E2714"/>
          <cell r="F2714"/>
          <cell r="G2714"/>
          <cell r="H2714"/>
          <cell r="J2714"/>
          <cell r="L2714"/>
          <cell r="M2714"/>
        </row>
        <row r="2715">
          <cell r="B2715"/>
          <cell r="C2715"/>
          <cell r="E2715"/>
          <cell r="F2715"/>
          <cell r="G2715"/>
          <cell r="H2715"/>
          <cell r="J2715"/>
          <cell r="L2715"/>
          <cell r="M2715"/>
        </row>
        <row r="2716">
          <cell r="B2716"/>
          <cell r="C2716"/>
          <cell r="E2716"/>
          <cell r="F2716"/>
          <cell r="G2716"/>
          <cell r="H2716"/>
          <cell r="J2716"/>
          <cell r="L2716"/>
          <cell r="M2716"/>
        </row>
        <row r="2717">
          <cell r="B2717"/>
          <cell r="C2717"/>
          <cell r="E2717"/>
          <cell r="F2717"/>
          <cell r="G2717"/>
          <cell r="H2717"/>
          <cell r="J2717"/>
          <cell r="L2717"/>
          <cell r="M2717"/>
        </row>
        <row r="2718">
          <cell r="B2718"/>
          <cell r="C2718"/>
          <cell r="E2718"/>
          <cell r="F2718"/>
          <cell r="G2718"/>
          <cell r="H2718"/>
          <cell r="J2718"/>
          <cell r="L2718"/>
          <cell r="M2718"/>
        </row>
        <row r="2719">
          <cell r="B2719"/>
          <cell r="C2719"/>
          <cell r="E2719"/>
          <cell r="F2719"/>
          <cell r="G2719"/>
          <cell r="H2719"/>
          <cell r="J2719"/>
          <cell r="L2719"/>
          <cell r="M2719"/>
        </row>
        <row r="2720">
          <cell r="B2720"/>
          <cell r="C2720"/>
          <cell r="E2720"/>
          <cell r="F2720"/>
          <cell r="G2720"/>
          <cell r="H2720"/>
          <cell r="J2720"/>
          <cell r="L2720"/>
          <cell r="M2720"/>
        </row>
        <row r="2721">
          <cell r="B2721"/>
          <cell r="C2721"/>
          <cell r="E2721"/>
          <cell r="F2721"/>
          <cell r="G2721"/>
          <cell r="H2721"/>
          <cell r="J2721"/>
          <cell r="L2721"/>
          <cell r="M2721"/>
        </row>
        <row r="2722">
          <cell r="B2722"/>
          <cell r="C2722"/>
          <cell r="E2722"/>
          <cell r="F2722"/>
          <cell r="G2722"/>
          <cell r="H2722"/>
          <cell r="J2722"/>
          <cell r="L2722"/>
          <cell r="M2722"/>
        </row>
        <row r="2723">
          <cell r="B2723"/>
          <cell r="C2723"/>
          <cell r="E2723"/>
          <cell r="F2723"/>
          <cell r="G2723"/>
          <cell r="H2723"/>
          <cell r="J2723"/>
          <cell r="L2723"/>
          <cell r="M2723"/>
        </row>
        <row r="2724">
          <cell r="B2724"/>
          <cell r="C2724"/>
          <cell r="E2724"/>
          <cell r="F2724"/>
          <cell r="G2724"/>
          <cell r="H2724"/>
          <cell r="J2724"/>
          <cell r="L2724"/>
          <cell r="M2724"/>
        </row>
        <row r="2725">
          <cell r="B2725"/>
          <cell r="C2725"/>
          <cell r="E2725"/>
          <cell r="F2725"/>
          <cell r="G2725"/>
          <cell r="H2725"/>
          <cell r="J2725"/>
          <cell r="L2725"/>
          <cell r="M2725"/>
        </row>
        <row r="2726">
          <cell r="B2726"/>
          <cell r="C2726"/>
          <cell r="E2726"/>
          <cell r="F2726"/>
          <cell r="G2726"/>
          <cell r="H2726"/>
          <cell r="J2726"/>
          <cell r="L2726"/>
          <cell r="M2726"/>
        </row>
        <row r="2727">
          <cell r="B2727"/>
          <cell r="C2727"/>
          <cell r="E2727"/>
          <cell r="F2727"/>
          <cell r="G2727"/>
          <cell r="H2727"/>
          <cell r="J2727"/>
          <cell r="L2727"/>
          <cell r="M2727"/>
        </row>
        <row r="2728">
          <cell r="B2728"/>
          <cell r="C2728"/>
          <cell r="E2728"/>
          <cell r="F2728"/>
          <cell r="G2728"/>
          <cell r="H2728"/>
          <cell r="J2728"/>
          <cell r="L2728"/>
          <cell r="M2728"/>
        </row>
        <row r="2729">
          <cell r="B2729"/>
          <cell r="C2729"/>
          <cell r="E2729"/>
          <cell r="F2729"/>
          <cell r="G2729"/>
          <cell r="H2729"/>
          <cell r="J2729"/>
          <cell r="L2729"/>
          <cell r="M2729"/>
        </row>
        <row r="2730">
          <cell r="B2730"/>
          <cell r="C2730"/>
          <cell r="E2730"/>
          <cell r="F2730"/>
          <cell r="G2730"/>
          <cell r="H2730"/>
          <cell r="J2730"/>
          <cell r="L2730"/>
          <cell r="M2730"/>
        </row>
        <row r="2731">
          <cell r="B2731"/>
          <cell r="C2731"/>
          <cell r="E2731"/>
          <cell r="F2731"/>
          <cell r="G2731"/>
          <cell r="H2731"/>
          <cell r="J2731"/>
          <cell r="L2731"/>
          <cell r="M2731"/>
        </row>
        <row r="2732">
          <cell r="B2732"/>
          <cell r="C2732"/>
          <cell r="E2732"/>
          <cell r="F2732"/>
          <cell r="G2732"/>
          <cell r="H2732"/>
          <cell r="J2732"/>
          <cell r="L2732"/>
          <cell r="M2732"/>
        </row>
        <row r="2733">
          <cell r="B2733"/>
          <cell r="C2733"/>
          <cell r="E2733"/>
          <cell r="F2733"/>
          <cell r="G2733"/>
          <cell r="H2733"/>
          <cell r="J2733"/>
          <cell r="L2733"/>
          <cell r="M2733"/>
        </row>
        <row r="2734">
          <cell r="B2734"/>
          <cell r="C2734"/>
          <cell r="E2734"/>
          <cell r="F2734"/>
          <cell r="G2734"/>
          <cell r="H2734"/>
          <cell r="J2734"/>
          <cell r="L2734"/>
          <cell r="M2734"/>
        </row>
        <row r="2735">
          <cell r="B2735"/>
          <cell r="C2735"/>
          <cell r="E2735"/>
          <cell r="F2735"/>
          <cell r="G2735"/>
          <cell r="H2735"/>
          <cell r="J2735"/>
          <cell r="L2735"/>
          <cell r="M2735"/>
        </row>
        <row r="2736">
          <cell r="B2736"/>
          <cell r="C2736"/>
          <cell r="E2736"/>
          <cell r="F2736"/>
          <cell r="G2736"/>
          <cell r="H2736"/>
          <cell r="J2736"/>
          <cell r="L2736"/>
          <cell r="M2736"/>
        </row>
        <row r="2737">
          <cell r="B2737"/>
          <cell r="C2737"/>
          <cell r="E2737"/>
          <cell r="F2737"/>
          <cell r="G2737"/>
          <cell r="H2737"/>
          <cell r="J2737"/>
          <cell r="L2737"/>
          <cell r="M2737"/>
        </row>
        <row r="2738">
          <cell r="B2738"/>
          <cell r="C2738"/>
          <cell r="E2738"/>
          <cell r="F2738"/>
          <cell r="G2738"/>
          <cell r="H2738"/>
          <cell r="J2738"/>
          <cell r="L2738"/>
          <cell r="M2738"/>
        </row>
        <row r="2739">
          <cell r="B2739"/>
          <cell r="C2739"/>
          <cell r="E2739"/>
          <cell r="F2739"/>
          <cell r="G2739"/>
          <cell r="H2739"/>
          <cell r="J2739"/>
          <cell r="L2739"/>
          <cell r="M2739"/>
        </row>
        <row r="2740">
          <cell r="B2740"/>
          <cell r="C2740"/>
          <cell r="E2740"/>
          <cell r="F2740"/>
          <cell r="G2740"/>
          <cell r="H2740"/>
          <cell r="J2740"/>
          <cell r="L2740"/>
          <cell r="M2740"/>
        </row>
        <row r="2741">
          <cell r="B2741"/>
          <cell r="C2741"/>
          <cell r="E2741"/>
          <cell r="F2741"/>
          <cell r="G2741"/>
          <cell r="H2741"/>
          <cell r="J2741"/>
          <cell r="L2741"/>
          <cell r="M2741"/>
        </row>
        <row r="2742">
          <cell r="B2742"/>
          <cell r="C2742"/>
          <cell r="E2742"/>
          <cell r="F2742"/>
          <cell r="G2742"/>
          <cell r="H2742"/>
          <cell r="J2742"/>
          <cell r="L2742"/>
          <cell r="M2742"/>
        </row>
        <row r="2743">
          <cell r="B2743"/>
          <cell r="C2743"/>
          <cell r="E2743"/>
          <cell r="F2743"/>
          <cell r="G2743"/>
          <cell r="H2743"/>
          <cell r="J2743"/>
          <cell r="L2743"/>
          <cell r="M2743"/>
        </row>
        <row r="2744">
          <cell r="B2744"/>
          <cell r="C2744"/>
          <cell r="E2744"/>
          <cell r="F2744"/>
          <cell r="G2744"/>
          <cell r="H2744"/>
          <cell r="J2744"/>
          <cell r="L2744"/>
          <cell r="M2744"/>
        </row>
        <row r="2745">
          <cell r="B2745"/>
          <cell r="C2745"/>
          <cell r="E2745"/>
          <cell r="F2745"/>
          <cell r="G2745"/>
          <cell r="H2745"/>
          <cell r="J2745"/>
          <cell r="L2745"/>
          <cell r="M2745"/>
        </row>
        <row r="2746">
          <cell r="B2746"/>
          <cell r="C2746"/>
          <cell r="E2746"/>
          <cell r="F2746"/>
          <cell r="G2746"/>
          <cell r="H2746"/>
          <cell r="J2746"/>
          <cell r="L2746"/>
          <cell r="M2746"/>
        </row>
        <row r="2747">
          <cell r="B2747"/>
          <cell r="C2747"/>
          <cell r="E2747"/>
          <cell r="F2747"/>
          <cell r="G2747"/>
          <cell r="H2747"/>
          <cell r="J2747"/>
          <cell r="L2747"/>
          <cell r="M2747"/>
        </row>
        <row r="2748">
          <cell r="B2748"/>
          <cell r="C2748"/>
          <cell r="E2748"/>
          <cell r="F2748"/>
          <cell r="G2748"/>
          <cell r="H2748"/>
          <cell r="J2748"/>
          <cell r="L2748"/>
          <cell r="M2748"/>
        </row>
        <row r="2749">
          <cell r="B2749"/>
          <cell r="C2749"/>
          <cell r="E2749"/>
          <cell r="F2749"/>
          <cell r="G2749"/>
          <cell r="H2749"/>
          <cell r="J2749"/>
          <cell r="L2749"/>
          <cell r="M2749"/>
        </row>
        <row r="2750">
          <cell r="B2750"/>
          <cell r="C2750"/>
          <cell r="E2750"/>
          <cell r="F2750"/>
          <cell r="G2750"/>
          <cell r="H2750"/>
          <cell r="J2750"/>
          <cell r="L2750"/>
          <cell r="M2750"/>
        </row>
        <row r="2751">
          <cell r="B2751"/>
          <cell r="C2751"/>
          <cell r="E2751"/>
          <cell r="F2751"/>
          <cell r="G2751"/>
          <cell r="H2751"/>
          <cell r="J2751"/>
          <cell r="L2751"/>
          <cell r="M2751"/>
        </row>
        <row r="2752">
          <cell r="B2752"/>
          <cell r="C2752"/>
          <cell r="E2752"/>
          <cell r="F2752"/>
          <cell r="G2752"/>
          <cell r="H2752"/>
          <cell r="J2752"/>
          <cell r="L2752"/>
          <cell r="M2752"/>
        </row>
        <row r="2753">
          <cell r="B2753"/>
          <cell r="C2753"/>
          <cell r="E2753"/>
          <cell r="F2753"/>
          <cell r="G2753"/>
          <cell r="H2753"/>
          <cell r="J2753"/>
          <cell r="L2753"/>
          <cell r="M2753"/>
        </row>
        <row r="2754">
          <cell r="B2754"/>
          <cell r="C2754"/>
          <cell r="E2754"/>
          <cell r="F2754"/>
          <cell r="G2754"/>
          <cell r="H2754"/>
          <cell r="J2754"/>
          <cell r="L2754"/>
          <cell r="M2754"/>
        </row>
        <row r="2755">
          <cell r="B2755"/>
          <cell r="C2755"/>
          <cell r="E2755"/>
          <cell r="F2755"/>
          <cell r="G2755"/>
          <cell r="H2755"/>
          <cell r="J2755"/>
          <cell r="L2755"/>
          <cell r="M2755"/>
        </row>
        <row r="2756">
          <cell r="B2756"/>
          <cell r="C2756"/>
          <cell r="E2756"/>
          <cell r="F2756"/>
          <cell r="G2756"/>
          <cell r="H2756"/>
          <cell r="J2756"/>
          <cell r="L2756"/>
          <cell r="M2756"/>
        </row>
        <row r="2757">
          <cell r="B2757"/>
          <cell r="C2757"/>
          <cell r="E2757"/>
          <cell r="F2757"/>
          <cell r="G2757"/>
          <cell r="H2757"/>
          <cell r="J2757"/>
          <cell r="L2757"/>
          <cell r="M2757"/>
        </row>
        <row r="2758">
          <cell r="B2758"/>
          <cell r="C2758"/>
          <cell r="E2758"/>
          <cell r="F2758"/>
          <cell r="G2758"/>
          <cell r="H2758"/>
          <cell r="J2758"/>
          <cell r="L2758"/>
          <cell r="M2758"/>
        </row>
        <row r="2759">
          <cell r="B2759"/>
          <cell r="C2759"/>
          <cell r="E2759"/>
          <cell r="F2759"/>
          <cell r="G2759"/>
          <cell r="H2759"/>
          <cell r="J2759"/>
          <cell r="L2759"/>
          <cell r="M2759"/>
        </row>
        <row r="2760">
          <cell r="B2760"/>
          <cell r="C2760"/>
          <cell r="E2760"/>
          <cell r="F2760"/>
          <cell r="G2760"/>
          <cell r="H2760"/>
          <cell r="J2760"/>
          <cell r="L2760"/>
          <cell r="M2760"/>
        </row>
        <row r="2761">
          <cell r="B2761"/>
          <cell r="C2761"/>
          <cell r="E2761"/>
          <cell r="F2761"/>
          <cell r="G2761"/>
          <cell r="H2761"/>
          <cell r="J2761"/>
          <cell r="L2761"/>
          <cell r="M2761"/>
        </row>
        <row r="2762">
          <cell r="B2762"/>
          <cell r="C2762"/>
          <cell r="E2762"/>
          <cell r="F2762"/>
          <cell r="G2762"/>
          <cell r="H2762"/>
          <cell r="J2762"/>
          <cell r="L2762"/>
          <cell r="M2762"/>
        </row>
        <row r="2763">
          <cell r="B2763"/>
          <cell r="C2763"/>
          <cell r="E2763"/>
          <cell r="F2763"/>
          <cell r="G2763"/>
          <cell r="H2763"/>
          <cell r="J2763"/>
          <cell r="L2763"/>
          <cell r="M2763"/>
        </row>
        <row r="2764">
          <cell r="B2764"/>
          <cell r="C2764"/>
          <cell r="E2764"/>
          <cell r="F2764"/>
          <cell r="G2764"/>
          <cell r="H2764"/>
          <cell r="J2764"/>
          <cell r="L2764"/>
          <cell r="M2764"/>
        </row>
        <row r="2765">
          <cell r="B2765"/>
          <cell r="C2765"/>
          <cell r="E2765"/>
          <cell r="F2765"/>
          <cell r="G2765"/>
          <cell r="H2765"/>
          <cell r="J2765"/>
          <cell r="L2765"/>
          <cell r="M2765"/>
        </row>
        <row r="2766">
          <cell r="B2766"/>
          <cell r="C2766"/>
          <cell r="E2766"/>
          <cell r="F2766"/>
          <cell r="G2766"/>
          <cell r="H2766"/>
          <cell r="J2766"/>
          <cell r="L2766"/>
          <cell r="M2766"/>
        </row>
        <row r="2767">
          <cell r="B2767"/>
          <cell r="C2767"/>
          <cell r="E2767"/>
          <cell r="F2767"/>
          <cell r="G2767"/>
          <cell r="H2767"/>
          <cell r="J2767"/>
          <cell r="L2767"/>
          <cell r="M2767"/>
        </row>
        <row r="2768">
          <cell r="B2768"/>
          <cell r="C2768"/>
          <cell r="E2768"/>
          <cell r="F2768"/>
          <cell r="G2768"/>
          <cell r="H2768"/>
          <cell r="J2768"/>
          <cell r="L2768"/>
          <cell r="M2768"/>
        </row>
        <row r="2769">
          <cell r="B2769"/>
          <cell r="C2769"/>
          <cell r="E2769"/>
          <cell r="F2769"/>
          <cell r="G2769"/>
          <cell r="H2769"/>
          <cell r="J2769"/>
          <cell r="L2769"/>
          <cell r="M2769"/>
        </row>
        <row r="2770">
          <cell r="B2770"/>
          <cell r="C2770"/>
          <cell r="E2770"/>
          <cell r="F2770"/>
          <cell r="G2770"/>
          <cell r="H2770"/>
          <cell r="J2770"/>
          <cell r="L2770"/>
          <cell r="M2770"/>
        </row>
        <row r="2771">
          <cell r="B2771"/>
          <cell r="C2771"/>
          <cell r="E2771"/>
          <cell r="F2771"/>
          <cell r="G2771"/>
          <cell r="H2771"/>
          <cell r="J2771"/>
          <cell r="L2771"/>
          <cell r="M2771"/>
        </row>
        <row r="2772">
          <cell r="B2772"/>
          <cell r="C2772"/>
          <cell r="E2772"/>
          <cell r="F2772"/>
          <cell r="G2772"/>
          <cell r="H2772"/>
          <cell r="J2772"/>
          <cell r="L2772"/>
          <cell r="M2772"/>
        </row>
        <row r="2773">
          <cell r="B2773"/>
          <cell r="C2773"/>
          <cell r="E2773"/>
          <cell r="F2773"/>
          <cell r="G2773"/>
          <cell r="H2773"/>
          <cell r="J2773"/>
          <cell r="L2773"/>
          <cell r="M2773"/>
        </row>
        <row r="2774">
          <cell r="B2774"/>
          <cell r="C2774"/>
          <cell r="E2774"/>
          <cell r="F2774"/>
          <cell r="G2774"/>
          <cell r="H2774"/>
          <cell r="J2774"/>
          <cell r="L2774"/>
          <cell r="M2774"/>
        </row>
        <row r="2775">
          <cell r="B2775"/>
          <cell r="C2775"/>
          <cell r="E2775"/>
          <cell r="F2775"/>
          <cell r="G2775"/>
          <cell r="H2775"/>
          <cell r="J2775"/>
          <cell r="L2775"/>
          <cell r="M2775"/>
        </row>
        <row r="2776">
          <cell r="B2776"/>
          <cell r="C2776"/>
          <cell r="E2776"/>
          <cell r="F2776"/>
          <cell r="G2776"/>
          <cell r="H2776"/>
          <cell r="J2776"/>
          <cell r="L2776"/>
          <cell r="M2776"/>
        </row>
        <row r="2777">
          <cell r="B2777"/>
          <cell r="C2777"/>
          <cell r="E2777"/>
          <cell r="F2777"/>
          <cell r="G2777"/>
          <cell r="H2777"/>
          <cell r="J2777"/>
          <cell r="L2777"/>
          <cell r="M2777"/>
        </row>
        <row r="2778">
          <cell r="B2778"/>
          <cell r="C2778"/>
          <cell r="E2778"/>
          <cell r="F2778"/>
          <cell r="G2778"/>
          <cell r="H2778"/>
          <cell r="J2778"/>
          <cell r="L2778"/>
          <cell r="M2778"/>
        </row>
        <row r="2779">
          <cell r="B2779"/>
          <cell r="C2779"/>
          <cell r="E2779"/>
          <cell r="F2779"/>
          <cell r="G2779"/>
          <cell r="H2779"/>
          <cell r="J2779"/>
          <cell r="L2779"/>
          <cell r="M2779"/>
        </row>
        <row r="2780">
          <cell r="B2780"/>
          <cell r="C2780"/>
          <cell r="E2780"/>
          <cell r="F2780"/>
          <cell r="G2780"/>
          <cell r="H2780"/>
          <cell r="J2780"/>
          <cell r="L2780"/>
          <cell r="M2780"/>
        </row>
        <row r="2781">
          <cell r="B2781"/>
          <cell r="C2781"/>
          <cell r="E2781"/>
          <cell r="F2781"/>
          <cell r="G2781"/>
          <cell r="H2781"/>
          <cell r="J2781"/>
          <cell r="L2781"/>
          <cell r="M2781"/>
        </row>
        <row r="2782">
          <cell r="B2782"/>
          <cell r="C2782"/>
          <cell r="E2782"/>
          <cell r="F2782"/>
          <cell r="G2782"/>
          <cell r="H2782"/>
          <cell r="J2782"/>
          <cell r="L2782"/>
          <cell r="M2782"/>
        </row>
        <row r="2783">
          <cell r="B2783"/>
          <cell r="C2783"/>
          <cell r="E2783"/>
          <cell r="F2783"/>
          <cell r="G2783"/>
          <cell r="H2783"/>
          <cell r="J2783"/>
          <cell r="L2783"/>
          <cell r="M2783"/>
        </row>
        <row r="2784">
          <cell r="B2784"/>
          <cell r="C2784"/>
          <cell r="E2784"/>
          <cell r="F2784"/>
          <cell r="G2784"/>
          <cell r="H2784"/>
          <cell r="J2784"/>
          <cell r="L2784"/>
          <cell r="M2784"/>
        </row>
        <row r="2785">
          <cell r="B2785"/>
          <cell r="C2785"/>
          <cell r="E2785"/>
          <cell r="F2785"/>
          <cell r="G2785"/>
          <cell r="H2785"/>
          <cell r="J2785"/>
          <cell r="L2785"/>
          <cell r="M2785"/>
        </row>
        <row r="2786">
          <cell r="B2786"/>
          <cell r="C2786"/>
          <cell r="E2786"/>
          <cell r="F2786"/>
          <cell r="G2786"/>
          <cell r="H2786"/>
          <cell r="J2786"/>
          <cell r="L2786"/>
          <cell r="M2786"/>
        </row>
        <row r="2787">
          <cell r="B2787"/>
          <cell r="C2787"/>
          <cell r="E2787"/>
          <cell r="F2787"/>
          <cell r="G2787"/>
          <cell r="H2787"/>
          <cell r="J2787"/>
          <cell r="L2787"/>
          <cell r="M2787"/>
        </row>
        <row r="2788">
          <cell r="B2788"/>
          <cell r="C2788"/>
          <cell r="E2788"/>
          <cell r="F2788"/>
          <cell r="G2788"/>
          <cell r="H2788"/>
          <cell r="J2788"/>
          <cell r="L2788"/>
          <cell r="M2788"/>
        </row>
        <row r="2789">
          <cell r="B2789"/>
          <cell r="C2789"/>
          <cell r="E2789"/>
          <cell r="F2789"/>
          <cell r="G2789"/>
          <cell r="H2789"/>
          <cell r="J2789"/>
          <cell r="L2789"/>
          <cell r="M2789"/>
        </row>
        <row r="2790">
          <cell r="B2790"/>
          <cell r="C2790"/>
          <cell r="E2790"/>
          <cell r="F2790"/>
          <cell r="G2790"/>
          <cell r="H2790"/>
          <cell r="J2790"/>
          <cell r="L2790"/>
          <cell r="M2790"/>
        </row>
        <row r="2791">
          <cell r="B2791"/>
          <cell r="C2791"/>
          <cell r="E2791"/>
          <cell r="F2791"/>
          <cell r="G2791"/>
          <cell r="H2791"/>
          <cell r="J2791"/>
          <cell r="L2791"/>
          <cell r="M2791"/>
        </row>
        <row r="2792">
          <cell r="B2792"/>
          <cell r="C2792"/>
          <cell r="E2792"/>
          <cell r="F2792"/>
          <cell r="G2792"/>
          <cell r="H2792"/>
          <cell r="J2792"/>
          <cell r="L2792"/>
          <cell r="M2792"/>
        </row>
        <row r="2793">
          <cell r="B2793"/>
          <cell r="C2793"/>
          <cell r="E2793"/>
          <cell r="F2793"/>
          <cell r="G2793"/>
          <cell r="H2793"/>
          <cell r="J2793"/>
          <cell r="L2793"/>
          <cell r="M2793"/>
        </row>
        <row r="2794">
          <cell r="B2794"/>
          <cell r="C2794"/>
          <cell r="E2794"/>
          <cell r="F2794"/>
          <cell r="G2794"/>
          <cell r="H2794"/>
          <cell r="J2794"/>
          <cell r="L2794"/>
          <cell r="M2794"/>
        </row>
        <row r="2795">
          <cell r="B2795"/>
          <cell r="C2795"/>
          <cell r="E2795"/>
          <cell r="F2795"/>
          <cell r="G2795"/>
          <cell r="H2795"/>
          <cell r="J2795"/>
          <cell r="L2795"/>
          <cell r="M2795"/>
        </row>
        <row r="2796">
          <cell r="B2796"/>
          <cell r="C2796"/>
          <cell r="E2796"/>
          <cell r="F2796"/>
          <cell r="G2796"/>
          <cell r="H2796"/>
          <cell r="J2796"/>
          <cell r="L2796"/>
          <cell r="M2796"/>
        </row>
        <row r="2797">
          <cell r="B2797"/>
          <cell r="C2797"/>
          <cell r="E2797"/>
          <cell r="F2797"/>
          <cell r="G2797"/>
          <cell r="H2797"/>
          <cell r="J2797"/>
          <cell r="L2797"/>
          <cell r="M2797"/>
        </row>
        <row r="2798">
          <cell r="B2798"/>
          <cell r="C2798"/>
          <cell r="E2798"/>
          <cell r="F2798"/>
          <cell r="G2798"/>
          <cell r="H2798"/>
          <cell r="J2798"/>
          <cell r="L2798"/>
          <cell r="M2798"/>
        </row>
        <row r="2799">
          <cell r="B2799"/>
          <cell r="C2799"/>
          <cell r="E2799"/>
          <cell r="F2799"/>
          <cell r="G2799"/>
          <cell r="H2799"/>
          <cell r="J2799"/>
          <cell r="L2799"/>
          <cell r="M2799"/>
        </row>
        <row r="2800">
          <cell r="B2800"/>
          <cell r="C2800"/>
          <cell r="E2800"/>
          <cell r="F2800"/>
          <cell r="G2800"/>
          <cell r="H2800"/>
          <cell r="J2800"/>
          <cell r="L2800"/>
          <cell r="M2800"/>
        </row>
        <row r="2801">
          <cell r="B2801"/>
          <cell r="C2801"/>
          <cell r="E2801"/>
          <cell r="F2801"/>
          <cell r="G2801"/>
          <cell r="H2801"/>
          <cell r="J2801"/>
          <cell r="L2801"/>
          <cell r="M2801"/>
        </row>
        <row r="2802">
          <cell r="B2802"/>
          <cell r="C2802"/>
          <cell r="E2802"/>
          <cell r="F2802"/>
          <cell r="G2802"/>
          <cell r="H2802"/>
          <cell r="J2802"/>
          <cell r="L2802"/>
          <cell r="M2802"/>
        </row>
        <row r="2803">
          <cell r="B2803"/>
          <cell r="C2803"/>
          <cell r="E2803"/>
          <cell r="F2803"/>
          <cell r="G2803"/>
          <cell r="H2803"/>
          <cell r="J2803"/>
          <cell r="L2803"/>
          <cell r="M2803"/>
        </row>
        <row r="2804">
          <cell r="B2804"/>
          <cell r="C2804"/>
          <cell r="E2804"/>
          <cell r="F2804"/>
          <cell r="G2804"/>
          <cell r="H2804"/>
          <cell r="J2804"/>
          <cell r="L2804"/>
          <cell r="M2804"/>
        </row>
        <row r="2805">
          <cell r="B2805"/>
          <cell r="C2805"/>
          <cell r="E2805"/>
          <cell r="F2805"/>
          <cell r="G2805"/>
          <cell r="H2805"/>
          <cell r="J2805"/>
          <cell r="L2805"/>
          <cell r="M2805"/>
        </row>
        <row r="2806">
          <cell r="B2806"/>
          <cell r="C2806"/>
          <cell r="E2806"/>
          <cell r="F2806"/>
          <cell r="G2806"/>
          <cell r="H2806"/>
          <cell r="J2806"/>
          <cell r="L2806"/>
          <cell r="M2806"/>
        </row>
        <row r="2807">
          <cell r="B2807"/>
          <cell r="C2807"/>
          <cell r="E2807"/>
          <cell r="F2807"/>
          <cell r="G2807"/>
          <cell r="H2807"/>
          <cell r="J2807"/>
          <cell r="L2807"/>
          <cell r="M2807"/>
        </row>
        <row r="2808">
          <cell r="B2808"/>
          <cell r="C2808"/>
          <cell r="E2808"/>
          <cell r="F2808"/>
          <cell r="G2808"/>
          <cell r="H2808"/>
          <cell r="J2808"/>
          <cell r="L2808"/>
          <cell r="M2808"/>
        </row>
        <row r="2809">
          <cell r="B2809"/>
          <cell r="C2809"/>
          <cell r="E2809"/>
          <cell r="F2809"/>
          <cell r="G2809"/>
          <cell r="H2809"/>
          <cell r="J2809"/>
          <cell r="L2809"/>
          <cell r="M2809"/>
        </row>
        <row r="2810">
          <cell r="B2810"/>
          <cell r="C2810"/>
          <cell r="E2810"/>
          <cell r="F2810"/>
          <cell r="G2810"/>
          <cell r="H2810"/>
          <cell r="J2810"/>
          <cell r="L2810"/>
          <cell r="M2810"/>
        </row>
        <row r="2811">
          <cell r="B2811"/>
          <cell r="C2811"/>
          <cell r="E2811"/>
          <cell r="F2811"/>
          <cell r="G2811"/>
          <cell r="H2811"/>
          <cell r="J2811"/>
          <cell r="L2811"/>
          <cell r="M2811"/>
        </row>
        <row r="2812">
          <cell r="B2812"/>
          <cell r="C2812"/>
          <cell r="E2812"/>
          <cell r="F2812"/>
          <cell r="G2812"/>
          <cell r="H2812"/>
          <cell r="J2812"/>
          <cell r="L2812"/>
          <cell r="M2812"/>
        </row>
        <row r="2813">
          <cell r="B2813"/>
          <cell r="C2813"/>
          <cell r="E2813"/>
          <cell r="F2813"/>
          <cell r="G2813"/>
          <cell r="H2813"/>
          <cell r="J2813"/>
          <cell r="L2813"/>
          <cell r="M2813"/>
        </row>
        <row r="2814">
          <cell r="B2814"/>
          <cell r="C2814"/>
          <cell r="E2814"/>
          <cell r="F2814"/>
          <cell r="G2814"/>
          <cell r="H2814"/>
          <cell r="J2814"/>
          <cell r="L2814"/>
          <cell r="M2814"/>
        </row>
        <row r="2815">
          <cell r="B2815"/>
          <cell r="C2815"/>
          <cell r="E2815"/>
          <cell r="F2815"/>
          <cell r="G2815"/>
          <cell r="H2815"/>
          <cell r="J2815"/>
          <cell r="L2815"/>
          <cell r="M2815"/>
        </row>
        <row r="2816">
          <cell r="B2816"/>
          <cell r="C2816"/>
          <cell r="E2816"/>
          <cell r="F2816"/>
          <cell r="G2816"/>
          <cell r="H2816"/>
          <cell r="J2816"/>
          <cell r="L2816"/>
          <cell r="M2816"/>
        </row>
        <row r="2817">
          <cell r="B2817"/>
          <cell r="C2817"/>
          <cell r="E2817"/>
          <cell r="F2817"/>
          <cell r="G2817"/>
          <cell r="H2817"/>
          <cell r="J2817"/>
          <cell r="L2817"/>
          <cell r="M2817"/>
        </row>
        <row r="2818">
          <cell r="B2818"/>
          <cell r="C2818"/>
          <cell r="E2818"/>
          <cell r="F2818"/>
          <cell r="G2818"/>
          <cell r="H2818"/>
          <cell r="J2818"/>
          <cell r="L2818"/>
          <cell r="M2818"/>
        </row>
        <row r="2819">
          <cell r="B2819"/>
          <cell r="C2819"/>
          <cell r="E2819"/>
          <cell r="F2819"/>
          <cell r="G2819"/>
          <cell r="H2819"/>
          <cell r="J2819"/>
          <cell r="L2819"/>
          <cell r="M2819"/>
        </row>
        <row r="2820">
          <cell r="B2820"/>
          <cell r="C2820"/>
          <cell r="E2820"/>
          <cell r="F2820"/>
          <cell r="G2820"/>
          <cell r="H2820"/>
          <cell r="J2820"/>
          <cell r="L2820"/>
          <cell r="M2820"/>
        </row>
        <row r="2821">
          <cell r="B2821"/>
          <cell r="C2821"/>
          <cell r="E2821"/>
          <cell r="F2821"/>
          <cell r="G2821"/>
          <cell r="H2821"/>
          <cell r="J2821"/>
          <cell r="L2821"/>
          <cell r="M2821"/>
        </row>
        <row r="2822">
          <cell r="B2822"/>
          <cell r="C2822"/>
          <cell r="E2822"/>
          <cell r="F2822"/>
          <cell r="G2822"/>
          <cell r="H2822"/>
          <cell r="J2822"/>
          <cell r="L2822"/>
          <cell r="M2822"/>
        </row>
        <row r="2823">
          <cell r="B2823"/>
          <cell r="C2823"/>
          <cell r="E2823"/>
          <cell r="F2823"/>
          <cell r="G2823"/>
          <cell r="H2823"/>
          <cell r="J2823"/>
          <cell r="L2823"/>
          <cell r="M2823"/>
        </row>
        <row r="2824">
          <cell r="B2824"/>
          <cell r="C2824"/>
          <cell r="E2824"/>
          <cell r="F2824"/>
          <cell r="G2824"/>
          <cell r="H2824"/>
          <cell r="J2824"/>
          <cell r="L2824"/>
          <cell r="M2824"/>
        </row>
        <row r="2825">
          <cell r="B2825"/>
          <cell r="C2825"/>
          <cell r="E2825"/>
          <cell r="F2825"/>
          <cell r="G2825"/>
          <cell r="H2825"/>
          <cell r="J2825"/>
          <cell r="L2825"/>
          <cell r="M2825"/>
        </row>
        <row r="2826">
          <cell r="B2826"/>
          <cell r="C2826"/>
          <cell r="E2826"/>
          <cell r="F2826"/>
          <cell r="G2826"/>
          <cell r="H2826"/>
          <cell r="J2826"/>
          <cell r="L2826"/>
          <cell r="M2826"/>
        </row>
        <row r="2827">
          <cell r="B2827"/>
          <cell r="C2827"/>
          <cell r="E2827"/>
          <cell r="F2827"/>
          <cell r="G2827"/>
          <cell r="H2827"/>
          <cell r="J2827"/>
          <cell r="L2827"/>
          <cell r="M2827"/>
        </row>
        <row r="2828">
          <cell r="B2828"/>
          <cell r="C2828"/>
          <cell r="E2828"/>
          <cell r="F2828"/>
          <cell r="G2828"/>
          <cell r="H2828"/>
          <cell r="J2828"/>
          <cell r="L2828"/>
          <cell r="M2828"/>
        </row>
        <row r="2829">
          <cell r="B2829"/>
          <cell r="C2829"/>
          <cell r="E2829"/>
          <cell r="F2829"/>
          <cell r="G2829"/>
          <cell r="H2829"/>
          <cell r="J2829"/>
          <cell r="L2829"/>
          <cell r="M2829"/>
        </row>
        <row r="2830">
          <cell r="B2830"/>
          <cell r="C2830"/>
          <cell r="E2830"/>
          <cell r="F2830"/>
          <cell r="G2830"/>
          <cell r="H2830"/>
          <cell r="J2830"/>
          <cell r="L2830"/>
          <cell r="M2830"/>
        </row>
        <row r="2831">
          <cell r="B2831"/>
          <cell r="C2831"/>
          <cell r="E2831"/>
          <cell r="F2831"/>
          <cell r="G2831"/>
          <cell r="H2831"/>
          <cell r="J2831"/>
          <cell r="L2831"/>
          <cell r="M2831"/>
        </row>
        <row r="2832">
          <cell r="B2832"/>
          <cell r="C2832"/>
          <cell r="E2832"/>
          <cell r="F2832"/>
          <cell r="G2832"/>
          <cell r="H2832"/>
          <cell r="J2832"/>
          <cell r="L2832"/>
          <cell r="M2832"/>
        </row>
        <row r="2833">
          <cell r="B2833"/>
          <cell r="C2833"/>
          <cell r="E2833"/>
          <cell r="F2833"/>
          <cell r="G2833"/>
          <cell r="H2833"/>
          <cell r="J2833"/>
          <cell r="L2833"/>
          <cell r="M2833"/>
        </row>
        <row r="2834">
          <cell r="B2834"/>
          <cell r="C2834"/>
          <cell r="E2834"/>
          <cell r="F2834"/>
          <cell r="G2834"/>
          <cell r="H2834"/>
          <cell r="J2834"/>
          <cell r="L2834"/>
          <cell r="M2834"/>
        </row>
        <row r="2835">
          <cell r="B2835"/>
          <cell r="C2835"/>
          <cell r="E2835"/>
          <cell r="F2835"/>
          <cell r="G2835"/>
          <cell r="H2835"/>
          <cell r="J2835"/>
          <cell r="L2835"/>
          <cell r="M2835"/>
        </row>
        <row r="2836">
          <cell r="B2836"/>
          <cell r="C2836"/>
          <cell r="E2836"/>
          <cell r="F2836"/>
          <cell r="G2836"/>
          <cell r="H2836"/>
          <cell r="J2836"/>
          <cell r="L2836"/>
          <cell r="M2836"/>
        </row>
        <row r="2837">
          <cell r="B2837"/>
          <cell r="C2837"/>
          <cell r="E2837"/>
          <cell r="F2837"/>
          <cell r="G2837"/>
          <cell r="H2837"/>
          <cell r="J2837"/>
          <cell r="L2837"/>
          <cell r="M2837"/>
        </row>
        <row r="2838">
          <cell r="B2838"/>
          <cell r="C2838"/>
          <cell r="E2838"/>
          <cell r="F2838"/>
          <cell r="G2838"/>
          <cell r="H2838"/>
          <cell r="J2838"/>
          <cell r="L2838"/>
          <cell r="M2838"/>
        </row>
        <row r="2839">
          <cell r="B2839"/>
          <cell r="C2839"/>
          <cell r="E2839"/>
          <cell r="F2839"/>
          <cell r="G2839"/>
          <cell r="H2839"/>
          <cell r="J2839"/>
          <cell r="L2839"/>
          <cell r="M2839"/>
        </row>
        <row r="2840">
          <cell r="B2840"/>
          <cell r="C2840"/>
          <cell r="E2840"/>
          <cell r="F2840"/>
          <cell r="G2840"/>
          <cell r="H2840"/>
          <cell r="J2840"/>
          <cell r="L2840"/>
          <cell r="M2840"/>
        </row>
        <row r="2841">
          <cell r="B2841"/>
          <cell r="C2841"/>
          <cell r="E2841"/>
          <cell r="F2841"/>
          <cell r="G2841"/>
          <cell r="H2841"/>
          <cell r="J2841"/>
          <cell r="L2841"/>
          <cell r="M2841"/>
        </row>
        <row r="2842">
          <cell r="B2842"/>
          <cell r="C2842"/>
          <cell r="E2842"/>
          <cell r="F2842"/>
          <cell r="G2842"/>
          <cell r="H2842"/>
          <cell r="J2842"/>
          <cell r="L2842"/>
          <cell r="M2842"/>
        </row>
        <row r="2843">
          <cell r="B2843"/>
          <cell r="C2843"/>
          <cell r="E2843"/>
          <cell r="F2843"/>
          <cell r="G2843"/>
          <cell r="H2843"/>
          <cell r="J2843"/>
          <cell r="L2843"/>
          <cell r="M2843"/>
        </row>
        <row r="2844">
          <cell r="B2844"/>
          <cell r="C2844"/>
          <cell r="E2844"/>
          <cell r="F2844"/>
          <cell r="G2844"/>
          <cell r="H2844"/>
          <cell r="J2844"/>
          <cell r="L2844"/>
          <cell r="M2844"/>
        </row>
        <row r="2845">
          <cell r="B2845"/>
          <cell r="C2845"/>
          <cell r="E2845"/>
          <cell r="F2845"/>
          <cell r="G2845"/>
          <cell r="H2845"/>
          <cell r="J2845"/>
          <cell r="L2845"/>
          <cell r="M2845"/>
        </row>
        <row r="2846">
          <cell r="B2846"/>
          <cell r="C2846"/>
          <cell r="E2846"/>
          <cell r="F2846"/>
          <cell r="G2846"/>
          <cell r="H2846"/>
          <cell r="J2846"/>
          <cell r="L2846"/>
          <cell r="M2846"/>
        </row>
        <row r="2847">
          <cell r="B2847"/>
          <cell r="C2847"/>
          <cell r="E2847"/>
          <cell r="F2847"/>
          <cell r="G2847"/>
          <cell r="H2847"/>
          <cell r="J2847"/>
          <cell r="L2847"/>
          <cell r="M2847"/>
        </row>
        <row r="2848">
          <cell r="B2848"/>
          <cell r="C2848"/>
          <cell r="E2848"/>
          <cell r="F2848"/>
          <cell r="G2848"/>
          <cell r="H2848"/>
          <cell r="J2848"/>
          <cell r="L2848"/>
          <cell r="M2848"/>
        </row>
        <row r="2849">
          <cell r="B2849"/>
          <cell r="C2849"/>
          <cell r="E2849"/>
          <cell r="F2849"/>
          <cell r="G2849"/>
          <cell r="H2849"/>
          <cell r="J2849"/>
          <cell r="L2849"/>
          <cell r="M2849"/>
        </row>
        <row r="2850">
          <cell r="B2850"/>
          <cell r="C2850"/>
          <cell r="E2850"/>
          <cell r="F2850"/>
          <cell r="G2850"/>
          <cell r="H2850"/>
          <cell r="J2850"/>
          <cell r="L2850"/>
          <cell r="M2850"/>
        </row>
        <row r="2851">
          <cell r="B2851"/>
          <cell r="C2851"/>
          <cell r="E2851"/>
          <cell r="F2851"/>
          <cell r="G2851"/>
          <cell r="H2851"/>
          <cell r="J2851"/>
          <cell r="L2851"/>
          <cell r="M2851"/>
        </row>
        <row r="2852">
          <cell r="B2852"/>
          <cell r="C2852"/>
          <cell r="E2852"/>
          <cell r="F2852"/>
          <cell r="G2852"/>
          <cell r="H2852"/>
          <cell r="J2852"/>
          <cell r="L2852"/>
          <cell r="M2852"/>
        </row>
        <row r="2853">
          <cell r="B2853"/>
          <cell r="C2853"/>
          <cell r="E2853"/>
          <cell r="F2853"/>
          <cell r="G2853"/>
          <cell r="H2853"/>
          <cell r="J2853"/>
          <cell r="L2853"/>
          <cell r="M2853"/>
        </row>
        <row r="2854">
          <cell r="B2854"/>
          <cell r="C2854"/>
          <cell r="E2854"/>
          <cell r="F2854"/>
          <cell r="G2854"/>
          <cell r="H2854"/>
          <cell r="J2854"/>
          <cell r="L2854"/>
          <cell r="M2854"/>
        </row>
        <row r="2855">
          <cell r="B2855"/>
          <cell r="C2855"/>
          <cell r="E2855"/>
          <cell r="F2855"/>
          <cell r="G2855"/>
          <cell r="H2855"/>
          <cell r="J2855"/>
          <cell r="L2855"/>
          <cell r="M2855"/>
        </row>
        <row r="2856">
          <cell r="B2856"/>
          <cell r="C2856"/>
          <cell r="E2856"/>
          <cell r="F2856"/>
          <cell r="G2856"/>
          <cell r="H2856"/>
          <cell r="J2856"/>
          <cell r="L2856"/>
          <cell r="M2856"/>
        </row>
        <row r="2857">
          <cell r="B2857"/>
          <cell r="C2857"/>
          <cell r="E2857"/>
          <cell r="F2857"/>
          <cell r="G2857"/>
          <cell r="H2857"/>
          <cell r="J2857"/>
          <cell r="L2857"/>
          <cell r="M2857"/>
        </row>
        <row r="2858">
          <cell r="B2858"/>
          <cell r="C2858"/>
          <cell r="E2858"/>
          <cell r="F2858"/>
          <cell r="G2858"/>
          <cell r="H2858"/>
          <cell r="J2858"/>
          <cell r="L2858"/>
          <cell r="M2858"/>
        </row>
        <row r="2859">
          <cell r="B2859"/>
          <cell r="C2859"/>
          <cell r="E2859"/>
          <cell r="F2859"/>
          <cell r="G2859"/>
          <cell r="H2859"/>
          <cell r="J2859"/>
          <cell r="L2859"/>
          <cell r="M2859"/>
        </row>
        <row r="2860">
          <cell r="B2860"/>
          <cell r="C2860"/>
          <cell r="E2860"/>
          <cell r="F2860"/>
          <cell r="G2860"/>
          <cell r="H2860"/>
          <cell r="J2860"/>
          <cell r="L2860"/>
          <cell r="M2860"/>
        </row>
        <row r="2861">
          <cell r="B2861"/>
          <cell r="C2861"/>
          <cell r="E2861"/>
          <cell r="F2861"/>
          <cell r="G2861"/>
          <cell r="H2861"/>
          <cell r="J2861"/>
          <cell r="L2861"/>
          <cell r="M2861"/>
        </row>
        <row r="2862">
          <cell r="B2862"/>
          <cell r="C2862"/>
          <cell r="E2862"/>
          <cell r="F2862"/>
          <cell r="G2862"/>
          <cell r="H2862"/>
          <cell r="J2862"/>
          <cell r="L2862"/>
          <cell r="M2862"/>
        </row>
        <row r="2863">
          <cell r="B2863"/>
          <cell r="C2863"/>
          <cell r="E2863"/>
          <cell r="F2863"/>
          <cell r="G2863"/>
          <cell r="H2863"/>
          <cell r="J2863"/>
          <cell r="L2863"/>
          <cell r="M2863"/>
        </row>
        <row r="2864">
          <cell r="B2864"/>
          <cell r="C2864"/>
          <cell r="E2864"/>
          <cell r="F2864"/>
          <cell r="G2864"/>
          <cell r="H2864"/>
          <cell r="J2864"/>
          <cell r="L2864"/>
          <cell r="M2864"/>
        </row>
        <row r="2865">
          <cell r="B2865"/>
          <cell r="C2865"/>
          <cell r="E2865"/>
          <cell r="F2865"/>
          <cell r="G2865"/>
          <cell r="H2865"/>
          <cell r="J2865"/>
          <cell r="L2865"/>
          <cell r="M2865"/>
        </row>
        <row r="2866">
          <cell r="B2866"/>
          <cell r="C2866"/>
          <cell r="E2866"/>
          <cell r="F2866"/>
          <cell r="G2866"/>
          <cell r="H2866"/>
          <cell r="J2866"/>
          <cell r="L2866"/>
          <cell r="M2866"/>
        </row>
        <row r="2867">
          <cell r="B2867"/>
          <cell r="C2867"/>
          <cell r="E2867"/>
          <cell r="F2867"/>
          <cell r="G2867"/>
          <cell r="H2867"/>
          <cell r="J2867"/>
          <cell r="L2867"/>
          <cell r="M2867"/>
        </row>
        <row r="2868">
          <cell r="B2868"/>
          <cell r="C2868"/>
          <cell r="E2868"/>
          <cell r="F2868"/>
          <cell r="G2868"/>
          <cell r="H2868"/>
          <cell r="J2868"/>
          <cell r="L2868"/>
          <cell r="M2868"/>
        </row>
        <row r="2869">
          <cell r="B2869"/>
          <cell r="C2869"/>
          <cell r="E2869"/>
          <cell r="F2869"/>
          <cell r="G2869"/>
          <cell r="H2869"/>
          <cell r="J2869"/>
          <cell r="L2869"/>
          <cell r="M2869"/>
        </row>
        <row r="2870">
          <cell r="B2870"/>
          <cell r="C2870"/>
          <cell r="E2870"/>
          <cell r="F2870"/>
          <cell r="G2870"/>
          <cell r="H2870"/>
          <cell r="J2870"/>
          <cell r="L2870"/>
          <cell r="M2870"/>
        </row>
        <row r="2871">
          <cell r="B2871"/>
          <cell r="C2871"/>
          <cell r="E2871"/>
          <cell r="F2871"/>
          <cell r="G2871"/>
          <cell r="H2871"/>
          <cell r="J2871"/>
          <cell r="L2871"/>
          <cell r="M2871"/>
        </row>
        <row r="2872">
          <cell r="B2872"/>
          <cell r="C2872"/>
          <cell r="E2872"/>
          <cell r="F2872"/>
          <cell r="G2872"/>
          <cell r="H2872"/>
          <cell r="J2872"/>
          <cell r="L2872"/>
          <cell r="M2872"/>
        </row>
        <row r="2873">
          <cell r="B2873"/>
          <cell r="C2873"/>
          <cell r="E2873"/>
          <cell r="F2873"/>
          <cell r="G2873"/>
          <cell r="H2873"/>
          <cell r="J2873"/>
          <cell r="L2873"/>
          <cell r="M2873"/>
        </row>
        <row r="2874">
          <cell r="B2874"/>
          <cell r="C2874"/>
          <cell r="E2874"/>
          <cell r="F2874"/>
          <cell r="G2874"/>
          <cell r="H2874"/>
          <cell r="J2874"/>
          <cell r="L2874"/>
          <cell r="M2874"/>
        </row>
        <row r="2875">
          <cell r="B2875"/>
          <cell r="C2875"/>
          <cell r="E2875"/>
          <cell r="F2875"/>
          <cell r="G2875"/>
          <cell r="H2875"/>
          <cell r="J2875"/>
          <cell r="L2875"/>
          <cell r="M2875"/>
        </row>
        <row r="2876">
          <cell r="B2876"/>
          <cell r="C2876"/>
          <cell r="E2876"/>
          <cell r="F2876"/>
          <cell r="G2876"/>
          <cell r="H2876"/>
          <cell r="J2876"/>
          <cell r="L2876"/>
          <cell r="M2876"/>
        </row>
        <row r="2877">
          <cell r="B2877"/>
          <cell r="C2877"/>
          <cell r="E2877"/>
          <cell r="F2877"/>
          <cell r="G2877"/>
          <cell r="H2877"/>
          <cell r="J2877"/>
          <cell r="L2877"/>
          <cell r="M2877"/>
        </row>
        <row r="2878">
          <cell r="B2878"/>
          <cell r="C2878"/>
          <cell r="E2878"/>
          <cell r="F2878"/>
          <cell r="G2878"/>
          <cell r="H2878"/>
          <cell r="J2878"/>
          <cell r="L2878"/>
          <cell r="M2878"/>
        </row>
        <row r="2879">
          <cell r="B2879"/>
          <cell r="C2879"/>
          <cell r="E2879"/>
          <cell r="F2879"/>
          <cell r="G2879"/>
          <cell r="H2879"/>
          <cell r="J2879"/>
          <cell r="L2879"/>
          <cell r="M2879"/>
        </row>
        <row r="2880">
          <cell r="B2880"/>
          <cell r="C2880"/>
          <cell r="E2880"/>
          <cell r="F2880"/>
          <cell r="G2880"/>
          <cell r="H2880"/>
          <cell r="J2880"/>
          <cell r="L2880"/>
          <cell r="M2880"/>
        </row>
        <row r="2881">
          <cell r="B2881"/>
          <cell r="C2881"/>
          <cell r="E2881"/>
          <cell r="F2881"/>
          <cell r="G2881"/>
          <cell r="H2881"/>
          <cell r="J2881"/>
          <cell r="L2881"/>
          <cell r="M2881"/>
        </row>
        <row r="2882">
          <cell r="B2882"/>
          <cell r="C2882"/>
          <cell r="E2882"/>
          <cell r="F2882"/>
          <cell r="G2882"/>
          <cell r="H2882"/>
          <cell r="J2882"/>
          <cell r="L2882"/>
          <cell r="M2882"/>
        </row>
        <row r="2883">
          <cell r="B2883"/>
          <cell r="C2883"/>
          <cell r="E2883"/>
          <cell r="F2883"/>
          <cell r="G2883"/>
          <cell r="H2883"/>
          <cell r="J2883"/>
          <cell r="L2883"/>
          <cell r="M2883"/>
        </row>
        <row r="2884">
          <cell r="B2884"/>
          <cell r="C2884"/>
          <cell r="E2884"/>
          <cell r="F2884"/>
          <cell r="G2884"/>
          <cell r="H2884"/>
          <cell r="J2884"/>
          <cell r="L2884"/>
          <cell r="M2884"/>
        </row>
        <row r="2885">
          <cell r="B2885"/>
          <cell r="C2885"/>
          <cell r="E2885"/>
          <cell r="F2885"/>
          <cell r="G2885"/>
          <cell r="H2885"/>
          <cell r="J2885"/>
          <cell r="L2885"/>
          <cell r="M2885"/>
        </row>
        <row r="2886">
          <cell r="B2886"/>
          <cell r="C2886"/>
          <cell r="E2886"/>
          <cell r="F2886"/>
          <cell r="G2886"/>
          <cell r="H2886"/>
          <cell r="J2886"/>
          <cell r="L2886"/>
          <cell r="M2886"/>
        </row>
        <row r="2887">
          <cell r="B2887"/>
          <cell r="C2887"/>
          <cell r="E2887"/>
          <cell r="F2887"/>
          <cell r="G2887"/>
          <cell r="H2887"/>
          <cell r="J2887"/>
          <cell r="L2887"/>
          <cell r="M2887"/>
        </row>
        <row r="2888">
          <cell r="B2888"/>
          <cell r="C2888"/>
          <cell r="E2888"/>
          <cell r="F2888"/>
          <cell r="G2888"/>
          <cell r="H2888"/>
          <cell r="J2888"/>
          <cell r="L2888"/>
          <cell r="M2888"/>
        </row>
        <row r="2889">
          <cell r="B2889"/>
          <cell r="C2889"/>
          <cell r="E2889"/>
          <cell r="F2889"/>
          <cell r="G2889"/>
          <cell r="H2889"/>
          <cell r="J2889"/>
          <cell r="L2889"/>
          <cell r="M2889"/>
        </row>
        <row r="2890">
          <cell r="B2890"/>
          <cell r="C2890"/>
          <cell r="E2890"/>
          <cell r="F2890"/>
          <cell r="G2890"/>
          <cell r="H2890"/>
          <cell r="J2890"/>
          <cell r="L2890"/>
          <cell r="M2890"/>
        </row>
        <row r="2891">
          <cell r="B2891"/>
          <cell r="C2891"/>
          <cell r="E2891"/>
          <cell r="F2891"/>
          <cell r="G2891"/>
          <cell r="H2891"/>
          <cell r="J2891"/>
          <cell r="L2891"/>
          <cell r="M2891"/>
        </row>
        <row r="2892">
          <cell r="B2892"/>
          <cell r="C2892"/>
          <cell r="E2892"/>
          <cell r="F2892"/>
          <cell r="G2892"/>
          <cell r="H2892"/>
          <cell r="J2892"/>
          <cell r="L2892"/>
          <cell r="M2892"/>
        </row>
        <row r="2893">
          <cell r="B2893"/>
          <cell r="C2893"/>
          <cell r="E2893"/>
          <cell r="F2893"/>
          <cell r="G2893"/>
          <cell r="H2893"/>
          <cell r="J2893"/>
          <cell r="L2893"/>
          <cell r="M2893"/>
        </row>
        <row r="2894">
          <cell r="B2894"/>
          <cell r="C2894"/>
          <cell r="E2894"/>
          <cell r="F2894"/>
          <cell r="G2894"/>
          <cell r="H2894"/>
          <cell r="J2894"/>
          <cell r="L2894"/>
          <cell r="M2894"/>
        </row>
        <row r="2895">
          <cell r="B2895"/>
          <cell r="C2895"/>
          <cell r="E2895"/>
          <cell r="F2895"/>
          <cell r="G2895"/>
          <cell r="H2895"/>
          <cell r="J2895"/>
          <cell r="L2895"/>
          <cell r="M2895"/>
        </row>
        <row r="2896">
          <cell r="B2896"/>
          <cell r="C2896"/>
          <cell r="E2896"/>
          <cell r="F2896"/>
          <cell r="G2896"/>
          <cell r="H2896"/>
          <cell r="J2896"/>
          <cell r="L2896"/>
          <cell r="M2896"/>
        </row>
        <row r="2897">
          <cell r="B2897"/>
          <cell r="C2897"/>
          <cell r="E2897"/>
          <cell r="F2897"/>
          <cell r="G2897"/>
          <cell r="H2897"/>
          <cell r="J2897"/>
          <cell r="L2897"/>
          <cell r="M2897"/>
        </row>
        <row r="2898">
          <cell r="B2898"/>
          <cell r="C2898"/>
          <cell r="E2898"/>
          <cell r="F2898"/>
          <cell r="G2898"/>
          <cell r="H2898"/>
          <cell r="J2898"/>
          <cell r="L2898"/>
          <cell r="M2898"/>
        </row>
        <row r="2899">
          <cell r="B2899"/>
          <cell r="C2899"/>
          <cell r="E2899"/>
          <cell r="F2899"/>
          <cell r="G2899"/>
          <cell r="H2899"/>
          <cell r="J2899"/>
          <cell r="L2899"/>
          <cell r="M2899"/>
        </row>
        <row r="2900">
          <cell r="B2900"/>
          <cell r="C2900"/>
          <cell r="E2900"/>
          <cell r="F2900"/>
          <cell r="G2900"/>
          <cell r="H2900"/>
          <cell r="J2900"/>
          <cell r="L2900"/>
          <cell r="M2900"/>
        </row>
        <row r="2901">
          <cell r="B2901"/>
          <cell r="C2901"/>
          <cell r="E2901"/>
          <cell r="F2901"/>
          <cell r="G2901"/>
          <cell r="H2901"/>
          <cell r="J2901"/>
          <cell r="L2901"/>
          <cell r="M2901"/>
        </row>
        <row r="2902">
          <cell r="B2902"/>
          <cell r="C2902"/>
          <cell r="E2902"/>
          <cell r="F2902"/>
          <cell r="G2902"/>
          <cell r="H2902"/>
          <cell r="J2902"/>
          <cell r="L2902"/>
          <cell r="M2902"/>
        </row>
        <row r="2903">
          <cell r="B2903"/>
          <cell r="C2903"/>
          <cell r="E2903"/>
          <cell r="F2903"/>
          <cell r="G2903"/>
          <cell r="H2903"/>
          <cell r="J2903"/>
          <cell r="L2903"/>
          <cell r="M2903"/>
        </row>
        <row r="2904">
          <cell r="B2904"/>
          <cell r="C2904"/>
          <cell r="E2904"/>
          <cell r="F2904"/>
          <cell r="G2904"/>
          <cell r="H2904"/>
          <cell r="J2904"/>
          <cell r="L2904"/>
          <cell r="M2904"/>
        </row>
        <row r="2905">
          <cell r="B2905"/>
          <cell r="C2905"/>
          <cell r="E2905"/>
          <cell r="F2905"/>
          <cell r="G2905"/>
          <cell r="H2905"/>
          <cell r="J2905"/>
          <cell r="L2905"/>
          <cell r="M2905"/>
        </row>
        <row r="2906">
          <cell r="B2906"/>
          <cell r="C2906"/>
          <cell r="E2906"/>
          <cell r="F2906"/>
          <cell r="G2906"/>
          <cell r="H2906"/>
          <cell r="J2906"/>
          <cell r="L2906"/>
          <cell r="M2906"/>
        </row>
        <row r="2907">
          <cell r="B2907"/>
          <cell r="C2907"/>
          <cell r="E2907"/>
          <cell r="F2907"/>
          <cell r="G2907"/>
          <cell r="H2907"/>
          <cell r="J2907"/>
          <cell r="L2907"/>
          <cell r="M2907"/>
        </row>
        <row r="2908">
          <cell r="B2908"/>
          <cell r="C2908"/>
          <cell r="E2908"/>
          <cell r="F2908"/>
          <cell r="G2908"/>
          <cell r="H2908"/>
          <cell r="J2908"/>
          <cell r="L2908"/>
          <cell r="M2908"/>
        </row>
        <row r="2909">
          <cell r="B2909"/>
          <cell r="C2909"/>
          <cell r="E2909"/>
          <cell r="F2909"/>
          <cell r="G2909"/>
          <cell r="H2909"/>
          <cell r="J2909"/>
          <cell r="L2909"/>
          <cell r="M2909"/>
        </row>
        <row r="2910">
          <cell r="B2910"/>
          <cell r="C2910"/>
          <cell r="E2910"/>
          <cell r="F2910"/>
          <cell r="G2910"/>
          <cell r="H2910"/>
          <cell r="J2910"/>
          <cell r="L2910"/>
          <cell r="M2910"/>
        </row>
        <row r="2911">
          <cell r="B2911"/>
          <cell r="C2911"/>
          <cell r="E2911"/>
          <cell r="F2911"/>
          <cell r="G2911"/>
          <cell r="H2911"/>
          <cell r="J2911"/>
          <cell r="L2911"/>
          <cell r="M2911"/>
        </row>
        <row r="2912">
          <cell r="B2912"/>
          <cell r="C2912"/>
          <cell r="E2912"/>
          <cell r="F2912"/>
          <cell r="G2912"/>
          <cell r="H2912"/>
          <cell r="J2912"/>
          <cell r="L2912"/>
          <cell r="M2912"/>
        </row>
        <row r="2913">
          <cell r="B2913"/>
          <cell r="C2913"/>
          <cell r="E2913"/>
          <cell r="F2913"/>
          <cell r="G2913"/>
          <cell r="H2913"/>
          <cell r="J2913"/>
          <cell r="L2913"/>
          <cell r="M2913"/>
        </row>
        <row r="2914">
          <cell r="B2914"/>
          <cell r="C2914"/>
          <cell r="E2914"/>
          <cell r="F2914"/>
          <cell r="G2914"/>
          <cell r="H2914"/>
          <cell r="J2914"/>
          <cell r="L2914"/>
          <cell r="M2914"/>
        </row>
        <row r="2915">
          <cell r="B2915"/>
          <cell r="C2915"/>
          <cell r="E2915"/>
          <cell r="F2915"/>
          <cell r="G2915"/>
          <cell r="H2915"/>
          <cell r="J2915"/>
          <cell r="L2915"/>
          <cell r="M2915"/>
        </row>
        <row r="2916">
          <cell r="B2916"/>
          <cell r="C2916"/>
          <cell r="E2916"/>
          <cell r="F2916"/>
          <cell r="G2916"/>
          <cell r="H2916"/>
          <cell r="J2916"/>
          <cell r="L2916"/>
          <cell r="M2916"/>
        </row>
        <row r="2917">
          <cell r="B2917"/>
          <cell r="C2917"/>
          <cell r="E2917"/>
          <cell r="F2917"/>
          <cell r="G2917"/>
          <cell r="H2917"/>
          <cell r="J2917"/>
          <cell r="L2917"/>
          <cell r="M2917"/>
        </row>
        <row r="2918">
          <cell r="B2918"/>
          <cell r="C2918"/>
          <cell r="E2918"/>
          <cell r="F2918"/>
          <cell r="G2918"/>
          <cell r="H2918"/>
          <cell r="J2918"/>
          <cell r="L2918"/>
          <cell r="M2918"/>
        </row>
        <row r="2919">
          <cell r="B2919"/>
          <cell r="C2919"/>
          <cell r="E2919"/>
          <cell r="F2919"/>
          <cell r="G2919"/>
          <cell r="H2919"/>
          <cell r="J2919"/>
          <cell r="L2919"/>
          <cell r="M2919"/>
        </row>
        <row r="2920">
          <cell r="B2920"/>
          <cell r="C2920"/>
          <cell r="E2920"/>
          <cell r="F2920"/>
          <cell r="G2920"/>
          <cell r="H2920"/>
          <cell r="J2920"/>
          <cell r="L2920"/>
          <cell r="M2920"/>
        </row>
        <row r="2921">
          <cell r="B2921"/>
          <cell r="C2921"/>
          <cell r="E2921"/>
          <cell r="F2921"/>
          <cell r="G2921"/>
          <cell r="H2921"/>
          <cell r="J2921"/>
          <cell r="L2921"/>
          <cell r="M2921"/>
        </row>
        <row r="2922">
          <cell r="B2922"/>
          <cell r="C2922"/>
          <cell r="E2922"/>
          <cell r="F2922"/>
          <cell r="G2922"/>
          <cell r="H2922"/>
          <cell r="J2922"/>
          <cell r="L2922"/>
          <cell r="M2922"/>
        </row>
        <row r="2923">
          <cell r="B2923"/>
          <cell r="C2923"/>
          <cell r="E2923"/>
          <cell r="F2923"/>
          <cell r="G2923"/>
          <cell r="H2923"/>
          <cell r="J2923"/>
          <cell r="L2923"/>
          <cell r="M2923"/>
        </row>
        <row r="2924">
          <cell r="B2924"/>
          <cell r="C2924"/>
          <cell r="E2924"/>
          <cell r="F2924"/>
          <cell r="G2924"/>
          <cell r="H2924"/>
          <cell r="J2924"/>
          <cell r="L2924"/>
          <cell r="M2924"/>
        </row>
        <row r="2925">
          <cell r="B2925"/>
          <cell r="C2925"/>
          <cell r="E2925"/>
          <cell r="F2925"/>
          <cell r="G2925"/>
          <cell r="H2925"/>
          <cell r="J2925"/>
          <cell r="L2925"/>
          <cell r="M2925"/>
        </row>
        <row r="2926">
          <cell r="B2926"/>
          <cell r="C2926"/>
          <cell r="E2926"/>
          <cell r="F2926"/>
          <cell r="G2926"/>
          <cell r="H2926"/>
          <cell r="J2926"/>
          <cell r="L2926"/>
          <cell r="M2926"/>
        </row>
        <row r="2927">
          <cell r="B2927"/>
          <cell r="C2927"/>
          <cell r="E2927"/>
          <cell r="F2927"/>
          <cell r="G2927"/>
          <cell r="H2927"/>
          <cell r="J2927"/>
          <cell r="L2927"/>
          <cell r="M2927"/>
        </row>
        <row r="2928">
          <cell r="B2928"/>
          <cell r="C2928"/>
          <cell r="E2928"/>
          <cell r="F2928"/>
          <cell r="G2928"/>
          <cell r="H2928"/>
          <cell r="J2928"/>
          <cell r="L2928"/>
          <cell r="M2928"/>
        </row>
        <row r="2929">
          <cell r="B2929"/>
          <cell r="C2929"/>
          <cell r="E2929"/>
          <cell r="F2929"/>
          <cell r="G2929"/>
          <cell r="H2929"/>
          <cell r="J2929"/>
          <cell r="L2929"/>
          <cell r="M2929"/>
        </row>
        <row r="2930">
          <cell r="B2930"/>
          <cell r="C2930"/>
          <cell r="E2930"/>
          <cell r="F2930"/>
          <cell r="G2930"/>
          <cell r="H2930"/>
          <cell r="J2930"/>
          <cell r="L2930"/>
          <cell r="M2930"/>
        </row>
        <row r="2931">
          <cell r="B2931"/>
          <cell r="C2931"/>
          <cell r="E2931"/>
          <cell r="F2931"/>
          <cell r="G2931"/>
          <cell r="H2931"/>
          <cell r="J2931"/>
          <cell r="L2931"/>
          <cell r="M2931"/>
        </row>
        <row r="2932">
          <cell r="B2932"/>
          <cell r="C2932"/>
          <cell r="E2932"/>
          <cell r="F2932"/>
          <cell r="G2932"/>
          <cell r="H2932"/>
          <cell r="J2932"/>
          <cell r="L2932"/>
          <cell r="M2932"/>
        </row>
        <row r="2933">
          <cell r="B2933"/>
          <cell r="C2933"/>
          <cell r="E2933"/>
          <cell r="F2933"/>
          <cell r="G2933"/>
          <cell r="H2933"/>
          <cell r="J2933"/>
          <cell r="L2933"/>
          <cell r="M2933"/>
        </row>
        <row r="2934">
          <cell r="B2934"/>
          <cell r="C2934"/>
          <cell r="E2934"/>
          <cell r="F2934"/>
          <cell r="G2934"/>
          <cell r="H2934"/>
          <cell r="J2934"/>
          <cell r="L2934"/>
          <cell r="M2934"/>
        </row>
        <row r="2935">
          <cell r="B2935"/>
          <cell r="C2935"/>
          <cell r="E2935"/>
          <cell r="F2935"/>
          <cell r="G2935"/>
          <cell r="H2935"/>
          <cell r="J2935"/>
          <cell r="L2935"/>
          <cell r="M2935"/>
        </row>
        <row r="2936">
          <cell r="B2936"/>
          <cell r="C2936"/>
          <cell r="E2936"/>
          <cell r="F2936"/>
          <cell r="G2936"/>
          <cell r="H2936"/>
          <cell r="J2936"/>
          <cell r="L2936"/>
          <cell r="M2936"/>
        </row>
        <row r="2937">
          <cell r="B2937"/>
          <cell r="C2937"/>
          <cell r="E2937"/>
          <cell r="F2937"/>
          <cell r="G2937"/>
          <cell r="H2937"/>
          <cell r="J2937"/>
          <cell r="L2937"/>
          <cell r="M2937"/>
        </row>
        <row r="2938">
          <cell r="B2938"/>
          <cell r="C2938"/>
          <cell r="E2938"/>
          <cell r="F2938"/>
          <cell r="G2938"/>
          <cell r="H2938"/>
          <cell r="J2938"/>
          <cell r="L2938"/>
          <cell r="M2938"/>
        </row>
        <row r="2939">
          <cell r="B2939"/>
          <cell r="C2939"/>
          <cell r="E2939"/>
          <cell r="F2939"/>
          <cell r="G2939"/>
          <cell r="H2939"/>
          <cell r="J2939"/>
          <cell r="L2939"/>
          <cell r="M2939"/>
        </row>
        <row r="2940">
          <cell r="B2940"/>
          <cell r="C2940"/>
          <cell r="E2940"/>
          <cell r="F2940"/>
          <cell r="G2940"/>
          <cell r="H2940"/>
          <cell r="J2940"/>
          <cell r="L2940"/>
          <cell r="M2940"/>
        </row>
        <row r="2941">
          <cell r="B2941"/>
          <cell r="C2941"/>
          <cell r="E2941"/>
          <cell r="F2941"/>
          <cell r="G2941"/>
          <cell r="H2941"/>
          <cell r="J2941"/>
          <cell r="L2941"/>
          <cell r="M2941"/>
        </row>
        <row r="2942">
          <cell r="B2942"/>
          <cell r="C2942"/>
          <cell r="E2942"/>
          <cell r="F2942"/>
          <cell r="G2942"/>
          <cell r="H2942"/>
          <cell r="J2942"/>
          <cell r="L2942"/>
          <cell r="M2942"/>
        </row>
        <row r="2943">
          <cell r="B2943"/>
          <cell r="C2943"/>
          <cell r="E2943"/>
          <cell r="F2943"/>
          <cell r="G2943"/>
          <cell r="H2943"/>
          <cell r="J2943"/>
          <cell r="L2943"/>
          <cell r="M2943"/>
        </row>
        <row r="2944">
          <cell r="B2944"/>
          <cell r="C2944"/>
          <cell r="E2944"/>
          <cell r="F2944"/>
          <cell r="G2944"/>
          <cell r="H2944"/>
          <cell r="J2944"/>
          <cell r="L2944"/>
          <cell r="M2944"/>
        </row>
        <row r="2945">
          <cell r="B2945"/>
          <cell r="C2945"/>
          <cell r="E2945"/>
          <cell r="F2945"/>
          <cell r="G2945"/>
          <cell r="H2945"/>
          <cell r="J2945"/>
          <cell r="L2945"/>
          <cell r="M2945"/>
        </row>
        <row r="2946">
          <cell r="B2946"/>
          <cell r="C2946"/>
          <cell r="E2946"/>
          <cell r="F2946"/>
          <cell r="G2946"/>
          <cell r="H2946"/>
          <cell r="J2946"/>
          <cell r="L2946"/>
          <cell r="M2946"/>
        </row>
        <row r="2947">
          <cell r="B2947"/>
          <cell r="C2947"/>
          <cell r="E2947"/>
          <cell r="F2947"/>
          <cell r="G2947"/>
          <cell r="H2947"/>
          <cell r="J2947"/>
          <cell r="L2947"/>
          <cell r="M2947"/>
        </row>
        <row r="2948">
          <cell r="B2948"/>
          <cell r="C2948"/>
          <cell r="E2948"/>
          <cell r="F2948"/>
          <cell r="G2948"/>
          <cell r="H2948"/>
          <cell r="J2948"/>
          <cell r="L2948"/>
          <cell r="M2948"/>
        </row>
        <row r="2949">
          <cell r="B2949"/>
          <cell r="C2949"/>
          <cell r="E2949"/>
          <cell r="F2949"/>
          <cell r="G2949"/>
          <cell r="H2949"/>
          <cell r="J2949"/>
          <cell r="L2949"/>
          <cell r="M2949"/>
        </row>
        <row r="2950">
          <cell r="B2950"/>
          <cell r="C2950"/>
          <cell r="E2950"/>
          <cell r="F2950"/>
          <cell r="G2950"/>
          <cell r="H2950"/>
          <cell r="J2950"/>
          <cell r="L2950"/>
          <cell r="M2950"/>
        </row>
        <row r="2951">
          <cell r="B2951"/>
          <cell r="C2951"/>
          <cell r="E2951"/>
          <cell r="F2951"/>
          <cell r="G2951"/>
          <cell r="H2951"/>
          <cell r="J2951"/>
          <cell r="L2951"/>
          <cell r="M2951"/>
        </row>
        <row r="2952">
          <cell r="B2952"/>
          <cell r="C2952"/>
          <cell r="E2952"/>
          <cell r="F2952"/>
          <cell r="G2952"/>
          <cell r="H2952"/>
          <cell r="J2952"/>
          <cell r="L2952"/>
          <cell r="M2952"/>
        </row>
        <row r="2953">
          <cell r="B2953"/>
          <cell r="C2953"/>
          <cell r="E2953"/>
          <cell r="F2953"/>
          <cell r="G2953"/>
          <cell r="H2953"/>
          <cell r="J2953"/>
          <cell r="L2953"/>
          <cell r="M2953"/>
        </row>
        <row r="2954">
          <cell r="B2954"/>
          <cell r="C2954"/>
          <cell r="E2954"/>
          <cell r="F2954"/>
          <cell r="G2954"/>
          <cell r="H2954"/>
          <cell r="J2954"/>
          <cell r="L2954"/>
          <cell r="M2954"/>
        </row>
        <row r="2955">
          <cell r="B2955"/>
          <cell r="C2955"/>
          <cell r="E2955"/>
          <cell r="F2955"/>
          <cell r="G2955"/>
          <cell r="H2955"/>
          <cell r="J2955"/>
          <cell r="L2955"/>
          <cell r="M2955"/>
        </row>
        <row r="2956">
          <cell r="B2956"/>
          <cell r="C2956"/>
          <cell r="E2956"/>
          <cell r="F2956"/>
          <cell r="G2956"/>
          <cell r="H2956"/>
          <cell r="J2956"/>
          <cell r="L2956"/>
          <cell r="M2956"/>
        </row>
        <row r="2957">
          <cell r="B2957"/>
          <cell r="C2957"/>
          <cell r="E2957"/>
          <cell r="F2957"/>
          <cell r="G2957"/>
          <cell r="H2957"/>
          <cell r="J2957"/>
          <cell r="L2957"/>
          <cell r="M2957"/>
        </row>
        <row r="2958">
          <cell r="B2958"/>
          <cell r="C2958"/>
          <cell r="E2958"/>
          <cell r="F2958"/>
          <cell r="G2958"/>
          <cell r="H2958"/>
          <cell r="J2958"/>
          <cell r="L2958"/>
          <cell r="M2958"/>
        </row>
        <row r="2959">
          <cell r="B2959"/>
          <cell r="C2959"/>
          <cell r="E2959"/>
          <cell r="F2959"/>
          <cell r="G2959"/>
          <cell r="H2959"/>
          <cell r="J2959"/>
          <cell r="L2959"/>
          <cell r="M2959"/>
        </row>
        <row r="2960">
          <cell r="B2960"/>
          <cell r="C2960"/>
          <cell r="E2960"/>
          <cell r="F2960"/>
          <cell r="G2960"/>
          <cell r="H2960"/>
          <cell r="J2960"/>
          <cell r="L2960"/>
          <cell r="M2960"/>
        </row>
        <row r="2961">
          <cell r="B2961"/>
          <cell r="C2961"/>
          <cell r="E2961"/>
          <cell r="F2961"/>
          <cell r="G2961"/>
          <cell r="H2961"/>
          <cell r="J2961"/>
          <cell r="L2961"/>
          <cell r="M2961"/>
        </row>
        <row r="2962">
          <cell r="B2962"/>
          <cell r="C2962"/>
          <cell r="E2962"/>
          <cell r="F2962"/>
          <cell r="G2962"/>
          <cell r="H2962"/>
          <cell r="J2962"/>
          <cell r="L2962"/>
          <cell r="M2962"/>
        </row>
        <row r="2963">
          <cell r="B2963"/>
          <cell r="C2963"/>
          <cell r="E2963"/>
          <cell r="F2963"/>
          <cell r="G2963"/>
          <cell r="H2963"/>
          <cell r="J2963"/>
          <cell r="L2963"/>
          <cell r="M2963"/>
        </row>
        <row r="2964">
          <cell r="B2964"/>
          <cell r="C2964"/>
          <cell r="E2964"/>
          <cell r="F2964"/>
          <cell r="G2964"/>
          <cell r="H2964"/>
          <cell r="J2964"/>
          <cell r="L2964"/>
          <cell r="M2964"/>
        </row>
        <row r="2965">
          <cell r="B2965"/>
          <cell r="C2965"/>
          <cell r="E2965"/>
          <cell r="F2965"/>
          <cell r="G2965"/>
          <cell r="H2965"/>
          <cell r="J2965"/>
          <cell r="L2965"/>
          <cell r="M2965"/>
        </row>
        <row r="2966">
          <cell r="B2966"/>
          <cell r="C2966"/>
          <cell r="E2966"/>
          <cell r="F2966"/>
          <cell r="G2966"/>
          <cell r="H2966"/>
          <cell r="J2966"/>
          <cell r="L2966"/>
          <cell r="M2966"/>
        </row>
        <row r="2967">
          <cell r="B2967"/>
          <cell r="C2967"/>
          <cell r="E2967"/>
          <cell r="F2967"/>
          <cell r="G2967"/>
          <cell r="H2967"/>
          <cell r="J2967"/>
          <cell r="L2967"/>
          <cell r="M2967"/>
        </row>
        <row r="2968">
          <cell r="B2968"/>
          <cell r="C2968"/>
          <cell r="E2968"/>
          <cell r="F2968"/>
          <cell r="G2968"/>
          <cell r="H2968"/>
          <cell r="J2968"/>
          <cell r="L2968"/>
          <cell r="M2968"/>
        </row>
        <row r="2969">
          <cell r="B2969"/>
          <cell r="C2969"/>
          <cell r="E2969"/>
          <cell r="F2969"/>
          <cell r="G2969"/>
          <cell r="H2969"/>
          <cell r="J2969"/>
          <cell r="L2969"/>
          <cell r="M2969"/>
        </row>
        <row r="2970">
          <cell r="B2970"/>
          <cell r="C2970"/>
          <cell r="E2970"/>
          <cell r="F2970"/>
          <cell r="G2970"/>
          <cell r="H2970"/>
          <cell r="J2970"/>
          <cell r="L2970"/>
          <cell r="M2970"/>
        </row>
        <row r="2971">
          <cell r="B2971"/>
          <cell r="C2971"/>
          <cell r="E2971"/>
          <cell r="F2971"/>
          <cell r="G2971"/>
          <cell r="H2971"/>
          <cell r="J2971"/>
          <cell r="L2971"/>
          <cell r="M2971"/>
        </row>
        <row r="2972">
          <cell r="B2972"/>
          <cell r="C2972"/>
          <cell r="E2972"/>
          <cell r="F2972"/>
          <cell r="G2972"/>
          <cell r="H2972"/>
          <cell r="J2972"/>
          <cell r="L2972"/>
          <cell r="M2972"/>
        </row>
        <row r="2973">
          <cell r="B2973"/>
          <cell r="C2973"/>
          <cell r="E2973"/>
          <cell r="F2973"/>
          <cell r="G2973"/>
          <cell r="H2973"/>
          <cell r="J2973"/>
          <cell r="L2973"/>
          <cell r="M2973"/>
        </row>
        <row r="2974">
          <cell r="B2974"/>
          <cell r="C2974"/>
          <cell r="E2974"/>
          <cell r="F2974"/>
          <cell r="G2974"/>
          <cell r="H2974"/>
          <cell r="J2974"/>
          <cell r="L2974"/>
          <cell r="M2974"/>
        </row>
        <row r="2975">
          <cell r="B2975"/>
          <cell r="C2975"/>
          <cell r="E2975"/>
          <cell r="F2975"/>
          <cell r="G2975"/>
          <cell r="H2975"/>
          <cell r="J2975"/>
          <cell r="L2975"/>
          <cell r="M2975"/>
        </row>
        <row r="2976">
          <cell r="B2976"/>
          <cell r="C2976"/>
          <cell r="E2976"/>
          <cell r="F2976"/>
          <cell r="G2976"/>
          <cell r="H2976"/>
          <cell r="J2976"/>
          <cell r="L2976"/>
          <cell r="M2976"/>
        </row>
        <row r="2977">
          <cell r="B2977"/>
          <cell r="C2977"/>
          <cell r="E2977"/>
          <cell r="F2977"/>
          <cell r="G2977"/>
          <cell r="H2977"/>
          <cell r="J2977"/>
          <cell r="L2977"/>
          <cell r="M2977"/>
        </row>
        <row r="2978">
          <cell r="B2978"/>
          <cell r="C2978"/>
          <cell r="E2978"/>
          <cell r="F2978"/>
          <cell r="G2978"/>
          <cell r="H2978"/>
          <cell r="J2978"/>
          <cell r="L2978"/>
          <cell r="M2978"/>
        </row>
        <row r="2979">
          <cell r="B2979"/>
          <cell r="C2979"/>
          <cell r="E2979"/>
          <cell r="F2979"/>
          <cell r="G2979"/>
          <cell r="H2979"/>
          <cell r="J2979"/>
          <cell r="L2979"/>
          <cell r="M2979"/>
        </row>
        <row r="2980">
          <cell r="B2980"/>
          <cell r="C2980"/>
          <cell r="E2980"/>
          <cell r="F2980"/>
          <cell r="G2980"/>
          <cell r="H2980"/>
          <cell r="J2980"/>
          <cell r="L2980"/>
          <cell r="M2980"/>
        </row>
        <row r="2981">
          <cell r="B2981"/>
          <cell r="C2981"/>
          <cell r="E2981"/>
          <cell r="F2981"/>
          <cell r="G2981"/>
          <cell r="H2981"/>
          <cell r="J2981"/>
          <cell r="L2981"/>
          <cell r="M2981"/>
        </row>
        <row r="2982">
          <cell r="B2982"/>
          <cell r="C2982"/>
          <cell r="E2982"/>
          <cell r="F2982"/>
          <cell r="G2982"/>
          <cell r="H2982"/>
          <cell r="J2982"/>
          <cell r="L2982"/>
          <cell r="M2982"/>
        </row>
        <row r="2983">
          <cell r="B2983"/>
          <cell r="C2983"/>
          <cell r="E2983"/>
          <cell r="F2983"/>
          <cell r="G2983"/>
          <cell r="H2983"/>
          <cell r="J2983"/>
          <cell r="L2983"/>
          <cell r="M2983"/>
        </row>
        <row r="2984">
          <cell r="B2984"/>
          <cell r="C2984"/>
          <cell r="E2984"/>
          <cell r="F2984"/>
          <cell r="G2984"/>
          <cell r="H2984"/>
          <cell r="J2984"/>
          <cell r="L2984"/>
          <cell r="M2984"/>
        </row>
        <row r="2985">
          <cell r="B2985"/>
          <cell r="C2985"/>
          <cell r="E2985"/>
          <cell r="F2985"/>
          <cell r="G2985"/>
          <cell r="H2985"/>
          <cell r="J2985"/>
          <cell r="L2985"/>
          <cell r="M2985"/>
        </row>
        <row r="2986">
          <cell r="B2986"/>
          <cell r="C2986"/>
          <cell r="E2986"/>
          <cell r="F2986"/>
          <cell r="G2986"/>
          <cell r="H2986"/>
          <cell r="J2986"/>
          <cell r="L2986"/>
          <cell r="M2986"/>
        </row>
        <row r="2987">
          <cell r="B2987"/>
          <cell r="C2987"/>
          <cell r="E2987"/>
          <cell r="F2987"/>
          <cell r="G2987"/>
          <cell r="H2987"/>
          <cell r="J2987"/>
          <cell r="L2987"/>
          <cell r="M2987"/>
        </row>
        <row r="2988">
          <cell r="B2988"/>
          <cell r="C2988"/>
          <cell r="E2988"/>
          <cell r="F2988"/>
          <cell r="G2988"/>
          <cell r="H2988"/>
          <cell r="J2988"/>
          <cell r="L2988"/>
          <cell r="M2988"/>
        </row>
        <row r="2989">
          <cell r="B2989"/>
          <cell r="C2989"/>
          <cell r="E2989"/>
          <cell r="F2989"/>
          <cell r="G2989"/>
          <cell r="H2989"/>
          <cell r="J2989"/>
          <cell r="L2989"/>
          <cell r="M2989"/>
        </row>
        <row r="2990">
          <cell r="B2990"/>
          <cell r="C2990"/>
          <cell r="E2990"/>
          <cell r="F2990"/>
          <cell r="G2990"/>
          <cell r="H2990"/>
          <cell r="J2990"/>
          <cell r="L2990"/>
          <cell r="M2990"/>
        </row>
        <row r="2991">
          <cell r="B2991"/>
          <cell r="C2991"/>
          <cell r="E2991"/>
          <cell r="F2991"/>
          <cell r="G2991"/>
          <cell r="H2991"/>
          <cell r="J2991"/>
          <cell r="L2991"/>
          <cell r="M2991"/>
        </row>
        <row r="2992">
          <cell r="B2992"/>
          <cell r="C2992"/>
          <cell r="E2992"/>
          <cell r="F2992"/>
          <cell r="G2992"/>
          <cell r="H2992"/>
          <cell r="J2992"/>
          <cell r="L2992"/>
          <cell r="M2992"/>
        </row>
        <row r="2993">
          <cell r="B2993"/>
          <cell r="C2993"/>
          <cell r="E2993"/>
          <cell r="F2993"/>
          <cell r="G2993"/>
          <cell r="H2993"/>
          <cell r="J2993"/>
          <cell r="L2993"/>
          <cell r="M2993"/>
        </row>
        <row r="2994">
          <cell r="B2994"/>
          <cell r="C2994"/>
          <cell r="E2994"/>
          <cell r="F2994"/>
          <cell r="G2994"/>
          <cell r="H2994"/>
          <cell r="J2994"/>
          <cell r="L2994"/>
          <cell r="M2994"/>
        </row>
        <row r="2995">
          <cell r="B2995"/>
          <cell r="C2995"/>
          <cell r="E2995"/>
          <cell r="F2995"/>
          <cell r="G2995"/>
          <cell r="H2995"/>
          <cell r="J2995"/>
          <cell r="L2995"/>
          <cell r="M2995"/>
        </row>
        <row r="2996">
          <cell r="B2996"/>
          <cell r="C2996"/>
          <cell r="E2996"/>
          <cell r="F2996"/>
          <cell r="G2996"/>
          <cell r="H2996"/>
          <cell r="J2996"/>
          <cell r="L2996"/>
          <cell r="M2996"/>
        </row>
        <row r="2997">
          <cell r="B2997"/>
          <cell r="C2997"/>
          <cell r="E2997"/>
          <cell r="F2997"/>
          <cell r="G2997"/>
          <cell r="H2997"/>
          <cell r="J2997"/>
          <cell r="L2997"/>
          <cell r="M2997"/>
        </row>
        <row r="2998">
          <cell r="B2998"/>
          <cell r="C2998"/>
          <cell r="E2998"/>
          <cell r="F2998"/>
          <cell r="G2998"/>
          <cell r="H2998"/>
          <cell r="J2998"/>
          <cell r="L2998"/>
          <cell r="M2998"/>
        </row>
        <row r="2999">
          <cell r="B2999"/>
          <cell r="C2999"/>
          <cell r="E2999"/>
          <cell r="F2999"/>
          <cell r="G2999"/>
          <cell r="H2999"/>
          <cell r="J2999"/>
          <cell r="L2999"/>
          <cell r="M2999"/>
        </row>
        <row r="3000">
          <cell r="B3000"/>
          <cell r="C3000"/>
          <cell r="E3000"/>
          <cell r="F3000"/>
          <cell r="G3000"/>
          <cell r="H3000"/>
          <cell r="J3000"/>
          <cell r="L3000"/>
          <cell r="M3000"/>
        </row>
        <row r="3001">
          <cell r="B3001"/>
          <cell r="C3001"/>
          <cell r="E3001"/>
          <cell r="F3001"/>
          <cell r="G3001"/>
          <cell r="H3001"/>
          <cell r="J3001"/>
          <cell r="L3001"/>
          <cell r="M3001"/>
        </row>
        <row r="3002">
          <cell r="B3002"/>
          <cell r="C3002"/>
          <cell r="E3002"/>
          <cell r="F3002"/>
          <cell r="G3002"/>
          <cell r="H3002"/>
          <cell r="J3002"/>
          <cell r="L3002"/>
          <cell r="M3002"/>
        </row>
        <row r="3003">
          <cell r="B3003"/>
          <cell r="C3003"/>
          <cell r="E3003"/>
          <cell r="F3003"/>
          <cell r="G3003"/>
          <cell r="H3003"/>
          <cell r="J3003"/>
          <cell r="L3003"/>
          <cell r="M3003"/>
        </row>
        <row r="3004">
          <cell r="B3004"/>
          <cell r="C3004"/>
          <cell r="E3004"/>
          <cell r="F3004"/>
          <cell r="G3004"/>
          <cell r="H3004"/>
          <cell r="J3004"/>
          <cell r="L3004"/>
          <cell r="M3004"/>
        </row>
        <row r="3005">
          <cell r="B3005"/>
          <cell r="C3005"/>
          <cell r="E3005"/>
          <cell r="F3005"/>
          <cell r="G3005"/>
          <cell r="H3005"/>
          <cell r="J3005"/>
          <cell r="L3005"/>
          <cell r="M3005"/>
        </row>
        <row r="3006">
          <cell r="B3006"/>
          <cell r="C3006"/>
          <cell r="E3006"/>
          <cell r="F3006"/>
          <cell r="G3006"/>
          <cell r="H3006"/>
          <cell r="J3006"/>
          <cell r="L3006"/>
          <cell r="M3006"/>
        </row>
        <row r="3007">
          <cell r="B3007"/>
          <cell r="C3007"/>
          <cell r="E3007"/>
          <cell r="F3007"/>
          <cell r="G3007"/>
          <cell r="H3007"/>
          <cell r="J3007"/>
          <cell r="L3007"/>
          <cell r="M3007"/>
        </row>
        <row r="3008">
          <cell r="B3008"/>
          <cell r="C3008"/>
          <cell r="E3008"/>
          <cell r="F3008"/>
          <cell r="G3008"/>
          <cell r="H3008"/>
          <cell r="J3008"/>
          <cell r="L3008"/>
          <cell r="M3008"/>
        </row>
        <row r="3009">
          <cell r="B3009"/>
          <cell r="C3009"/>
          <cell r="E3009"/>
          <cell r="F3009"/>
          <cell r="G3009"/>
          <cell r="H3009"/>
          <cell r="J3009"/>
          <cell r="L3009"/>
          <cell r="M3009"/>
        </row>
        <row r="3010">
          <cell r="B3010"/>
          <cell r="C3010"/>
          <cell r="E3010"/>
          <cell r="F3010"/>
          <cell r="G3010"/>
          <cell r="H3010"/>
          <cell r="J3010"/>
          <cell r="L3010"/>
          <cell r="M3010"/>
        </row>
        <row r="3011">
          <cell r="B3011"/>
          <cell r="C3011"/>
          <cell r="E3011"/>
          <cell r="F3011"/>
          <cell r="G3011"/>
          <cell r="H3011"/>
          <cell r="J3011"/>
          <cell r="L3011"/>
          <cell r="M3011"/>
        </row>
        <row r="3012">
          <cell r="B3012"/>
          <cell r="C3012"/>
          <cell r="E3012"/>
          <cell r="F3012"/>
          <cell r="G3012"/>
          <cell r="H3012"/>
          <cell r="J3012"/>
          <cell r="L3012"/>
          <cell r="M3012"/>
        </row>
        <row r="3013">
          <cell r="B3013"/>
          <cell r="C3013"/>
          <cell r="E3013"/>
          <cell r="F3013"/>
          <cell r="G3013"/>
          <cell r="H3013"/>
          <cell r="J3013"/>
          <cell r="L3013"/>
          <cell r="M3013"/>
        </row>
        <row r="3014">
          <cell r="B3014"/>
          <cell r="C3014"/>
          <cell r="E3014"/>
          <cell r="F3014"/>
          <cell r="G3014"/>
          <cell r="H3014"/>
          <cell r="J3014"/>
          <cell r="L3014"/>
          <cell r="M3014"/>
        </row>
        <row r="3015">
          <cell r="B3015"/>
          <cell r="C3015"/>
          <cell r="E3015"/>
          <cell r="F3015"/>
          <cell r="G3015"/>
          <cell r="H3015"/>
          <cell r="J3015"/>
          <cell r="L3015"/>
          <cell r="M3015"/>
        </row>
        <row r="3016">
          <cell r="B3016"/>
          <cell r="C3016"/>
          <cell r="E3016"/>
          <cell r="F3016"/>
          <cell r="G3016"/>
          <cell r="H3016"/>
          <cell r="J3016"/>
          <cell r="L3016"/>
          <cell r="M3016"/>
        </row>
        <row r="3017">
          <cell r="B3017"/>
          <cell r="C3017"/>
          <cell r="E3017"/>
          <cell r="F3017"/>
          <cell r="G3017"/>
          <cell r="H3017"/>
          <cell r="J3017"/>
          <cell r="L3017"/>
          <cell r="M3017"/>
        </row>
        <row r="3018">
          <cell r="B3018"/>
          <cell r="C3018"/>
          <cell r="E3018"/>
          <cell r="F3018"/>
          <cell r="G3018"/>
          <cell r="H3018"/>
          <cell r="J3018"/>
          <cell r="L3018"/>
          <cell r="M3018"/>
        </row>
        <row r="3019">
          <cell r="B3019"/>
          <cell r="C3019"/>
          <cell r="E3019"/>
          <cell r="F3019"/>
          <cell r="G3019"/>
          <cell r="H3019"/>
          <cell r="J3019"/>
          <cell r="L3019"/>
          <cell r="M3019"/>
        </row>
        <row r="3020">
          <cell r="B3020"/>
          <cell r="C3020"/>
          <cell r="E3020"/>
          <cell r="F3020"/>
          <cell r="G3020"/>
          <cell r="H3020"/>
          <cell r="J3020"/>
          <cell r="L3020"/>
          <cell r="M3020"/>
        </row>
        <row r="3021">
          <cell r="B3021"/>
          <cell r="C3021"/>
          <cell r="E3021"/>
          <cell r="F3021"/>
          <cell r="G3021"/>
          <cell r="H3021"/>
          <cell r="J3021"/>
          <cell r="L3021"/>
          <cell r="M3021"/>
        </row>
        <row r="3022">
          <cell r="B3022"/>
          <cell r="C3022"/>
          <cell r="E3022"/>
          <cell r="F3022"/>
          <cell r="G3022"/>
          <cell r="H3022"/>
          <cell r="J3022"/>
          <cell r="L3022"/>
          <cell r="M3022"/>
        </row>
        <row r="3023">
          <cell r="B3023"/>
          <cell r="C3023"/>
          <cell r="E3023"/>
          <cell r="F3023"/>
          <cell r="G3023"/>
          <cell r="H3023"/>
          <cell r="J3023"/>
          <cell r="L3023"/>
          <cell r="M3023"/>
        </row>
        <row r="3024">
          <cell r="B3024"/>
          <cell r="C3024"/>
          <cell r="E3024"/>
          <cell r="F3024"/>
          <cell r="G3024"/>
          <cell r="H3024"/>
          <cell r="J3024"/>
          <cell r="L3024"/>
          <cell r="M3024"/>
        </row>
        <row r="3025">
          <cell r="B3025"/>
          <cell r="C3025"/>
          <cell r="E3025"/>
          <cell r="F3025"/>
          <cell r="G3025"/>
          <cell r="H3025"/>
          <cell r="J3025"/>
          <cell r="L3025"/>
          <cell r="M3025"/>
        </row>
        <row r="3026">
          <cell r="B3026"/>
          <cell r="C3026"/>
          <cell r="E3026"/>
          <cell r="F3026"/>
          <cell r="G3026"/>
          <cell r="H3026"/>
          <cell r="J3026"/>
          <cell r="L3026"/>
          <cell r="M3026"/>
        </row>
        <row r="3027">
          <cell r="B3027"/>
          <cell r="C3027"/>
          <cell r="E3027"/>
          <cell r="F3027"/>
          <cell r="G3027"/>
          <cell r="H3027"/>
          <cell r="J3027"/>
          <cell r="L3027"/>
          <cell r="M3027"/>
        </row>
        <row r="3028">
          <cell r="B3028"/>
          <cell r="C3028"/>
          <cell r="E3028"/>
          <cell r="F3028"/>
          <cell r="G3028"/>
          <cell r="H3028"/>
          <cell r="J3028"/>
          <cell r="L3028"/>
          <cell r="M3028"/>
        </row>
        <row r="3029">
          <cell r="B3029"/>
          <cell r="C3029"/>
          <cell r="E3029"/>
          <cell r="F3029"/>
          <cell r="G3029"/>
          <cell r="H3029"/>
          <cell r="J3029"/>
          <cell r="L3029"/>
          <cell r="M3029"/>
        </row>
        <row r="3030">
          <cell r="B3030"/>
          <cell r="C3030"/>
          <cell r="E3030"/>
          <cell r="F3030"/>
          <cell r="G3030"/>
          <cell r="H3030"/>
          <cell r="J3030"/>
          <cell r="L3030"/>
          <cell r="M3030"/>
        </row>
        <row r="3031">
          <cell r="B3031"/>
          <cell r="C3031"/>
          <cell r="E3031"/>
          <cell r="F3031"/>
          <cell r="G3031"/>
          <cell r="H3031"/>
          <cell r="J3031"/>
          <cell r="L3031"/>
          <cell r="M3031"/>
        </row>
        <row r="3032">
          <cell r="B3032"/>
          <cell r="C3032"/>
          <cell r="E3032"/>
          <cell r="F3032"/>
          <cell r="G3032"/>
          <cell r="H3032"/>
          <cell r="J3032"/>
          <cell r="L3032"/>
          <cell r="M3032"/>
        </row>
        <row r="3033">
          <cell r="B3033"/>
          <cell r="C3033"/>
          <cell r="E3033"/>
          <cell r="F3033"/>
          <cell r="G3033"/>
          <cell r="H3033"/>
          <cell r="J3033"/>
          <cell r="L3033"/>
          <cell r="M3033"/>
        </row>
        <row r="3034">
          <cell r="B3034"/>
          <cell r="C3034"/>
          <cell r="E3034"/>
          <cell r="F3034"/>
          <cell r="G3034"/>
          <cell r="H3034"/>
          <cell r="J3034"/>
          <cell r="L3034"/>
          <cell r="M3034"/>
        </row>
        <row r="3035">
          <cell r="B3035"/>
          <cell r="C3035"/>
          <cell r="E3035"/>
          <cell r="F3035"/>
          <cell r="G3035"/>
          <cell r="H3035"/>
          <cell r="J3035"/>
          <cell r="L3035"/>
          <cell r="M3035"/>
        </row>
        <row r="3036">
          <cell r="B3036"/>
          <cell r="C3036"/>
          <cell r="E3036"/>
          <cell r="F3036"/>
          <cell r="G3036"/>
          <cell r="H3036"/>
          <cell r="J3036"/>
          <cell r="L3036"/>
          <cell r="M3036"/>
        </row>
        <row r="3037">
          <cell r="B3037"/>
          <cell r="C3037"/>
          <cell r="E3037"/>
          <cell r="F3037"/>
          <cell r="G3037"/>
          <cell r="H3037"/>
          <cell r="J3037"/>
          <cell r="L3037"/>
          <cell r="M3037"/>
        </row>
        <row r="3038">
          <cell r="B3038"/>
          <cell r="C3038"/>
          <cell r="E3038"/>
          <cell r="F3038"/>
          <cell r="G3038"/>
          <cell r="H3038"/>
          <cell r="J3038"/>
          <cell r="L3038"/>
          <cell r="M3038"/>
        </row>
        <row r="3039">
          <cell r="B3039"/>
          <cell r="C3039"/>
          <cell r="E3039"/>
          <cell r="F3039"/>
          <cell r="G3039"/>
          <cell r="H3039"/>
          <cell r="J3039"/>
          <cell r="L3039"/>
          <cell r="M3039"/>
        </row>
        <row r="3040">
          <cell r="B3040"/>
          <cell r="C3040"/>
          <cell r="E3040"/>
          <cell r="F3040"/>
          <cell r="G3040"/>
          <cell r="H3040"/>
          <cell r="J3040"/>
          <cell r="L3040"/>
          <cell r="M3040"/>
        </row>
        <row r="3041">
          <cell r="B3041"/>
          <cell r="C3041"/>
          <cell r="E3041"/>
          <cell r="F3041"/>
          <cell r="G3041"/>
          <cell r="H3041"/>
          <cell r="J3041"/>
          <cell r="L3041"/>
          <cell r="M3041"/>
        </row>
        <row r="3042">
          <cell r="B3042"/>
          <cell r="C3042"/>
          <cell r="E3042"/>
          <cell r="F3042"/>
          <cell r="G3042"/>
          <cell r="H3042"/>
          <cell r="J3042"/>
          <cell r="L3042"/>
          <cell r="M3042"/>
        </row>
        <row r="3043">
          <cell r="B3043"/>
          <cell r="C3043"/>
          <cell r="E3043"/>
          <cell r="F3043"/>
          <cell r="G3043"/>
          <cell r="H3043"/>
          <cell r="J3043"/>
          <cell r="L3043"/>
          <cell r="M3043"/>
        </row>
        <row r="3044">
          <cell r="B3044"/>
          <cell r="C3044"/>
          <cell r="E3044"/>
          <cell r="F3044"/>
          <cell r="G3044"/>
          <cell r="H3044"/>
          <cell r="J3044"/>
          <cell r="L3044"/>
          <cell r="M3044"/>
        </row>
        <row r="3045">
          <cell r="B3045"/>
          <cell r="C3045"/>
          <cell r="E3045"/>
          <cell r="F3045"/>
          <cell r="G3045"/>
          <cell r="H3045"/>
          <cell r="J3045"/>
          <cell r="L3045"/>
          <cell r="M3045"/>
        </row>
        <row r="3046">
          <cell r="B3046"/>
          <cell r="C3046"/>
          <cell r="E3046"/>
          <cell r="F3046"/>
          <cell r="G3046"/>
          <cell r="H3046"/>
          <cell r="J3046"/>
          <cell r="L3046"/>
          <cell r="M3046"/>
        </row>
        <row r="3047">
          <cell r="B3047"/>
          <cell r="C3047"/>
          <cell r="E3047"/>
          <cell r="F3047"/>
          <cell r="G3047"/>
          <cell r="H3047"/>
          <cell r="J3047"/>
          <cell r="L3047"/>
          <cell r="M3047"/>
        </row>
        <row r="3048">
          <cell r="B3048"/>
          <cell r="C3048"/>
          <cell r="E3048"/>
          <cell r="F3048"/>
          <cell r="G3048"/>
          <cell r="H3048"/>
          <cell r="J3048"/>
          <cell r="L3048"/>
          <cell r="M3048"/>
        </row>
        <row r="3049">
          <cell r="B3049"/>
          <cell r="C3049"/>
          <cell r="E3049"/>
          <cell r="F3049"/>
          <cell r="G3049"/>
          <cell r="H3049"/>
          <cell r="J3049"/>
          <cell r="L3049"/>
          <cell r="M3049"/>
        </row>
        <row r="3050">
          <cell r="B3050"/>
          <cell r="C3050"/>
          <cell r="E3050"/>
          <cell r="F3050"/>
          <cell r="G3050"/>
          <cell r="H3050"/>
          <cell r="J3050"/>
          <cell r="L3050"/>
          <cell r="M3050"/>
        </row>
        <row r="3051">
          <cell r="B3051"/>
          <cell r="C3051"/>
          <cell r="E3051"/>
          <cell r="F3051"/>
          <cell r="G3051"/>
          <cell r="H3051"/>
          <cell r="J3051"/>
          <cell r="L3051"/>
          <cell r="M3051"/>
        </row>
        <row r="3052">
          <cell r="B3052"/>
          <cell r="C3052"/>
          <cell r="E3052"/>
          <cell r="F3052"/>
          <cell r="G3052"/>
          <cell r="H3052"/>
          <cell r="J3052"/>
          <cell r="L3052"/>
          <cell r="M3052"/>
        </row>
        <row r="3053">
          <cell r="B3053"/>
          <cell r="C3053"/>
          <cell r="E3053"/>
          <cell r="F3053"/>
          <cell r="G3053"/>
          <cell r="H3053"/>
          <cell r="J3053"/>
          <cell r="L3053"/>
          <cell r="M3053"/>
        </row>
        <row r="3054">
          <cell r="B3054"/>
          <cell r="C3054"/>
          <cell r="E3054"/>
          <cell r="F3054"/>
          <cell r="G3054"/>
          <cell r="H3054"/>
          <cell r="J3054"/>
          <cell r="L3054"/>
          <cell r="M3054"/>
        </row>
        <row r="3055">
          <cell r="B3055"/>
          <cell r="C3055"/>
          <cell r="E3055"/>
          <cell r="F3055"/>
          <cell r="G3055"/>
          <cell r="H3055"/>
          <cell r="J3055"/>
          <cell r="L3055"/>
          <cell r="M3055"/>
        </row>
        <row r="3056">
          <cell r="B3056"/>
          <cell r="C3056"/>
          <cell r="E3056"/>
          <cell r="F3056"/>
          <cell r="G3056"/>
          <cell r="H3056"/>
          <cell r="J3056"/>
          <cell r="L3056"/>
          <cell r="M3056"/>
        </row>
        <row r="3057">
          <cell r="B3057"/>
          <cell r="C3057"/>
          <cell r="E3057"/>
          <cell r="F3057"/>
          <cell r="G3057"/>
          <cell r="H3057"/>
          <cell r="J3057"/>
          <cell r="L3057"/>
          <cell r="M3057"/>
        </row>
        <row r="3058">
          <cell r="B3058"/>
          <cell r="C3058"/>
          <cell r="E3058"/>
          <cell r="F3058"/>
          <cell r="G3058"/>
          <cell r="H3058"/>
          <cell r="J3058"/>
          <cell r="L3058"/>
          <cell r="M3058"/>
        </row>
        <row r="3059">
          <cell r="B3059"/>
          <cell r="C3059"/>
          <cell r="E3059"/>
          <cell r="F3059"/>
          <cell r="G3059"/>
          <cell r="H3059"/>
          <cell r="J3059"/>
          <cell r="L3059"/>
          <cell r="M3059"/>
        </row>
        <row r="3060">
          <cell r="B3060"/>
          <cell r="C3060"/>
          <cell r="E3060"/>
          <cell r="F3060"/>
          <cell r="G3060"/>
          <cell r="H3060"/>
          <cell r="J3060"/>
          <cell r="L3060"/>
          <cell r="M3060"/>
        </row>
        <row r="3061">
          <cell r="B3061"/>
          <cell r="C3061"/>
          <cell r="E3061"/>
          <cell r="F3061"/>
          <cell r="G3061"/>
          <cell r="H3061"/>
          <cell r="J3061"/>
          <cell r="L3061"/>
          <cell r="M3061"/>
        </row>
        <row r="3062">
          <cell r="B3062"/>
          <cell r="C3062"/>
          <cell r="E3062"/>
          <cell r="F3062"/>
          <cell r="G3062"/>
          <cell r="H3062"/>
          <cell r="J3062"/>
          <cell r="L3062"/>
          <cell r="M3062"/>
        </row>
        <row r="3063">
          <cell r="B3063"/>
          <cell r="C3063"/>
          <cell r="E3063"/>
          <cell r="F3063"/>
          <cell r="G3063"/>
          <cell r="H3063"/>
          <cell r="J3063"/>
          <cell r="L3063"/>
          <cell r="M3063"/>
        </row>
        <row r="3064">
          <cell r="B3064"/>
          <cell r="C3064"/>
          <cell r="E3064"/>
          <cell r="F3064"/>
          <cell r="G3064"/>
          <cell r="H3064"/>
          <cell r="J3064"/>
          <cell r="L3064"/>
          <cell r="M3064"/>
        </row>
        <row r="3065">
          <cell r="B3065"/>
          <cell r="C3065"/>
          <cell r="E3065"/>
          <cell r="F3065"/>
          <cell r="G3065"/>
          <cell r="H3065"/>
          <cell r="J3065"/>
          <cell r="L3065"/>
          <cell r="M3065"/>
        </row>
        <row r="3066">
          <cell r="B3066"/>
          <cell r="C3066"/>
          <cell r="E3066"/>
          <cell r="F3066"/>
          <cell r="G3066"/>
          <cell r="H3066"/>
          <cell r="J3066"/>
          <cell r="L3066"/>
          <cell r="M3066"/>
        </row>
        <row r="3067">
          <cell r="B3067"/>
          <cell r="C3067"/>
          <cell r="E3067"/>
          <cell r="F3067"/>
          <cell r="G3067"/>
          <cell r="H3067"/>
          <cell r="J3067"/>
          <cell r="L3067"/>
          <cell r="M3067"/>
        </row>
        <row r="3068">
          <cell r="B3068"/>
          <cell r="C3068"/>
          <cell r="E3068"/>
          <cell r="F3068"/>
          <cell r="G3068"/>
          <cell r="H3068"/>
          <cell r="J3068"/>
          <cell r="L3068"/>
          <cell r="M3068"/>
        </row>
        <row r="3069">
          <cell r="B3069"/>
          <cell r="C3069"/>
          <cell r="E3069"/>
          <cell r="F3069"/>
          <cell r="G3069"/>
          <cell r="H3069"/>
          <cell r="J3069"/>
          <cell r="L3069"/>
          <cell r="M3069"/>
        </row>
        <row r="3070">
          <cell r="B3070"/>
          <cell r="C3070"/>
          <cell r="E3070"/>
          <cell r="F3070"/>
          <cell r="G3070"/>
          <cell r="H3070"/>
          <cell r="J3070"/>
          <cell r="L3070"/>
          <cell r="M3070"/>
        </row>
        <row r="3071">
          <cell r="B3071"/>
          <cell r="C3071"/>
          <cell r="E3071"/>
          <cell r="F3071"/>
          <cell r="G3071"/>
          <cell r="H3071"/>
          <cell r="J3071"/>
          <cell r="L3071"/>
          <cell r="M3071"/>
        </row>
        <row r="3072">
          <cell r="B3072"/>
          <cell r="C3072"/>
          <cell r="E3072"/>
          <cell r="F3072"/>
          <cell r="G3072"/>
          <cell r="H3072"/>
          <cell r="J3072"/>
          <cell r="L3072"/>
          <cell r="M3072"/>
        </row>
        <row r="3073">
          <cell r="B3073"/>
          <cell r="C3073"/>
          <cell r="E3073"/>
          <cell r="F3073"/>
          <cell r="G3073"/>
          <cell r="H3073"/>
          <cell r="J3073"/>
          <cell r="L3073"/>
          <cell r="M3073"/>
        </row>
        <row r="3074">
          <cell r="B3074"/>
          <cell r="C3074"/>
          <cell r="E3074"/>
          <cell r="F3074"/>
          <cell r="G3074"/>
          <cell r="H3074"/>
          <cell r="J3074"/>
          <cell r="L3074"/>
          <cell r="M3074"/>
        </row>
        <row r="3075">
          <cell r="B3075"/>
          <cell r="C3075"/>
          <cell r="E3075"/>
          <cell r="F3075"/>
          <cell r="G3075"/>
          <cell r="H3075"/>
          <cell r="J3075"/>
          <cell r="L3075"/>
          <cell r="M3075"/>
        </row>
        <row r="3076">
          <cell r="B3076"/>
          <cell r="C3076"/>
          <cell r="E3076"/>
          <cell r="F3076"/>
          <cell r="G3076"/>
          <cell r="H3076"/>
          <cell r="J3076"/>
          <cell r="L3076"/>
          <cell r="M3076"/>
        </row>
        <row r="3077">
          <cell r="B3077"/>
          <cell r="C3077"/>
          <cell r="E3077"/>
          <cell r="F3077"/>
          <cell r="G3077"/>
          <cell r="H3077"/>
          <cell r="J3077"/>
          <cell r="L3077"/>
          <cell r="M3077"/>
        </row>
        <row r="3078">
          <cell r="B3078"/>
          <cell r="C3078"/>
          <cell r="E3078"/>
          <cell r="F3078"/>
          <cell r="G3078"/>
          <cell r="H3078"/>
          <cell r="J3078"/>
          <cell r="L3078"/>
          <cell r="M3078"/>
        </row>
        <row r="3079">
          <cell r="B3079"/>
          <cell r="C3079"/>
          <cell r="E3079"/>
          <cell r="F3079"/>
          <cell r="G3079"/>
          <cell r="H3079"/>
          <cell r="J3079"/>
          <cell r="L3079"/>
          <cell r="M3079"/>
        </row>
        <row r="3080">
          <cell r="B3080"/>
          <cell r="C3080"/>
          <cell r="E3080"/>
          <cell r="F3080"/>
          <cell r="G3080"/>
          <cell r="H3080"/>
          <cell r="J3080"/>
          <cell r="L3080"/>
          <cell r="M3080"/>
        </row>
        <row r="3081">
          <cell r="B3081"/>
          <cell r="C3081"/>
          <cell r="E3081"/>
          <cell r="F3081"/>
          <cell r="G3081"/>
          <cell r="H3081"/>
          <cell r="J3081"/>
          <cell r="L3081"/>
          <cell r="M3081"/>
        </row>
        <row r="3082">
          <cell r="B3082"/>
          <cell r="C3082"/>
          <cell r="E3082"/>
          <cell r="F3082"/>
          <cell r="G3082"/>
          <cell r="H3082"/>
          <cell r="J3082"/>
          <cell r="L3082"/>
          <cell r="M3082"/>
        </row>
        <row r="3083">
          <cell r="B3083"/>
          <cell r="C3083"/>
          <cell r="E3083"/>
          <cell r="F3083"/>
          <cell r="G3083"/>
          <cell r="H3083"/>
          <cell r="J3083"/>
          <cell r="L3083"/>
          <cell r="M3083"/>
        </row>
        <row r="3084">
          <cell r="B3084"/>
          <cell r="C3084"/>
          <cell r="E3084"/>
          <cell r="F3084"/>
          <cell r="G3084"/>
          <cell r="H3084"/>
          <cell r="J3084"/>
          <cell r="L3084"/>
          <cell r="M3084"/>
        </row>
        <row r="3085">
          <cell r="B3085"/>
          <cell r="C3085"/>
          <cell r="E3085"/>
          <cell r="F3085"/>
          <cell r="G3085"/>
          <cell r="H3085"/>
          <cell r="J3085"/>
          <cell r="L3085"/>
          <cell r="M3085"/>
        </row>
        <row r="3086">
          <cell r="B3086"/>
          <cell r="C3086"/>
          <cell r="E3086"/>
          <cell r="F3086"/>
          <cell r="G3086"/>
          <cell r="H3086"/>
          <cell r="J3086"/>
          <cell r="L3086"/>
          <cell r="M3086"/>
        </row>
        <row r="3087">
          <cell r="B3087"/>
          <cell r="C3087"/>
          <cell r="E3087"/>
          <cell r="F3087"/>
          <cell r="G3087"/>
          <cell r="H3087"/>
          <cell r="J3087"/>
          <cell r="L3087"/>
          <cell r="M3087"/>
        </row>
        <row r="3088">
          <cell r="B3088"/>
          <cell r="C3088"/>
          <cell r="E3088"/>
          <cell r="F3088"/>
          <cell r="G3088"/>
          <cell r="H3088"/>
          <cell r="J3088"/>
          <cell r="L3088"/>
          <cell r="M3088"/>
        </row>
        <row r="3089">
          <cell r="B3089"/>
          <cell r="C3089"/>
          <cell r="E3089"/>
          <cell r="F3089"/>
          <cell r="G3089"/>
          <cell r="H3089"/>
          <cell r="J3089"/>
          <cell r="L3089"/>
          <cell r="M3089"/>
        </row>
        <row r="3090">
          <cell r="B3090"/>
          <cell r="C3090"/>
          <cell r="E3090"/>
          <cell r="F3090"/>
          <cell r="G3090"/>
          <cell r="H3090"/>
          <cell r="J3090"/>
          <cell r="L3090"/>
          <cell r="M3090"/>
        </row>
        <row r="3091">
          <cell r="B3091"/>
          <cell r="C3091"/>
          <cell r="E3091"/>
          <cell r="F3091"/>
          <cell r="G3091"/>
          <cell r="H3091"/>
          <cell r="J3091"/>
          <cell r="L3091"/>
          <cell r="M3091"/>
        </row>
        <row r="3092">
          <cell r="B3092"/>
          <cell r="C3092"/>
          <cell r="E3092"/>
          <cell r="F3092"/>
          <cell r="G3092"/>
          <cell r="H3092"/>
          <cell r="J3092"/>
          <cell r="L3092"/>
          <cell r="M3092"/>
        </row>
        <row r="3093">
          <cell r="B3093"/>
          <cell r="C3093"/>
          <cell r="E3093"/>
          <cell r="F3093"/>
          <cell r="G3093"/>
          <cell r="H3093"/>
          <cell r="J3093"/>
          <cell r="L3093"/>
          <cell r="M3093"/>
        </row>
        <row r="3094">
          <cell r="B3094"/>
          <cell r="C3094"/>
          <cell r="E3094"/>
          <cell r="F3094"/>
          <cell r="G3094"/>
          <cell r="H3094"/>
          <cell r="J3094"/>
          <cell r="L3094"/>
          <cell r="M3094"/>
        </row>
        <row r="3095">
          <cell r="B3095"/>
          <cell r="C3095"/>
          <cell r="E3095"/>
          <cell r="F3095"/>
          <cell r="G3095"/>
          <cell r="H3095"/>
          <cell r="J3095"/>
          <cell r="L3095"/>
          <cell r="M3095"/>
        </row>
        <row r="3096">
          <cell r="B3096"/>
          <cell r="C3096"/>
          <cell r="E3096"/>
          <cell r="F3096"/>
          <cell r="G3096"/>
          <cell r="H3096"/>
          <cell r="J3096"/>
          <cell r="L3096"/>
          <cell r="M3096"/>
        </row>
        <row r="3097">
          <cell r="B3097"/>
          <cell r="C3097"/>
          <cell r="E3097"/>
          <cell r="F3097"/>
          <cell r="G3097"/>
          <cell r="H3097"/>
          <cell r="J3097"/>
          <cell r="L3097"/>
          <cell r="M3097"/>
        </row>
        <row r="3098">
          <cell r="B3098"/>
          <cell r="C3098"/>
          <cell r="E3098"/>
          <cell r="F3098"/>
          <cell r="G3098"/>
          <cell r="H3098"/>
          <cell r="J3098"/>
          <cell r="L3098"/>
          <cell r="M3098"/>
        </row>
        <row r="3099">
          <cell r="B3099"/>
          <cell r="C3099"/>
          <cell r="E3099"/>
          <cell r="F3099"/>
          <cell r="G3099"/>
          <cell r="H3099"/>
          <cell r="J3099"/>
          <cell r="L3099"/>
          <cell r="M3099"/>
        </row>
        <row r="3100">
          <cell r="B3100"/>
          <cell r="C3100"/>
          <cell r="E3100"/>
          <cell r="F3100"/>
          <cell r="G3100"/>
          <cell r="H3100"/>
          <cell r="J3100"/>
          <cell r="L3100"/>
          <cell r="M3100"/>
        </row>
        <row r="3101">
          <cell r="B3101"/>
          <cell r="C3101"/>
          <cell r="E3101"/>
          <cell r="F3101"/>
          <cell r="G3101"/>
          <cell r="H3101"/>
          <cell r="J3101"/>
          <cell r="L3101"/>
          <cell r="M3101"/>
        </row>
        <row r="3102">
          <cell r="B3102"/>
          <cell r="C3102"/>
          <cell r="E3102"/>
          <cell r="F3102"/>
          <cell r="G3102"/>
          <cell r="H3102"/>
          <cell r="J3102"/>
          <cell r="L3102"/>
          <cell r="M3102"/>
        </row>
        <row r="3103">
          <cell r="B3103"/>
          <cell r="C3103"/>
          <cell r="E3103"/>
          <cell r="F3103"/>
          <cell r="G3103"/>
          <cell r="H3103"/>
          <cell r="J3103"/>
          <cell r="L3103"/>
          <cell r="M3103"/>
        </row>
        <row r="3104">
          <cell r="B3104"/>
          <cell r="C3104"/>
          <cell r="E3104"/>
          <cell r="F3104"/>
          <cell r="G3104"/>
          <cell r="H3104"/>
          <cell r="J3104"/>
          <cell r="L3104"/>
          <cell r="M3104"/>
        </row>
        <row r="3105">
          <cell r="B3105"/>
          <cell r="C3105"/>
          <cell r="E3105"/>
          <cell r="F3105"/>
          <cell r="G3105"/>
          <cell r="H3105"/>
          <cell r="J3105"/>
          <cell r="L3105"/>
          <cell r="M3105"/>
        </row>
        <row r="3106">
          <cell r="B3106"/>
          <cell r="C3106"/>
          <cell r="E3106"/>
          <cell r="F3106"/>
          <cell r="G3106"/>
          <cell r="H3106"/>
          <cell r="J3106"/>
          <cell r="L3106"/>
          <cell r="M3106"/>
        </row>
        <row r="3107">
          <cell r="B3107"/>
          <cell r="C3107"/>
          <cell r="E3107"/>
          <cell r="F3107"/>
          <cell r="G3107"/>
          <cell r="H3107"/>
          <cell r="J3107"/>
          <cell r="L3107"/>
          <cell r="M3107"/>
        </row>
        <row r="3108">
          <cell r="B3108"/>
          <cell r="C3108"/>
          <cell r="E3108"/>
          <cell r="F3108"/>
          <cell r="G3108"/>
          <cell r="H3108"/>
          <cell r="J3108"/>
          <cell r="L3108"/>
          <cell r="M3108"/>
        </row>
        <row r="3109">
          <cell r="B3109"/>
          <cell r="C3109"/>
          <cell r="E3109"/>
          <cell r="F3109"/>
          <cell r="G3109"/>
          <cell r="H3109"/>
          <cell r="J3109"/>
          <cell r="L3109"/>
          <cell r="M3109"/>
        </row>
        <row r="3110">
          <cell r="B3110"/>
          <cell r="C3110"/>
          <cell r="E3110"/>
          <cell r="F3110"/>
          <cell r="G3110"/>
          <cell r="H3110"/>
          <cell r="J3110"/>
          <cell r="L3110"/>
          <cell r="M3110"/>
        </row>
        <row r="3111">
          <cell r="B3111"/>
          <cell r="C3111"/>
          <cell r="E3111"/>
          <cell r="F3111"/>
          <cell r="G3111"/>
          <cell r="H3111"/>
          <cell r="J3111"/>
          <cell r="L3111"/>
          <cell r="M3111"/>
        </row>
        <row r="3112">
          <cell r="B3112"/>
          <cell r="C3112"/>
          <cell r="E3112"/>
          <cell r="F3112"/>
          <cell r="G3112"/>
          <cell r="H3112"/>
          <cell r="J3112"/>
          <cell r="L3112"/>
          <cell r="M3112"/>
        </row>
        <row r="3113">
          <cell r="B3113"/>
          <cell r="C3113"/>
          <cell r="E3113"/>
          <cell r="F3113"/>
          <cell r="G3113"/>
          <cell r="H3113"/>
          <cell r="J3113"/>
          <cell r="L3113"/>
          <cell r="M3113"/>
        </row>
        <row r="3114">
          <cell r="B3114"/>
          <cell r="C3114"/>
          <cell r="E3114"/>
          <cell r="F3114"/>
          <cell r="G3114"/>
          <cell r="H3114"/>
          <cell r="J3114"/>
          <cell r="L3114"/>
          <cell r="M3114"/>
        </row>
        <row r="3115">
          <cell r="B3115"/>
          <cell r="C3115"/>
          <cell r="E3115"/>
          <cell r="F3115"/>
          <cell r="G3115"/>
          <cell r="H3115"/>
          <cell r="J3115"/>
          <cell r="L3115"/>
          <cell r="M3115"/>
        </row>
        <row r="3116">
          <cell r="B3116"/>
          <cell r="C3116"/>
          <cell r="E3116"/>
          <cell r="F3116"/>
          <cell r="G3116"/>
          <cell r="H3116"/>
          <cell r="J3116"/>
          <cell r="L3116"/>
          <cell r="M3116"/>
        </row>
        <row r="3117">
          <cell r="B3117"/>
          <cell r="C3117"/>
          <cell r="E3117"/>
          <cell r="F3117"/>
          <cell r="G3117"/>
          <cell r="H3117"/>
          <cell r="J3117"/>
          <cell r="L3117"/>
          <cell r="M3117"/>
        </row>
        <row r="3118">
          <cell r="B3118"/>
          <cell r="C3118"/>
          <cell r="E3118"/>
          <cell r="F3118"/>
          <cell r="G3118"/>
          <cell r="H3118"/>
          <cell r="J3118"/>
          <cell r="L3118"/>
          <cell r="M3118"/>
        </row>
        <row r="3119">
          <cell r="B3119"/>
          <cell r="C3119"/>
          <cell r="E3119"/>
          <cell r="F3119"/>
          <cell r="G3119"/>
          <cell r="H3119"/>
          <cell r="J3119"/>
          <cell r="L3119"/>
          <cell r="M3119"/>
        </row>
        <row r="3120">
          <cell r="B3120"/>
          <cell r="C3120"/>
          <cell r="E3120"/>
          <cell r="F3120"/>
          <cell r="G3120"/>
          <cell r="H3120"/>
          <cell r="J3120"/>
          <cell r="L3120"/>
          <cell r="M3120"/>
        </row>
        <row r="3121">
          <cell r="B3121"/>
          <cell r="C3121"/>
          <cell r="E3121"/>
          <cell r="F3121"/>
          <cell r="G3121"/>
          <cell r="H3121"/>
          <cell r="J3121"/>
          <cell r="L3121"/>
          <cell r="M3121"/>
        </row>
        <row r="3122">
          <cell r="B3122"/>
          <cell r="C3122"/>
          <cell r="E3122"/>
          <cell r="F3122"/>
          <cell r="G3122"/>
          <cell r="H3122"/>
          <cell r="J3122"/>
          <cell r="L3122"/>
          <cell r="M3122"/>
        </row>
        <row r="3123">
          <cell r="B3123"/>
          <cell r="C3123"/>
          <cell r="E3123"/>
          <cell r="F3123"/>
          <cell r="G3123"/>
          <cell r="H3123"/>
          <cell r="J3123"/>
          <cell r="L3123"/>
          <cell r="M3123"/>
        </row>
        <row r="3124">
          <cell r="B3124"/>
          <cell r="C3124"/>
          <cell r="E3124"/>
          <cell r="F3124"/>
          <cell r="G3124"/>
          <cell r="H3124"/>
          <cell r="J3124"/>
          <cell r="L3124"/>
          <cell r="M3124"/>
        </row>
        <row r="3125">
          <cell r="B3125"/>
          <cell r="C3125"/>
          <cell r="E3125"/>
          <cell r="F3125"/>
          <cell r="G3125"/>
          <cell r="H3125"/>
          <cell r="J3125"/>
          <cell r="L3125"/>
          <cell r="M3125"/>
        </row>
        <row r="3126">
          <cell r="B3126"/>
          <cell r="C3126"/>
          <cell r="E3126"/>
          <cell r="F3126"/>
          <cell r="G3126"/>
          <cell r="H3126"/>
          <cell r="J3126"/>
          <cell r="L3126"/>
          <cell r="M3126"/>
        </row>
        <row r="3127">
          <cell r="B3127"/>
          <cell r="C3127"/>
          <cell r="E3127"/>
          <cell r="F3127"/>
          <cell r="G3127"/>
          <cell r="H3127"/>
          <cell r="J3127"/>
          <cell r="L3127"/>
          <cell r="M3127"/>
        </row>
        <row r="3128">
          <cell r="B3128"/>
          <cell r="C3128"/>
          <cell r="E3128"/>
          <cell r="F3128"/>
          <cell r="G3128"/>
          <cell r="H3128"/>
          <cell r="J3128"/>
          <cell r="L3128"/>
          <cell r="M3128"/>
        </row>
        <row r="3129">
          <cell r="B3129"/>
          <cell r="C3129"/>
          <cell r="E3129"/>
          <cell r="F3129"/>
          <cell r="G3129"/>
          <cell r="H3129"/>
          <cell r="J3129"/>
          <cell r="L3129"/>
          <cell r="M3129"/>
        </row>
        <row r="3130">
          <cell r="B3130"/>
          <cell r="C3130"/>
          <cell r="E3130"/>
          <cell r="F3130"/>
          <cell r="G3130"/>
          <cell r="H3130"/>
          <cell r="J3130"/>
          <cell r="L3130"/>
          <cell r="M3130"/>
        </row>
        <row r="3131">
          <cell r="B3131"/>
          <cell r="C3131"/>
          <cell r="E3131"/>
          <cell r="F3131"/>
          <cell r="G3131"/>
          <cell r="H3131"/>
          <cell r="J3131"/>
          <cell r="L3131"/>
          <cell r="M3131"/>
        </row>
        <row r="3132">
          <cell r="B3132"/>
          <cell r="C3132"/>
          <cell r="E3132"/>
          <cell r="F3132"/>
          <cell r="G3132"/>
          <cell r="H3132"/>
          <cell r="J3132"/>
          <cell r="L3132"/>
          <cell r="M3132"/>
        </row>
        <row r="3133">
          <cell r="B3133"/>
          <cell r="C3133"/>
          <cell r="E3133"/>
          <cell r="F3133"/>
          <cell r="G3133"/>
          <cell r="H3133"/>
          <cell r="J3133"/>
          <cell r="L3133"/>
          <cell r="M3133"/>
        </row>
        <row r="3134">
          <cell r="B3134"/>
          <cell r="C3134"/>
          <cell r="E3134"/>
          <cell r="F3134"/>
          <cell r="G3134"/>
          <cell r="H3134"/>
          <cell r="J3134"/>
          <cell r="L3134"/>
          <cell r="M3134"/>
        </row>
        <row r="3135">
          <cell r="B3135"/>
          <cell r="C3135"/>
          <cell r="E3135"/>
          <cell r="F3135"/>
          <cell r="G3135"/>
          <cell r="H3135"/>
          <cell r="J3135"/>
          <cell r="L3135"/>
          <cell r="M3135"/>
        </row>
        <row r="3136">
          <cell r="B3136"/>
          <cell r="C3136"/>
          <cell r="E3136"/>
          <cell r="F3136"/>
          <cell r="G3136"/>
          <cell r="H3136"/>
          <cell r="J3136"/>
          <cell r="L3136"/>
          <cell r="M3136"/>
        </row>
        <row r="3137">
          <cell r="B3137"/>
          <cell r="C3137"/>
          <cell r="E3137"/>
          <cell r="F3137"/>
          <cell r="G3137"/>
          <cell r="H3137"/>
          <cell r="J3137"/>
          <cell r="L3137"/>
          <cell r="M3137"/>
        </row>
        <row r="3138">
          <cell r="B3138"/>
          <cell r="C3138"/>
          <cell r="E3138"/>
          <cell r="F3138"/>
          <cell r="G3138"/>
          <cell r="H3138"/>
          <cell r="J3138"/>
          <cell r="L3138"/>
          <cell r="M3138"/>
        </row>
        <row r="3139">
          <cell r="B3139"/>
          <cell r="C3139"/>
          <cell r="E3139"/>
          <cell r="F3139"/>
          <cell r="G3139"/>
          <cell r="H3139"/>
          <cell r="J3139"/>
          <cell r="L3139"/>
          <cell r="M3139"/>
        </row>
        <row r="3140">
          <cell r="B3140"/>
          <cell r="C3140"/>
          <cell r="E3140"/>
          <cell r="F3140"/>
          <cell r="G3140"/>
          <cell r="H3140"/>
          <cell r="J3140"/>
          <cell r="L3140"/>
          <cell r="M3140"/>
        </row>
        <row r="3141">
          <cell r="B3141"/>
          <cell r="C3141"/>
          <cell r="E3141"/>
          <cell r="F3141"/>
          <cell r="G3141"/>
          <cell r="H3141"/>
          <cell r="J3141"/>
          <cell r="L3141"/>
          <cell r="M3141"/>
        </row>
        <row r="3142">
          <cell r="B3142"/>
          <cell r="C3142"/>
          <cell r="E3142"/>
          <cell r="F3142"/>
          <cell r="G3142"/>
          <cell r="H3142"/>
          <cell r="J3142"/>
          <cell r="L3142"/>
          <cell r="M3142"/>
        </row>
        <row r="3143">
          <cell r="B3143"/>
          <cell r="C3143"/>
          <cell r="E3143"/>
          <cell r="F3143"/>
          <cell r="G3143"/>
          <cell r="H3143"/>
          <cell r="J3143"/>
          <cell r="L3143"/>
          <cell r="M3143"/>
        </row>
        <row r="3144">
          <cell r="B3144"/>
          <cell r="C3144"/>
          <cell r="E3144"/>
          <cell r="F3144"/>
          <cell r="G3144"/>
          <cell r="H3144"/>
          <cell r="J3144"/>
          <cell r="L3144"/>
          <cell r="M3144"/>
        </row>
        <row r="3145">
          <cell r="B3145"/>
          <cell r="C3145"/>
          <cell r="E3145"/>
          <cell r="F3145"/>
          <cell r="G3145"/>
          <cell r="H3145"/>
          <cell r="J3145"/>
          <cell r="L3145"/>
          <cell r="M3145"/>
        </row>
        <row r="3146">
          <cell r="B3146"/>
          <cell r="C3146"/>
          <cell r="E3146"/>
          <cell r="F3146"/>
          <cell r="G3146"/>
          <cell r="H3146"/>
          <cell r="J3146"/>
          <cell r="L3146"/>
          <cell r="M3146"/>
        </row>
        <row r="3147">
          <cell r="B3147"/>
          <cell r="C3147"/>
          <cell r="E3147"/>
          <cell r="F3147"/>
          <cell r="G3147"/>
          <cell r="H3147"/>
          <cell r="J3147"/>
          <cell r="L3147"/>
          <cell r="M3147"/>
        </row>
        <row r="3148">
          <cell r="B3148"/>
          <cell r="C3148"/>
          <cell r="E3148"/>
          <cell r="F3148"/>
          <cell r="G3148"/>
          <cell r="H3148"/>
          <cell r="J3148"/>
          <cell r="L3148"/>
          <cell r="M3148"/>
        </row>
        <row r="3149">
          <cell r="B3149"/>
          <cell r="C3149"/>
          <cell r="E3149"/>
          <cell r="F3149"/>
          <cell r="G3149"/>
          <cell r="H3149"/>
          <cell r="J3149"/>
          <cell r="L3149"/>
          <cell r="M3149"/>
        </row>
        <row r="3150">
          <cell r="B3150"/>
          <cell r="C3150"/>
          <cell r="E3150"/>
          <cell r="F3150"/>
          <cell r="G3150"/>
          <cell r="H3150"/>
          <cell r="J3150"/>
          <cell r="L3150"/>
          <cell r="M3150"/>
        </row>
        <row r="3151">
          <cell r="B3151"/>
          <cell r="C3151"/>
          <cell r="E3151"/>
          <cell r="F3151"/>
          <cell r="G3151"/>
          <cell r="H3151"/>
          <cell r="J3151"/>
          <cell r="L3151"/>
          <cell r="M3151"/>
        </row>
        <row r="3152">
          <cell r="B3152"/>
          <cell r="C3152"/>
          <cell r="E3152"/>
          <cell r="F3152"/>
          <cell r="G3152"/>
          <cell r="H3152"/>
          <cell r="J3152"/>
          <cell r="L3152"/>
          <cell r="M3152"/>
        </row>
        <row r="3153">
          <cell r="B3153"/>
          <cell r="C3153"/>
          <cell r="E3153"/>
          <cell r="F3153"/>
          <cell r="G3153"/>
          <cell r="H3153"/>
          <cell r="J3153"/>
          <cell r="L3153"/>
          <cell r="M3153"/>
        </row>
        <row r="3154">
          <cell r="B3154"/>
          <cell r="C3154"/>
          <cell r="E3154"/>
          <cell r="F3154"/>
          <cell r="G3154"/>
          <cell r="H3154"/>
          <cell r="J3154"/>
          <cell r="L3154"/>
          <cell r="M3154"/>
        </row>
        <row r="3155">
          <cell r="B3155"/>
          <cell r="C3155"/>
          <cell r="E3155"/>
          <cell r="F3155"/>
          <cell r="G3155"/>
          <cell r="H3155"/>
          <cell r="J3155"/>
          <cell r="L3155"/>
          <cell r="M3155"/>
        </row>
        <row r="3156">
          <cell r="B3156"/>
          <cell r="C3156"/>
          <cell r="E3156"/>
          <cell r="F3156"/>
          <cell r="G3156"/>
          <cell r="H3156"/>
          <cell r="J3156"/>
          <cell r="L3156"/>
          <cell r="M3156"/>
        </row>
        <row r="3157">
          <cell r="B3157"/>
          <cell r="C3157"/>
          <cell r="E3157"/>
          <cell r="F3157"/>
          <cell r="G3157"/>
          <cell r="H3157"/>
          <cell r="J3157"/>
          <cell r="L3157"/>
          <cell r="M3157"/>
        </row>
        <row r="3158">
          <cell r="B3158"/>
          <cell r="C3158"/>
          <cell r="E3158"/>
          <cell r="F3158"/>
          <cell r="G3158"/>
          <cell r="H3158"/>
          <cell r="J3158"/>
          <cell r="L3158"/>
          <cell r="M3158"/>
        </row>
        <row r="3159">
          <cell r="B3159"/>
          <cell r="C3159"/>
          <cell r="E3159"/>
          <cell r="F3159"/>
          <cell r="G3159"/>
          <cell r="H3159"/>
          <cell r="J3159"/>
          <cell r="L3159"/>
          <cell r="M3159"/>
        </row>
        <row r="3160">
          <cell r="B3160"/>
          <cell r="C3160"/>
          <cell r="E3160"/>
          <cell r="F3160"/>
          <cell r="G3160"/>
          <cell r="H3160"/>
          <cell r="J3160"/>
          <cell r="L3160"/>
          <cell r="M3160"/>
        </row>
        <row r="3161">
          <cell r="B3161"/>
          <cell r="C3161"/>
          <cell r="E3161"/>
          <cell r="F3161"/>
          <cell r="G3161"/>
          <cell r="H3161"/>
          <cell r="J3161"/>
          <cell r="L3161"/>
          <cell r="M3161"/>
        </row>
        <row r="3162">
          <cell r="B3162"/>
          <cell r="C3162"/>
          <cell r="E3162"/>
          <cell r="F3162"/>
          <cell r="G3162"/>
          <cell r="H3162"/>
          <cell r="J3162"/>
          <cell r="L3162"/>
          <cell r="M3162"/>
        </row>
        <row r="3163">
          <cell r="B3163"/>
          <cell r="C3163"/>
          <cell r="E3163"/>
          <cell r="F3163"/>
          <cell r="G3163"/>
          <cell r="H3163"/>
          <cell r="J3163"/>
          <cell r="L3163"/>
          <cell r="M3163"/>
        </row>
        <row r="3164">
          <cell r="B3164"/>
          <cell r="C3164"/>
          <cell r="E3164"/>
          <cell r="F3164"/>
          <cell r="G3164"/>
          <cell r="H3164"/>
          <cell r="J3164"/>
          <cell r="L3164"/>
          <cell r="M3164"/>
        </row>
        <row r="3165">
          <cell r="B3165"/>
          <cell r="C3165"/>
          <cell r="E3165"/>
          <cell r="F3165"/>
          <cell r="G3165"/>
          <cell r="H3165"/>
          <cell r="J3165"/>
          <cell r="L3165"/>
          <cell r="M3165"/>
        </row>
        <row r="3166">
          <cell r="B3166"/>
          <cell r="C3166"/>
          <cell r="E3166"/>
          <cell r="F3166"/>
          <cell r="G3166"/>
          <cell r="H3166"/>
          <cell r="J3166"/>
          <cell r="L3166"/>
          <cell r="M3166"/>
        </row>
        <row r="3167">
          <cell r="B3167"/>
          <cell r="C3167"/>
          <cell r="E3167"/>
          <cell r="F3167"/>
          <cell r="G3167"/>
          <cell r="H3167"/>
          <cell r="J3167"/>
          <cell r="L3167"/>
          <cell r="M3167"/>
        </row>
        <row r="3168">
          <cell r="B3168"/>
          <cell r="C3168"/>
          <cell r="E3168"/>
          <cell r="F3168"/>
          <cell r="G3168"/>
          <cell r="H3168"/>
          <cell r="J3168"/>
          <cell r="L3168"/>
          <cell r="M3168"/>
        </row>
        <row r="3169">
          <cell r="B3169"/>
          <cell r="C3169"/>
          <cell r="E3169"/>
          <cell r="F3169"/>
          <cell r="G3169"/>
          <cell r="H3169"/>
          <cell r="J3169"/>
          <cell r="L3169"/>
          <cell r="M3169"/>
        </row>
        <row r="3170">
          <cell r="B3170"/>
          <cell r="C3170"/>
          <cell r="E3170"/>
          <cell r="F3170"/>
          <cell r="G3170"/>
          <cell r="H3170"/>
          <cell r="J3170"/>
          <cell r="L3170"/>
          <cell r="M3170"/>
        </row>
        <row r="3171">
          <cell r="B3171"/>
          <cell r="C3171"/>
          <cell r="E3171"/>
          <cell r="F3171"/>
          <cell r="G3171"/>
          <cell r="H3171"/>
          <cell r="J3171"/>
          <cell r="L3171"/>
          <cell r="M3171"/>
        </row>
        <row r="3172">
          <cell r="B3172"/>
          <cell r="C3172"/>
          <cell r="E3172"/>
          <cell r="F3172"/>
          <cell r="G3172"/>
          <cell r="H3172"/>
          <cell r="J3172"/>
          <cell r="L3172"/>
          <cell r="M3172"/>
        </row>
        <row r="3173">
          <cell r="B3173"/>
          <cell r="C3173"/>
          <cell r="E3173"/>
          <cell r="F3173"/>
          <cell r="G3173"/>
          <cell r="H3173"/>
          <cell r="J3173"/>
          <cell r="L3173"/>
          <cell r="M3173"/>
        </row>
        <row r="3174">
          <cell r="B3174"/>
          <cell r="C3174"/>
          <cell r="E3174"/>
          <cell r="F3174"/>
          <cell r="G3174"/>
          <cell r="H3174"/>
          <cell r="J3174"/>
          <cell r="L3174"/>
          <cell r="M3174"/>
        </row>
        <row r="3175">
          <cell r="B3175"/>
          <cell r="C3175"/>
          <cell r="E3175"/>
          <cell r="F3175"/>
          <cell r="G3175"/>
          <cell r="H3175"/>
          <cell r="J3175"/>
          <cell r="L3175"/>
          <cell r="M3175"/>
        </row>
        <row r="3176">
          <cell r="B3176"/>
          <cell r="C3176"/>
          <cell r="E3176"/>
          <cell r="F3176"/>
          <cell r="G3176"/>
          <cell r="H3176"/>
          <cell r="J3176"/>
          <cell r="L3176"/>
          <cell r="M3176"/>
        </row>
        <row r="3177">
          <cell r="B3177"/>
          <cell r="C3177"/>
          <cell r="E3177"/>
          <cell r="F3177"/>
          <cell r="G3177"/>
          <cell r="H3177"/>
          <cell r="J3177"/>
          <cell r="L3177"/>
          <cell r="M3177"/>
        </row>
        <row r="3178">
          <cell r="B3178"/>
          <cell r="C3178"/>
          <cell r="E3178"/>
          <cell r="F3178"/>
          <cell r="G3178"/>
          <cell r="H3178"/>
          <cell r="J3178"/>
          <cell r="L3178"/>
          <cell r="M3178"/>
        </row>
        <row r="3179">
          <cell r="B3179"/>
          <cell r="C3179"/>
          <cell r="E3179"/>
          <cell r="F3179"/>
          <cell r="G3179"/>
          <cell r="H3179"/>
          <cell r="J3179"/>
          <cell r="L3179"/>
          <cell r="M3179"/>
        </row>
        <row r="3180">
          <cell r="B3180"/>
          <cell r="C3180"/>
          <cell r="E3180"/>
          <cell r="F3180"/>
          <cell r="G3180"/>
          <cell r="H3180"/>
          <cell r="J3180"/>
          <cell r="L3180"/>
          <cell r="M3180"/>
        </row>
        <row r="3181">
          <cell r="B3181"/>
          <cell r="C3181"/>
          <cell r="E3181"/>
          <cell r="F3181"/>
          <cell r="G3181"/>
          <cell r="H3181"/>
          <cell r="J3181"/>
          <cell r="L3181"/>
          <cell r="M3181"/>
        </row>
        <row r="3182">
          <cell r="B3182"/>
          <cell r="C3182"/>
          <cell r="E3182"/>
          <cell r="F3182"/>
          <cell r="G3182"/>
          <cell r="H3182"/>
          <cell r="J3182"/>
          <cell r="L3182"/>
          <cell r="M3182"/>
        </row>
        <row r="3183">
          <cell r="B3183"/>
          <cell r="C3183"/>
          <cell r="E3183"/>
          <cell r="F3183"/>
          <cell r="G3183"/>
          <cell r="H3183"/>
          <cell r="J3183"/>
          <cell r="L3183"/>
          <cell r="M3183"/>
        </row>
        <row r="3184">
          <cell r="B3184"/>
          <cell r="C3184"/>
          <cell r="E3184"/>
          <cell r="F3184"/>
          <cell r="G3184"/>
          <cell r="H3184"/>
          <cell r="J3184"/>
          <cell r="L3184"/>
          <cell r="M3184"/>
        </row>
        <row r="3185">
          <cell r="B3185"/>
          <cell r="C3185"/>
          <cell r="E3185"/>
          <cell r="F3185"/>
          <cell r="G3185"/>
          <cell r="H3185"/>
          <cell r="J3185"/>
          <cell r="L3185"/>
          <cell r="M3185"/>
        </row>
        <row r="3186">
          <cell r="B3186"/>
          <cell r="C3186"/>
          <cell r="E3186"/>
          <cell r="F3186"/>
          <cell r="G3186"/>
          <cell r="H3186"/>
          <cell r="J3186"/>
          <cell r="L3186"/>
          <cell r="M3186"/>
        </row>
        <row r="3187">
          <cell r="B3187"/>
          <cell r="C3187"/>
          <cell r="E3187"/>
          <cell r="F3187"/>
          <cell r="G3187"/>
          <cell r="H3187"/>
          <cell r="J3187"/>
          <cell r="L3187"/>
          <cell r="M3187"/>
        </row>
        <row r="3188">
          <cell r="B3188"/>
          <cell r="C3188"/>
          <cell r="E3188"/>
          <cell r="F3188"/>
          <cell r="G3188"/>
          <cell r="H3188"/>
          <cell r="J3188"/>
          <cell r="L3188"/>
          <cell r="M3188"/>
        </row>
        <row r="3189">
          <cell r="B3189"/>
          <cell r="C3189"/>
          <cell r="E3189"/>
          <cell r="F3189"/>
          <cell r="G3189"/>
          <cell r="H3189"/>
          <cell r="J3189"/>
          <cell r="L3189"/>
          <cell r="M3189"/>
        </row>
        <row r="3190">
          <cell r="B3190"/>
          <cell r="C3190"/>
          <cell r="E3190"/>
          <cell r="F3190"/>
          <cell r="G3190"/>
          <cell r="H3190"/>
          <cell r="J3190"/>
          <cell r="L3190"/>
          <cell r="M3190"/>
        </row>
        <row r="3191">
          <cell r="B3191"/>
          <cell r="C3191"/>
          <cell r="E3191"/>
          <cell r="F3191"/>
          <cell r="G3191"/>
          <cell r="H3191"/>
          <cell r="J3191"/>
          <cell r="L3191"/>
          <cell r="M3191"/>
        </row>
        <row r="3192">
          <cell r="B3192"/>
          <cell r="C3192"/>
          <cell r="E3192"/>
          <cell r="F3192"/>
          <cell r="G3192"/>
          <cell r="H3192"/>
          <cell r="J3192"/>
          <cell r="L3192"/>
          <cell r="M3192"/>
        </row>
        <row r="3193">
          <cell r="B3193"/>
          <cell r="C3193"/>
          <cell r="E3193"/>
          <cell r="F3193"/>
          <cell r="G3193"/>
          <cell r="H3193"/>
          <cell r="J3193"/>
          <cell r="L3193"/>
          <cell r="M3193"/>
        </row>
        <row r="3194">
          <cell r="B3194"/>
          <cell r="C3194"/>
          <cell r="E3194"/>
          <cell r="F3194"/>
          <cell r="G3194"/>
          <cell r="H3194"/>
          <cell r="J3194"/>
          <cell r="L3194"/>
          <cell r="M3194"/>
        </row>
        <row r="3195">
          <cell r="B3195"/>
          <cell r="C3195"/>
          <cell r="E3195"/>
          <cell r="F3195"/>
          <cell r="G3195"/>
          <cell r="H3195"/>
          <cell r="J3195"/>
          <cell r="L3195"/>
          <cell r="M3195"/>
        </row>
        <row r="3196">
          <cell r="B3196"/>
          <cell r="C3196"/>
          <cell r="E3196"/>
          <cell r="F3196"/>
          <cell r="G3196"/>
          <cell r="H3196"/>
          <cell r="J3196"/>
          <cell r="L3196"/>
          <cell r="M3196"/>
        </row>
        <row r="3197">
          <cell r="B3197"/>
          <cell r="C3197"/>
          <cell r="E3197"/>
          <cell r="F3197"/>
          <cell r="G3197"/>
          <cell r="H3197"/>
          <cell r="J3197"/>
          <cell r="L3197"/>
          <cell r="M3197"/>
        </row>
        <row r="3198">
          <cell r="B3198"/>
          <cell r="C3198"/>
          <cell r="E3198"/>
          <cell r="F3198"/>
          <cell r="G3198"/>
          <cell r="H3198"/>
          <cell r="J3198"/>
          <cell r="L3198"/>
          <cell r="M3198"/>
        </row>
        <row r="3199">
          <cell r="B3199"/>
          <cell r="C3199"/>
          <cell r="E3199"/>
          <cell r="F3199"/>
          <cell r="G3199"/>
          <cell r="H3199"/>
          <cell r="J3199"/>
          <cell r="L3199"/>
          <cell r="M3199"/>
        </row>
        <row r="3200">
          <cell r="B3200"/>
          <cell r="C3200"/>
          <cell r="E3200"/>
          <cell r="F3200"/>
          <cell r="G3200"/>
          <cell r="H3200"/>
          <cell r="J3200"/>
          <cell r="L3200"/>
          <cell r="M3200"/>
        </row>
        <row r="3201">
          <cell r="B3201"/>
          <cell r="C3201"/>
          <cell r="E3201"/>
          <cell r="F3201"/>
          <cell r="G3201"/>
          <cell r="H3201"/>
          <cell r="J3201"/>
          <cell r="L3201"/>
          <cell r="M3201"/>
        </row>
        <row r="3202">
          <cell r="B3202"/>
          <cell r="C3202"/>
          <cell r="E3202"/>
          <cell r="F3202"/>
          <cell r="G3202"/>
          <cell r="H3202"/>
          <cell r="J3202"/>
          <cell r="L3202"/>
          <cell r="M3202"/>
        </row>
        <row r="3203">
          <cell r="B3203"/>
          <cell r="C3203"/>
          <cell r="E3203"/>
          <cell r="F3203"/>
          <cell r="G3203"/>
          <cell r="H3203"/>
          <cell r="J3203"/>
          <cell r="L3203"/>
          <cell r="M3203"/>
        </row>
        <row r="3204">
          <cell r="B3204"/>
          <cell r="C3204"/>
          <cell r="E3204"/>
          <cell r="F3204"/>
          <cell r="G3204"/>
          <cell r="H3204"/>
          <cell r="J3204"/>
          <cell r="L3204"/>
          <cell r="M3204"/>
        </row>
        <row r="3205">
          <cell r="B3205"/>
          <cell r="C3205"/>
          <cell r="E3205"/>
          <cell r="F3205"/>
          <cell r="G3205"/>
          <cell r="H3205"/>
          <cell r="J3205"/>
          <cell r="L3205"/>
          <cell r="M3205"/>
        </row>
        <row r="3206">
          <cell r="B3206"/>
          <cell r="C3206"/>
          <cell r="E3206"/>
          <cell r="F3206"/>
          <cell r="G3206"/>
          <cell r="H3206"/>
          <cell r="J3206"/>
          <cell r="L3206"/>
          <cell r="M3206"/>
        </row>
        <row r="3207">
          <cell r="B3207"/>
          <cell r="C3207"/>
          <cell r="E3207"/>
          <cell r="F3207"/>
          <cell r="G3207"/>
          <cell r="H3207"/>
          <cell r="J3207"/>
          <cell r="L3207"/>
          <cell r="M3207"/>
        </row>
        <row r="3208">
          <cell r="B3208"/>
          <cell r="C3208"/>
          <cell r="E3208"/>
          <cell r="F3208"/>
          <cell r="G3208"/>
          <cell r="H3208"/>
          <cell r="J3208"/>
          <cell r="L3208"/>
          <cell r="M3208"/>
        </row>
        <row r="3209">
          <cell r="B3209"/>
          <cell r="C3209"/>
          <cell r="E3209"/>
          <cell r="F3209"/>
          <cell r="G3209"/>
          <cell r="H3209"/>
          <cell r="J3209"/>
          <cell r="L3209"/>
          <cell r="M3209"/>
        </row>
        <row r="3210">
          <cell r="B3210"/>
          <cell r="C3210"/>
          <cell r="E3210"/>
          <cell r="F3210"/>
          <cell r="G3210"/>
          <cell r="H3210"/>
          <cell r="J3210"/>
          <cell r="L3210"/>
          <cell r="M3210"/>
        </row>
        <row r="3211">
          <cell r="B3211"/>
          <cell r="C3211"/>
          <cell r="E3211"/>
          <cell r="F3211"/>
          <cell r="G3211"/>
          <cell r="H3211"/>
          <cell r="J3211"/>
          <cell r="L3211"/>
          <cell r="M3211"/>
        </row>
        <row r="3212">
          <cell r="B3212"/>
          <cell r="C3212"/>
          <cell r="E3212"/>
          <cell r="F3212"/>
          <cell r="G3212"/>
          <cell r="H3212"/>
          <cell r="J3212"/>
          <cell r="L3212"/>
          <cell r="M3212"/>
        </row>
        <row r="3213">
          <cell r="B3213"/>
          <cell r="C3213"/>
          <cell r="E3213"/>
          <cell r="F3213"/>
          <cell r="G3213"/>
          <cell r="H3213"/>
          <cell r="J3213"/>
          <cell r="L3213"/>
          <cell r="M3213"/>
        </row>
        <row r="3214">
          <cell r="B3214"/>
          <cell r="C3214"/>
          <cell r="E3214"/>
          <cell r="F3214"/>
          <cell r="G3214"/>
          <cell r="H3214"/>
          <cell r="J3214"/>
          <cell r="L3214"/>
          <cell r="M3214"/>
        </row>
        <row r="3215">
          <cell r="B3215"/>
          <cell r="C3215"/>
          <cell r="E3215"/>
          <cell r="F3215"/>
          <cell r="G3215"/>
          <cell r="H3215"/>
          <cell r="J3215"/>
          <cell r="L3215"/>
          <cell r="M3215"/>
        </row>
        <row r="3216">
          <cell r="B3216"/>
          <cell r="C3216"/>
          <cell r="E3216"/>
          <cell r="F3216"/>
          <cell r="G3216"/>
          <cell r="H3216"/>
          <cell r="J3216"/>
          <cell r="L3216"/>
          <cell r="M3216"/>
        </row>
        <row r="3217">
          <cell r="B3217"/>
          <cell r="C3217"/>
          <cell r="E3217"/>
          <cell r="F3217"/>
          <cell r="G3217"/>
          <cell r="H3217"/>
          <cell r="J3217"/>
          <cell r="L3217"/>
          <cell r="M3217"/>
        </row>
        <row r="3218">
          <cell r="B3218"/>
          <cell r="C3218"/>
          <cell r="E3218"/>
          <cell r="F3218"/>
          <cell r="G3218"/>
          <cell r="H3218"/>
          <cell r="J3218"/>
          <cell r="L3218"/>
          <cell r="M3218"/>
        </row>
        <row r="3219">
          <cell r="B3219"/>
          <cell r="C3219"/>
          <cell r="E3219"/>
          <cell r="F3219"/>
          <cell r="G3219"/>
          <cell r="H3219"/>
          <cell r="J3219"/>
          <cell r="L3219"/>
          <cell r="M3219"/>
        </row>
        <row r="3220">
          <cell r="B3220"/>
          <cell r="C3220"/>
          <cell r="E3220"/>
          <cell r="F3220"/>
          <cell r="G3220"/>
          <cell r="H3220"/>
          <cell r="J3220"/>
          <cell r="L3220"/>
          <cell r="M3220"/>
        </row>
        <row r="3221">
          <cell r="B3221"/>
          <cell r="C3221"/>
          <cell r="E3221"/>
          <cell r="F3221"/>
          <cell r="G3221"/>
          <cell r="H3221"/>
          <cell r="J3221"/>
          <cell r="L3221"/>
          <cell r="M3221"/>
        </row>
        <row r="3222">
          <cell r="B3222"/>
          <cell r="C3222"/>
          <cell r="E3222"/>
          <cell r="F3222"/>
          <cell r="G3222"/>
          <cell r="H3222"/>
          <cell r="J3222"/>
          <cell r="L3222"/>
          <cell r="M3222"/>
        </row>
        <row r="3223">
          <cell r="B3223"/>
          <cell r="C3223"/>
          <cell r="E3223"/>
          <cell r="F3223"/>
          <cell r="G3223"/>
          <cell r="H3223"/>
          <cell r="J3223"/>
          <cell r="L3223"/>
          <cell r="M3223"/>
        </row>
        <row r="3224">
          <cell r="B3224"/>
          <cell r="C3224"/>
          <cell r="E3224"/>
          <cell r="F3224"/>
          <cell r="G3224"/>
          <cell r="H3224"/>
          <cell r="J3224"/>
          <cell r="L3224"/>
          <cell r="M3224"/>
        </row>
        <row r="3225">
          <cell r="B3225"/>
          <cell r="C3225"/>
          <cell r="E3225"/>
          <cell r="F3225"/>
          <cell r="G3225"/>
          <cell r="H3225"/>
          <cell r="J3225"/>
          <cell r="L3225"/>
          <cell r="M3225"/>
        </row>
        <row r="3226">
          <cell r="B3226"/>
          <cell r="C3226"/>
          <cell r="E3226"/>
          <cell r="F3226"/>
          <cell r="G3226"/>
          <cell r="H3226"/>
          <cell r="J3226"/>
          <cell r="L3226"/>
          <cell r="M3226"/>
        </row>
        <row r="3227">
          <cell r="B3227"/>
          <cell r="C3227"/>
          <cell r="E3227"/>
          <cell r="F3227"/>
          <cell r="G3227"/>
          <cell r="H3227"/>
          <cell r="J3227"/>
          <cell r="L3227"/>
          <cell r="M3227"/>
        </row>
        <row r="3228">
          <cell r="B3228"/>
          <cell r="C3228"/>
          <cell r="E3228"/>
          <cell r="F3228"/>
          <cell r="G3228"/>
          <cell r="H3228"/>
          <cell r="J3228"/>
          <cell r="L3228"/>
          <cell r="M3228"/>
        </row>
        <row r="3229">
          <cell r="B3229"/>
          <cell r="C3229"/>
          <cell r="E3229"/>
          <cell r="F3229"/>
          <cell r="G3229"/>
          <cell r="H3229"/>
          <cell r="J3229"/>
          <cell r="L3229"/>
          <cell r="M3229"/>
        </row>
        <row r="3230">
          <cell r="B3230"/>
          <cell r="C3230"/>
          <cell r="E3230"/>
          <cell r="F3230"/>
          <cell r="G3230"/>
          <cell r="H3230"/>
          <cell r="J3230"/>
          <cell r="L3230"/>
          <cell r="M3230"/>
        </row>
        <row r="3231">
          <cell r="B3231"/>
          <cell r="C3231"/>
          <cell r="E3231"/>
          <cell r="F3231"/>
          <cell r="G3231"/>
          <cell r="H3231"/>
          <cell r="J3231"/>
          <cell r="L3231"/>
          <cell r="M3231"/>
        </row>
        <row r="3232">
          <cell r="B3232"/>
          <cell r="C3232"/>
          <cell r="E3232"/>
          <cell r="F3232"/>
          <cell r="G3232"/>
          <cell r="H3232"/>
          <cell r="J3232"/>
          <cell r="L3232"/>
          <cell r="M3232"/>
        </row>
        <row r="3233">
          <cell r="B3233"/>
          <cell r="C3233"/>
          <cell r="E3233"/>
          <cell r="F3233"/>
          <cell r="G3233"/>
          <cell r="H3233"/>
          <cell r="J3233"/>
          <cell r="L3233"/>
          <cell r="M3233"/>
        </row>
        <row r="3234">
          <cell r="B3234"/>
          <cell r="C3234"/>
          <cell r="E3234"/>
          <cell r="F3234"/>
          <cell r="G3234"/>
          <cell r="H3234"/>
          <cell r="J3234"/>
          <cell r="L3234"/>
          <cell r="M3234"/>
        </row>
        <row r="3235">
          <cell r="B3235"/>
          <cell r="C3235"/>
          <cell r="E3235"/>
          <cell r="F3235"/>
          <cell r="G3235"/>
          <cell r="H3235"/>
          <cell r="J3235"/>
          <cell r="L3235"/>
          <cell r="M3235"/>
        </row>
        <row r="3236">
          <cell r="B3236"/>
          <cell r="C3236"/>
          <cell r="E3236"/>
          <cell r="F3236"/>
          <cell r="G3236"/>
          <cell r="H3236"/>
          <cell r="J3236"/>
          <cell r="L3236"/>
          <cell r="M3236"/>
        </row>
        <row r="3237">
          <cell r="B3237"/>
          <cell r="C3237"/>
          <cell r="E3237"/>
          <cell r="F3237"/>
          <cell r="G3237"/>
          <cell r="H3237"/>
          <cell r="J3237"/>
          <cell r="L3237"/>
          <cell r="M3237"/>
        </row>
        <row r="3238">
          <cell r="B3238"/>
          <cell r="C3238"/>
          <cell r="E3238"/>
          <cell r="F3238"/>
          <cell r="G3238"/>
          <cell r="H3238"/>
          <cell r="J3238"/>
          <cell r="L3238"/>
          <cell r="M3238"/>
        </row>
        <row r="3239">
          <cell r="B3239"/>
          <cell r="C3239"/>
          <cell r="E3239"/>
          <cell r="F3239"/>
          <cell r="G3239"/>
          <cell r="H3239"/>
          <cell r="J3239"/>
          <cell r="L3239"/>
          <cell r="M3239"/>
        </row>
        <row r="3240">
          <cell r="B3240"/>
          <cell r="C3240"/>
          <cell r="E3240"/>
          <cell r="F3240"/>
          <cell r="G3240"/>
          <cell r="H3240"/>
          <cell r="J3240"/>
          <cell r="L3240"/>
          <cell r="M3240"/>
        </row>
        <row r="3241">
          <cell r="B3241"/>
          <cell r="C3241"/>
          <cell r="E3241"/>
          <cell r="F3241"/>
          <cell r="G3241"/>
          <cell r="H3241"/>
          <cell r="J3241"/>
          <cell r="L3241"/>
          <cell r="M3241"/>
        </row>
        <row r="3242">
          <cell r="B3242"/>
          <cell r="C3242"/>
          <cell r="E3242"/>
          <cell r="F3242"/>
          <cell r="G3242"/>
          <cell r="H3242"/>
          <cell r="J3242"/>
          <cell r="L3242"/>
          <cell r="M3242"/>
        </row>
        <row r="3243">
          <cell r="B3243"/>
          <cell r="C3243"/>
          <cell r="E3243"/>
          <cell r="F3243"/>
          <cell r="G3243"/>
          <cell r="H3243"/>
          <cell r="J3243"/>
          <cell r="L3243"/>
          <cell r="M3243"/>
        </row>
        <row r="3244">
          <cell r="B3244"/>
          <cell r="C3244"/>
          <cell r="E3244"/>
          <cell r="F3244"/>
          <cell r="G3244"/>
          <cell r="H3244"/>
          <cell r="J3244"/>
          <cell r="L3244"/>
          <cell r="M3244"/>
        </row>
        <row r="3245">
          <cell r="B3245"/>
          <cell r="C3245"/>
          <cell r="E3245"/>
          <cell r="F3245"/>
          <cell r="G3245"/>
          <cell r="H3245"/>
          <cell r="J3245"/>
          <cell r="L3245"/>
          <cell r="M3245"/>
        </row>
        <row r="3246">
          <cell r="B3246"/>
          <cell r="C3246"/>
          <cell r="E3246"/>
          <cell r="F3246"/>
          <cell r="G3246"/>
          <cell r="H3246"/>
          <cell r="J3246"/>
          <cell r="L3246"/>
          <cell r="M3246"/>
        </row>
        <row r="3247">
          <cell r="B3247"/>
          <cell r="C3247"/>
          <cell r="E3247"/>
          <cell r="F3247"/>
          <cell r="G3247"/>
          <cell r="H3247"/>
          <cell r="J3247"/>
          <cell r="L3247"/>
          <cell r="M3247"/>
        </row>
        <row r="3248">
          <cell r="B3248"/>
          <cell r="C3248"/>
          <cell r="E3248"/>
          <cell r="F3248"/>
          <cell r="G3248"/>
          <cell r="H3248"/>
          <cell r="J3248"/>
          <cell r="L3248"/>
          <cell r="M3248"/>
        </row>
        <row r="3249">
          <cell r="B3249"/>
          <cell r="C3249"/>
          <cell r="E3249"/>
          <cell r="F3249"/>
          <cell r="G3249"/>
          <cell r="H3249"/>
          <cell r="J3249"/>
          <cell r="L3249"/>
          <cell r="M3249"/>
        </row>
        <row r="3250">
          <cell r="B3250"/>
          <cell r="C3250"/>
          <cell r="E3250"/>
          <cell r="F3250"/>
          <cell r="G3250"/>
          <cell r="H3250"/>
          <cell r="J3250"/>
          <cell r="L3250"/>
          <cell r="M3250"/>
        </row>
        <row r="3251">
          <cell r="B3251"/>
          <cell r="C3251"/>
          <cell r="E3251"/>
          <cell r="F3251"/>
          <cell r="G3251"/>
          <cell r="H3251"/>
          <cell r="J3251"/>
          <cell r="L3251"/>
          <cell r="M3251"/>
        </row>
        <row r="3252">
          <cell r="B3252"/>
          <cell r="C3252"/>
          <cell r="E3252"/>
          <cell r="F3252"/>
          <cell r="G3252"/>
          <cell r="H3252"/>
          <cell r="J3252"/>
          <cell r="L3252"/>
          <cell r="M3252"/>
        </row>
        <row r="3253">
          <cell r="B3253"/>
          <cell r="C3253"/>
          <cell r="E3253"/>
          <cell r="F3253"/>
          <cell r="G3253"/>
          <cell r="H3253"/>
          <cell r="J3253"/>
          <cell r="L3253"/>
          <cell r="M3253"/>
        </row>
        <row r="3254">
          <cell r="B3254"/>
          <cell r="C3254"/>
          <cell r="E3254"/>
          <cell r="F3254"/>
          <cell r="G3254"/>
          <cell r="H3254"/>
          <cell r="J3254"/>
          <cell r="L3254"/>
          <cell r="M3254"/>
        </row>
        <row r="3255">
          <cell r="B3255"/>
          <cell r="C3255"/>
          <cell r="E3255"/>
          <cell r="F3255"/>
          <cell r="G3255"/>
          <cell r="H3255"/>
          <cell r="J3255"/>
          <cell r="L3255"/>
          <cell r="M3255"/>
        </row>
        <row r="3256">
          <cell r="B3256"/>
          <cell r="C3256"/>
          <cell r="E3256"/>
          <cell r="F3256"/>
          <cell r="G3256"/>
          <cell r="H3256"/>
          <cell r="J3256"/>
          <cell r="L3256"/>
          <cell r="M3256"/>
        </row>
        <row r="3257">
          <cell r="B3257"/>
          <cell r="C3257"/>
          <cell r="E3257"/>
          <cell r="F3257"/>
          <cell r="G3257"/>
          <cell r="H3257"/>
          <cell r="J3257"/>
          <cell r="L3257"/>
          <cell r="M3257"/>
        </row>
        <row r="3258">
          <cell r="B3258"/>
          <cell r="C3258"/>
          <cell r="E3258"/>
          <cell r="F3258"/>
          <cell r="G3258"/>
          <cell r="H3258"/>
          <cell r="J3258"/>
          <cell r="L3258"/>
          <cell r="M3258"/>
        </row>
        <row r="3259">
          <cell r="B3259"/>
          <cell r="C3259"/>
          <cell r="E3259"/>
          <cell r="F3259"/>
          <cell r="G3259"/>
          <cell r="H3259"/>
          <cell r="J3259"/>
          <cell r="L3259"/>
          <cell r="M3259"/>
        </row>
        <row r="3260">
          <cell r="B3260"/>
          <cell r="C3260"/>
          <cell r="E3260"/>
          <cell r="F3260"/>
          <cell r="G3260"/>
          <cell r="H3260"/>
          <cell r="J3260"/>
          <cell r="L3260"/>
          <cell r="M3260"/>
        </row>
        <row r="3261">
          <cell r="B3261"/>
          <cell r="C3261"/>
          <cell r="E3261"/>
          <cell r="F3261"/>
          <cell r="G3261"/>
          <cell r="H3261"/>
          <cell r="J3261"/>
          <cell r="L3261"/>
          <cell r="M3261"/>
        </row>
        <row r="3262">
          <cell r="B3262"/>
          <cell r="C3262"/>
          <cell r="E3262"/>
          <cell r="F3262"/>
          <cell r="G3262"/>
          <cell r="H3262"/>
          <cell r="J3262"/>
          <cell r="L3262"/>
          <cell r="M3262"/>
        </row>
        <row r="3263">
          <cell r="B3263"/>
          <cell r="C3263"/>
          <cell r="E3263"/>
          <cell r="F3263"/>
          <cell r="G3263"/>
          <cell r="H3263"/>
          <cell r="J3263"/>
          <cell r="L3263"/>
          <cell r="M3263"/>
        </row>
        <row r="3264">
          <cell r="B3264"/>
          <cell r="C3264"/>
          <cell r="E3264"/>
          <cell r="F3264"/>
          <cell r="G3264"/>
          <cell r="H3264"/>
          <cell r="J3264"/>
          <cell r="L3264"/>
          <cell r="M3264"/>
        </row>
        <row r="3265">
          <cell r="B3265"/>
          <cell r="C3265"/>
          <cell r="E3265"/>
          <cell r="F3265"/>
          <cell r="G3265"/>
          <cell r="H3265"/>
          <cell r="J3265"/>
          <cell r="L3265"/>
          <cell r="M3265"/>
        </row>
        <row r="3266">
          <cell r="B3266"/>
          <cell r="C3266"/>
          <cell r="E3266"/>
          <cell r="F3266"/>
          <cell r="G3266"/>
          <cell r="H3266"/>
          <cell r="J3266"/>
          <cell r="L3266"/>
          <cell r="M3266"/>
        </row>
        <row r="3267">
          <cell r="B3267"/>
          <cell r="C3267"/>
          <cell r="E3267"/>
          <cell r="F3267"/>
          <cell r="G3267"/>
          <cell r="H3267"/>
          <cell r="J3267"/>
          <cell r="L3267"/>
          <cell r="M3267"/>
        </row>
        <row r="3268">
          <cell r="B3268"/>
          <cell r="C3268"/>
          <cell r="E3268"/>
          <cell r="F3268"/>
          <cell r="G3268"/>
          <cell r="H3268"/>
          <cell r="J3268"/>
          <cell r="L3268"/>
          <cell r="M3268"/>
        </row>
        <row r="3269">
          <cell r="B3269"/>
          <cell r="C3269"/>
          <cell r="E3269"/>
          <cell r="F3269"/>
          <cell r="G3269"/>
          <cell r="H3269"/>
          <cell r="J3269"/>
          <cell r="L3269"/>
          <cell r="M3269"/>
        </row>
        <row r="3270">
          <cell r="B3270"/>
          <cell r="C3270"/>
          <cell r="E3270"/>
          <cell r="F3270"/>
          <cell r="G3270"/>
          <cell r="H3270"/>
          <cell r="J3270"/>
          <cell r="L3270"/>
          <cell r="M3270"/>
        </row>
        <row r="3271">
          <cell r="B3271"/>
          <cell r="C3271"/>
          <cell r="E3271"/>
          <cell r="F3271"/>
          <cell r="G3271"/>
          <cell r="H3271"/>
          <cell r="J3271"/>
          <cell r="L3271"/>
          <cell r="M3271"/>
        </row>
        <row r="3272">
          <cell r="B3272"/>
          <cell r="C3272"/>
          <cell r="E3272"/>
          <cell r="F3272"/>
          <cell r="G3272"/>
          <cell r="H3272"/>
          <cell r="J3272"/>
          <cell r="L3272"/>
          <cell r="M3272"/>
        </row>
        <row r="3273">
          <cell r="B3273"/>
          <cell r="C3273"/>
          <cell r="E3273"/>
          <cell r="F3273"/>
          <cell r="G3273"/>
          <cell r="H3273"/>
          <cell r="J3273"/>
          <cell r="L3273"/>
          <cell r="M3273"/>
        </row>
        <row r="3274">
          <cell r="B3274"/>
          <cell r="C3274"/>
          <cell r="E3274"/>
          <cell r="F3274"/>
          <cell r="G3274"/>
          <cell r="H3274"/>
          <cell r="J3274"/>
          <cell r="L3274"/>
          <cell r="M3274"/>
        </row>
        <row r="3275">
          <cell r="B3275"/>
          <cell r="C3275"/>
          <cell r="E3275"/>
          <cell r="F3275"/>
          <cell r="G3275"/>
          <cell r="H3275"/>
          <cell r="J3275"/>
          <cell r="L3275"/>
          <cell r="M3275"/>
        </row>
        <row r="3276">
          <cell r="B3276"/>
          <cell r="C3276"/>
          <cell r="E3276"/>
          <cell r="F3276"/>
          <cell r="G3276"/>
          <cell r="H3276"/>
          <cell r="J3276"/>
          <cell r="L3276"/>
          <cell r="M3276"/>
        </row>
        <row r="3277">
          <cell r="B3277"/>
          <cell r="C3277"/>
          <cell r="E3277"/>
          <cell r="F3277"/>
          <cell r="G3277"/>
          <cell r="H3277"/>
          <cell r="J3277"/>
          <cell r="L3277"/>
          <cell r="M3277"/>
        </row>
        <row r="3278">
          <cell r="B3278"/>
          <cell r="C3278"/>
          <cell r="E3278"/>
          <cell r="F3278"/>
          <cell r="G3278"/>
          <cell r="H3278"/>
          <cell r="J3278"/>
          <cell r="L3278"/>
          <cell r="M3278"/>
        </row>
        <row r="3279">
          <cell r="B3279"/>
          <cell r="C3279"/>
          <cell r="E3279"/>
          <cell r="F3279"/>
          <cell r="G3279"/>
          <cell r="H3279"/>
          <cell r="J3279"/>
          <cell r="L3279"/>
          <cell r="M3279"/>
        </row>
        <row r="3280">
          <cell r="B3280"/>
          <cell r="C3280"/>
          <cell r="E3280"/>
          <cell r="F3280"/>
          <cell r="G3280"/>
          <cell r="H3280"/>
          <cell r="J3280"/>
          <cell r="L3280"/>
          <cell r="M3280"/>
        </row>
        <row r="3281">
          <cell r="B3281"/>
          <cell r="C3281"/>
          <cell r="E3281"/>
          <cell r="F3281"/>
          <cell r="G3281"/>
          <cell r="H3281"/>
          <cell r="J3281"/>
          <cell r="L3281"/>
          <cell r="M3281"/>
        </row>
        <row r="3282">
          <cell r="B3282"/>
          <cell r="C3282"/>
          <cell r="E3282"/>
          <cell r="F3282"/>
          <cell r="G3282"/>
          <cell r="H3282"/>
          <cell r="J3282"/>
          <cell r="L3282"/>
          <cell r="M3282"/>
        </row>
        <row r="3283">
          <cell r="B3283"/>
          <cell r="C3283"/>
          <cell r="E3283"/>
          <cell r="F3283"/>
          <cell r="G3283"/>
          <cell r="H3283"/>
          <cell r="J3283"/>
          <cell r="L3283"/>
          <cell r="M3283"/>
        </row>
        <row r="3284">
          <cell r="B3284"/>
          <cell r="C3284"/>
          <cell r="E3284"/>
          <cell r="F3284"/>
          <cell r="G3284"/>
          <cell r="H3284"/>
          <cell r="J3284"/>
          <cell r="L3284"/>
          <cell r="M3284"/>
        </row>
        <row r="3285">
          <cell r="B3285"/>
          <cell r="C3285"/>
          <cell r="E3285"/>
          <cell r="F3285"/>
          <cell r="G3285"/>
          <cell r="H3285"/>
          <cell r="J3285"/>
          <cell r="L3285"/>
          <cell r="M3285"/>
        </row>
        <row r="3286">
          <cell r="B3286"/>
          <cell r="C3286"/>
          <cell r="E3286"/>
          <cell r="F3286"/>
          <cell r="G3286"/>
          <cell r="H3286"/>
          <cell r="J3286"/>
          <cell r="L3286"/>
          <cell r="M3286"/>
        </row>
        <row r="3287">
          <cell r="B3287"/>
          <cell r="C3287"/>
          <cell r="E3287"/>
          <cell r="F3287"/>
          <cell r="G3287"/>
          <cell r="H3287"/>
          <cell r="J3287"/>
          <cell r="L3287"/>
          <cell r="M3287"/>
        </row>
        <row r="3288">
          <cell r="B3288"/>
          <cell r="C3288"/>
          <cell r="E3288"/>
          <cell r="F3288"/>
          <cell r="G3288"/>
          <cell r="H3288"/>
          <cell r="J3288"/>
          <cell r="L3288"/>
          <cell r="M3288"/>
        </row>
        <row r="3289">
          <cell r="B3289"/>
          <cell r="C3289"/>
          <cell r="E3289"/>
          <cell r="F3289"/>
          <cell r="G3289"/>
          <cell r="H3289"/>
          <cell r="J3289"/>
          <cell r="L3289"/>
          <cell r="M3289"/>
        </row>
        <row r="3290">
          <cell r="B3290"/>
          <cell r="C3290"/>
          <cell r="E3290"/>
          <cell r="F3290"/>
          <cell r="G3290"/>
          <cell r="H3290"/>
          <cell r="J3290"/>
          <cell r="L3290"/>
          <cell r="M3290"/>
        </row>
        <row r="3291">
          <cell r="B3291"/>
          <cell r="C3291"/>
          <cell r="E3291"/>
          <cell r="F3291"/>
          <cell r="G3291"/>
          <cell r="H3291"/>
          <cell r="J3291"/>
          <cell r="L3291"/>
          <cell r="M3291"/>
        </row>
        <row r="3292">
          <cell r="B3292"/>
          <cell r="C3292"/>
          <cell r="E3292"/>
          <cell r="F3292"/>
          <cell r="G3292"/>
          <cell r="H3292"/>
          <cell r="J3292"/>
          <cell r="L3292"/>
          <cell r="M3292"/>
        </row>
        <row r="3293">
          <cell r="B3293"/>
          <cell r="C3293"/>
          <cell r="E3293"/>
          <cell r="F3293"/>
          <cell r="G3293"/>
          <cell r="H3293"/>
          <cell r="J3293"/>
          <cell r="L3293"/>
          <cell r="M3293"/>
        </row>
        <row r="3294">
          <cell r="B3294"/>
          <cell r="C3294"/>
          <cell r="E3294"/>
          <cell r="F3294"/>
          <cell r="G3294"/>
          <cell r="H3294"/>
          <cell r="J3294"/>
          <cell r="L3294"/>
          <cell r="M3294"/>
        </row>
        <row r="3295">
          <cell r="B3295"/>
          <cell r="C3295"/>
          <cell r="E3295"/>
          <cell r="F3295"/>
          <cell r="G3295"/>
          <cell r="H3295"/>
          <cell r="J3295"/>
          <cell r="L3295"/>
          <cell r="M3295"/>
        </row>
        <row r="3296">
          <cell r="B3296"/>
          <cell r="C3296"/>
          <cell r="E3296"/>
          <cell r="F3296"/>
          <cell r="G3296"/>
          <cell r="H3296"/>
          <cell r="J3296"/>
          <cell r="L3296"/>
          <cell r="M3296"/>
        </row>
        <row r="3297">
          <cell r="B3297"/>
          <cell r="C3297"/>
          <cell r="E3297"/>
          <cell r="F3297"/>
          <cell r="G3297"/>
          <cell r="H3297"/>
          <cell r="J3297"/>
          <cell r="L3297"/>
          <cell r="M3297"/>
        </row>
        <row r="3298">
          <cell r="B3298"/>
          <cell r="C3298"/>
          <cell r="E3298"/>
          <cell r="F3298"/>
          <cell r="G3298"/>
          <cell r="H3298"/>
          <cell r="J3298"/>
          <cell r="L3298"/>
          <cell r="M3298"/>
        </row>
        <row r="3299">
          <cell r="B3299"/>
          <cell r="C3299"/>
          <cell r="E3299"/>
          <cell r="F3299"/>
          <cell r="G3299"/>
          <cell r="H3299"/>
          <cell r="J3299"/>
          <cell r="L3299"/>
          <cell r="M3299"/>
        </row>
        <row r="3300">
          <cell r="B3300"/>
          <cell r="C3300"/>
          <cell r="E3300"/>
          <cell r="F3300"/>
          <cell r="G3300"/>
          <cell r="H3300"/>
          <cell r="J3300"/>
          <cell r="L3300"/>
          <cell r="M3300"/>
        </row>
        <row r="3301">
          <cell r="B3301"/>
          <cell r="C3301"/>
          <cell r="E3301"/>
          <cell r="F3301"/>
          <cell r="G3301"/>
          <cell r="H3301"/>
          <cell r="J3301"/>
          <cell r="L3301"/>
          <cell r="M3301"/>
        </row>
        <row r="3302">
          <cell r="B3302"/>
          <cell r="C3302"/>
          <cell r="E3302"/>
          <cell r="F3302"/>
          <cell r="G3302"/>
          <cell r="H3302"/>
          <cell r="J3302"/>
          <cell r="L3302"/>
          <cell r="M3302"/>
        </row>
        <row r="3303">
          <cell r="B3303"/>
          <cell r="C3303"/>
          <cell r="E3303"/>
          <cell r="F3303"/>
          <cell r="G3303"/>
          <cell r="H3303"/>
          <cell r="J3303"/>
          <cell r="L3303"/>
          <cell r="M3303"/>
        </row>
        <row r="3304">
          <cell r="B3304"/>
          <cell r="C3304"/>
          <cell r="E3304"/>
          <cell r="F3304"/>
          <cell r="G3304"/>
          <cell r="H3304"/>
          <cell r="J3304"/>
          <cell r="L3304"/>
          <cell r="M3304"/>
        </row>
        <row r="3305">
          <cell r="B3305"/>
          <cell r="C3305"/>
          <cell r="E3305"/>
          <cell r="F3305"/>
          <cell r="G3305"/>
          <cell r="H3305"/>
          <cell r="J3305"/>
          <cell r="L3305"/>
          <cell r="M3305"/>
        </row>
        <row r="3306">
          <cell r="B3306"/>
          <cell r="C3306"/>
          <cell r="E3306"/>
          <cell r="F3306"/>
          <cell r="G3306"/>
          <cell r="H3306"/>
          <cell r="J3306"/>
          <cell r="L3306"/>
          <cell r="M3306"/>
        </row>
        <row r="3307">
          <cell r="B3307"/>
          <cell r="C3307"/>
          <cell r="E3307"/>
          <cell r="F3307"/>
          <cell r="G3307"/>
          <cell r="H3307"/>
          <cell r="J3307"/>
          <cell r="L3307"/>
          <cell r="M3307"/>
        </row>
        <row r="3308">
          <cell r="B3308"/>
          <cell r="C3308"/>
          <cell r="E3308"/>
          <cell r="F3308"/>
          <cell r="G3308"/>
          <cell r="H3308"/>
          <cell r="J3308"/>
          <cell r="L3308"/>
          <cell r="M3308"/>
        </row>
        <row r="3309">
          <cell r="B3309"/>
          <cell r="C3309"/>
          <cell r="E3309"/>
          <cell r="F3309"/>
          <cell r="G3309"/>
          <cell r="H3309"/>
          <cell r="J3309"/>
          <cell r="L3309"/>
          <cell r="M3309"/>
        </row>
        <row r="3310">
          <cell r="B3310"/>
          <cell r="C3310"/>
          <cell r="E3310"/>
          <cell r="F3310"/>
          <cell r="G3310"/>
          <cell r="H3310"/>
          <cell r="J3310"/>
          <cell r="L3310"/>
          <cell r="M3310"/>
        </row>
        <row r="3311">
          <cell r="B3311"/>
          <cell r="C3311"/>
          <cell r="E3311"/>
          <cell r="F3311"/>
          <cell r="G3311"/>
          <cell r="H3311"/>
          <cell r="J3311"/>
          <cell r="L3311"/>
          <cell r="M3311"/>
        </row>
        <row r="3312">
          <cell r="B3312"/>
          <cell r="C3312"/>
          <cell r="E3312"/>
          <cell r="F3312"/>
          <cell r="G3312"/>
          <cell r="H3312"/>
          <cell r="J3312"/>
          <cell r="L3312"/>
          <cell r="M3312"/>
        </row>
        <row r="3313">
          <cell r="B3313"/>
          <cell r="C3313"/>
          <cell r="E3313"/>
          <cell r="F3313"/>
          <cell r="G3313"/>
          <cell r="H3313"/>
          <cell r="J3313"/>
          <cell r="L3313"/>
          <cell r="M3313"/>
        </row>
        <row r="3314">
          <cell r="B3314"/>
          <cell r="C3314"/>
          <cell r="E3314"/>
          <cell r="F3314"/>
          <cell r="G3314"/>
          <cell r="H3314"/>
          <cell r="J3314"/>
          <cell r="L3314"/>
          <cell r="M3314"/>
        </row>
        <row r="3315">
          <cell r="B3315"/>
          <cell r="C3315"/>
          <cell r="E3315"/>
          <cell r="F3315"/>
          <cell r="G3315"/>
          <cell r="H3315"/>
          <cell r="J3315"/>
          <cell r="L3315"/>
          <cell r="M3315"/>
        </row>
        <row r="3316">
          <cell r="B3316"/>
          <cell r="C3316"/>
          <cell r="E3316"/>
          <cell r="F3316"/>
          <cell r="G3316"/>
          <cell r="H3316"/>
          <cell r="J3316"/>
          <cell r="L3316"/>
          <cell r="M3316"/>
        </row>
        <row r="3317">
          <cell r="B3317"/>
          <cell r="C3317"/>
          <cell r="E3317"/>
          <cell r="F3317"/>
          <cell r="G3317"/>
          <cell r="H3317"/>
          <cell r="J3317"/>
          <cell r="L3317"/>
          <cell r="M3317"/>
        </row>
        <row r="3318">
          <cell r="B3318"/>
          <cell r="C3318"/>
          <cell r="E3318"/>
          <cell r="F3318"/>
          <cell r="G3318"/>
          <cell r="H3318"/>
          <cell r="J3318"/>
          <cell r="L3318"/>
          <cell r="M3318"/>
        </row>
        <row r="3319">
          <cell r="B3319"/>
          <cell r="C3319"/>
          <cell r="E3319"/>
          <cell r="F3319"/>
          <cell r="G3319"/>
          <cell r="H3319"/>
          <cell r="J3319"/>
          <cell r="L3319"/>
          <cell r="M3319"/>
        </row>
        <row r="3320">
          <cell r="B3320"/>
          <cell r="C3320"/>
          <cell r="E3320"/>
          <cell r="F3320"/>
          <cell r="G3320"/>
          <cell r="H3320"/>
          <cell r="J3320"/>
          <cell r="L3320"/>
          <cell r="M3320"/>
        </row>
        <row r="3321">
          <cell r="B3321"/>
          <cell r="C3321"/>
          <cell r="E3321"/>
          <cell r="F3321"/>
          <cell r="G3321"/>
          <cell r="H3321"/>
          <cell r="J3321"/>
          <cell r="L3321"/>
          <cell r="M3321"/>
        </row>
        <row r="3322">
          <cell r="B3322"/>
          <cell r="C3322"/>
          <cell r="E3322"/>
          <cell r="F3322"/>
          <cell r="G3322"/>
          <cell r="H3322"/>
          <cell r="J3322"/>
          <cell r="L3322"/>
          <cell r="M3322"/>
        </row>
        <row r="3323">
          <cell r="B3323"/>
          <cell r="C3323"/>
          <cell r="E3323"/>
          <cell r="F3323"/>
          <cell r="G3323"/>
          <cell r="H3323"/>
          <cell r="J3323"/>
          <cell r="L3323"/>
          <cell r="M3323"/>
        </row>
        <row r="3324">
          <cell r="B3324"/>
          <cell r="C3324"/>
          <cell r="E3324"/>
          <cell r="F3324"/>
          <cell r="G3324"/>
          <cell r="H3324"/>
          <cell r="J3324"/>
          <cell r="L3324"/>
          <cell r="M3324"/>
        </row>
        <row r="3325">
          <cell r="B3325"/>
          <cell r="C3325"/>
          <cell r="E3325"/>
          <cell r="F3325"/>
          <cell r="G3325"/>
          <cell r="H3325"/>
          <cell r="J3325"/>
          <cell r="L3325"/>
          <cell r="M3325"/>
        </row>
        <row r="3326">
          <cell r="B3326"/>
          <cell r="C3326"/>
          <cell r="E3326"/>
          <cell r="F3326"/>
          <cell r="G3326"/>
          <cell r="H3326"/>
          <cell r="J3326"/>
          <cell r="L3326"/>
          <cell r="M3326"/>
        </row>
        <row r="3327">
          <cell r="B3327"/>
          <cell r="C3327"/>
          <cell r="E3327"/>
          <cell r="F3327"/>
          <cell r="G3327"/>
          <cell r="H3327"/>
          <cell r="J3327"/>
          <cell r="L3327"/>
          <cell r="M3327"/>
        </row>
        <row r="3328">
          <cell r="B3328"/>
          <cell r="C3328"/>
          <cell r="E3328"/>
          <cell r="F3328"/>
          <cell r="G3328"/>
          <cell r="H3328"/>
          <cell r="J3328"/>
          <cell r="L3328"/>
          <cell r="M3328"/>
        </row>
        <row r="3329">
          <cell r="B3329"/>
          <cell r="C3329"/>
          <cell r="E3329"/>
          <cell r="F3329"/>
          <cell r="G3329"/>
          <cell r="H3329"/>
          <cell r="J3329"/>
          <cell r="L3329"/>
          <cell r="M3329"/>
        </row>
        <row r="3330">
          <cell r="B3330"/>
          <cell r="C3330"/>
          <cell r="E3330"/>
          <cell r="F3330"/>
          <cell r="G3330"/>
          <cell r="H3330"/>
          <cell r="J3330"/>
          <cell r="L3330"/>
          <cell r="M3330"/>
        </row>
        <row r="3331">
          <cell r="B3331"/>
          <cell r="C3331"/>
          <cell r="E3331"/>
          <cell r="F3331"/>
          <cell r="G3331"/>
          <cell r="H3331"/>
          <cell r="J3331"/>
          <cell r="L3331"/>
          <cell r="M3331"/>
        </row>
        <row r="3332">
          <cell r="B3332"/>
          <cell r="C3332"/>
          <cell r="E3332"/>
          <cell r="F3332"/>
          <cell r="G3332"/>
          <cell r="H3332"/>
          <cell r="J3332"/>
          <cell r="L3332"/>
          <cell r="M3332"/>
        </row>
        <row r="3333">
          <cell r="B3333"/>
          <cell r="C3333"/>
          <cell r="E3333"/>
          <cell r="F3333"/>
          <cell r="G3333"/>
          <cell r="H3333"/>
          <cell r="J3333"/>
          <cell r="L3333"/>
          <cell r="M3333"/>
        </row>
        <row r="3334">
          <cell r="B3334"/>
          <cell r="C3334"/>
          <cell r="E3334"/>
          <cell r="F3334"/>
          <cell r="G3334"/>
          <cell r="H3334"/>
          <cell r="J3334"/>
          <cell r="L3334"/>
          <cell r="M3334"/>
        </row>
        <row r="3335">
          <cell r="B3335"/>
          <cell r="C3335"/>
          <cell r="E3335"/>
          <cell r="F3335"/>
          <cell r="G3335"/>
          <cell r="H3335"/>
          <cell r="J3335"/>
          <cell r="L3335"/>
          <cell r="M3335"/>
        </row>
        <row r="3336">
          <cell r="B3336"/>
          <cell r="C3336"/>
          <cell r="E3336"/>
          <cell r="F3336"/>
          <cell r="G3336"/>
          <cell r="H3336"/>
          <cell r="J3336"/>
          <cell r="L3336"/>
          <cell r="M3336"/>
        </row>
        <row r="3337">
          <cell r="B3337"/>
          <cell r="C3337"/>
          <cell r="E3337"/>
          <cell r="F3337"/>
          <cell r="G3337"/>
          <cell r="H3337"/>
          <cell r="J3337"/>
          <cell r="L3337"/>
          <cell r="M3337"/>
        </row>
        <row r="3338">
          <cell r="B3338"/>
          <cell r="C3338"/>
          <cell r="E3338"/>
          <cell r="F3338"/>
          <cell r="G3338"/>
          <cell r="H3338"/>
          <cell r="J3338"/>
          <cell r="L3338"/>
          <cell r="M3338"/>
        </row>
        <row r="3339">
          <cell r="B3339"/>
          <cell r="C3339"/>
          <cell r="E3339"/>
          <cell r="F3339"/>
          <cell r="G3339"/>
          <cell r="H3339"/>
          <cell r="J3339"/>
          <cell r="L3339"/>
          <cell r="M3339"/>
        </row>
        <row r="3340">
          <cell r="B3340"/>
          <cell r="C3340"/>
          <cell r="E3340"/>
          <cell r="F3340"/>
          <cell r="G3340"/>
          <cell r="H3340"/>
          <cell r="J3340"/>
          <cell r="L3340"/>
          <cell r="M3340"/>
        </row>
        <row r="3341">
          <cell r="B3341"/>
          <cell r="C3341"/>
          <cell r="E3341"/>
          <cell r="F3341"/>
          <cell r="G3341"/>
          <cell r="H3341"/>
          <cell r="J3341"/>
          <cell r="L3341"/>
          <cell r="M3341"/>
        </row>
        <row r="3342">
          <cell r="B3342"/>
          <cell r="C3342"/>
          <cell r="E3342"/>
          <cell r="F3342"/>
          <cell r="G3342"/>
          <cell r="H3342"/>
          <cell r="J3342"/>
          <cell r="L3342"/>
          <cell r="M3342"/>
        </row>
        <row r="3343">
          <cell r="B3343"/>
          <cell r="C3343"/>
          <cell r="E3343"/>
          <cell r="F3343"/>
          <cell r="G3343"/>
          <cell r="H3343"/>
          <cell r="J3343"/>
          <cell r="L3343"/>
          <cell r="M3343"/>
        </row>
        <row r="3344">
          <cell r="B3344"/>
          <cell r="C3344"/>
          <cell r="E3344"/>
          <cell r="F3344"/>
          <cell r="G3344"/>
          <cell r="H3344"/>
          <cell r="J3344"/>
          <cell r="L3344"/>
          <cell r="M3344"/>
        </row>
        <row r="3345">
          <cell r="B3345"/>
          <cell r="C3345"/>
          <cell r="E3345"/>
          <cell r="F3345"/>
          <cell r="G3345"/>
          <cell r="H3345"/>
          <cell r="J3345"/>
          <cell r="L3345"/>
          <cell r="M3345"/>
        </row>
        <row r="3346">
          <cell r="B3346"/>
          <cell r="C3346"/>
          <cell r="E3346"/>
          <cell r="F3346"/>
          <cell r="G3346"/>
          <cell r="H3346"/>
          <cell r="J3346"/>
          <cell r="L3346"/>
          <cell r="M3346"/>
        </row>
        <row r="3347">
          <cell r="B3347"/>
          <cell r="C3347"/>
          <cell r="E3347"/>
          <cell r="F3347"/>
          <cell r="G3347"/>
          <cell r="H3347"/>
          <cell r="J3347"/>
          <cell r="L3347"/>
          <cell r="M3347"/>
        </row>
        <row r="3348">
          <cell r="B3348"/>
          <cell r="C3348"/>
          <cell r="E3348"/>
          <cell r="F3348"/>
          <cell r="G3348"/>
          <cell r="H3348"/>
          <cell r="J3348"/>
          <cell r="L3348"/>
          <cell r="M3348"/>
        </row>
        <row r="3349">
          <cell r="B3349"/>
          <cell r="C3349"/>
          <cell r="E3349"/>
          <cell r="F3349"/>
          <cell r="G3349"/>
          <cell r="H3349"/>
          <cell r="J3349"/>
          <cell r="L3349"/>
          <cell r="M3349"/>
        </row>
        <row r="3350">
          <cell r="B3350"/>
          <cell r="C3350"/>
          <cell r="E3350"/>
          <cell r="F3350"/>
          <cell r="G3350"/>
          <cell r="H3350"/>
          <cell r="J3350"/>
          <cell r="L3350"/>
          <cell r="M3350"/>
        </row>
        <row r="3351">
          <cell r="B3351"/>
          <cell r="C3351"/>
          <cell r="E3351"/>
          <cell r="F3351"/>
          <cell r="G3351"/>
          <cell r="H3351"/>
          <cell r="J3351"/>
          <cell r="L3351"/>
          <cell r="M3351"/>
        </row>
        <row r="3352">
          <cell r="B3352"/>
          <cell r="C3352"/>
          <cell r="E3352"/>
          <cell r="F3352"/>
          <cell r="G3352"/>
          <cell r="H3352"/>
          <cell r="J3352"/>
          <cell r="L3352"/>
          <cell r="M3352"/>
        </row>
        <row r="3353">
          <cell r="B3353"/>
          <cell r="C3353"/>
          <cell r="E3353"/>
          <cell r="F3353"/>
          <cell r="G3353"/>
          <cell r="H3353"/>
          <cell r="J3353"/>
          <cell r="L3353"/>
          <cell r="M3353"/>
        </row>
        <row r="3354">
          <cell r="B3354"/>
          <cell r="C3354"/>
          <cell r="E3354"/>
          <cell r="F3354"/>
          <cell r="G3354"/>
          <cell r="H3354"/>
          <cell r="J3354"/>
          <cell r="L3354"/>
          <cell r="M3354"/>
        </row>
        <row r="3355">
          <cell r="B3355"/>
          <cell r="C3355"/>
          <cell r="E3355"/>
          <cell r="F3355"/>
          <cell r="G3355"/>
          <cell r="H3355"/>
          <cell r="J3355"/>
          <cell r="L3355"/>
          <cell r="M3355"/>
        </row>
        <row r="3356">
          <cell r="B3356"/>
          <cell r="C3356"/>
          <cell r="E3356"/>
          <cell r="F3356"/>
          <cell r="G3356"/>
          <cell r="H3356"/>
          <cell r="J3356"/>
          <cell r="L3356"/>
          <cell r="M3356"/>
        </row>
        <row r="3357">
          <cell r="B3357"/>
          <cell r="C3357"/>
          <cell r="E3357"/>
          <cell r="F3357"/>
          <cell r="G3357"/>
          <cell r="H3357"/>
          <cell r="J3357"/>
          <cell r="L3357"/>
          <cell r="M3357"/>
        </row>
        <row r="3358">
          <cell r="B3358"/>
          <cell r="C3358"/>
          <cell r="E3358"/>
          <cell r="F3358"/>
          <cell r="G3358"/>
          <cell r="H3358"/>
          <cell r="J3358"/>
          <cell r="L3358"/>
          <cell r="M3358"/>
        </row>
        <row r="3359">
          <cell r="B3359"/>
          <cell r="C3359"/>
          <cell r="E3359"/>
          <cell r="F3359"/>
          <cell r="G3359"/>
          <cell r="H3359"/>
          <cell r="J3359"/>
          <cell r="L3359"/>
          <cell r="M3359"/>
        </row>
        <row r="3360">
          <cell r="B3360"/>
          <cell r="C3360"/>
          <cell r="E3360"/>
          <cell r="F3360"/>
          <cell r="G3360"/>
          <cell r="H3360"/>
          <cell r="J3360"/>
          <cell r="L3360"/>
          <cell r="M3360"/>
        </row>
        <row r="3361">
          <cell r="B3361"/>
          <cell r="C3361"/>
          <cell r="E3361"/>
          <cell r="F3361"/>
          <cell r="G3361"/>
          <cell r="H3361"/>
          <cell r="J3361"/>
          <cell r="L3361"/>
          <cell r="M3361"/>
        </row>
        <row r="3362">
          <cell r="B3362"/>
          <cell r="C3362"/>
          <cell r="E3362"/>
          <cell r="F3362"/>
          <cell r="G3362"/>
          <cell r="H3362"/>
          <cell r="J3362"/>
          <cell r="L3362"/>
          <cell r="M3362"/>
        </row>
        <row r="3363">
          <cell r="B3363"/>
          <cell r="C3363"/>
          <cell r="E3363"/>
          <cell r="F3363"/>
          <cell r="G3363"/>
          <cell r="H3363"/>
          <cell r="J3363"/>
          <cell r="L3363"/>
          <cell r="M3363"/>
        </row>
        <row r="3364">
          <cell r="B3364"/>
          <cell r="C3364"/>
          <cell r="E3364"/>
          <cell r="F3364"/>
          <cell r="G3364"/>
          <cell r="H3364"/>
          <cell r="J3364"/>
          <cell r="L3364"/>
          <cell r="M3364"/>
        </row>
        <row r="3365">
          <cell r="B3365"/>
          <cell r="C3365"/>
          <cell r="E3365"/>
          <cell r="F3365"/>
          <cell r="G3365"/>
          <cell r="H3365"/>
          <cell r="J3365"/>
          <cell r="L3365"/>
          <cell r="M3365"/>
        </row>
        <row r="3366">
          <cell r="B3366"/>
          <cell r="C3366"/>
          <cell r="E3366"/>
          <cell r="F3366"/>
          <cell r="G3366"/>
          <cell r="H3366"/>
          <cell r="J3366"/>
          <cell r="L3366"/>
          <cell r="M3366"/>
        </row>
        <row r="3367">
          <cell r="B3367"/>
          <cell r="C3367"/>
          <cell r="E3367"/>
          <cell r="F3367"/>
          <cell r="G3367"/>
          <cell r="H3367"/>
          <cell r="J3367"/>
          <cell r="L3367"/>
          <cell r="M3367"/>
        </row>
        <row r="3368">
          <cell r="B3368"/>
          <cell r="C3368"/>
          <cell r="E3368"/>
          <cell r="F3368"/>
          <cell r="G3368"/>
          <cell r="H3368"/>
          <cell r="J3368"/>
          <cell r="L3368"/>
          <cell r="M3368"/>
        </row>
        <row r="3369">
          <cell r="B3369"/>
          <cell r="C3369"/>
          <cell r="E3369"/>
          <cell r="F3369"/>
          <cell r="G3369"/>
          <cell r="H3369"/>
          <cell r="J3369"/>
          <cell r="L3369"/>
          <cell r="M3369"/>
        </row>
        <row r="3370">
          <cell r="B3370"/>
          <cell r="C3370"/>
          <cell r="E3370"/>
          <cell r="F3370"/>
          <cell r="G3370"/>
          <cell r="H3370"/>
          <cell r="J3370"/>
          <cell r="L3370"/>
          <cell r="M3370"/>
        </row>
        <row r="3371">
          <cell r="B3371"/>
          <cell r="C3371"/>
          <cell r="E3371"/>
          <cell r="F3371"/>
          <cell r="G3371"/>
          <cell r="H3371"/>
          <cell r="J3371"/>
          <cell r="L3371"/>
          <cell r="M3371"/>
        </row>
        <row r="3372">
          <cell r="B3372"/>
          <cell r="C3372"/>
          <cell r="E3372"/>
          <cell r="F3372"/>
          <cell r="G3372"/>
          <cell r="H3372"/>
          <cell r="J3372"/>
          <cell r="L3372"/>
          <cell r="M3372"/>
        </row>
        <row r="3373">
          <cell r="B3373"/>
          <cell r="C3373"/>
          <cell r="E3373"/>
          <cell r="F3373"/>
          <cell r="G3373"/>
          <cell r="H3373"/>
          <cell r="J3373"/>
          <cell r="L3373"/>
          <cell r="M3373"/>
        </row>
        <row r="3374">
          <cell r="B3374"/>
          <cell r="C3374"/>
          <cell r="E3374"/>
          <cell r="F3374"/>
          <cell r="G3374"/>
          <cell r="H3374"/>
          <cell r="J3374"/>
          <cell r="L3374"/>
          <cell r="M3374"/>
        </row>
        <row r="3375">
          <cell r="B3375"/>
          <cell r="C3375"/>
          <cell r="E3375"/>
          <cell r="F3375"/>
          <cell r="G3375"/>
          <cell r="H3375"/>
          <cell r="J3375"/>
          <cell r="L3375"/>
          <cell r="M3375"/>
        </row>
        <row r="3376">
          <cell r="B3376"/>
          <cell r="C3376"/>
          <cell r="E3376"/>
          <cell r="F3376"/>
          <cell r="G3376"/>
          <cell r="H3376"/>
          <cell r="J3376"/>
          <cell r="L3376"/>
          <cell r="M3376"/>
        </row>
        <row r="3377">
          <cell r="B3377"/>
          <cell r="C3377"/>
          <cell r="E3377"/>
          <cell r="F3377"/>
          <cell r="G3377"/>
          <cell r="H3377"/>
          <cell r="J3377"/>
          <cell r="L3377"/>
          <cell r="M3377"/>
        </row>
        <row r="3378">
          <cell r="B3378"/>
          <cell r="C3378"/>
          <cell r="E3378"/>
          <cell r="F3378"/>
          <cell r="G3378"/>
          <cell r="H3378"/>
          <cell r="J3378"/>
          <cell r="L3378"/>
          <cell r="M3378"/>
        </row>
        <row r="3379">
          <cell r="B3379"/>
          <cell r="C3379"/>
          <cell r="E3379"/>
          <cell r="F3379"/>
          <cell r="G3379"/>
          <cell r="H3379"/>
          <cell r="J3379"/>
          <cell r="L3379"/>
          <cell r="M3379"/>
        </row>
        <row r="3380">
          <cell r="B3380"/>
          <cell r="C3380"/>
          <cell r="E3380"/>
          <cell r="F3380"/>
          <cell r="G3380"/>
          <cell r="H3380"/>
          <cell r="J3380"/>
          <cell r="L3380"/>
          <cell r="M3380"/>
        </row>
        <row r="3381">
          <cell r="B3381"/>
          <cell r="C3381"/>
          <cell r="E3381"/>
          <cell r="F3381"/>
          <cell r="G3381"/>
          <cell r="H3381"/>
          <cell r="J3381"/>
          <cell r="L3381"/>
          <cell r="M3381"/>
        </row>
        <row r="3382">
          <cell r="B3382"/>
          <cell r="C3382"/>
          <cell r="E3382"/>
          <cell r="F3382"/>
          <cell r="G3382"/>
          <cell r="H3382"/>
          <cell r="J3382"/>
          <cell r="L3382"/>
          <cell r="M3382"/>
        </row>
        <row r="3383">
          <cell r="B3383"/>
          <cell r="C3383"/>
          <cell r="E3383"/>
          <cell r="F3383"/>
          <cell r="G3383"/>
          <cell r="H3383"/>
          <cell r="J3383"/>
          <cell r="L3383"/>
          <cell r="M3383"/>
        </row>
        <row r="3384">
          <cell r="B3384"/>
          <cell r="C3384"/>
          <cell r="E3384"/>
          <cell r="F3384"/>
          <cell r="G3384"/>
          <cell r="H3384"/>
          <cell r="J3384"/>
          <cell r="L3384"/>
          <cell r="M3384"/>
        </row>
        <row r="3385">
          <cell r="B3385"/>
          <cell r="C3385"/>
          <cell r="E3385"/>
          <cell r="F3385"/>
          <cell r="G3385"/>
          <cell r="H3385"/>
          <cell r="J3385"/>
          <cell r="L3385"/>
          <cell r="M3385"/>
        </row>
        <row r="3386">
          <cell r="B3386"/>
          <cell r="C3386"/>
          <cell r="E3386"/>
          <cell r="F3386"/>
          <cell r="G3386"/>
          <cell r="H3386"/>
          <cell r="J3386"/>
          <cell r="L3386"/>
          <cell r="M3386"/>
        </row>
        <row r="3387">
          <cell r="B3387"/>
          <cell r="C3387"/>
          <cell r="E3387"/>
          <cell r="F3387"/>
          <cell r="G3387"/>
          <cell r="H3387"/>
          <cell r="J3387"/>
          <cell r="L3387"/>
          <cell r="M3387"/>
        </row>
        <row r="3388">
          <cell r="B3388"/>
          <cell r="C3388"/>
          <cell r="E3388"/>
          <cell r="F3388"/>
          <cell r="G3388"/>
          <cell r="H3388"/>
          <cell r="J3388"/>
          <cell r="L3388"/>
          <cell r="M3388"/>
        </row>
        <row r="3389">
          <cell r="B3389"/>
          <cell r="C3389"/>
          <cell r="E3389"/>
          <cell r="F3389"/>
          <cell r="G3389"/>
          <cell r="H3389"/>
          <cell r="J3389"/>
          <cell r="L3389"/>
          <cell r="M3389"/>
        </row>
        <row r="3390">
          <cell r="B3390"/>
          <cell r="C3390"/>
          <cell r="E3390"/>
          <cell r="F3390"/>
          <cell r="G3390"/>
          <cell r="H3390"/>
          <cell r="J3390"/>
          <cell r="L3390"/>
          <cell r="M3390"/>
        </row>
        <row r="3391">
          <cell r="B3391"/>
          <cell r="C3391"/>
          <cell r="E3391"/>
          <cell r="F3391"/>
          <cell r="G3391"/>
          <cell r="H3391"/>
          <cell r="J3391"/>
          <cell r="L3391"/>
          <cell r="M3391"/>
        </row>
        <row r="3392">
          <cell r="B3392"/>
          <cell r="C3392"/>
          <cell r="E3392"/>
          <cell r="F3392"/>
          <cell r="G3392"/>
          <cell r="H3392"/>
          <cell r="J3392"/>
          <cell r="L3392"/>
          <cell r="M3392"/>
        </row>
        <row r="3393">
          <cell r="B3393"/>
          <cell r="C3393"/>
          <cell r="E3393"/>
          <cell r="F3393"/>
          <cell r="G3393"/>
          <cell r="H3393"/>
          <cell r="J3393"/>
          <cell r="L3393"/>
          <cell r="M3393"/>
        </row>
        <row r="3394">
          <cell r="B3394"/>
          <cell r="C3394"/>
          <cell r="E3394"/>
          <cell r="F3394"/>
          <cell r="G3394"/>
          <cell r="H3394"/>
          <cell r="J3394"/>
          <cell r="L3394"/>
          <cell r="M3394"/>
        </row>
        <row r="3395">
          <cell r="B3395"/>
          <cell r="C3395"/>
          <cell r="E3395"/>
          <cell r="F3395"/>
          <cell r="G3395"/>
          <cell r="H3395"/>
          <cell r="J3395"/>
          <cell r="L3395"/>
          <cell r="M3395"/>
        </row>
        <row r="3396">
          <cell r="B3396"/>
          <cell r="C3396"/>
          <cell r="E3396"/>
          <cell r="F3396"/>
          <cell r="G3396"/>
          <cell r="H3396"/>
          <cell r="J3396"/>
          <cell r="L3396"/>
          <cell r="M3396"/>
        </row>
        <row r="3397">
          <cell r="B3397"/>
          <cell r="C3397"/>
          <cell r="E3397"/>
          <cell r="F3397"/>
          <cell r="G3397"/>
          <cell r="H3397"/>
          <cell r="J3397"/>
          <cell r="L3397"/>
          <cell r="M3397"/>
        </row>
        <row r="3398">
          <cell r="B3398"/>
          <cell r="C3398"/>
          <cell r="E3398"/>
          <cell r="F3398"/>
          <cell r="G3398"/>
          <cell r="H3398"/>
          <cell r="J3398"/>
          <cell r="L3398"/>
          <cell r="M3398"/>
        </row>
        <row r="3399">
          <cell r="B3399"/>
          <cell r="C3399"/>
          <cell r="E3399"/>
          <cell r="F3399"/>
          <cell r="G3399"/>
          <cell r="H3399"/>
          <cell r="J3399"/>
          <cell r="L3399"/>
          <cell r="M3399"/>
        </row>
        <row r="3400">
          <cell r="B3400"/>
          <cell r="C3400"/>
          <cell r="E3400"/>
          <cell r="F3400"/>
          <cell r="G3400"/>
          <cell r="H3400"/>
          <cell r="J3400"/>
          <cell r="L3400"/>
          <cell r="M3400"/>
        </row>
        <row r="3401">
          <cell r="B3401"/>
          <cell r="C3401"/>
          <cell r="E3401"/>
          <cell r="F3401"/>
          <cell r="G3401"/>
          <cell r="H3401"/>
          <cell r="J3401"/>
          <cell r="L3401"/>
          <cell r="M3401"/>
        </row>
        <row r="3402">
          <cell r="B3402"/>
          <cell r="C3402"/>
          <cell r="E3402"/>
          <cell r="F3402"/>
          <cell r="G3402"/>
          <cell r="H3402"/>
          <cell r="J3402"/>
          <cell r="L3402"/>
          <cell r="M3402"/>
        </row>
        <row r="3403">
          <cell r="B3403"/>
          <cell r="C3403"/>
          <cell r="E3403"/>
          <cell r="F3403"/>
          <cell r="G3403"/>
          <cell r="H3403"/>
          <cell r="J3403"/>
          <cell r="L3403"/>
          <cell r="M3403"/>
        </row>
        <row r="3404">
          <cell r="B3404"/>
          <cell r="C3404"/>
          <cell r="E3404"/>
          <cell r="F3404"/>
          <cell r="G3404"/>
          <cell r="H3404"/>
          <cell r="J3404"/>
          <cell r="L3404"/>
          <cell r="M3404"/>
        </row>
        <row r="3405">
          <cell r="B3405"/>
          <cell r="C3405"/>
          <cell r="E3405"/>
          <cell r="F3405"/>
          <cell r="G3405"/>
          <cell r="H3405"/>
          <cell r="J3405"/>
          <cell r="L3405"/>
          <cell r="M3405"/>
        </row>
        <row r="3406">
          <cell r="B3406"/>
          <cell r="C3406"/>
          <cell r="E3406"/>
          <cell r="F3406"/>
          <cell r="G3406"/>
          <cell r="H3406"/>
          <cell r="J3406"/>
          <cell r="L3406"/>
          <cell r="M3406"/>
        </row>
        <row r="3407">
          <cell r="B3407"/>
          <cell r="C3407"/>
          <cell r="E3407"/>
          <cell r="F3407"/>
          <cell r="G3407"/>
          <cell r="H3407"/>
          <cell r="J3407"/>
          <cell r="L3407"/>
          <cell r="M3407"/>
        </row>
        <row r="3408">
          <cell r="B3408"/>
          <cell r="C3408"/>
          <cell r="E3408"/>
          <cell r="F3408"/>
          <cell r="G3408"/>
          <cell r="H3408"/>
          <cell r="J3408"/>
          <cell r="L3408"/>
          <cell r="M3408"/>
        </row>
        <row r="3409">
          <cell r="B3409"/>
          <cell r="C3409"/>
          <cell r="E3409"/>
          <cell r="F3409"/>
          <cell r="G3409"/>
          <cell r="H3409"/>
          <cell r="J3409"/>
          <cell r="L3409"/>
          <cell r="M3409"/>
        </row>
        <row r="3410">
          <cell r="B3410"/>
          <cell r="C3410"/>
          <cell r="E3410"/>
          <cell r="F3410"/>
          <cell r="G3410"/>
          <cell r="H3410"/>
          <cell r="J3410"/>
          <cell r="L3410"/>
          <cell r="M3410"/>
        </row>
        <row r="3411">
          <cell r="B3411"/>
          <cell r="C3411"/>
          <cell r="E3411"/>
          <cell r="F3411"/>
          <cell r="G3411"/>
          <cell r="H3411"/>
          <cell r="J3411"/>
          <cell r="L3411"/>
          <cell r="M3411"/>
        </row>
        <row r="3412">
          <cell r="B3412"/>
          <cell r="C3412"/>
          <cell r="E3412"/>
          <cell r="F3412"/>
          <cell r="G3412"/>
          <cell r="H3412"/>
          <cell r="J3412"/>
          <cell r="L3412"/>
          <cell r="M3412"/>
        </row>
        <row r="3413">
          <cell r="B3413"/>
          <cell r="C3413"/>
          <cell r="E3413"/>
          <cell r="F3413"/>
          <cell r="G3413"/>
          <cell r="H3413"/>
          <cell r="J3413"/>
          <cell r="L3413"/>
          <cell r="M3413"/>
        </row>
        <row r="3414">
          <cell r="B3414"/>
          <cell r="C3414"/>
          <cell r="E3414"/>
          <cell r="F3414"/>
          <cell r="G3414"/>
          <cell r="H3414"/>
          <cell r="J3414"/>
          <cell r="L3414"/>
          <cell r="M3414"/>
        </row>
        <row r="3415">
          <cell r="B3415"/>
          <cell r="C3415"/>
          <cell r="E3415"/>
          <cell r="F3415"/>
          <cell r="G3415"/>
          <cell r="H3415"/>
          <cell r="J3415"/>
          <cell r="L3415"/>
          <cell r="M3415"/>
        </row>
        <row r="3416">
          <cell r="B3416"/>
          <cell r="C3416"/>
          <cell r="E3416"/>
          <cell r="F3416"/>
          <cell r="G3416"/>
          <cell r="H3416"/>
          <cell r="J3416"/>
          <cell r="L3416"/>
          <cell r="M3416"/>
        </row>
        <row r="3417">
          <cell r="B3417"/>
          <cell r="C3417"/>
          <cell r="E3417"/>
          <cell r="F3417"/>
          <cell r="G3417"/>
          <cell r="H3417"/>
          <cell r="J3417"/>
          <cell r="L3417"/>
          <cell r="M3417"/>
        </row>
        <row r="3418">
          <cell r="B3418"/>
          <cell r="C3418"/>
          <cell r="E3418"/>
          <cell r="F3418"/>
          <cell r="G3418"/>
          <cell r="H3418"/>
          <cell r="J3418"/>
          <cell r="L3418"/>
          <cell r="M3418"/>
        </row>
        <row r="3419">
          <cell r="B3419"/>
          <cell r="C3419"/>
          <cell r="E3419"/>
          <cell r="F3419"/>
          <cell r="G3419"/>
          <cell r="H3419"/>
          <cell r="J3419"/>
          <cell r="L3419"/>
          <cell r="M3419"/>
        </row>
        <row r="3420">
          <cell r="B3420"/>
          <cell r="C3420"/>
          <cell r="E3420"/>
          <cell r="F3420"/>
          <cell r="G3420"/>
          <cell r="H3420"/>
          <cell r="J3420"/>
          <cell r="L3420"/>
          <cell r="M3420"/>
        </row>
        <row r="3421">
          <cell r="B3421"/>
          <cell r="C3421"/>
          <cell r="E3421"/>
          <cell r="F3421"/>
          <cell r="G3421"/>
          <cell r="H3421"/>
          <cell r="J3421"/>
          <cell r="L3421"/>
          <cell r="M3421"/>
        </row>
        <row r="3422">
          <cell r="B3422"/>
          <cell r="C3422"/>
          <cell r="E3422"/>
          <cell r="F3422"/>
          <cell r="G3422"/>
          <cell r="H3422"/>
          <cell r="J3422"/>
          <cell r="L3422"/>
          <cell r="M3422"/>
        </row>
        <row r="3423">
          <cell r="B3423"/>
          <cell r="C3423"/>
          <cell r="E3423"/>
          <cell r="F3423"/>
          <cell r="G3423"/>
          <cell r="H3423"/>
          <cell r="J3423"/>
          <cell r="L3423"/>
          <cell r="M3423"/>
        </row>
        <row r="3424">
          <cell r="B3424"/>
          <cell r="C3424"/>
          <cell r="E3424"/>
          <cell r="F3424"/>
          <cell r="G3424"/>
          <cell r="H3424"/>
          <cell r="J3424"/>
          <cell r="L3424"/>
          <cell r="M3424"/>
        </row>
        <row r="3425">
          <cell r="B3425"/>
          <cell r="C3425"/>
          <cell r="E3425"/>
          <cell r="F3425"/>
          <cell r="G3425"/>
          <cell r="H3425"/>
          <cell r="J3425"/>
          <cell r="L3425"/>
          <cell r="M3425"/>
        </row>
        <row r="3426">
          <cell r="B3426"/>
          <cell r="C3426"/>
          <cell r="E3426"/>
          <cell r="F3426"/>
          <cell r="G3426"/>
          <cell r="H3426"/>
          <cell r="J3426"/>
          <cell r="L3426"/>
          <cell r="M3426"/>
        </row>
        <row r="3427">
          <cell r="B3427"/>
          <cell r="C3427"/>
          <cell r="E3427"/>
          <cell r="F3427"/>
          <cell r="G3427"/>
          <cell r="H3427"/>
          <cell r="J3427"/>
          <cell r="L3427"/>
          <cell r="M3427"/>
        </row>
        <row r="3428">
          <cell r="B3428"/>
          <cell r="C3428"/>
          <cell r="E3428"/>
          <cell r="F3428"/>
          <cell r="G3428"/>
          <cell r="H3428"/>
          <cell r="J3428"/>
          <cell r="L3428"/>
          <cell r="M3428"/>
        </row>
        <row r="3429">
          <cell r="B3429"/>
          <cell r="C3429"/>
          <cell r="E3429"/>
          <cell r="F3429"/>
          <cell r="G3429"/>
          <cell r="H3429"/>
          <cell r="J3429"/>
          <cell r="L3429"/>
          <cell r="M3429"/>
        </row>
        <row r="3430">
          <cell r="B3430"/>
          <cell r="C3430"/>
          <cell r="E3430"/>
          <cell r="F3430"/>
          <cell r="G3430"/>
          <cell r="H3430"/>
          <cell r="J3430"/>
          <cell r="L3430"/>
          <cell r="M3430"/>
        </row>
        <row r="3431">
          <cell r="B3431"/>
          <cell r="C3431"/>
          <cell r="E3431"/>
          <cell r="F3431"/>
          <cell r="G3431"/>
          <cell r="H3431"/>
          <cell r="J3431"/>
          <cell r="L3431"/>
          <cell r="M3431"/>
        </row>
        <row r="3432">
          <cell r="B3432"/>
          <cell r="C3432"/>
          <cell r="E3432"/>
          <cell r="F3432"/>
          <cell r="G3432"/>
          <cell r="H3432"/>
          <cell r="J3432"/>
          <cell r="L3432"/>
          <cell r="M3432"/>
        </row>
        <row r="3433">
          <cell r="B3433"/>
          <cell r="C3433"/>
          <cell r="E3433"/>
          <cell r="F3433"/>
          <cell r="G3433"/>
          <cell r="H3433"/>
          <cell r="J3433"/>
          <cell r="L3433"/>
          <cell r="M3433"/>
        </row>
        <row r="3434">
          <cell r="B3434"/>
          <cell r="C3434"/>
          <cell r="E3434"/>
          <cell r="F3434"/>
          <cell r="G3434"/>
          <cell r="H3434"/>
          <cell r="J3434"/>
          <cell r="L3434"/>
          <cell r="M3434"/>
        </row>
        <row r="3435">
          <cell r="B3435"/>
          <cell r="C3435"/>
          <cell r="E3435"/>
          <cell r="F3435"/>
          <cell r="G3435"/>
          <cell r="H3435"/>
          <cell r="J3435"/>
          <cell r="L3435"/>
          <cell r="M3435"/>
        </row>
        <row r="3436">
          <cell r="B3436"/>
          <cell r="C3436"/>
          <cell r="E3436"/>
          <cell r="F3436"/>
          <cell r="G3436"/>
          <cell r="H3436"/>
          <cell r="J3436"/>
          <cell r="L3436"/>
          <cell r="M3436"/>
        </row>
        <row r="3437">
          <cell r="B3437"/>
          <cell r="C3437"/>
          <cell r="E3437"/>
          <cell r="F3437"/>
          <cell r="G3437"/>
          <cell r="H3437"/>
          <cell r="J3437"/>
          <cell r="L3437"/>
          <cell r="M3437"/>
        </row>
        <row r="3438">
          <cell r="B3438"/>
          <cell r="C3438"/>
          <cell r="E3438"/>
          <cell r="F3438"/>
          <cell r="G3438"/>
          <cell r="H3438"/>
          <cell r="J3438"/>
          <cell r="L3438"/>
          <cell r="M3438"/>
        </row>
        <row r="3439">
          <cell r="B3439"/>
          <cell r="C3439"/>
          <cell r="E3439"/>
          <cell r="F3439"/>
          <cell r="G3439"/>
          <cell r="H3439"/>
          <cell r="J3439"/>
          <cell r="L3439"/>
          <cell r="M3439"/>
        </row>
        <row r="3440">
          <cell r="B3440"/>
          <cell r="C3440"/>
          <cell r="E3440"/>
          <cell r="F3440"/>
          <cell r="G3440"/>
          <cell r="H3440"/>
          <cell r="J3440"/>
          <cell r="L3440"/>
          <cell r="M3440"/>
        </row>
        <row r="3441">
          <cell r="B3441"/>
          <cell r="C3441"/>
          <cell r="E3441"/>
          <cell r="F3441"/>
          <cell r="G3441"/>
          <cell r="H3441"/>
          <cell r="J3441"/>
          <cell r="L3441"/>
          <cell r="M3441"/>
        </row>
        <row r="3442">
          <cell r="B3442"/>
          <cell r="C3442"/>
          <cell r="E3442"/>
          <cell r="F3442"/>
          <cell r="G3442"/>
          <cell r="H3442"/>
          <cell r="J3442"/>
          <cell r="L3442"/>
          <cell r="M3442"/>
        </row>
        <row r="3443">
          <cell r="B3443"/>
          <cell r="C3443"/>
          <cell r="E3443"/>
          <cell r="F3443"/>
          <cell r="G3443"/>
          <cell r="H3443"/>
          <cell r="J3443"/>
          <cell r="L3443"/>
          <cell r="M3443"/>
        </row>
        <row r="3444">
          <cell r="B3444"/>
          <cell r="C3444"/>
          <cell r="E3444"/>
          <cell r="F3444"/>
          <cell r="G3444"/>
          <cell r="H3444"/>
          <cell r="J3444"/>
          <cell r="L3444"/>
          <cell r="M3444"/>
        </row>
        <row r="3445">
          <cell r="B3445"/>
          <cell r="C3445"/>
          <cell r="E3445"/>
          <cell r="F3445"/>
          <cell r="G3445"/>
          <cell r="H3445"/>
          <cell r="J3445"/>
          <cell r="L3445"/>
          <cell r="M3445"/>
        </row>
        <row r="3446">
          <cell r="B3446"/>
          <cell r="C3446"/>
          <cell r="E3446"/>
          <cell r="F3446"/>
          <cell r="G3446"/>
          <cell r="H3446"/>
          <cell r="J3446"/>
          <cell r="L3446"/>
          <cell r="M3446"/>
        </row>
        <row r="3447">
          <cell r="B3447"/>
          <cell r="C3447"/>
          <cell r="E3447"/>
          <cell r="F3447"/>
          <cell r="G3447"/>
          <cell r="H3447"/>
          <cell r="J3447"/>
          <cell r="L3447"/>
          <cell r="M3447"/>
        </row>
        <row r="3448">
          <cell r="B3448"/>
          <cell r="C3448"/>
          <cell r="E3448"/>
          <cell r="F3448"/>
          <cell r="G3448"/>
          <cell r="H3448"/>
          <cell r="J3448"/>
          <cell r="L3448"/>
          <cell r="M3448"/>
        </row>
        <row r="3449">
          <cell r="B3449"/>
          <cell r="C3449"/>
          <cell r="E3449"/>
          <cell r="F3449"/>
          <cell r="G3449"/>
          <cell r="H3449"/>
          <cell r="J3449"/>
          <cell r="L3449"/>
          <cell r="M3449"/>
        </row>
        <row r="3450">
          <cell r="B3450"/>
          <cell r="C3450"/>
          <cell r="E3450"/>
          <cell r="F3450"/>
          <cell r="G3450"/>
          <cell r="H3450"/>
          <cell r="J3450"/>
          <cell r="L3450"/>
          <cell r="M3450"/>
        </row>
        <row r="3451">
          <cell r="B3451"/>
          <cell r="C3451"/>
          <cell r="E3451"/>
          <cell r="F3451"/>
          <cell r="G3451"/>
          <cell r="H3451"/>
          <cell r="J3451"/>
          <cell r="L3451"/>
          <cell r="M3451"/>
        </row>
        <row r="3452">
          <cell r="B3452"/>
          <cell r="C3452"/>
          <cell r="E3452"/>
          <cell r="F3452"/>
          <cell r="G3452"/>
          <cell r="H3452"/>
          <cell r="J3452"/>
          <cell r="L3452"/>
          <cell r="M3452"/>
        </row>
        <row r="3453">
          <cell r="B3453"/>
          <cell r="C3453"/>
          <cell r="E3453"/>
          <cell r="F3453"/>
          <cell r="G3453"/>
          <cell r="H3453"/>
          <cell r="J3453"/>
          <cell r="L3453"/>
          <cell r="M3453"/>
        </row>
        <row r="3454">
          <cell r="B3454"/>
          <cell r="C3454"/>
          <cell r="E3454"/>
          <cell r="F3454"/>
          <cell r="G3454"/>
          <cell r="H3454"/>
          <cell r="J3454"/>
          <cell r="L3454"/>
          <cell r="M3454"/>
        </row>
        <row r="3455">
          <cell r="B3455"/>
          <cell r="C3455"/>
          <cell r="E3455"/>
          <cell r="F3455"/>
          <cell r="G3455"/>
          <cell r="H3455"/>
          <cell r="J3455"/>
          <cell r="L3455"/>
          <cell r="M3455"/>
        </row>
        <row r="3456">
          <cell r="B3456"/>
          <cell r="C3456"/>
          <cell r="E3456"/>
          <cell r="F3456"/>
          <cell r="G3456"/>
          <cell r="H3456"/>
          <cell r="J3456"/>
          <cell r="L3456"/>
          <cell r="M3456"/>
        </row>
        <row r="3457">
          <cell r="B3457"/>
          <cell r="C3457"/>
          <cell r="E3457"/>
          <cell r="F3457"/>
          <cell r="G3457"/>
          <cell r="H3457"/>
          <cell r="J3457"/>
          <cell r="L3457"/>
          <cell r="M3457"/>
        </row>
        <row r="3458">
          <cell r="B3458"/>
          <cell r="C3458"/>
          <cell r="E3458"/>
          <cell r="F3458"/>
          <cell r="G3458"/>
          <cell r="H3458"/>
          <cell r="J3458"/>
          <cell r="L3458"/>
          <cell r="M3458"/>
        </row>
        <row r="3459">
          <cell r="B3459"/>
          <cell r="C3459"/>
          <cell r="E3459"/>
          <cell r="F3459"/>
          <cell r="G3459"/>
          <cell r="H3459"/>
          <cell r="J3459"/>
          <cell r="L3459"/>
          <cell r="M3459"/>
        </row>
        <row r="3460">
          <cell r="B3460"/>
          <cell r="C3460"/>
          <cell r="E3460"/>
          <cell r="F3460"/>
          <cell r="G3460"/>
          <cell r="H3460"/>
          <cell r="J3460"/>
          <cell r="L3460"/>
          <cell r="M3460"/>
        </row>
        <row r="3461">
          <cell r="B3461"/>
          <cell r="C3461"/>
          <cell r="E3461"/>
          <cell r="F3461"/>
          <cell r="G3461"/>
          <cell r="H3461"/>
          <cell r="J3461"/>
          <cell r="L3461"/>
          <cell r="M3461"/>
        </row>
        <row r="3462">
          <cell r="B3462"/>
          <cell r="C3462"/>
          <cell r="E3462"/>
          <cell r="F3462"/>
          <cell r="G3462"/>
          <cell r="H3462"/>
          <cell r="J3462"/>
          <cell r="L3462"/>
          <cell r="M3462"/>
        </row>
        <row r="3463">
          <cell r="B3463"/>
          <cell r="C3463"/>
          <cell r="E3463"/>
          <cell r="F3463"/>
          <cell r="G3463"/>
          <cell r="H3463"/>
          <cell r="J3463"/>
          <cell r="L3463"/>
          <cell r="M3463"/>
        </row>
        <row r="3464">
          <cell r="B3464"/>
          <cell r="C3464"/>
          <cell r="E3464"/>
          <cell r="F3464"/>
          <cell r="G3464"/>
          <cell r="H3464"/>
          <cell r="J3464"/>
          <cell r="L3464"/>
          <cell r="M3464"/>
        </row>
        <row r="3465">
          <cell r="B3465"/>
          <cell r="C3465"/>
          <cell r="E3465"/>
          <cell r="F3465"/>
          <cell r="G3465"/>
          <cell r="H3465"/>
          <cell r="J3465"/>
          <cell r="L3465"/>
          <cell r="M3465"/>
        </row>
        <row r="3466">
          <cell r="B3466"/>
          <cell r="C3466"/>
          <cell r="E3466"/>
          <cell r="F3466"/>
          <cell r="G3466"/>
          <cell r="H3466"/>
          <cell r="J3466"/>
          <cell r="L3466"/>
          <cell r="M3466"/>
        </row>
        <row r="3467">
          <cell r="B3467"/>
          <cell r="C3467"/>
          <cell r="E3467"/>
          <cell r="F3467"/>
          <cell r="G3467"/>
          <cell r="H3467"/>
          <cell r="J3467"/>
          <cell r="L3467"/>
          <cell r="M3467"/>
        </row>
        <row r="3468">
          <cell r="B3468"/>
          <cell r="C3468"/>
          <cell r="E3468"/>
          <cell r="F3468"/>
          <cell r="G3468"/>
          <cell r="H3468"/>
          <cell r="J3468"/>
          <cell r="L3468"/>
          <cell r="M3468"/>
        </row>
        <row r="3469">
          <cell r="B3469"/>
          <cell r="C3469"/>
          <cell r="E3469"/>
          <cell r="F3469"/>
          <cell r="G3469"/>
          <cell r="H3469"/>
          <cell r="J3469"/>
          <cell r="L3469"/>
          <cell r="M3469"/>
        </row>
        <row r="3470">
          <cell r="B3470"/>
          <cell r="C3470"/>
          <cell r="E3470"/>
          <cell r="F3470"/>
          <cell r="G3470"/>
          <cell r="H3470"/>
          <cell r="J3470"/>
          <cell r="L3470"/>
          <cell r="M3470"/>
        </row>
        <row r="3471">
          <cell r="B3471"/>
          <cell r="C3471"/>
          <cell r="E3471"/>
          <cell r="F3471"/>
          <cell r="G3471"/>
          <cell r="H3471"/>
          <cell r="J3471"/>
          <cell r="L3471"/>
          <cell r="M3471"/>
        </row>
        <row r="3472">
          <cell r="B3472"/>
          <cell r="C3472"/>
          <cell r="E3472"/>
          <cell r="F3472"/>
          <cell r="G3472"/>
          <cell r="H3472"/>
          <cell r="J3472"/>
          <cell r="L3472"/>
          <cell r="M3472"/>
        </row>
        <row r="3473">
          <cell r="B3473"/>
          <cell r="C3473"/>
          <cell r="E3473"/>
          <cell r="F3473"/>
          <cell r="G3473"/>
          <cell r="H3473"/>
          <cell r="J3473"/>
          <cell r="L3473"/>
          <cell r="M3473"/>
        </row>
        <row r="3474">
          <cell r="B3474"/>
          <cell r="C3474"/>
          <cell r="E3474"/>
          <cell r="F3474"/>
          <cell r="G3474"/>
          <cell r="H3474"/>
          <cell r="J3474"/>
          <cell r="L3474"/>
          <cell r="M3474"/>
        </row>
        <row r="3475">
          <cell r="B3475"/>
          <cell r="C3475"/>
          <cell r="E3475"/>
          <cell r="F3475"/>
          <cell r="G3475"/>
          <cell r="H3475"/>
          <cell r="J3475"/>
          <cell r="L3475"/>
          <cell r="M3475"/>
        </row>
        <row r="3476">
          <cell r="B3476"/>
          <cell r="C3476"/>
          <cell r="E3476"/>
          <cell r="F3476"/>
          <cell r="G3476"/>
          <cell r="H3476"/>
          <cell r="J3476"/>
          <cell r="L3476"/>
          <cell r="M3476"/>
        </row>
        <row r="3477">
          <cell r="B3477"/>
          <cell r="C3477"/>
          <cell r="E3477"/>
          <cell r="F3477"/>
          <cell r="G3477"/>
          <cell r="H3477"/>
          <cell r="J3477"/>
          <cell r="L3477"/>
          <cell r="M3477"/>
        </row>
        <row r="3478">
          <cell r="B3478"/>
          <cell r="C3478"/>
          <cell r="E3478"/>
          <cell r="F3478"/>
          <cell r="G3478"/>
          <cell r="H3478"/>
          <cell r="J3478"/>
          <cell r="L3478"/>
          <cell r="M3478"/>
        </row>
        <row r="3479">
          <cell r="B3479"/>
          <cell r="C3479"/>
          <cell r="E3479"/>
          <cell r="F3479"/>
          <cell r="G3479"/>
          <cell r="H3479"/>
          <cell r="J3479"/>
          <cell r="L3479"/>
          <cell r="M3479"/>
        </row>
        <row r="3480">
          <cell r="B3480"/>
          <cell r="C3480"/>
          <cell r="E3480"/>
          <cell r="F3480"/>
          <cell r="G3480"/>
          <cell r="H3480"/>
          <cell r="J3480"/>
          <cell r="L3480"/>
          <cell r="M3480"/>
        </row>
        <row r="3481">
          <cell r="B3481"/>
          <cell r="C3481"/>
          <cell r="E3481"/>
          <cell r="F3481"/>
          <cell r="G3481"/>
          <cell r="H3481"/>
          <cell r="J3481"/>
          <cell r="L3481"/>
          <cell r="M3481"/>
        </row>
        <row r="3482">
          <cell r="B3482"/>
          <cell r="C3482"/>
          <cell r="E3482"/>
          <cell r="F3482"/>
          <cell r="G3482"/>
          <cell r="H3482"/>
          <cell r="J3482"/>
          <cell r="L3482"/>
          <cell r="M3482"/>
        </row>
        <row r="3483">
          <cell r="B3483"/>
          <cell r="C3483"/>
          <cell r="E3483"/>
          <cell r="F3483"/>
          <cell r="G3483"/>
          <cell r="H3483"/>
          <cell r="J3483"/>
          <cell r="L3483"/>
          <cell r="M3483"/>
        </row>
        <row r="3484">
          <cell r="B3484"/>
          <cell r="C3484"/>
          <cell r="E3484"/>
          <cell r="F3484"/>
          <cell r="G3484"/>
          <cell r="H3484"/>
          <cell r="J3484"/>
          <cell r="L3484"/>
          <cell r="M3484"/>
        </row>
        <row r="3485">
          <cell r="B3485"/>
          <cell r="C3485"/>
          <cell r="E3485"/>
          <cell r="F3485"/>
          <cell r="G3485"/>
          <cell r="H3485"/>
          <cell r="J3485"/>
          <cell r="L3485"/>
          <cell r="M3485"/>
        </row>
        <row r="3486">
          <cell r="B3486"/>
          <cell r="C3486"/>
          <cell r="E3486"/>
          <cell r="F3486"/>
          <cell r="G3486"/>
          <cell r="H3486"/>
          <cell r="J3486"/>
          <cell r="L3486"/>
          <cell r="M3486"/>
        </row>
        <row r="3487">
          <cell r="B3487"/>
          <cell r="C3487"/>
          <cell r="E3487"/>
          <cell r="F3487"/>
          <cell r="G3487"/>
          <cell r="H3487"/>
          <cell r="J3487"/>
          <cell r="L3487"/>
          <cell r="M3487"/>
        </row>
        <row r="3488">
          <cell r="B3488"/>
          <cell r="C3488"/>
          <cell r="E3488"/>
          <cell r="F3488"/>
          <cell r="G3488"/>
          <cell r="H3488"/>
          <cell r="J3488"/>
          <cell r="L3488"/>
          <cell r="M3488"/>
        </row>
        <row r="3489">
          <cell r="B3489"/>
          <cell r="C3489"/>
          <cell r="E3489"/>
          <cell r="F3489"/>
          <cell r="G3489"/>
          <cell r="H3489"/>
          <cell r="J3489"/>
          <cell r="L3489"/>
          <cell r="M3489"/>
        </row>
        <row r="3490">
          <cell r="B3490"/>
          <cell r="C3490"/>
          <cell r="E3490"/>
          <cell r="F3490"/>
          <cell r="G3490"/>
          <cell r="H3490"/>
          <cell r="J3490"/>
          <cell r="L3490"/>
          <cell r="M3490"/>
        </row>
        <row r="3491">
          <cell r="B3491"/>
          <cell r="C3491"/>
          <cell r="E3491"/>
          <cell r="F3491"/>
          <cell r="G3491"/>
          <cell r="H3491"/>
          <cell r="J3491"/>
          <cell r="L3491"/>
          <cell r="M3491"/>
        </row>
        <row r="3492">
          <cell r="B3492"/>
          <cell r="C3492"/>
          <cell r="E3492"/>
          <cell r="F3492"/>
          <cell r="G3492"/>
          <cell r="H3492"/>
          <cell r="J3492"/>
          <cell r="L3492"/>
          <cell r="M3492"/>
        </row>
        <row r="3493">
          <cell r="B3493"/>
          <cell r="C3493"/>
          <cell r="E3493"/>
          <cell r="F3493"/>
          <cell r="G3493"/>
          <cell r="H3493"/>
          <cell r="J3493"/>
          <cell r="L3493"/>
          <cell r="M3493"/>
        </row>
        <row r="3494">
          <cell r="B3494"/>
          <cell r="C3494"/>
          <cell r="E3494"/>
          <cell r="F3494"/>
          <cell r="G3494"/>
          <cell r="H3494"/>
          <cell r="J3494"/>
          <cell r="L3494"/>
          <cell r="M3494"/>
        </row>
        <row r="3495">
          <cell r="B3495"/>
          <cell r="C3495"/>
          <cell r="E3495"/>
          <cell r="F3495"/>
          <cell r="G3495"/>
          <cell r="H3495"/>
          <cell r="J3495"/>
          <cell r="L3495"/>
          <cell r="M3495"/>
        </row>
        <row r="3496">
          <cell r="B3496"/>
          <cell r="C3496"/>
          <cell r="E3496"/>
          <cell r="F3496"/>
          <cell r="G3496"/>
          <cell r="H3496"/>
          <cell r="J3496"/>
          <cell r="L3496"/>
          <cell r="M3496"/>
        </row>
        <row r="3497">
          <cell r="B3497"/>
          <cell r="C3497"/>
          <cell r="E3497"/>
          <cell r="F3497"/>
          <cell r="G3497"/>
          <cell r="H3497"/>
          <cell r="J3497"/>
          <cell r="L3497"/>
          <cell r="M3497"/>
        </row>
        <row r="3498">
          <cell r="B3498"/>
          <cell r="C3498"/>
          <cell r="E3498"/>
          <cell r="F3498"/>
          <cell r="G3498"/>
          <cell r="H3498"/>
          <cell r="J3498"/>
          <cell r="L3498"/>
          <cell r="M3498"/>
        </row>
        <row r="3499">
          <cell r="B3499"/>
          <cell r="C3499"/>
          <cell r="E3499"/>
          <cell r="F3499"/>
          <cell r="G3499"/>
          <cell r="H3499"/>
          <cell r="J3499"/>
          <cell r="L3499"/>
          <cell r="M3499"/>
        </row>
        <row r="3500">
          <cell r="B3500"/>
          <cell r="C3500"/>
          <cell r="E3500"/>
          <cell r="F3500"/>
          <cell r="G3500"/>
          <cell r="H3500"/>
          <cell r="J3500"/>
          <cell r="L3500"/>
          <cell r="M3500"/>
        </row>
        <row r="3501">
          <cell r="B3501"/>
          <cell r="C3501"/>
          <cell r="E3501"/>
          <cell r="F3501"/>
          <cell r="G3501"/>
          <cell r="H3501"/>
          <cell r="J3501"/>
          <cell r="L3501"/>
          <cell r="M3501"/>
        </row>
        <row r="3502">
          <cell r="B3502"/>
          <cell r="C3502"/>
          <cell r="E3502"/>
          <cell r="F3502"/>
          <cell r="G3502"/>
          <cell r="H3502"/>
          <cell r="J3502"/>
          <cell r="L3502"/>
          <cell r="M3502"/>
        </row>
        <row r="3503">
          <cell r="B3503"/>
          <cell r="C3503"/>
          <cell r="E3503"/>
          <cell r="F3503"/>
          <cell r="G3503"/>
          <cell r="H3503"/>
          <cell r="J3503"/>
          <cell r="L3503"/>
          <cell r="M3503"/>
        </row>
        <row r="3504">
          <cell r="B3504"/>
          <cell r="C3504"/>
          <cell r="E3504"/>
          <cell r="F3504"/>
          <cell r="G3504"/>
          <cell r="H3504"/>
          <cell r="J3504"/>
          <cell r="L3504"/>
          <cell r="M3504"/>
        </row>
        <row r="3505">
          <cell r="B3505"/>
          <cell r="C3505"/>
          <cell r="E3505"/>
          <cell r="F3505"/>
          <cell r="G3505"/>
          <cell r="H3505"/>
          <cell r="J3505"/>
          <cell r="L3505"/>
          <cell r="M3505"/>
        </row>
        <row r="3506">
          <cell r="B3506"/>
          <cell r="C3506"/>
          <cell r="E3506"/>
          <cell r="F3506"/>
          <cell r="G3506"/>
          <cell r="H3506"/>
          <cell r="J3506"/>
          <cell r="L3506"/>
          <cell r="M3506"/>
        </row>
        <row r="3507">
          <cell r="B3507"/>
          <cell r="C3507"/>
          <cell r="E3507"/>
          <cell r="F3507"/>
          <cell r="G3507"/>
          <cell r="H3507"/>
          <cell r="J3507"/>
          <cell r="L3507"/>
          <cell r="M3507"/>
        </row>
        <row r="3508">
          <cell r="B3508"/>
          <cell r="C3508"/>
          <cell r="E3508"/>
          <cell r="F3508"/>
          <cell r="G3508"/>
          <cell r="H3508"/>
          <cell r="J3508"/>
          <cell r="L3508"/>
          <cell r="M3508"/>
        </row>
        <row r="3509">
          <cell r="B3509"/>
          <cell r="C3509"/>
          <cell r="E3509"/>
          <cell r="F3509"/>
          <cell r="G3509"/>
          <cell r="H3509"/>
          <cell r="J3509"/>
          <cell r="L3509"/>
          <cell r="M3509"/>
        </row>
        <row r="3510">
          <cell r="B3510"/>
          <cell r="C3510"/>
          <cell r="E3510"/>
          <cell r="F3510"/>
          <cell r="G3510"/>
          <cell r="H3510"/>
          <cell r="J3510"/>
          <cell r="L3510"/>
          <cell r="M3510"/>
        </row>
        <row r="3511">
          <cell r="B3511"/>
          <cell r="C3511"/>
          <cell r="E3511"/>
          <cell r="F3511"/>
          <cell r="G3511"/>
          <cell r="H3511"/>
          <cell r="J3511"/>
          <cell r="L3511"/>
          <cell r="M3511"/>
        </row>
        <row r="3512">
          <cell r="B3512"/>
          <cell r="C3512"/>
          <cell r="E3512"/>
          <cell r="F3512"/>
          <cell r="G3512"/>
          <cell r="H3512"/>
          <cell r="J3512"/>
          <cell r="L3512"/>
          <cell r="M3512"/>
        </row>
        <row r="3513">
          <cell r="B3513"/>
          <cell r="C3513"/>
          <cell r="E3513"/>
          <cell r="F3513"/>
          <cell r="G3513"/>
          <cell r="H3513"/>
          <cell r="J3513"/>
          <cell r="L3513"/>
          <cell r="M3513"/>
        </row>
        <row r="3514">
          <cell r="B3514"/>
          <cell r="C3514"/>
          <cell r="E3514"/>
          <cell r="F3514"/>
          <cell r="G3514"/>
          <cell r="H3514"/>
          <cell r="J3514"/>
          <cell r="L3514"/>
          <cell r="M3514"/>
        </row>
        <row r="3515">
          <cell r="B3515"/>
          <cell r="C3515"/>
          <cell r="E3515"/>
          <cell r="F3515"/>
          <cell r="G3515"/>
          <cell r="H3515"/>
          <cell r="J3515"/>
          <cell r="L3515"/>
          <cell r="M3515"/>
        </row>
        <row r="3516">
          <cell r="B3516"/>
          <cell r="C3516"/>
          <cell r="E3516"/>
          <cell r="F3516"/>
          <cell r="G3516"/>
          <cell r="H3516"/>
          <cell r="J3516"/>
          <cell r="L3516"/>
          <cell r="M3516"/>
        </row>
        <row r="3517">
          <cell r="B3517"/>
          <cell r="C3517"/>
          <cell r="E3517"/>
          <cell r="F3517"/>
          <cell r="G3517"/>
          <cell r="H3517"/>
          <cell r="J3517"/>
          <cell r="L3517"/>
          <cell r="M3517"/>
        </row>
        <row r="3518">
          <cell r="B3518"/>
          <cell r="C3518"/>
          <cell r="E3518"/>
          <cell r="F3518"/>
          <cell r="G3518"/>
          <cell r="H3518"/>
          <cell r="J3518"/>
          <cell r="L3518"/>
          <cell r="M3518"/>
        </row>
        <row r="3519">
          <cell r="B3519"/>
          <cell r="C3519"/>
          <cell r="E3519"/>
          <cell r="F3519"/>
          <cell r="G3519"/>
          <cell r="H3519"/>
          <cell r="J3519"/>
          <cell r="L3519"/>
          <cell r="M3519"/>
        </row>
        <row r="3520">
          <cell r="B3520"/>
          <cell r="C3520"/>
          <cell r="E3520"/>
          <cell r="F3520"/>
          <cell r="G3520"/>
          <cell r="H3520"/>
          <cell r="J3520"/>
          <cell r="L3520"/>
          <cell r="M3520"/>
        </row>
        <row r="3521">
          <cell r="B3521"/>
          <cell r="C3521"/>
          <cell r="E3521"/>
          <cell r="F3521"/>
          <cell r="G3521"/>
          <cell r="H3521"/>
          <cell r="J3521"/>
          <cell r="L3521"/>
          <cell r="M3521"/>
        </row>
        <row r="3522">
          <cell r="B3522"/>
          <cell r="C3522"/>
          <cell r="E3522"/>
          <cell r="F3522"/>
          <cell r="G3522"/>
          <cell r="H3522"/>
          <cell r="J3522"/>
          <cell r="L3522"/>
          <cell r="M3522"/>
        </row>
        <row r="3523">
          <cell r="B3523"/>
          <cell r="C3523"/>
          <cell r="E3523"/>
          <cell r="F3523"/>
          <cell r="G3523"/>
          <cell r="H3523"/>
          <cell r="J3523"/>
          <cell r="L3523"/>
          <cell r="M3523"/>
        </row>
        <row r="3524">
          <cell r="B3524"/>
          <cell r="C3524"/>
          <cell r="E3524"/>
          <cell r="F3524"/>
          <cell r="G3524"/>
          <cell r="H3524"/>
          <cell r="J3524"/>
          <cell r="L3524"/>
          <cell r="M3524"/>
        </row>
        <row r="3525">
          <cell r="B3525"/>
          <cell r="C3525"/>
          <cell r="E3525"/>
          <cell r="F3525"/>
          <cell r="G3525"/>
          <cell r="H3525"/>
          <cell r="J3525"/>
          <cell r="L3525"/>
          <cell r="M3525"/>
        </row>
        <row r="3526">
          <cell r="B3526"/>
          <cell r="C3526"/>
          <cell r="E3526"/>
          <cell r="F3526"/>
          <cell r="G3526"/>
          <cell r="H3526"/>
          <cell r="J3526"/>
          <cell r="L3526"/>
          <cell r="M3526"/>
        </row>
        <row r="3527">
          <cell r="B3527"/>
          <cell r="C3527"/>
          <cell r="E3527"/>
          <cell r="F3527"/>
          <cell r="G3527"/>
          <cell r="H3527"/>
          <cell r="J3527"/>
          <cell r="L3527"/>
          <cell r="M3527"/>
        </row>
        <row r="3528">
          <cell r="B3528"/>
          <cell r="C3528"/>
          <cell r="E3528"/>
          <cell r="F3528"/>
          <cell r="G3528"/>
          <cell r="H3528"/>
          <cell r="J3528"/>
          <cell r="L3528"/>
          <cell r="M3528"/>
        </row>
        <row r="3529">
          <cell r="B3529"/>
          <cell r="C3529"/>
          <cell r="E3529"/>
          <cell r="F3529"/>
          <cell r="G3529"/>
          <cell r="H3529"/>
          <cell r="J3529"/>
          <cell r="L3529"/>
          <cell r="M3529"/>
        </row>
        <row r="3530">
          <cell r="B3530"/>
          <cell r="C3530"/>
          <cell r="E3530"/>
          <cell r="F3530"/>
          <cell r="G3530"/>
          <cell r="H3530"/>
          <cell r="J3530"/>
          <cell r="L3530"/>
          <cell r="M3530"/>
        </row>
        <row r="3531">
          <cell r="B3531"/>
          <cell r="C3531"/>
          <cell r="E3531"/>
          <cell r="F3531"/>
          <cell r="G3531"/>
          <cell r="H3531"/>
          <cell r="J3531"/>
          <cell r="L3531"/>
          <cell r="M3531"/>
        </row>
        <row r="3532">
          <cell r="B3532"/>
          <cell r="C3532"/>
          <cell r="E3532"/>
          <cell r="F3532"/>
          <cell r="G3532"/>
          <cell r="H3532"/>
          <cell r="J3532"/>
          <cell r="L3532"/>
          <cell r="M3532"/>
        </row>
        <row r="3533">
          <cell r="B3533"/>
          <cell r="C3533"/>
          <cell r="E3533"/>
          <cell r="F3533"/>
          <cell r="G3533"/>
          <cell r="H3533"/>
          <cell r="J3533"/>
          <cell r="L3533"/>
          <cell r="M3533"/>
        </row>
        <row r="3534">
          <cell r="B3534"/>
          <cell r="C3534"/>
          <cell r="E3534"/>
          <cell r="F3534"/>
          <cell r="G3534"/>
          <cell r="H3534"/>
          <cell r="J3534"/>
          <cell r="L3534"/>
          <cell r="M3534"/>
        </row>
        <row r="3535">
          <cell r="B3535"/>
          <cell r="C3535"/>
          <cell r="E3535"/>
          <cell r="F3535"/>
          <cell r="G3535"/>
          <cell r="H3535"/>
          <cell r="J3535"/>
          <cell r="L3535"/>
          <cell r="M3535"/>
        </row>
        <row r="3536">
          <cell r="B3536"/>
          <cell r="C3536"/>
          <cell r="E3536"/>
          <cell r="F3536"/>
          <cell r="G3536"/>
          <cell r="H3536"/>
          <cell r="J3536"/>
          <cell r="L3536"/>
          <cell r="M3536"/>
        </row>
        <row r="3537">
          <cell r="B3537"/>
          <cell r="C3537"/>
          <cell r="E3537"/>
          <cell r="F3537"/>
          <cell r="G3537"/>
          <cell r="H3537"/>
          <cell r="J3537"/>
          <cell r="L3537"/>
          <cell r="M3537"/>
        </row>
        <row r="3538">
          <cell r="B3538"/>
          <cell r="C3538"/>
          <cell r="E3538"/>
          <cell r="F3538"/>
          <cell r="G3538"/>
          <cell r="H3538"/>
          <cell r="J3538"/>
          <cell r="L3538"/>
          <cell r="M3538"/>
        </row>
        <row r="3539">
          <cell r="B3539"/>
          <cell r="C3539"/>
          <cell r="E3539"/>
          <cell r="F3539"/>
          <cell r="G3539"/>
          <cell r="H3539"/>
          <cell r="J3539"/>
          <cell r="L3539"/>
          <cell r="M3539"/>
        </row>
        <row r="3540">
          <cell r="B3540"/>
          <cell r="C3540"/>
          <cell r="E3540"/>
          <cell r="F3540"/>
          <cell r="G3540"/>
          <cell r="H3540"/>
          <cell r="J3540"/>
          <cell r="L3540"/>
          <cell r="M3540"/>
        </row>
        <row r="3541">
          <cell r="B3541"/>
          <cell r="C3541"/>
          <cell r="E3541"/>
          <cell r="F3541"/>
          <cell r="G3541"/>
          <cell r="H3541"/>
          <cell r="J3541"/>
          <cell r="L3541"/>
          <cell r="M3541"/>
        </row>
        <row r="3542">
          <cell r="B3542"/>
          <cell r="C3542"/>
          <cell r="E3542"/>
          <cell r="F3542"/>
          <cell r="G3542"/>
          <cell r="H3542"/>
          <cell r="J3542"/>
          <cell r="L3542"/>
          <cell r="M3542"/>
        </row>
        <row r="3543">
          <cell r="B3543"/>
          <cell r="C3543"/>
          <cell r="E3543"/>
          <cell r="F3543"/>
          <cell r="G3543"/>
          <cell r="H3543"/>
          <cell r="J3543"/>
          <cell r="L3543"/>
          <cell r="M3543"/>
        </row>
        <row r="3544">
          <cell r="B3544"/>
          <cell r="C3544"/>
          <cell r="E3544"/>
          <cell r="F3544"/>
          <cell r="G3544"/>
          <cell r="H3544"/>
          <cell r="J3544"/>
          <cell r="L3544"/>
          <cell r="M3544"/>
        </row>
        <row r="3545">
          <cell r="B3545"/>
          <cell r="C3545"/>
          <cell r="E3545"/>
          <cell r="F3545"/>
          <cell r="G3545"/>
          <cell r="H3545"/>
          <cell r="J3545"/>
          <cell r="L3545"/>
          <cell r="M3545"/>
        </row>
        <row r="3546">
          <cell r="B3546"/>
          <cell r="C3546"/>
          <cell r="E3546"/>
          <cell r="F3546"/>
          <cell r="G3546"/>
          <cell r="H3546"/>
          <cell r="J3546"/>
          <cell r="L3546"/>
          <cell r="M3546"/>
        </row>
        <row r="3547">
          <cell r="B3547"/>
          <cell r="C3547"/>
          <cell r="E3547"/>
          <cell r="F3547"/>
          <cell r="G3547"/>
          <cell r="H3547"/>
          <cell r="J3547"/>
          <cell r="L3547"/>
          <cell r="M3547"/>
        </row>
        <row r="3548">
          <cell r="B3548"/>
          <cell r="C3548"/>
          <cell r="E3548"/>
          <cell r="F3548"/>
          <cell r="G3548"/>
          <cell r="H3548"/>
          <cell r="J3548"/>
          <cell r="L3548"/>
          <cell r="M3548"/>
        </row>
        <row r="3549">
          <cell r="B3549"/>
          <cell r="C3549"/>
          <cell r="E3549"/>
          <cell r="F3549"/>
          <cell r="G3549"/>
          <cell r="H3549"/>
          <cell r="J3549"/>
          <cell r="L3549"/>
          <cell r="M3549"/>
        </row>
        <row r="3550">
          <cell r="B3550"/>
          <cell r="C3550"/>
          <cell r="E3550"/>
          <cell r="F3550"/>
          <cell r="G3550"/>
          <cell r="H3550"/>
          <cell r="J3550"/>
          <cell r="L3550"/>
          <cell r="M3550"/>
        </row>
        <row r="3551">
          <cell r="B3551"/>
          <cell r="C3551"/>
          <cell r="E3551"/>
          <cell r="F3551"/>
          <cell r="G3551"/>
          <cell r="H3551"/>
          <cell r="J3551"/>
          <cell r="L3551"/>
          <cell r="M3551"/>
        </row>
        <row r="3552">
          <cell r="B3552"/>
          <cell r="C3552"/>
          <cell r="E3552"/>
          <cell r="F3552"/>
          <cell r="G3552"/>
          <cell r="H3552"/>
          <cell r="J3552"/>
          <cell r="L3552"/>
          <cell r="M3552"/>
        </row>
        <row r="3553">
          <cell r="B3553"/>
          <cell r="C3553"/>
          <cell r="E3553"/>
          <cell r="F3553"/>
          <cell r="G3553"/>
          <cell r="H3553"/>
          <cell r="J3553"/>
          <cell r="L3553"/>
          <cell r="M3553"/>
        </row>
        <row r="3554">
          <cell r="B3554"/>
          <cell r="C3554"/>
          <cell r="E3554"/>
          <cell r="F3554"/>
          <cell r="G3554"/>
          <cell r="H3554"/>
          <cell r="J3554"/>
          <cell r="L3554"/>
          <cell r="M3554"/>
        </row>
        <row r="3555">
          <cell r="B3555"/>
          <cell r="C3555"/>
          <cell r="E3555"/>
          <cell r="F3555"/>
          <cell r="G3555"/>
          <cell r="H3555"/>
          <cell r="J3555"/>
          <cell r="L3555"/>
          <cell r="M3555"/>
        </row>
        <row r="3556">
          <cell r="B3556"/>
          <cell r="C3556"/>
          <cell r="E3556"/>
          <cell r="F3556"/>
          <cell r="G3556"/>
          <cell r="H3556"/>
          <cell r="J3556"/>
          <cell r="L3556"/>
          <cell r="M3556"/>
        </row>
        <row r="3557">
          <cell r="B3557"/>
          <cell r="C3557"/>
          <cell r="E3557"/>
          <cell r="F3557"/>
          <cell r="G3557"/>
          <cell r="H3557"/>
          <cell r="J3557"/>
          <cell r="L3557"/>
          <cell r="M3557"/>
        </row>
        <row r="3558">
          <cell r="B3558"/>
          <cell r="C3558"/>
          <cell r="E3558"/>
          <cell r="F3558"/>
          <cell r="G3558"/>
          <cell r="H3558"/>
          <cell r="J3558"/>
          <cell r="L3558"/>
          <cell r="M3558"/>
        </row>
        <row r="3559">
          <cell r="B3559"/>
          <cell r="C3559"/>
          <cell r="E3559"/>
          <cell r="F3559"/>
          <cell r="G3559"/>
          <cell r="H3559"/>
          <cell r="J3559"/>
          <cell r="L3559"/>
          <cell r="M3559"/>
        </row>
        <row r="3560">
          <cell r="B3560"/>
          <cell r="C3560"/>
          <cell r="E3560"/>
          <cell r="F3560"/>
          <cell r="G3560"/>
          <cell r="H3560"/>
          <cell r="J3560"/>
          <cell r="L3560"/>
          <cell r="M3560"/>
        </row>
        <row r="3561">
          <cell r="B3561"/>
          <cell r="C3561"/>
          <cell r="E3561"/>
          <cell r="F3561"/>
          <cell r="G3561"/>
          <cell r="H3561"/>
          <cell r="J3561"/>
          <cell r="L3561"/>
          <cell r="M3561"/>
        </row>
        <row r="3562">
          <cell r="B3562"/>
          <cell r="C3562"/>
          <cell r="E3562"/>
          <cell r="F3562"/>
          <cell r="G3562"/>
          <cell r="H3562"/>
          <cell r="J3562"/>
          <cell r="L3562"/>
          <cell r="M3562"/>
        </row>
        <row r="3563">
          <cell r="B3563"/>
          <cell r="C3563"/>
          <cell r="E3563"/>
          <cell r="F3563"/>
          <cell r="G3563"/>
          <cell r="H3563"/>
          <cell r="J3563"/>
          <cell r="L3563"/>
          <cell r="M3563"/>
        </row>
        <row r="3564">
          <cell r="B3564"/>
          <cell r="C3564"/>
          <cell r="E3564"/>
          <cell r="F3564"/>
          <cell r="G3564"/>
          <cell r="H3564"/>
          <cell r="J3564"/>
          <cell r="L3564"/>
          <cell r="M3564"/>
        </row>
        <row r="3565">
          <cell r="B3565"/>
          <cell r="C3565"/>
          <cell r="E3565"/>
          <cell r="F3565"/>
          <cell r="G3565"/>
          <cell r="H3565"/>
          <cell r="J3565"/>
          <cell r="L3565"/>
          <cell r="M3565"/>
        </row>
        <row r="3566">
          <cell r="B3566"/>
          <cell r="C3566"/>
          <cell r="E3566"/>
          <cell r="F3566"/>
          <cell r="G3566"/>
          <cell r="H3566"/>
          <cell r="J3566"/>
          <cell r="L3566"/>
          <cell r="M3566"/>
        </row>
        <row r="3567">
          <cell r="B3567"/>
          <cell r="C3567"/>
          <cell r="E3567"/>
          <cell r="F3567"/>
          <cell r="G3567"/>
          <cell r="H3567"/>
          <cell r="J3567"/>
          <cell r="L3567"/>
          <cell r="M3567"/>
        </row>
        <row r="3568">
          <cell r="B3568"/>
          <cell r="C3568"/>
          <cell r="E3568"/>
          <cell r="F3568"/>
          <cell r="G3568"/>
          <cell r="H3568"/>
          <cell r="J3568"/>
          <cell r="L3568"/>
          <cell r="M3568"/>
        </row>
        <row r="3569">
          <cell r="B3569"/>
          <cell r="C3569"/>
          <cell r="E3569"/>
          <cell r="F3569"/>
          <cell r="G3569"/>
          <cell r="H3569"/>
          <cell r="J3569"/>
          <cell r="L3569"/>
          <cell r="M3569"/>
        </row>
        <row r="3570">
          <cell r="B3570"/>
          <cell r="C3570"/>
          <cell r="E3570"/>
          <cell r="F3570"/>
          <cell r="G3570"/>
          <cell r="H3570"/>
          <cell r="J3570"/>
          <cell r="L3570"/>
          <cell r="M3570"/>
        </row>
        <row r="3571">
          <cell r="B3571"/>
          <cell r="C3571"/>
          <cell r="E3571"/>
          <cell r="F3571"/>
          <cell r="G3571"/>
          <cell r="H3571"/>
          <cell r="J3571"/>
          <cell r="L3571"/>
          <cell r="M3571"/>
        </row>
        <row r="3572">
          <cell r="B3572"/>
          <cell r="C3572"/>
          <cell r="E3572"/>
          <cell r="F3572"/>
          <cell r="G3572"/>
          <cell r="H3572"/>
          <cell r="J3572"/>
          <cell r="L3572"/>
          <cell r="M3572"/>
        </row>
        <row r="3573">
          <cell r="B3573"/>
          <cell r="C3573"/>
          <cell r="E3573"/>
          <cell r="F3573"/>
          <cell r="G3573"/>
          <cell r="H3573"/>
          <cell r="J3573"/>
          <cell r="L3573"/>
          <cell r="M3573"/>
        </row>
        <row r="3574">
          <cell r="B3574"/>
          <cell r="C3574"/>
          <cell r="E3574"/>
          <cell r="F3574"/>
          <cell r="G3574"/>
          <cell r="H3574"/>
          <cell r="J3574"/>
          <cell r="L3574"/>
          <cell r="M3574"/>
        </row>
        <row r="3575">
          <cell r="B3575"/>
          <cell r="C3575"/>
          <cell r="E3575"/>
          <cell r="F3575"/>
          <cell r="G3575"/>
          <cell r="H3575"/>
          <cell r="J3575"/>
          <cell r="L3575"/>
          <cell r="M3575"/>
        </row>
        <row r="3576">
          <cell r="B3576"/>
          <cell r="C3576"/>
          <cell r="E3576"/>
          <cell r="F3576"/>
          <cell r="G3576"/>
          <cell r="H3576"/>
          <cell r="J3576"/>
          <cell r="L3576"/>
          <cell r="M3576"/>
        </row>
        <row r="3577">
          <cell r="B3577"/>
          <cell r="C3577"/>
          <cell r="E3577"/>
          <cell r="F3577"/>
          <cell r="G3577"/>
          <cell r="H3577"/>
          <cell r="J3577"/>
          <cell r="L3577"/>
          <cell r="M3577"/>
        </row>
        <row r="3578">
          <cell r="B3578"/>
          <cell r="C3578"/>
          <cell r="E3578"/>
          <cell r="F3578"/>
          <cell r="G3578"/>
          <cell r="H3578"/>
          <cell r="J3578"/>
          <cell r="L3578"/>
          <cell r="M3578"/>
        </row>
        <row r="3579">
          <cell r="B3579"/>
          <cell r="C3579"/>
          <cell r="E3579"/>
          <cell r="F3579"/>
          <cell r="G3579"/>
          <cell r="H3579"/>
          <cell r="J3579"/>
          <cell r="L3579"/>
          <cell r="M3579"/>
        </row>
        <row r="3580">
          <cell r="B3580"/>
          <cell r="C3580"/>
          <cell r="E3580"/>
          <cell r="F3580"/>
          <cell r="G3580"/>
          <cell r="H3580"/>
          <cell r="J3580"/>
          <cell r="L3580"/>
          <cell r="M3580"/>
        </row>
        <row r="3581">
          <cell r="B3581"/>
          <cell r="C3581"/>
          <cell r="E3581"/>
          <cell r="F3581"/>
          <cell r="G3581"/>
          <cell r="H3581"/>
          <cell r="J3581"/>
          <cell r="L3581"/>
          <cell r="M3581"/>
        </row>
        <row r="3582">
          <cell r="B3582"/>
          <cell r="C3582"/>
          <cell r="E3582"/>
          <cell r="F3582"/>
          <cell r="G3582"/>
          <cell r="H3582"/>
          <cell r="J3582"/>
          <cell r="L3582"/>
          <cell r="M3582"/>
        </row>
        <row r="3583">
          <cell r="B3583"/>
          <cell r="C3583"/>
          <cell r="E3583"/>
          <cell r="F3583"/>
          <cell r="G3583"/>
          <cell r="H3583"/>
          <cell r="J3583"/>
          <cell r="L3583"/>
          <cell r="M3583"/>
        </row>
        <row r="3584">
          <cell r="B3584"/>
          <cell r="C3584"/>
          <cell r="E3584"/>
          <cell r="F3584"/>
          <cell r="G3584"/>
          <cell r="H3584"/>
          <cell r="J3584"/>
          <cell r="L3584"/>
          <cell r="M3584"/>
        </row>
        <row r="3585">
          <cell r="B3585"/>
          <cell r="C3585"/>
          <cell r="E3585"/>
          <cell r="F3585"/>
          <cell r="G3585"/>
          <cell r="H3585"/>
          <cell r="J3585"/>
          <cell r="L3585"/>
          <cell r="M3585"/>
        </row>
        <row r="3586">
          <cell r="B3586"/>
          <cell r="C3586"/>
          <cell r="E3586"/>
          <cell r="F3586"/>
          <cell r="G3586"/>
          <cell r="H3586"/>
          <cell r="J3586"/>
          <cell r="L3586"/>
          <cell r="M3586"/>
        </row>
        <row r="3587">
          <cell r="B3587"/>
          <cell r="C3587"/>
          <cell r="E3587"/>
          <cell r="F3587"/>
          <cell r="G3587"/>
          <cell r="H3587"/>
          <cell r="J3587"/>
          <cell r="L3587"/>
          <cell r="M3587"/>
        </row>
        <row r="3588">
          <cell r="B3588"/>
          <cell r="C3588"/>
          <cell r="E3588"/>
          <cell r="F3588"/>
          <cell r="G3588"/>
          <cell r="H3588"/>
          <cell r="J3588"/>
          <cell r="L3588"/>
          <cell r="M3588"/>
        </row>
        <row r="3589">
          <cell r="B3589"/>
          <cell r="C3589"/>
          <cell r="E3589"/>
          <cell r="F3589"/>
          <cell r="G3589"/>
          <cell r="H3589"/>
          <cell r="J3589"/>
          <cell r="L3589"/>
          <cell r="M3589"/>
        </row>
        <row r="3590">
          <cell r="B3590"/>
          <cell r="C3590"/>
          <cell r="E3590"/>
          <cell r="F3590"/>
          <cell r="G3590"/>
          <cell r="H3590"/>
          <cell r="J3590"/>
          <cell r="L3590"/>
          <cell r="M3590"/>
        </row>
        <row r="3591">
          <cell r="B3591"/>
          <cell r="C3591"/>
          <cell r="E3591"/>
          <cell r="F3591"/>
          <cell r="G3591"/>
          <cell r="H3591"/>
          <cell r="J3591"/>
          <cell r="L3591"/>
          <cell r="M3591"/>
        </row>
        <row r="3592">
          <cell r="B3592"/>
          <cell r="C3592"/>
          <cell r="E3592"/>
          <cell r="F3592"/>
          <cell r="G3592"/>
          <cell r="H3592"/>
          <cell r="J3592"/>
          <cell r="L3592"/>
          <cell r="M3592"/>
        </row>
        <row r="3593">
          <cell r="B3593"/>
          <cell r="C3593"/>
          <cell r="E3593"/>
          <cell r="F3593"/>
          <cell r="G3593"/>
          <cell r="H3593"/>
          <cell r="J3593"/>
          <cell r="L3593"/>
          <cell r="M3593"/>
        </row>
        <row r="3594">
          <cell r="B3594"/>
          <cell r="C3594"/>
          <cell r="E3594"/>
          <cell r="F3594"/>
          <cell r="G3594"/>
          <cell r="H3594"/>
          <cell r="J3594"/>
          <cell r="L3594"/>
          <cell r="M3594"/>
        </row>
        <row r="3595">
          <cell r="B3595"/>
          <cell r="C3595"/>
          <cell r="E3595"/>
          <cell r="F3595"/>
          <cell r="G3595"/>
          <cell r="H3595"/>
          <cell r="J3595"/>
          <cell r="L3595"/>
          <cell r="M3595"/>
        </row>
        <row r="3596">
          <cell r="B3596"/>
          <cell r="C3596"/>
          <cell r="E3596"/>
          <cell r="F3596"/>
          <cell r="G3596"/>
          <cell r="H3596"/>
          <cell r="J3596"/>
          <cell r="L3596"/>
          <cell r="M3596"/>
        </row>
        <row r="3597">
          <cell r="B3597"/>
          <cell r="C3597"/>
          <cell r="E3597"/>
          <cell r="F3597"/>
          <cell r="G3597"/>
          <cell r="H3597"/>
          <cell r="J3597"/>
          <cell r="L3597"/>
          <cell r="M3597"/>
        </row>
        <row r="3598">
          <cell r="B3598"/>
          <cell r="C3598"/>
          <cell r="E3598"/>
          <cell r="F3598"/>
          <cell r="G3598"/>
          <cell r="H3598"/>
          <cell r="J3598"/>
          <cell r="L3598"/>
          <cell r="M3598"/>
        </row>
        <row r="3599">
          <cell r="B3599"/>
          <cell r="C3599"/>
          <cell r="E3599"/>
          <cell r="F3599"/>
          <cell r="G3599"/>
          <cell r="H3599"/>
          <cell r="J3599"/>
          <cell r="L3599"/>
          <cell r="M3599"/>
        </row>
        <row r="3600">
          <cell r="B3600"/>
          <cell r="C3600"/>
          <cell r="E3600"/>
          <cell r="F3600"/>
          <cell r="G3600"/>
          <cell r="H3600"/>
          <cell r="J3600"/>
          <cell r="L3600"/>
          <cell r="M3600"/>
        </row>
        <row r="3601">
          <cell r="B3601"/>
          <cell r="C3601"/>
          <cell r="E3601"/>
          <cell r="F3601"/>
          <cell r="G3601"/>
          <cell r="H3601"/>
          <cell r="J3601"/>
          <cell r="L3601"/>
          <cell r="M3601"/>
        </row>
        <row r="3602">
          <cell r="B3602"/>
          <cell r="C3602"/>
          <cell r="E3602"/>
          <cell r="F3602"/>
          <cell r="G3602"/>
          <cell r="H3602"/>
          <cell r="J3602"/>
          <cell r="L3602"/>
          <cell r="M3602"/>
        </row>
        <row r="3603">
          <cell r="B3603"/>
          <cell r="C3603"/>
          <cell r="E3603"/>
          <cell r="F3603"/>
          <cell r="G3603"/>
          <cell r="H3603"/>
          <cell r="J3603"/>
          <cell r="L3603"/>
          <cell r="M3603"/>
        </row>
        <row r="3604">
          <cell r="B3604"/>
          <cell r="C3604"/>
          <cell r="E3604"/>
          <cell r="F3604"/>
          <cell r="G3604"/>
          <cell r="H3604"/>
          <cell r="J3604"/>
          <cell r="L3604"/>
          <cell r="M3604"/>
        </row>
        <row r="3605">
          <cell r="B3605"/>
          <cell r="C3605"/>
          <cell r="E3605"/>
          <cell r="F3605"/>
          <cell r="G3605"/>
          <cell r="H3605"/>
          <cell r="J3605"/>
          <cell r="L3605"/>
          <cell r="M3605"/>
        </row>
        <row r="3606">
          <cell r="B3606"/>
          <cell r="C3606"/>
          <cell r="E3606"/>
          <cell r="F3606"/>
          <cell r="G3606"/>
          <cell r="H3606"/>
          <cell r="J3606"/>
          <cell r="L3606"/>
          <cell r="M3606"/>
        </row>
        <row r="3607">
          <cell r="B3607"/>
          <cell r="C3607"/>
          <cell r="E3607"/>
          <cell r="F3607"/>
          <cell r="G3607"/>
          <cell r="H3607"/>
          <cell r="J3607"/>
          <cell r="L3607"/>
          <cell r="M3607"/>
        </row>
        <row r="3608">
          <cell r="B3608"/>
          <cell r="C3608"/>
          <cell r="E3608"/>
          <cell r="F3608"/>
          <cell r="G3608"/>
          <cell r="H3608"/>
          <cell r="J3608"/>
          <cell r="L3608"/>
          <cell r="M3608"/>
        </row>
        <row r="3609">
          <cell r="B3609"/>
          <cell r="C3609"/>
          <cell r="E3609"/>
          <cell r="F3609"/>
          <cell r="G3609"/>
          <cell r="H3609"/>
          <cell r="J3609"/>
          <cell r="L3609"/>
          <cell r="M3609"/>
        </row>
        <row r="3610">
          <cell r="B3610"/>
          <cell r="C3610"/>
          <cell r="E3610"/>
          <cell r="F3610"/>
          <cell r="G3610"/>
          <cell r="H3610"/>
          <cell r="J3610"/>
          <cell r="L3610"/>
          <cell r="M3610"/>
        </row>
        <row r="3611">
          <cell r="B3611"/>
          <cell r="C3611"/>
          <cell r="E3611"/>
          <cell r="F3611"/>
          <cell r="G3611"/>
          <cell r="H3611"/>
          <cell r="J3611"/>
          <cell r="L3611"/>
          <cell r="M3611"/>
        </row>
        <row r="3612">
          <cell r="B3612"/>
          <cell r="C3612"/>
          <cell r="E3612"/>
          <cell r="F3612"/>
          <cell r="G3612"/>
          <cell r="H3612"/>
          <cell r="J3612"/>
          <cell r="L3612"/>
          <cell r="M3612"/>
        </row>
        <row r="3613">
          <cell r="B3613"/>
          <cell r="C3613"/>
          <cell r="E3613"/>
          <cell r="F3613"/>
          <cell r="G3613"/>
          <cell r="H3613"/>
          <cell r="J3613"/>
          <cell r="L3613"/>
          <cell r="M3613"/>
        </row>
        <row r="3614">
          <cell r="B3614"/>
          <cell r="C3614"/>
          <cell r="E3614"/>
          <cell r="F3614"/>
          <cell r="G3614"/>
          <cell r="H3614"/>
          <cell r="J3614"/>
          <cell r="L3614"/>
          <cell r="M3614"/>
        </row>
        <row r="3615">
          <cell r="B3615"/>
          <cell r="C3615"/>
          <cell r="E3615"/>
          <cell r="F3615"/>
          <cell r="G3615"/>
          <cell r="H3615"/>
          <cell r="J3615"/>
          <cell r="L3615"/>
          <cell r="M3615"/>
        </row>
        <row r="3616">
          <cell r="B3616"/>
          <cell r="C3616"/>
          <cell r="E3616"/>
          <cell r="F3616"/>
          <cell r="G3616"/>
          <cell r="H3616"/>
          <cell r="J3616"/>
          <cell r="L3616"/>
          <cell r="M3616"/>
        </row>
        <row r="3617">
          <cell r="B3617"/>
          <cell r="C3617"/>
          <cell r="E3617"/>
          <cell r="F3617"/>
          <cell r="G3617"/>
          <cell r="H3617"/>
          <cell r="J3617"/>
          <cell r="L3617"/>
          <cell r="M3617"/>
        </row>
        <row r="3618">
          <cell r="B3618"/>
          <cell r="C3618"/>
          <cell r="E3618"/>
          <cell r="F3618"/>
          <cell r="G3618"/>
          <cell r="H3618"/>
          <cell r="J3618"/>
          <cell r="L3618"/>
          <cell r="M3618"/>
        </row>
        <row r="3619">
          <cell r="B3619"/>
          <cell r="C3619"/>
          <cell r="E3619"/>
          <cell r="F3619"/>
          <cell r="G3619"/>
          <cell r="H3619"/>
          <cell r="J3619"/>
          <cell r="L3619"/>
          <cell r="M3619"/>
        </row>
        <row r="3620">
          <cell r="B3620"/>
          <cell r="C3620"/>
          <cell r="E3620"/>
          <cell r="F3620"/>
          <cell r="G3620"/>
          <cell r="H3620"/>
          <cell r="J3620"/>
          <cell r="L3620"/>
          <cell r="M3620"/>
        </row>
        <row r="3621">
          <cell r="B3621"/>
          <cell r="C3621"/>
          <cell r="E3621"/>
          <cell r="F3621"/>
          <cell r="G3621"/>
          <cell r="H3621"/>
          <cell r="J3621"/>
          <cell r="L3621"/>
          <cell r="M3621"/>
        </row>
        <row r="3622">
          <cell r="B3622"/>
          <cell r="C3622"/>
          <cell r="E3622"/>
          <cell r="F3622"/>
          <cell r="G3622"/>
          <cell r="H3622"/>
          <cell r="J3622"/>
          <cell r="L3622"/>
          <cell r="M3622"/>
        </row>
        <row r="3623">
          <cell r="B3623"/>
          <cell r="C3623"/>
          <cell r="E3623"/>
          <cell r="F3623"/>
          <cell r="G3623"/>
          <cell r="H3623"/>
          <cell r="J3623"/>
          <cell r="L3623"/>
          <cell r="M3623"/>
        </row>
        <row r="3624">
          <cell r="B3624"/>
          <cell r="C3624"/>
          <cell r="E3624"/>
          <cell r="F3624"/>
          <cell r="G3624"/>
          <cell r="H3624"/>
          <cell r="J3624"/>
          <cell r="L3624"/>
          <cell r="M3624"/>
        </row>
        <row r="3625">
          <cell r="B3625"/>
          <cell r="C3625"/>
          <cell r="E3625"/>
          <cell r="F3625"/>
          <cell r="G3625"/>
          <cell r="H3625"/>
          <cell r="J3625"/>
          <cell r="L3625"/>
          <cell r="M3625"/>
        </row>
        <row r="3626">
          <cell r="B3626"/>
          <cell r="C3626"/>
          <cell r="E3626"/>
          <cell r="F3626"/>
          <cell r="G3626"/>
          <cell r="H3626"/>
          <cell r="J3626"/>
          <cell r="L3626"/>
          <cell r="M3626"/>
        </row>
        <row r="3627">
          <cell r="B3627"/>
          <cell r="C3627"/>
          <cell r="E3627"/>
          <cell r="F3627"/>
          <cell r="G3627"/>
          <cell r="H3627"/>
          <cell r="J3627"/>
          <cell r="L3627"/>
          <cell r="M3627"/>
        </row>
        <row r="3628">
          <cell r="B3628"/>
          <cell r="C3628"/>
          <cell r="E3628"/>
          <cell r="F3628"/>
          <cell r="G3628"/>
          <cell r="H3628"/>
          <cell r="J3628"/>
          <cell r="L3628"/>
          <cell r="M3628"/>
        </row>
        <row r="3629">
          <cell r="B3629"/>
          <cell r="C3629"/>
          <cell r="E3629"/>
          <cell r="F3629"/>
          <cell r="G3629"/>
          <cell r="H3629"/>
          <cell r="J3629"/>
          <cell r="L3629"/>
          <cell r="M3629"/>
        </row>
        <row r="3630">
          <cell r="B3630"/>
          <cell r="C3630"/>
          <cell r="E3630"/>
          <cell r="F3630"/>
          <cell r="G3630"/>
          <cell r="H3630"/>
          <cell r="J3630"/>
          <cell r="L3630"/>
          <cell r="M3630"/>
        </row>
        <row r="3631">
          <cell r="B3631"/>
          <cell r="C3631"/>
          <cell r="E3631"/>
          <cell r="F3631"/>
          <cell r="G3631"/>
          <cell r="H3631"/>
          <cell r="J3631"/>
          <cell r="L3631"/>
          <cell r="M3631"/>
        </row>
        <row r="3632">
          <cell r="B3632"/>
          <cell r="C3632"/>
          <cell r="E3632"/>
          <cell r="F3632"/>
          <cell r="G3632"/>
          <cell r="H3632"/>
          <cell r="J3632"/>
          <cell r="L3632"/>
          <cell r="M3632"/>
        </row>
        <row r="3633">
          <cell r="B3633"/>
          <cell r="C3633"/>
          <cell r="E3633"/>
          <cell r="F3633"/>
          <cell r="G3633"/>
          <cell r="H3633"/>
          <cell r="J3633"/>
          <cell r="L3633"/>
          <cell r="M3633"/>
        </row>
        <row r="3634">
          <cell r="B3634"/>
          <cell r="C3634"/>
          <cell r="E3634"/>
          <cell r="F3634"/>
          <cell r="G3634"/>
          <cell r="H3634"/>
          <cell r="J3634"/>
          <cell r="L3634"/>
          <cell r="M3634"/>
        </row>
        <row r="3635">
          <cell r="B3635"/>
          <cell r="C3635"/>
          <cell r="E3635"/>
          <cell r="F3635"/>
          <cell r="G3635"/>
          <cell r="H3635"/>
          <cell r="J3635"/>
          <cell r="L3635"/>
          <cell r="M3635"/>
        </row>
        <row r="3636">
          <cell r="B3636"/>
          <cell r="C3636"/>
          <cell r="E3636"/>
          <cell r="F3636"/>
          <cell r="G3636"/>
          <cell r="H3636"/>
          <cell r="J3636"/>
          <cell r="L3636"/>
          <cell r="M3636"/>
        </row>
        <row r="3637">
          <cell r="B3637"/>
          <cell r="C3637"/>
          <cell r="E3637"/>
          <cell r="F3637"/>
          <cell r="G3637"/>
          <cell r="H3637"/>
          <cell r="J3637"/>
          <cell r="L3637"/>
          <cell r="M3637"/>
        </row>
        <row r="3638">
          <cell r="B3638"/>
          <cell r="C3638"/>
          <cell r="E3638"/>
          <cell r="F3638"/>
          <cell r="G3638"/>
          <cell r="H3638"/>
          <cell r="J3638"/>
          <cell r="L3638"/>
          <cell r="M3638"/>
        </row>
        <row r="3639">
          <cell r="B3639"/>
          <cell r="C3639"/>
          <cell r="E3639"/>
          <cell r="F3639"/>
          <cell r="G3639"/>
          <cell r="H3639"/>
          <cell r="J3639"/>
          <cell r="L3639"/>
          <cell r="M3639"/>
        </row>
        <row r="3640">
          <cell r="B3640"/>
          <cell r="C3640"/>
          <cell r="E3640"/>
          <cell r="F3640"/>
          <cell r="G3640"/>
          <cell r="H3640"/>
          <cell r="J3640"/>
          <cell r="L3640"/>
          <cell r="M3640"/>
        </row>
        <row r="3641">
          <cell r="B3641"/>
          <cell r="C3641"/>
          <cell r="E3641"/>
          <cell r="F3641"/>
          <cell r="G3641"/>
          <cell r="H3641"/>
          <cell r="J3641"/>
          <cell r="L3641"/>
          <cell r="M3641"/>
        </row>
        <row r="3642">
          <cell r="B3642"/>
          <cell r="C3642"/>
          <cell r="E3642"/>
          <cell r="F3642"/>
          <cell r="G3642"/>
          <cell r="H3642"/>
          <cell r="J3642"/>
          <cell r="L3642"/>
          <cell r="M3642"/>
        </row>
        <row r="3643">
          <cell r="B3643"/>
          <cell r="C3643"/>
          <cell r="E3643"/>
          <cell r="F3643"/>
          <cell r="G3643"/>
          <cell r="H3643"/>
          <cell r="J3643"/>
          <cell r="L3643"/>
          <cell r="M3643"/>
        </row>
        <row r="3644">
          <cell r="B3644"/>
          <cell r="C3644"/>
          <cell r="E3644"/>
          <cell r="F3644"/>
          <cell r="G3644"/>
          <cell r="H3644"/>
          <cell r="J3644"/>
          <cell r="L3644"/>
          <cell r="M3644"/>
        </row>
        <row r="3645">
          <cell r="B3645"/>
          <cell r="C3645"/>
          <cell r="E3645"/>
          <cell r="F3645"/>
          <cell r="G3645"/>
          <cell r="H3645"/>
          <cell r="J3645"/>
          <cell r="L3645"/>
          <cell r="M3645"/>
        </row>
        <row r="3646">
          <cell r="B3646"/>
          <cell r="C3646"/>
          <cell r="E3646"/>
          <cell r="F3646"/>
          <cell r="G3646"/>
          <cell r="H3646"/>
          <cell r="J3646"/>
          <cell r="L3646"/>
          <cell r="M3646"/>
        </row>
        <row r="3647">
          <cell r="B3647"/>
          <cell r="C3647"/>
          <cell r="E3647"/>
          <cell r="F3647"/>
          <cell r="G3647"/>
          <cell r="H3647"/>
          <cell r="J3647"/>
          <cell r="L3647"/>
          <cell r="M3647"/>
        </row>
        <row r="3648">
          <cell r="B3648"/>
          <cell r="C3648"/>
          <cell r="E3648"/>
          <cell r="F3648"/>
          <cell r="G3648"/>
          <cell r="H3648"/>
          <cell r="J3648"/>
          <cell r="L3648"/>
          <cell r="M3648"/>
        </row>
        <row r="3649">
          <cell r="B3649"/>
          <cell r="C3649"/>
          <cell r="E3649"/>
          <cell r="F3649"/>
          <cell r="G3649"/>
          <cell r="H3649"/>
          <cell r="J3649"/>
          <cell r="L3649"/>
          <cell r="M3649"/>
        </row>
        <row r="3650">
          <cell r="B3650"/>
          <cell r="C3650"/>
          <cell r="E3650"/>
          <cell r="F3650"/>
          <cell r="G3650"/>
          <cell r="H3650"/>
          <cell r="J3650"/>
          <cell r="L3650"/>
          <cell r="M3650"/>
        </row>
        <row r="3651">
          <cell r="B3651"/>
          <cell r="C3651"/>
          <cell r="E3651"/>
          <cell r="F3651"/>
          <cell r="G3651"/>
          <cell r="H3651"/>
          <cell r="J3651"/>
          <cell r="L3651"/>
          <cell r="M3651"/>
        </row>
        <row r="3652">
          <cell r="B3652"/>
          <cell r="C3652"/>
          <cell r="E3652"/>
          <cell r="F3652"/>
          <cell r="G3652"/>
          <cell r="H3652"/>
          <cell r="J3652"/>
          <cell r="L3652"/>
          <cell r="M3652"/>
        </row>
        <row r="3653">
          <cell r="B3653"/>
          <cell r="C3653"/>
          <cell r="E3653"/>
          <cell r="F3653"/>
          <cell r="G3653"/>
          <cell r="H3653"/>
          <cell r="J3653"/>
          <cell r="L3653"/>
          <cell r="M3653"/>
        </row>
        <row r="3654">
          <cell r="B3654"/>
          <cell r="C3654"/>
          <cell r="E3654"/>
          <cell r="F3654"/>
          <cell r="G3654"/>
          <cell r="H3654"/>
          <cell r="J3654"/>
          <cell r="L3654"/>
          <cell r="M3654"/>
        </row>
        <row r="3655">
          <cell r="B3655"/>
          <cell r="C3655"/>
          <cell r="E3655"/>
          <cell r="F3655"/>
          <cell r="G3655"/>
          <cell r="H3655"/>
          <cell r="J3655"/>
          <cell r="L3655"/>
          <cell r="M3655"/>
        </row>
        <row r="3656">
          <cell r="B3656"/>
          <cell r="C3656"/>
          <cell r="E3656"/>
          <cell r="F3656"/>
          <cell r="G3656"/>
          <cell r="H3656"/>
          <cell r="J3656"/>
          <cell r="L3656"/>
          <cell r="M3656"/>
        </row>
        <row r="3657">
          <cell r="B3657"/>
          <cell r="C3657"/>
          <cell r="E3657"/>
          <cell r="F3657"/>
          <cell r="G3657"/>
          <cell r="H3657"/>
          <cell r="J3657"/>
          <cell r="L3657"/>
          <cell r="M3657"/>
        </row>
        <row r="3658">
          <cell r="B3658"/>
          <cell r="C3658"/>
          <cell r="E3658"/>
          <cell r="F3658"/>
          <cell r="G3658"/>
          <cell r="H3658"/>
          <cell r="J3658"/>
          <cell r="L3658"/>
          <cell r="M3658"/>
        </row>
        <row r="3659">
          <cell r="B3659"/>
          <cell r="C3659"/>
          <cell r="E3659"/>
          <cell r="F3659"/>
          <cell r="G3659"/>
          <cell r="H3659"/>
          <cell r="J3659"/>
          <cell r="L3659"/>
          <cell r="M3659"/>
        </row>
        <row r="3660">
          <cell r="B3660"/>
          <cell r="C3660"/>
          <cell r="E3660"/>
          <cell r="F3660"/>
          <cell r="G3660"/>
          <cell r="H3660"/>
          <cell r="J3660"/>
          <cell r="L3660"/>
          <cell r="M3660"/>
        </row>
        <row r="3661">
          <cell r="B3661"/>
          <cell r="C3661"/>
          <cell r="E3661"/>
          <cell r="F3661"/>
          <cell r="G3661"/>
          <cell r="H3661"/>
          <cell r="J3661"/>
          <cell r="L3661"/>
          <cell r="M3661"/>
        </row>
        <row r="3662">
          <cell r="B3662"/>
          <cell r="C3662"/>
          <cell r="E3662"/>
          <cell r="F3662"/>
          <cell r="G3662"/>
          <cell r="H3662"/>
          <cell r="J3662"/>
          <cell r="L3662"/>
          <cell r="M3662"/>
        </row>
        <row r="3663">
          <cell r="B3663"/>
          <cell r="C3663"/>
          <cell r="E3663"/>
          <cell r="F3663"/>
          <cell r="G3663"/>
          <cell r="H3663"/>
          <cell r="J3663"/>
          <cell r="L3663"/>
          <cell r="M3663"/>
        </row>
        <row r="3664">
          <cell r="B3664"/>
          <cell r="C3664"/>
          <cell r="E3664"/>
          <cell r="F3664"/>
          <cell r="G3664"/>
          <cell r="H3664"/>
          <cell r="J3664"/>
          <cell r="L3664"/>
          <cell r="M3664"/>
        </row>
        <row r="3665">
          <cell r="B3665"/>
          <cell r="C3665"/>
          <cell r="E3665"/>
          <cell r="F3665"/>
          <cell r="G3665"/>
          <cell r="H3665"/>
          <cell r="J3665"/>
          <cell r="L3665"/>
          <cell r="M3665"/>
        </row>
        <row r="3666">
          <cell r="B3666"/>
          <cell r="C3666"/>
          <cell r="E3666"/>
          <cell r="F3666"/>
          <cell r="G3666"/>
          <cell r="H3666"/>
          <cell r="J3666"/>
          <cell r="L3666"/>
          <cell r="M3666"/>
        </row>
        <row r="3667">
          <cell r="B3667"/>
          <cell r="C3667"/>
          <cell r="E3667"/>
          <cell r="F3667"/>
          <cell r="G3667"/>
          <cell r="H3667"/>
          <cell r="J3667"/>
          <cell r="L3667"/>
          <cell r="M3667"/>
        </row>
        <row r="3668">
          <cell r="B3668"/>
          <cell r="C3668"/>
          <cell r="E3668"/>
          <cell r="F3668"/>
          <cell r="G3668"/>
          <cell r="H3668"/>
          <cell r="J3668"/>
          <cell r="L3668"/>
          <cell r="M3668"/>
        </row>
        <row r="3669">
          <cell r="B3669"/>
          <cell r="C3669"/>
          <cell r="E3669"/>
          <cell r="F3669"/>
          <cell r="G3669"/>
          <cell r="H3669"/>
          <cell r="J3669"/>
          <cell r="L3669"/>
          <cell r="M3669"/>
        </row>
        <row r="3670">
          <cell r="B3670"/>
          <cell r="C3670"/>
          <cell r="E3670"/>
          <cell r="F3670"/>
          <cell r="G3670"/>
          <cell r="H3670"/>
          <cell r="J3670"/>
          <cell r="L3670"/>
          <cell r="M3670"/>
        </row>
        <row r="3671">
          <cell r="B3671"/>
          <cell r="C3671"/>
          <cell r="E3671"/>
          <cell r="F3671"/>
          <cell r="G3671"/>
          <cell r="H3671"/>
          <cell r="J3671"/>
          <cell r="L3671"/>
          <cell r="M3671"/>
        </row>
        <row r="3672">
          <cell r="B3672"/>
          <cell r="C3672"/>
          <cell r="E3672"/>
          <cell r="F3672"/>
          <cell r="G3672"/>
          <cell r="H3672"/>
          <cell r="J3672"/>
          <cell r="L3672"/>
          <cell r="M3672"/>
        </row>
        <row r="3673">
          <cell r="B3673"/>
          <cell r="C3673"/>
          <cell r="E3673"/>
          <cell r="F3673"/>
          <cell r="G3673"/>
          <cell r="H3673"/>
          <cell r="J3673"/>
          <cell r="L3673"/>
          <cell r="M3673"/>
        </row>
        <row r="3674">
          <cell r="B3674"/>
          <cell r="C3674"/>
          <cell r="E3674"/>
          <cell r="F3674"/>
          <cell r="G3674"/>
          <cell r="H3674"/>
          <cell r="J3674"/>
          <cell r="L3674"/>
          <cell r="M3674"/>
        </row>
        <row r="3675">
          <cell r="B3675"/>
          <cell r="C3675"/>
          <cell r="E3675"/>
          <cell r="F3675"/>
          <cell r="G3675"/>
          <cell r="H3675"/>
          <cell r="J3675"/>
          <cell r="L3675"/>
          <cell r="M3675"/>
        </row>
        <row r="3676">
          <cell r="B3676"/>
          <cell r="C3676"/>
          <cell r="E3676"/>
          <cell r="F3676"/>
          <cell r="G3676"/>
          <cell r="H3676"/>
          <cell r="J3676"/>
          <cell r="L3676"/>
          <cell r="M3676"/>
        </row>
        <row r="3677">
          <cell r="B3677"/>
          <cell r="C3677"/>
          <cell r="E3677"/>
          <cell r="F3677"/>
          <cell r="G3677"/>
          <cell r="H3677"/>
          <cell r="J3677"/>
          <cell r="L3677"/>
          <cell r="M3677"/>
        </row>
        <row r="3678">
          <cell r="B3678"/>
          <cell r="C3678"/>
          <cell r="E3678"/>
          <cell r="F3678"/>
          <cell r="G3678"/>
          <cell r="H3678"/>
          <cell r="J3678"/>
          <cell r="L3678"/>
          <cell r="M3678"/>
        </row>
        <row r="3679">
          <cell r="B3679"/>
          <cell r="C3679"/>
          <cell r="E3679"/>
          <cell r="F3679"/>
          <cell r="G3679"/>
          <cell r="H3679"/>
          <cell r="J3679"/>
          <cell r="L3679"/>
          <cell r="M3679"/>
        </row>
        <row r="3680">
          <cell r="B3680"/>
          <cell r="C3680"/>
          <cell r="E3680"/>
          <cell r="F3680"/>
          <cell r="G3680"/>
          <cell r="H3680"/>
          <cell r="J3680"/>
          <cell r="L3680"/>
          <cell r="M3680"/>
        </row>
        <row r="3681">
          <cell r="B3681"/>
          <cell r="C3681"/>
          <cell r="E3681"/>
          <cell r="F3681"/>
          <cell r="G3681"/>
          <cell r="H3681"/>
          <cell r="J3681"/>
          <cell r="L3681"/>
          <cell r="M3681"/>
        </row>
        <row r="3682">
          <cell r="B3682"/>
          <cell r="C3682"/>
          <cell r="E3682"/>
          <cell r="F3682"/>
          <cell r="G3682"/>
          <cell r="H3682"/>
          <cell r="J3682"/>
          <cell r="L3682"/>
          <cell r="M3682"/>
        </row>
        <row r="3683">
          <cell r="B3683"/>
          <cell r="C3683"/>
          <cell r="E3683"/>
          <cell r="F3683"/>
          <cell r="G3683"/>
          <cell r="H3683"/>
          <cell r="J3683"/>
          <cell r="L3683"/>
          <cell r="M3683"/>
        </row>
        <row r="3684">
          <cell r="B3684"/>
          <cell r="C3684"/>
          <cell r="E3684"/>
          <cell r="F3684"/>
          <cell r="G3684"/>
          <cell r="H3684"/>
          <cell r="J3684"/>
          <cell r="L3684"/>
          <cell r="M3684"/>
        </row>
        <row r="3685">
          <cell r="B3685"/>
          <cell r="C3685"/>
          <cell r="E3685"/>
          <cell r="F3685"/>
          <cell r="G3685"/>
          <cell r="H3685"/>
          <cell r="J3685"/>
          <cell r="L3685"/>
          <cell r="M3685"/>
        </row>
        <row r="3686">
          <cell r="B3686"/>
          <cell r="C3686"/>
          <cell r="E3686"/>
          <cell r="F3686"/>
          <cell r="G3686"/>
          <cell r="H3686"/>
          <cell r="J3686"/>
          <cell r="L3686"/>
          <cell r="M3686"/>
        </row>
        <row r="3687">
          <cell r="B3687"/>
          <cell r="C3687"/>
          <cell r="E3687"/>
          <cell r="F3687"/>
          <cell r="G3687"/>
          <cell r="H3687"/>
          <cell r="J3687"/>
          <cell r="L3687"/>
          <cell r="M3687"/>
        </row>
        <row r="3688">
          <cell r="B3688"/>
          <cell r="C3688"/>
          <cell r="E3688"/>
          <cell r="F3688"/>
          <cell r="G3688"/>
          <cell r="H3688"/>
          <cell r="J3688"/>
          <cell r="L3688"/>
          <cell r="M3688"/>
        </row>
        <row r="3689">
          <cell r="B3689"/>
          <cell r="C3689"/>
          <cell r="E3689"/>
          <cell r="F3689"/>
          <cell r="G3689"/>
          <cell r="H3689"/>
          <cell r="J3689"/>
          <cell r="L3689"/>
          <cell r="M3689"/>
        </row>
        <row r="3690">
          <cell r="B3690"/>
          <cell r="C3690"/>
          <cell r="E3690"/>
          <cell r="F3690"/>
          <cell r="G3690"/>
          <cell r="H3690"/>
          <cell r="J3690"/>
          <cell r="L3690"/>
          <cell r="M3690"/>
        </row>
        <row r="3691">
          <cell r="B3691"/>
          <cell r="C3691"/>
          <cell r="E3691"/>
          <cell r="F3691"/>
          <cell r="G3691"/>
          <cell r="H3691"/>
          <cell r="J3691"/>
          <cell r="L3691"/>
          <cell r="M3691"/>
        </row>
        <row r="3692">
          <cell r="B3692"/>
          <cell r="C3692"/>
          <cell r="E3692"/>
          <cell r="F3692"/>
          <cell r="G3692"/>
          <cell r="H3692"/>
          <cell r="J3692"/>
          <cell r="L3692"/>
          <cell r="M3692"/>
        </row>
        <row r="3693">
          <cell r="B3693"/>
          <cell r="C3693"/>
          <cell r="E3693"/>
          <cell r="F3693"/>
          <cell r="G3693"/>
          <cell r="H3693"/>
          <cell r="J3693"/>
          <cell r="L3693"/>
          <cell r="M3693"/>
        </row>
        <row r="3694">
          <cell r="B3694"/>
          <cell r="C3694"/>
          <cell r="E3694"/>
          <cell r="F3694"/>
          <cell r="G3694"/>
          <cell r="H3694"/>
          <cell r="J3694"/>
          <cell r="L3694"/>
          <cell r="M3694"/>
        </row>
        <row r="3695">
          <cell r="B3695"/>
          <cell r="C3695"/>
          <cell r="E3695"/>
          <cell r="F3695"/>
          <cell r="G3695"/>
          <cell r="H3695"/>
          <cell r="J3695"/>
          <cell r="L3695"/>
          <cell r="M3695"/>
        </row>
        <row r="3696">
          <cell r="B3696"/>
          <cell r="C3696"/>
          <cell r="E3696"/>
          <cell r="F3696"/>
          <cell r="G3696"/>
          <cell r="H3696"/>
          <cell r="J3696"/>
          <cell r="L3696"/>
          <cell r="M3696"/>
        </row>
        <row r="3697">
          <cell r="B3697"/>
          <cell r="C3697"/>
          <cell r="E3697"/>
          <cell r="F3697"/>
          <cell r="G3697"/>
          <cell r="H3697"/>
          <cell r="J3697"/>
          <cell r="L3697"/>
          <cell r="M3697"/>
        </row>
        <row r="3698">
          <cell r="B3698"/>
          <cell r="C3698"/>
          <cell r="E3698"/>
          <cell r="F3698"/>
          <cell r="G3698"/>
          <cell r="H3698"/>
          <cell r="J3698"/>
          <cell r="L3698"/>
          <cell r="M3698"/>
        </row>
        <row r="3699">
          <cell r="B3699"/>
          <cell r="C3699"/>
          <cell r="E3699"/>
          <cell r="F3699"/>
          <cell r="G3699"/>
          <cell r="H3699"/>
          <cell r="J3699"/>
          <cell r="L3699"/>
          <cell r="M3699"/>
        </row>
        <row r="3700">
          <cell r="B3700"/>
          <cell r="C3700"/>
          <cell r="E3700"/>
          <cell r="F3700"/>
          <cell r="G3700"/>
          <cell r="H3700"/>
          <cell r="J3700"/>
          <cell r="L3700"/>
          <cell r="M3700"/>
        </row>
        <row r="3701">
          <cell r="B3701"/>
          <cell r="C3701"/>
          <cell r="E3701"/>
          <cell r="F3701"/>
          <cell r="G3701"/>
          <cell r="H3701"/>
          <cell r="J3701"/>
          <cell r="L3701"/>
          <cell r="M3701"/>
        </row>
        <row r="3702">
          <cell r="B3702"/>
          <cell r="C3702"/>
          <cell r="E3702"/>
          <cell r="F3702"/>
          <cell r="G3702"/>
          <cell r="H3702"/>
          <cell r="J3702"/>
          <cell r="L3702"/>
          <cell r="M3702"/>
        </row>
        <row r="3703">
          <cell r="B3703"/>
          <cell r="C3703"/>
          <cell r="E3703"/>
          <cell r="F3703"/>
          <cell r="G3703"/>
          <cell r="H3703"/>
          <cell r="J3703"/>
          <cell r="L3703"/>
          <cell r="M3703"/>
        </row>
        <row r="3704">
          <cell r="B3704"/>
          <cell r="C3704"/>
          <cell r="E3704"/>
          <cell r="F3704"/>
          <cell r="G3704"/>
          <cell r="H3704"/>
          <cell r="J3704"/>
          <cell r="L3704"/>
          <cell r="M3704"/>
        </row>
        <row r="3705">
          <cell r="B3705"/>
          <cell r="C3705"/>
          <cell r="E3705"/>
          <cell r="F3705"/>
          <cell r="G3705"/>
          <cell r="H3705"/>
          <cell r="J3705"/>
          <cell r="L3705"/>
          <cell r="M3705"/>
        </row>
        <row r="3706">
          <cell r="B3706"/>
          <cell r="C3706"/>
          <cell r="E3706"/>
          <cell r="F3706"/>
          <cell r="G3706"/>
          <cell r="H3706"/>
          <cell r="J3706"/>
          <cell r="L3706"/>
          <cell r="M3706"/>
        </row>
        <row r="3707">
          <cell r="B3707"/>
          <cell r="C3707"/>
          <cell r="E3707"/>
          <cell r="F3707"/>
          <cell r="G3707"/>
          <cell r="H3707"/>
          <cell r="J3707"/>
          <cell r="L3707"/>
          <cell r="M3707"/>
        </row>
        <row r="3708">
          <cell r="B3708"/>
          <cell r="C3708"/>
          <cell r="E3708"/>
          <cell r="F3708"/>
          <cell r="G3708"/>
          <cell r="H3708"/>
          <cell r="J3708"/>
          <cell r="L3708"/>
          <cell r="M3708"/>
        </row>
        <row r="3709">
          <cell r="B3709"/>
          <cell r="C3709"/>
          <cell r="E3709"/>
          <cell r="F3709"/>
          <cell r="G3709"/>
          <cell r="H3709"/>
          <cell r="J3709"/>
          <cell r="L3709"/>
          <cell r="M3709"/>
        </row>
        <row r="3710">
          <cell r="B3710"/>
          <cell r="C3710"/>
          <cell r="E3710"/>
          <cell r="F3710"/>
          <cell r="G3710"/>
          <cell r="H3710"/>
          <cell r="J3710"/>
          <cell r="L3710"/>
          <cell r="M3710"/>
        </row>
        <row r="3711">
          <cell r="B3711"/>
          <cell r="C3711"/>
          <cell r="E3711"/>
          <cell r="F3711"/>
          <cell r="G3711"/>
          <cell r="H3711"/>
          <cell r="J3711"/>
          <cell r="L3711"/>
          <cell r="M3711"/>
        </row>
        <row r="3712">
          <cell r="B3712"/>
          <cell r="C3712"/>
          <cell r="E3712"/>
          <cell r="F3712"/>
          <cell r="G3712"/>
          <cell r="H3712"/>
          <cell r="J3712"/>
          <cell r="L3712"/>
          <cell r="M3712"/>
        </row>
        <row r="3713">
          <cell r="B3713"/>
          <cell r="C3713"/>
          <cell r="E3713"/>
          <cell r="F3713"/>
          <cell r="G3713"/>
          <cell r="H3713"/>
          <cell r="J3713"/>
          <cell r="L3713"/>
          <cell r="M3713"/>
        </row>
        <row r="3714">
          <cell r="B3714"/>
          <cell r="C3714"/>
          <cell r="E3714"/>
          <cell r="F3714"/>
          <cell r="G3714"/>
          <cell r="H3714"/>
          <cell r="J3714"/>
          <cell r="L3714"/>
          <cell r="M3714"/>
        </row>
        <row r="3715">
          <cell r="B3715"/>
          <cell r="C3715"/>
          <cell r="E3715"/>
          <cell r="F3715"/>
          <cell r="G3715"/>
          <cell r="H3715"/>
          <cell r="J3715"/>
          <cell r="L3715"/>
          <cell r="M3715"/>
        </row>
        <row r="3716">
          <cell r="B3716"/>
          <cell r="C3716"/>
          <cell r="E3716"/>
          <cell r="F3716"/>
          <cell r="G3716"/>
          <cell r="H3716"/>
          <cell r="J3716"/>
          <cell r="L3716"/>
          <cell r="M3716"/>
        </row>
        <row r="3717">
          <cell r="B3717"/>
          <cell r="C3717"/>
          <cell r="E3717"/>
          <cell r="F3717"/>
          <cell r="G3717"/>
          <cell r="H3717"/>
          <cell r="J3717"/>
          <cell r="L3717"/>
          <cell r="M3717"/>
        </row>
        <row r="3718">
          <cell r="B3718"/>
          <cell r="C3718"/>
          <cell r="E3718"/>
          <cell r="F3718"/>
          <cell r="G3718"/>
          <cell r="H3718"/>
          <cell r="J3718"/>
          <cell r="L3718"/>
          <cell r="M3718"/>
        </row>
        <row r="3719">
          <cell r="B3719"/>
          <cell r="C3719"/>
          <cell r="E3719"/>
          <cell r="F3719"/>
          <cell r="G3719"/>
          <cell r="H3719"/>
          <cell r="J3719"/>
          <cell r="L3719"/>
          <cell r="M3719"/>
        </row>
        <row r="3720">
          <cell r="B3720"/>
          <cell r="C3720"/>
          <cell r="E3720"/>
          <cell r="F3720"/>
          <cell r="G3720"/>
          <cell r="H3720"/>
          <cell r="J3720"/>
          <cell r="L3720"/>
          <cell r="M3720"/>
        </row>
        <row r="3721">
          <cell r="B3721"/>
          <cell r="C3721"/>
          <cell r="E3721"/>
          <cell r="F3721"/>
          <cell r="G3721"/>
          <cell r="H3721"/>
          <cell r="J3721"/>
          <cell r="L3721"/>
          <cell r="M3721"/>
        </row>
        <row r="3722">
          <cell r="B3722"/>
          <cell r="C3722"/>
          <cell r="E3722"/>
          <cell r="F3722"/>
          <cell r="G3722"/>
          <cell r="H3722"/>
          <cell r="J3722"/>
          <cell r="L3722"/>
          <cell r="M3722"/>
        </row>
        <row r="3723">
          <cell r="B3723"/>
          <cell r="C3723"/>
          <cell r="E3723"/>
          <cell r="F3723"/>
          <cell r="G3723"/>
          <cell r="H3723"/>
          <cell r="J3723"/>
          <cell r="L3723"/>
          <cell r="M3723"/>
        </row>
        <row r="3724">
          <cell r="B3724"/>
          <cell r="C3724"/>
          <cell r="E3724"/>
          <cell r="F3724"/>
          <cell r="G3724"/>
          <cell r="H3724"/>
          <cell r="J3724"/>
          <cell r="L3724"/>
          <cell r="M3724"/>
        </row>
        <row r="3725">
          <cell r="B3725"/>
          <cell r="C3725"/>
          <cell r="E3725"/>
          <cell r="F3725"/>
          <cell r="G3725"/>
          <cell r="H3725"/>
          <cell r="J3725"/>
          <cell r="L3725"/>
          <cell r="M3725"/>
        </row>
        <row r="3726">
          <cell r="B3726"/>
          <cell r="C3726"/>
          <cell r="E3726"/>
          <cell r="F3726"/>
          <cell r="G3726"/>
          <cell r="H3726"/>
          <cell r="J3726"/>
          <cell r="L3726"/>
          <cell r="M3726"/>
        </row>
        <row r="3727">
          <cell r="B3727"/>
          <cell r="C3727"/>
          <cell r="E3727"/>
          <cell r="F3727"/>
          <cell r="G3727"/>
          <cell r="H3727"/>
          <cell r="J3727"/>
          <cell r="L3727"/>
          <cell r="M3727"/>
        </row>
        <row r="3728">
          <cell r="B3728"/>
          <cell r="C3728"/>
          <cell r="E3728"/>
          <cell r="F3728"/>
          <cell r="G3728"/>
          <cell r="H3728"/>
          <cell r="J3728"/>
          <cell r="L3728"/>
          <cell r="M3728"/>
        </row>
        <row r="3729">
          <cell r="B3729"/>
          <cell r="C3729"/>
          <cell r="E3729"/>
          <cell r="F3729"/>
          <cell r="G3729"/>
          <cell r="H3729"/>
          <cell r="J3729"/>
          <cell r="L3729"/>
          <cell r="M3729"/>
        </row>
        <row r="3730">
          <cell r="B3730"/>
          <cell r="C3730"/>
          <cell r="E3730"/>
          <cell r="F3730"/>
          <cell r="G3730"/>
          <cell r="H3730"/>
          <cell r="J3730"/>
          <cell r="L3730"/>
          <cell r="M3730"/>
        </row>
        <row r="3731">
          <cell r="B3731"/>
          <cell r="C3731"/>
          <cell r="E3731"/>
          <cell r="F3731"/>
          <cell r="G3731"/>
          <cell r="H3731"/>
          <cell r="J3731"/>
          <cell r="L3731"/>
          <cell r="M3731"/>
        </row>
        <row r="3732">
          <cell r="B3732"/>
          <cell r="C3732"/>
          <cell r="E3732"/>
          <cell r="F3732"/>
          <cell r="G3732"/>
          <cell r="H3732"/>
          <cell r="J3732"/>
          <cell r="L3732"/>
          <cell r="M3732"/>
        </row>
        <row r="3733">
          <cell r="B3733"/>
          <cell r="C3733"/>
          <cell r="E3733"/>
          <cell r="F3733"/>
          <cell r="G3733"/>
          <cell r="H3733"/>
          <cell r="J3733"/>
          <cell r="L3733"/>
          <cell r="M3733"/>
        </row>
        <row r="3734">
          <cell r="B3734"/>
          <cell r="C3734"/>
          <cell r="E3734"/>
          <cell r="F3734"/>
          <cell r="G3734"/>
          <cell r="H3734"/>
          <cell r="J3734"/>
          <cell r="L3734"/>
          <cell r="M3734"/>
        </row>
        <row r="3735">
          <cell r="B3735"/>
          <cell r="C3735"/>
          <cell r="E3735"/>
          <cell r="F3735"/>
          <cell r="G3735"/>
          <cell r="H3735"/>
          <cell r="J3735"/>
          <cell r="L3735"/>
          <cell r="M3735"/>
        </row>
        <row r="3736">
          <cell r="B3736"/>
          <cell r="C3736"/>
          <cell r="E3736"/>
          <cell r="F3736"/>
          <cell r="G3736"/>
          <cell r="H3736"/>
          <cell r="J3736"/>
          <cell r="L3736"/>
          <cell r="M3736"/>
        </row>
        <row r="3737">
          <cell r="B3737"/>
          <cell r="C3737"/>
          <cell r="E3737"/>
          <cell r="F3737"/>
          <cell r="G3737"/>
          <cell r="H3737"/>
          <cell r="J3737"/>
          <cell r="L3737"/>
          <cell r="M3737"/>
        </row>
        <row r="3738">
          <cell r="B3738"/>
          <cell r="C3738"/>
          <cell r="E3738"/>
          <cell r="F3738"/>
          <cell r="G3738"/>
          <cell r="H3738"/>
          <cell r="J3738"/>
          <cell r="L3738"/>
          <cell r="M3738"/>
        </row>
        <row r="3739">
          <cell r="B3739"/>
          <cell r="C3739"/>
          <cell r="E3739"/>
          <cell r="F3739"/>
          <cell r="G3739"/>
          <cell r="H3739"/>
          <cell r="J3739"/>
          <cell r="L3739"/>
          <cell r="M3739"/>
        </row>
        <row r="3740">
          <cell r="B3740"/>
          <cell r="C3740"/>
          <cell r="E3740"/>
          <cell r="F3740"/>
          <cell r="G3740"/>
          <cell r="H3740"/>
          <cell r="J3740"/>
          <cell r="L3740"/>
          <cell r="M3740"/>
        </row>
        <row r="3741">
          <cell r="B3741"/>
          <cell r="C3741"/>
          <cell r="E3741"/>
          <cell r="F3741"/>
          <cell r="G3741"/>
          <cell r="H3741"/>
          <cell r="J3741"/>
          <cell r="L3741"/>
          <cell r="M3741"/>
        </row>
        <row r="3742">
          <cell r="B3742"/>
          <cell r="C3742"/>
          <cell r="E3742"/>
          <cell r="F3742"/>
          <cell r="G3742"/>
          <cell r="H3742"/>
          <cell r="J3742"/>
          <cell r="L3742"/>
          <cell r="M3742"/>
        </row>
        <row r="3743">
          <cell r="B3743"/>
          <cell r="C3743"/>
          <cell r="E3743"/>
          <cell r="F3743"/>
          <cell r="G3743"/>
          <cell r="H3743"/>
          <cell r="J3743"/>
          <cell r="L3743"/>
          <cell r="M3743"/>
        </row>
        <row r="3744">
          <cell r="B3744"/>
          <cell r="C3744"/>
          <cell r="E3744"/>
          <cell r="F3744"/>
          <cell r="G3744"/>
          <cell r="H3744"/>
          <cell r="J3744"/>
          <cell r="L3744"/>
          <cell r="M3744"/>
        </row>
        <row r="3745">
          <cell r="B3745"/>
          <cell r="C3745"/>
          <cell r="E3745"/>
          <cell r="F3745"/>
          <cell r="G3745"/>
          <cell r="H3745"/>
          <cell r="J3745"/>
          <cell r="L3745"/>
          <cell r="M3745"/>
        </row>
        <row r="3746">
          <cell r="B3746"/>
          <cell r="C3746"/>
          <cell r="E3746"/>
          <cell r="F3746"/>
          <cell r="G3746"/>
          <cell r="H3746"/>
          <cell r="J3746"/>
          <cell r="L3746"/>
          <cell r="M3746"/>
        </row>
        <row r="3747">
          <cell r="B3747"/>
          <cell r="C3747"/>
          <cell r="E3747"/>
          <cell r="F3747"/>
          <cell r="G3747"/>
          <cell r="H3747"/>
          <cell r="J3747"/>
          <cell r="L3747"/>
          <cell r="M3747"/>
        </row>
        <row r="3748">
          <cell r="B3748"/>
          <cell r="C3748"/>
          <cell r="E3748"/>
          <cell r="F3748"/>
          <cell r="G3748"/>
          <cell r="H3748"/>
          <cell r="J3748"/>
          <cell r="L3748"/>
          <cell r="M3748"/>
        </row>
        <row r="3749">
          <cell r="B3749"/>
          <cell r="C3749"/>
          <cell r="E3749"/>
          <cell r="F3749"/>
          <cell r="G3749"/>
          <cell r="H3749"/>
          <cell r="J3749"/>
          <cell r="L3749"/>
          <cell r="M3749"/>
        </row>
        <row r="3750">
          <cell r="B3750"/>
          <cell r="C3750"/>
          <cell r="E3750"/>
          <cell r="F3750"/>
          <cell r="G3750"/>
          <cell r="H3750"/>
          <cell r="J3750"/>
          <cell r="L3750"/>
          <cell r="M3750"/>
        </row>
        <row r="3751">
          <cell r="B3751"/>
          <cell r="C3751"/>
          <cell r="E3751"/>
          <cell r="F3751"/>
          <cell r="G3751"/>
          <cell r="H3751"/>
          <cell r="J3751"/>
          <cell r="L3751"/>
          <cell r="M3751"/>
        </row>
        <row r="3752">
          <cell r="B3752"/>
          <cell r="C3752"/>
          <cell r="E3752"/>
          <cell r="F3752"/>
          <cell r="G3752"/>
          <cell r="H3752"/>
          <cell r="J3752"/>
          <cell r="L3752"/>
          <cell r="M3752"/>
        </row>
        <row r="3753">
          <cell r="B3753"/>
          <cell r="C3753"/>
          <cell r="E3753"/>
          <cell r="F3753"/>
          <cell r="G3753"/>
          <cell r="H3753"/>
          <cell r="J3753"/>
          <cell r="L3753"/>
          <cell r="M3753"/>
        </row>
        <row r="3754">
          <cell r="B3754"/>
          <cell r="C3754"/>
          <cell r="E3754"/>
          <cell r="F3754"/>
          <cell r="G3754"/>
          <cell r="H3754"/>
          <cell r="J3754"/>
          <cell r="L3754"/>
          <cell r="M3754"/>
        </row>
        <row r="3755">
          <cell r="B3755"/>
          <cell r="C3755"/>
          <cell r="E3755"/>
          <cell r="F3755"/>
          <cell r="G3755"/>
          <cell r="H3755"/>
          <cell r="J3755"/>
          <cell r="L3755"/>
          <cell r="M3755"/>
        </row>
        <row r="3756">
          <cell r="B3756"/>
          <cell r="C3756"/>
          <cell r="E3756"/>
          <cell r="F3756"/>
          <cell r="G3756"/>
          <cell r="H3756"/>
          <cell r="J3756"/>
          <cell r="L3756"/>
          <cell r="M3756"/>
        </row>
        <row r="3757">
          <cell r="B3757"/>
          <cell r="C3757"/>
          <cell r="E3757"/>
          <cell r="F3757"/>
          <cell r="G3757"/>
          <cell r="H3757"/>
          <cell r="J3757"/>
          <cell r="L3757"/>
          <cell r="M3757"/>
        </row>
        <row r="3758">
          <cell r="B3758"/>
          <cell r="C3758"/>
          <cell r="E3758"/>
          <cell r="F3758"/>
          <cell r="G3758"/>
          <cell r="H3758"/>
          <cell r="J3758"/>
          <cell r="L3758"/>
          <cell r="M3758"/>
        </row>
        <row r="3759">
          <cell r="B3759"/>
          <cell r="C3759"/>
          <cell r="E3759"/>
          <cell r="F3759"/>
          <cell r="G3759"/>
          <cell r="H3759"/>
          <cell r="J3759"/>
          <cell r="L3759"/>
          <cell r="M3759"/>
        </row>
        <row r="3760">
          <cell r="B3760"/>
          <cell r="C3760"/>
          <cell r="E3760"/>
          <cell r="F3760"/>
          <cell r="G3760"/>
          <cell r="H3760"/>
          <cell r="J3760"/>
          <cell r="L3760"/>
          <cell r="M3760"/>
        </row>
        <row r="3761">
          <cell r="B3761"/>
          <cell r="C3761"/>
          <cell r="E3761"/>
          <cell r="F3761"/>
          <cell r="G3761"/>
          <cell r="H3761"/>
          <cell r="J3761"/>
          <cell r="L3761"/>
          <cell r="M3761"/>
        </row>
        <row r="3762">
          <cell r="B3762"/>
          <cell r="C3762"/>
          <cell r="E3762"/>
          <cell r="F3762"/>
          <cell r="G3762"/>
          <cell r="H3762"/>
          <cell r="J3762"/>
          <cell r="L3762"/>
          <cell r="M3762"/>
        </row>
        <row r="3763">
          <cell r="B3763"/>
          <cell r="C3763"/>
          <cell r="E3763"/>
          <cell r="F3763"/>
          <cell r="G3763"/>
          <cell r="H3763"/>
          <cell r="J3763"/>
          <cell r="L3763"/>
          <cell r="M3763"/>
        </row>
        <row r="3764">
          <cell r="B3764"/>
          <cell r="C3764"/>
          <cell r="E3764"/>
          <cell r="F3764"/>
          <cell r="G3764"/>
          <cell r="H3764"/>
          <cell r="J3764"/>
          <cell r="L3764"/>
          <cell r="M3764"/>
        </row>
        <row r="3765">
          <cell r="B3765"/>
          <cell r="C3765"/>
          <cell r="E3765"/>
          <cell r="F3765"/>
          <cell r="G3765"/>
          <cell r="H3765"/>
          <cell r="J3765"/>
          <cell r="L3765"/>
          <cell r="M3765"/>
        </row>
        <row r="3766">
          <cell r="B3766"/>
          <cell r="C3766"/>
          <cell r="E3766"/>
          <cell r="F3766"/>
          <cell r="G3766"/>
          <cell r="H3766"/>
          <cell r="J3766"/>
          <cell r="L3766"/>
          <cell r="M3766"/>
        </row>
        <row r="3767">
          <cell r="B3767"/>
          <cell r="C3767"/>
          <cell r="E3767"/>
          <cell r="F3767"/>
          <cell r="G3767"/>
          <cell r="H3767"/>
          <cell r="J3767"/>
          <cell r="L3767"/>
          <cell r="M3767"/>
        </row>
        <row r="3768">
          <cell r="B3768"/>
          <cell r="C3768"/>
          <cell r="E3768"/>
          <cell r="F3768"/>
          <cell r="G3768"/>
          <cell r="H3768"/>
          <cell r="J3768"/>
          <cell r="L3768"/>
          <cell r="M3768"/>
        </row>
        <row r="3769">
          <cell r="B3769"/>
          <cell r="C3769"/>
          <cell r="E3769"/>
          <cell r="F3769"/>
          <cell r="G3769"/>
          <cell r="H3769"/>
          <cell r="J3769"/>
          <cell r="L3769"/>
          <cell r="M3769"/>
        </row>
        <row r="3770">
          <cell r="B3770"/>
          <cell r="C3770"/>
          <cell r="E3770"/>
          <cell r="F3770"/>
          <cell r="G3770"/>
          <cell r="H3770"/>
          <cell r="J3770"/>
          <cell r="L3770"/>
          <cell r="M3770"/>
        </row>
        <row r="3771">
          <cell r="B3771"/>
          <cell r="C3771"/>
          <cell r="E3771"/>
          <cell r="F3771"/>
          <cell r="G3771"/>
          <cell r="H3771"/>
          <cell r="J3771"/>
          <cell r="L3771"/>
          <cell r="M3771"/>
        </row>
        <row r="3772">
          <cell r="B3772"/>
          <cell r="C3772"/>
          <cell r="E3772"/>
          <cell r="F3772"/>
          <cell r="G3772"/>
          <cell r="H3772"/>
          <cell r="J3772"/>
          <cell r="L3772"/>
          <cell r="M3772"/>
        </row>
        <row r="3773">
          <cell r="B3773"/>
          <cell r="C3773"/>
          <cell r="E3773"/>
          <cell r="F3773"/>
          <cell r="G3773"/>
          <cell r="H3773"/>
          <cell r="J3773"/>
          <cell r="L3773"/>
          <cell r="M3773"/>
        </row>
        <row r="3774">
          <cell r="B3774"/>
          <cell r="C3774"/>
          <cell r="E3774"/>
          <cell r="F3774"/>
          <cell r="G3774"/>
          <cell r="H3774"/>
          <cell r="J3774"/>
          <cell r="L3774"/>
          <cell r="M3774"/>
        </row>
        <row r="3775">
          <cell r="B3775"/>
          <cell r="C3775"/>
          <cell r="E3775"/>
          <cell r="F3775"/>
          <cell r="G3775"/>
          <cell r="H3775"/>
          <cell r="J3775"/>
          <cell r="L3775"/>
          <cell r="M3775"/>
        </row>
        <row r="3776">
          <cell r="B3776"/>
          <cell r="C3776"/>
          <cell r="E3776"/>
          <cell r="F3776"/>
          <cell r="G3776"/>
          <cell r="H3776"/>
          <cell r="J3776"/>
          <cell r="L3776"/>
          <cell r="M3776"/>
        </row>
        <row r="3777">
          <cell r="B3777"/>
          <cell r="C3777"/>
          <cell r="E3777"/>
          <cell r="F3777"/>
          <cell r="G3777"/>
          <cell r="H3777"/>
          <cell r="J3777"/>
          <cell r="L3777"/>
          <cell r="M3777"/>
        </row>
        <row r="3778">
          <cell r="B3778"/>
          <cell r="C3778"/>
          <cell r="E3778"/>
          <cell r="F3778"/>
          <cell r="G3778"/>
          <cell r="H3778"/>
          <cell r="J3778"/>
          <cell r="L3778"/>
          <cell r="M3778"/>
        </row>
        <row r="3779">
          <cell r="B3779"/>
          <cell r="C3779"/>
          <cell r="E3779"/>
          <cell r="F3779"/>
          <cell r="G3779"/>
          <cell r="H3779"/>
          <cell r="J3779"/>
          <cell r="L3779"/>
          <cell r="M3779"/>
        </row>
        <row r="3780">
          <cell r="B3780"/>
          <cell r="C3780"/>
          <cell r="E3780"/>
          <cell r="F3780"/>
          <cell r="G3780"/>
          <cell r="H3780"/>
          <cell r="J3780"/>
          <cell r="L3780"/>
          <cell r="M3780"/>
        </row>
        <row r="3781">
          <cell r="B3781"/>
          <cell r="C3781"/>
          <cell r="E3781"/>
          <cell r="F3781"/>
          <cell r="G3781"/>
          <cell r="H3781"/>
          <cell r="J3781"/>
          <cell r="L3781"/>
          <cell r="M3781"/>
        </row>
        <row r="3782">
          <cell r="B3782"/>
          <cell r="C3782"/>
          <cell r="E3782"/>
          <cell r="F3782"/>
          <cell r="G3782"/>
          <cell r="H3782"/>
          <cell r="J3782"/>
          <cell r="L3782"/>
          <cell r="M3782"/>
        </row>
        <row r="3783">
          <cell r="B3783"/>
          <cell r="C3783"/>
          <cell r="E3783"/>
          <cell r="F3783"/>
          <cell r="G3783"/>
          <cell r="H3783"/>
          <cell r="J3783"/>
          <cell r="L3783"/>
          <cell r="M3783"/>
        </row>
        <row r="3784">
          <cell r="B3784"/>
          <cell r="C3784"/>
          <cell r="E3784"/>
          <cell r="F3784"/>
          <cell r="G3784"/>
          <cell r="H3784"/>
          <cell r="J3784"/>
          <cell r="L3784"/>
          <cell r="M3784"/>
        </row>
        <row r="3785">
          <cell r="B3785"/>
          <cell r="C3785"/>
          <cell r="E3785"/>
          <cell r="F3785"/>
          <cell r="G3785"/>
          <cell r="H3785"/>
          <cell r="J3785"/>
          <cell r="L3785"/>
          <cell r="M3785"/>
        </row>
        <row r="3786">
          <cell r="B3786"/>
          <cell r="C3786"/>
          <cell r="E3786"/>
          <cell r="F3786"/>
          <cell r="G3786"/>
          <cell r="H3786"/>
          <cell r="J3786"/>
          <cell r="L3786"/>
          <cell r="M3786"/>
        </row>
        <row r="3787">
          <cell r="B3787"/>
          <cell r="C3787"/>
          <cell r="E3787"/>
          <cell r="F3787"/>
          <cell r="G3787"/>
          <cell r="H3787"/>
          <cell r="J3787"/>
          <cell r="L3787"/>
          <cell r="M3787"/>
        </row>
        <row r="3788">
          <cell r="B3788"/>
          <cell r="C3788"/>
          <cell r="E3788"/>
          <cell r="F3788"/>
          <cell r="G3788"/>
          <cell r="H3788"/>
          <cell r="J3788"/>
          <cell r="L3788"/>
          <cell r="M3788"/>
        </row>
        <row r="3789">
          <cell r="B3789"/>
          <cell r="C3789"/>
          <cell r="E3789"/>
          <cell r="F3789"/>
          <cell r="G3789"/>
          <cell r="H3789"/>
          <cell r="J3789"/>
          <cell r="L3789"/>
          <cell r="M3789"/>
        </row>
        <row r="3790">
          <cell r="B3790"/>
          <cell r="C3790"/>
          <cell r="E3790"/>
          <cell r="F3790"/>
          <cell r="G3790"/>
          <cell r="H3790"/>
          <cell r="J3790"/>
          <cell r="L3790"/>
          <cell r="M3790"/>
        </row>
        <row r="3791">
          <cell r="B3791"/>
          <cell r="C3791"/>
          <cell r="E3791"/>
          <cell r="F3791"/>
          <cell r="G3791"/>
          <cell r="H3791"/>
          <cell r="J3791"/>
          <cell r="L3791"/>
          <cell r="M3791"/>
        </row>
        <row r="3792">
          <cell r="B3792"/>
          <cell r="C3792"/>
          <cell r="E3792"/>
          <cell r="F3792"/>
          <cell r="G3792"/>
          <cell r="H3792"/>
          <cell r="J3792"/>
          <cell r="L3792"/>
          <cell r="M3792"/>
        </row>
        <row r="3793">
          <cell r="B3793"/>
          <cell r="C3793"/>
          <cell r="E3793"/>
          <cell r="F3793"/>
          <cell r="G3793"/>
          <cell r="H3793"/>
          <cell r="J3793"/>
          <cell r="L3793"/>
          <cell r="M3793"/>
        </row>
        <row r="3794">
          <cell r="B3794"/>
          <cell r="C3794"/>
          <cell r="E3794"/>
          <cell r="F3794"/>
          <cell r="G3794"/>
          <cell r="H3794"/>
          <cell r="J3794"/>
          <cell r="L3794"/>
          <cell r="M3794"/>
        </row>
        <row r="3795">
          <cell r="B3795"/>
          <cell r="C3795"/>
          <cell r="E3795"/>
          <cell r="F3795"/>
          <cell r="G3795"/>
          <cell r="H3795"/>
          <cell r="J3795"/>
          <cell r="L3795"/>
          <cell r="M3795"/>
        </row>
        <row r="3796">
          <cell r="B3796"/>
          <cell r="C3796"/>
          <cell r="E3796"/>
          <cell r="F3796"/>
          <cell r="G3796"/>
          <cell r="H3796"/>
          <cell r="J3796"/>
          <cell r="L3796"/>
          <cell r="M3796"/>
        </row>
        <row r="3797">
          <cell r="B3797"/>
          <cell r="C3797"/>
          <cell r="E3797"/>
          <cell r="F3797"/>
          <cell r="G3797"/>
          <cell r="H3797"/>
          <cell r="J3797"/>
          <cell r="L3797"/>
          <cell r="M3797"/>
        </row>
        <row r="3798">
          <cell r="B3798"/>
          <cell r="C3798"/>
          <cell r="E3798"/>
          <cell r="F3798"/>
          <cell r="G3798"/>
          <cell r="H3798"/>
          <cell r="J3798"/>
          <cell r="L3798"/>
          <cell r="M3798"/>
        </row>
        <row r="3799">
          <cell r="B3799"/>
          <cell r="C3799"/>
          <cell r="E3799"/>
          <cell r="F3799"/>
          <cell r="G3799"/>
          <cell r="H3799"/>
          <cell r="J3799"/>
          <cell r="L3799"/>
          <cell r="M3799"/>
        </row>
        <row r="3800">
          <cell r="B3800"/>
          <cell r="C3800"/>
          <cell r="E3800"/>
          <cell r="F3800"/>
          <cell r="G3800"/>
          <cell r="H3800"/>
          <cell r="J3800"/>
          <cell r="L3800"/>
          <cell r="M3800"/>
        </row>
        <row r="3801">
          <cell r="B3801"/>
          <cell r="C3801"/>
          <cell r="E3801"/>
          <cell r="F3801"/>
          <cell r="G3801"/>
          <cell r="H3801"/>
          <cell r="J3801"/>
          <cell r="L3801"/>
          <cell r="M3801"/>
        </row>
        <row r="3802">
          <cell r="B3802"/>
          <cell r="C3802"/>
          <cell r="E3802"/>
          <cell r="F3802"/>
          <cell r="G3802"/>
          <cell r="H3802"/>
          <cell r="J3802"/>
          <cell r="L3802"/>
          <cell r="M3802"/>
        </row>
        <row r="3803">
          <cell r="B3803"/>
          <cell r="C3803"/>
          <cell r="E3803"/>
          <cell r="F3803"/>
          <cell r="G3803"/>
          <cell r="H3803"/>
          <cell r="J3803"/>
          <cell r="L3803"/>
          <cell r="M3803"/>
        </row>
        <row r="3804">
          <cell r="B3804"/>
          <cell r="C3804"/>
          <cell r="E3804"/>
          <cell r="F3804"/>
          <cell r="G3804"/>
          <cell r="H3804"/>
          <cell r="J3804"/>
          <cell r="L3804"/>
          <cell r="M3804"/>
        </row>
        <row r="3805">
          <cell r="B3805"/>
          <cell r="C3805"/>
          <cell r="E3805"/>
          <cell r="F3805"/>
          <cell r="G3805"/>
          <cell r="H3805"/>
          <cell r="J3805"/>
          <cell r="L3805"/>
          <cell r="M3805"/>
        </row>
        <row r="3806">
          <cell r="B3806"/>
          <cell r="C3806"/>
          <cell r="E3806"/>
          <cell r="F3806"/>
          <cell r="G3806"/>
          <cell r="H3806"/>
          <cell r="J3806"/>
          <cell r="L3806"/>
          <cell r="M3806"/>
        </row>
        <row r="3807">
          <cell r="B3807"/>
          <cell r="C3807"/>
          <cell r="E3807"/>
          <cell r="F3807"/>
          <cell r="G3807"/>
          <cell r="H3807"/>
          <cell r="J3807"/>
          <cell r="L3807"/>
          <cell r="M3807"/>
        </row>
        <row r="3808">
          <cell r="B3808"/>
          <cell r="C3808"/>
          <cell r="E3808"/>
          <cell r="F3808"/>
          <cell r="G3808"/>
          <cell r="H3808"/>
          <cell r="J3808"/>
          <cell r="L3808"/>
          <cell r="M3808"/>
        </row>
        <row r="3809">
          <cell r="B3809"/>
          <cell r="C3809"/>
          <cell r="E3809"/>
          <cell r="F3809"/>
          <cell r="G3809"/>
          <cell r="H3809"/>
          <cell r="J3809"/>
          <cell r="L3809"/>
          <cell r="M3809"/>
        </row>
        <row r="3810">
          <cell r="B3810"/>
          <cell r="C3810"/>
          <cell r="E3810"/>
          <cell r="F3810"/>
          <cell r="G3810"/>
          <cell r="H3810"/>
          <cell r="J3810"/>
          <cell r="L3810"/>
          <cell r="M3810"/>
        </row>
        <row r="3811">
          <cell r="B3811"/>
          <cell r="C3811"/>
          <cell r="E3811"/>
          <cell r="F3811"/>
          <cell r="G3811"/>
          <cell r="H3811"/>
          <cell r="J3811"/>
          <cell r="L3811"/>
          <cell r="M3811"/>
        </row>
        <row r="3812">
          <cell r="B3812"/>
          <cell r="C3812"/>
          <cell r="E3812"/>
          <cell r="F3812"/>
          <cell r="G3812"/>
          <cell r="H3812"/>
          <cell r="J3812"/>
          <cell r="L3812"/>
          <cell r="M3812"/>
        </row>
        <row r="3813">
          <cell r="B3813"/>
          <cell r="C3813"/>
          <cell r="E3813"/>
          <cell r="F3813"/>
          <cell r="G3813"/>
          <cell r="H3813"/>
          <cell r="J3813"/>
          <cell r="L3813"/>
          <cell r="M3813"/>
        </row>
        <row r="3814">
          <cell r="B3814"/>
          <cell r="C3814"/>
          <cell r="E3814"/>
          <cell r="F3814"/>
          <cell r="G3814"/>
          <cell r="H3814"/>
          <cell r="J3814"/>
          <cell r="L3814"/>
          <cell r="M3814"/>
        </row>
        <row r="3815">
          <cell r="B3815"/>
          <cell r="C3815"/>
          <cell r="E3815"/>
          <cell r="F3815"/>
          <cell r="G3815"/>
          <cell r="H3815"/>
          <cell r="J3815"/>
          <cell r="L3815"/>
          <cell r="M3815"/>
        </row>
        <row r="3816">
          <cell r="B3816"/>
          <cell r="C3816"/>
          <cell r="E3816"/>
          <cell r="F3816"/>
          <cell r="G3816"/>
          <cell r="H3816"/>
          <cell r="J3816"/>
          <cell r="L3816"/>
          <cell r="M3816"/>
        </row>
        <row r="3817">
          <cell r="B3817"/>
          <cell r="C3817"/>
          <cell r="E3817"/>
          <cell r="F3817"/>
          <cell r="G3817"/>
          <cell r="H3817"/>
          <cell r="J3817"/>
          <cell r="L3817"/>
          <cell r="M3817"/>
        </row>
        <row r="3818">
          <cell r="B3818"/>
          <cell r="C3818"/>
          <cell r="E3818"/>
          <cell r="F3818"/>
          <cell r="G3818"/>
          <cell r="H3818"/>
          <cell r="J3818"/>
          <cell r="L3818"/>
          <cell r="M3818"/>
        </row>
        <row r="3819">
          <cell r="B3819"/>
          <cell r="C3819"/>
          <cell r="E3819"/>
          <cell r="F3819"/>
          <cell r="G3819"/>
          <cell r="H3819"/>
          <cell r="J3819"/>
          <cell r="L3819"/>
          <cell r="M3819"/>
        </row>
        <row r="3820">
          <cell r="B3820"/>
          <cell r="C3820"/>
          <cell r="E3820"/>
          <cell r="F3820"/>
          <cell r="G3820"/>
          <cell r="H3820"/>
          <cell r="J3820"/>
          <cell r="L3820"/>
          <cell r="M3820"/>
        </row>
        <row r="3821">
          <cell r="B3821"/>
          <cell r="C3821"/>
          <cell r="E3821"/>
          <cell r="F3821"/>
          <cell r="G3821"/>
          <cell r="H3821"/>
          <cell r="J3821"/>
          <cell r="L3821"/>
          <cell r="M3821"/>
        </row>
        <row r="3822">
          <cell r="B3822"/>
          <cell r="C3822"/>
          <cell r="E3822"/>
          <cell r="F3822"/>
          <cell r="G3822"/>
          <cell r="H3822"/>
          <cell r="J3822"/>
          <cell r="L3822"/>
          <cell r="M3822"/>
        </row>
        <row r="3823">
          <cell r="B3823"/>
          <cell r="C3823"/>
          <cell r="E3823"/>
          <cell r="F3823"/>
          <cell r="G3823"/>
          <cell r="H3823"/>
          <cell r="J3823"/>
          <cell r="L3823"/>
          <cell r="M3823"/>
        </row>
        <row r="3824">
          <cell r="B3824"/>
          <cell r="C3824"/>
          <cell r="E3824"/>
          <cell r="F3824"/>
          <cell r="G3824"/>
          <cell r="H3824"/>
          <cell r="J3824"/>
          <cell r="L3824"/>
          <cell r="M3824"/>
        </row>
        <row r="3825">
          <cell r="B3825"/>
          <cell r="C3825"/>
          <cell r="E3825"/>
          <cell r="F3825"/>
          <cell r="G3825"/>
          <cell r="H3825"/>
          <cell r="J3825"/>
          <cell r="L3825"/>
          <cell r="M3825"/>
        </row>
        <row r="3826">
          <cell r="B3826"/>
          <cell r="C3826"/>
          <cell r="E3826"/>
          <cell r="F3826"/>
          <cell r="G3826"/>
          <cell r="H3826"/>
          <cell r="J3826"/>
          <cell r="L3826"/>
          <cell r="M3826"/>
        </row>
        <row r="3827">
          <cell r="B3827"/>
          <cell r="C3827"/>
          <cell r="E3827"/>
          <cell r="F3827"/>
          <cell r="G3827"/>
          <cell r="H3827"/>
          <cell r="J3827"/>
          <cell r="L3827"/>
          <cell r="M3827"/>
        </row>
        <row r="3828">
          <cell r="B3828"/>
          <cell r="C3828"/>
          <cell r="E3828"/>
          <cell r="F3828"/>
          <cell r="G3828"/>
          <cell r="H3828"/>
          <cell r="J3828"/>
          <cell r="L3828"/>
          <cell r="M3828"/>
        </row>
        <row r="3829">
          <cell r="B3829"/>
          <cell r="C3829"/>
          <cell r="E3829"/>
          <cell r="F3829"/>
          <cell r="G3829"/>
          <cell r="H3829"/>
          <cell r="J3829"/>
          <cell r="L3829"/>
          <cell r="M3829"/>
        </row>
        <row r="3830">
          <cell r="B3830"/>
          <cell r="C3830"/>
          <cell r="E3830"/>
          <cell r="F3830"/>
          <cell r="G3830"/>
          <cell r="H3830"/>
          <cell r="J3830"/>
          <cell r="L3830"/>
          <cell r="M3830"/>
        </row>
        <row r="3831">
          <cell r="B3831"/>
          <cell r="C3831"/>
          <cell r="E3831"/>
          <cell r="F3831"/>
          <cell r="G3831"/>
          <cell r="H3831"/>
          <cell r="J3831"/>
          <cell r="L3831"/>
          <cell r="M3831"/>
        </row>
        <row r="3832">
          <cell r="B3832"/>
          <cell r="C3832"/>
          <cell r="E3832"/>
          <cell r="F3832"/>
          <cell r="G3832"/>
          <cell r="H3832"/>
          <cell r="J3832"/>
          <cell r="L3832"/>
          <cell r="M3832"/>
        </row>
        <row r="3833">
          <cell r="B3833"/>
          <cell r="C3833"/>
          <cell r="E3833"/>
          <cell r="F3833"/>
          <cell r="G3833"/>
          <cell r="H3833"/>
          <cell r="J3833"/>
          <cell r="L3833"/>
          <cell r="M3833"/>
        </row>
        <row r="3834">
          <cell r="B3834"/>
          <cell r="C3834"/>
          <cell r="E3834"/>
          <cell r="F3834"/>
          <cell r="G3834"/>
          <cell r="H3834"/>
          <cell r="J3834"/>
          <cell r="L3834"/>
          <cell r="M3834"/>
        </row>
        <row r="3835">
          <cell r="B3835"/>
          <cell r="C3835"/>
          <cell r="E3835"/>
          <cell r="F3835"/>
          <cell r="G3835"/>
          <cell r="H3835"/>
          <cell r="J3835"/>
          <cell r="L3835"/>
          <cell r="M3835"/>
        </row>
        <row r="3836">
          <cell r="B3836"/>
          <cell r="C3836"/>
          <cell r="E3836"/>
          <cell r="F3836"/>
          <cell r="G3836"/>
          <cell r="H3836"/>
          <cell r="J3836"/>
          <cell r="L3836"/>
          <cell r="M3836"/>
        </row>
        <row r="3837">
          <cell r="B3837"/>
          <cell r="C3837"/>
          <cell r="E3837"/>
          <cell r="F3837"/>
          <cell r="G3837"/>
          <cell r="H3837"/>
          <cell r="J3837"/>
          <cell r="L3837"/>
          <cell r="M3837"/>
        </row>
        <row r="3838">
          <cell r="B3838"/>
          <cell r="C3838"/>
          <cell r="E3838"/>
          <cell r="F3838"/>
          <cell r="G3838"/>
          <cell r="H3838"/>
          <cell r="J3838"/>
          <cell r="L3838"/>
          <cell r="M3838"/>
        </row>
        <row r="3839">
          <cell r="B3839"/>
          <cell r="C3839"/>
          <cell r="E3839"/>
          <cell r="F3839"/>
          <cell r="G3839"/>
          <cell r="H3839"/>
          <cell r="J3839"/>
          <cell r="L3839"/>
          <cell r="M3839"/>
        </row>
        <row r="3840">
          <cell r="B3840"/>
          <cell r="C3840"/>
          <cell r="E3840"/>
          <cell r="F3840"/>
          <cell r="G3840"/>
          <cell r="H3840"/>
          <cell r="J3840"/>
          <cell r="L3840"/>
          <cell r="M3840"/>
        </row>
        <row r="3841">
          <cell r="B3841"/>
          <cell r="C3841"/>
          <cell r="E3841"/>
          <cell r="F3841"/>
          <cell r="G3841"/>
          <cell r="H3841"/>
          <cell r="J3841"/>
          <cell r="L3841"/>
          <cell r="M3841"/>
        </row>
        <row r="3842">
          <cell r="B3842"/>
          <cell r="C3842"/>
          <cell r="E3842"/>
          <cell r="F3842"/>
          <cell r="G3842"/>
          <cell r="H3842"/>
          <cell r="J3842"/>
          <cell r="L3842"/>
          <cell r="M3842"/>
        </row>
        <row r="3843">
          <cell r="B3843"/>
          <cell r="C3843"/>
          <cell r="E3843"/>
          <cell r="F3843"/>
          <cell r="G3843"/>
          <cell r="H3843"/>
          <cell r="J3843"/>
          <cell r="L3843"/>
          <cell r="M3843"/>
        </row>
        <row r="3844">
          <cell r="B3844"/>
          <cell r="C3844"/>
          <cell r="E3844"/>
          <cell r="F3844"/>
          <cell r="G3844"/>
          <cell r="H3844"/>
          <cell r="J3844"/>
          <cell r="L3844"/>
          <cell r="M3844"/>
        </row>
        <row r="3845">
          <cell r="B3845"/>
          <cell r="C3845"/>
          <cell r="E3845"/>
          <cell r="F3845"/>
          <cell r="G3845"/>
          <cell r="H3845"/>
          <cell r="J3845"/>
          <cell r="L3845"/>
          <cell r="M3845"/>
        </row>
        <row r="3846">
          <cell r="B3846"/>
          <cell r="C3846"/>
          <cell r="E3846"/>
          <cell r="F3846"/>
          <cell r="G3846"/>
          <cell r="H3846"/>
          <cell r="J3846"/>
          <cell r="L3846"/>
          <cell r="M3846"/>
        </row>
        <row r="3847">
          <cell r="B3847"/>
          <cell r="C3847"/>
          <cell r="E3847"/>
          <cell r="F3847"/>
          <cell r="G3847"/>
          <cell r="H3847"/>
          <cell r="J3847"/>
          <cell r="L3847"/>
          <cell r="M3847"/>
        </row>
        <row r="3848">
          <cell r="B3848"/>
          <cell r="C3848"/>
          <cell r="E3848"/>
          <cell r="F3848"/>
          <cell r="G3848"/>
          <cell r="H3848"/>
          <cell r="J3848"/>
          <cell r="L3848"/>
          <cell r="M3848"/>
        </row>
        <row r="3849">
          <cell r="B3849"/>
          <cell r="C3849"/>
          <cell r="E3849"/>
          <cell r="F3849"/>
          <cell r="G3849"/>
          <cell r="H3849"/>
          <cell r="J3849"/>
          <cell r="L3849"/>
          <cell r="M3849"/>
        </row>
        <row r="3850">
          <cell r="B3850"/>
          <cell r="C3850"/>
          <cell r="E3850"/>
          <cell r="F3850"/>
          <cell r="G3850"/>
          <cell r="H3850"/>
          <cell r="J3850"/>
          <cell r="L3850"/>
          <cell r="M3850"/>
        </row>
        <row r="3851">
          <cell r="B3851"/>
          <cell r="C3851"/>
          <cell r="E3851"/>
          <cell r="F3851"/>
          <cell r="G3851"/>
          <cell r="H3851"/>
          <cell r="J3851"/>
          <cell r="L3851"/>
          <cell r="M3851"/>
        </row>
        <row r="3852">
          <cell r="B3852"/>
          <cell r="C3852"/>
          <cell r="E3852"/>
          <cell r="F3852"/>
          <cell r="G3852"/>
          <cell r="H3852"/>
          <cell r="J3852"/>
          <cell r="L3852"/>
          <cell r="M3852"/>
        </row>
        <row r="3853">
          <cell r="B3853"/>
          <cell r="C3853"/>
          <cell r="E3853"/>
          <cell r="F3853"/>
          <cell r="G3853"/>
          <cell r="H3853"/>
          <cell r="J3853"/>
          <cell r="L3853"/>
          <cell r="M3853"/>
        </row>
        <row r="3854">
          <cell r="B3854"/>
          <cell r="C3854"/>
          <cell r="E3854"/>
          <cell r="F3854"/>
          <cell r="G3854"/>
          <cell r="H3854"/>
          <cell r="J3854"/>
          <cell r="L3854"/>
          <cell r="M3854"/>
        </row>
        <row r="3855">
          <cell r="B3855"/>
          <cell r="C3855"/>
          <cell r="E3855"/>
          <cell r="F3855"/>
          <cell r="G3855"/>
          <cell r="H3855"/>
          <cell r="J3855"/>
          <cell r="L3855"/>
          <cell r="M3855"/>
        </row>
        <row r="3856">
          <cell r="B3856"/>
          <cell r="C3856"/>
          <cell r="E3856"/>
          <cell r="F3856"/>
          <cell r="G3856"/>
          <cell r="H3856"/>
          <cell r="J3856"/>
          <cell r="L3856"/>
          <cell r="M3856"/>
        </row>
        <row r="3857">
          <cell r="B3857"/>
          <cell r="C3857"/>
          <cell r="E3857"/>
          <cell r="F3857"/>
          <cell r="G3857"/>
          <cell r="H3857"/>
          <cell r="J3857"/>
          <cell r="L3857"/>
          <cell r="M3857"/>
        </row>
        <row r="3858">
          <cell r="B3858"/>
          <cell r="C3858"/>
          <cell r="E3858"/>
          <cell r="F3858"/>
          <cell r="G3858"/>
          <cell r="H3858"/>
          <cell r="J3858"/>
          <cell r="L3858"/>
          <cell r="M3858"/>
        </row>
        <row r="3859">
          <cell r="B3859"/>
          <cell r="C3859"/>
          <cell r="E3859"/>
          <cell r="F3859"/>
          <cell r="G3859"/>
          <cell r="H3859"/>
          <cell r="J3859"/>
          <cell r="L3859"/>
          <cell r="M3859"/>
        </row>
        <row r="3860">
          <cell r="B3860"/>
          <cell r="C3860"/>
          <cell r="E3860"/>
          <cell r="F3860"/>
          <cell r="G3860"/>
          <cell r="H3860"/>
          <cell r="J3860"/>
          <cell r="L3860"/>
          <cell r="M3860"/>
        </row>
        <row r="3861">
          <cell r="B3861"/>
          <cell r="C3861"/>
          <cell r="E3861"/>
          <cell r="F3861"/>
          <cell r="G3861"/>
          <cell r="H3861"/>
          <cell r="J3861"/>
          <cell r="L3861"/>
          <cell r="M3861"/>
        </row>
        <row r="3862">
          <cell r="B3862"/>
          <cell r="C3862"/>
          <cell r="E3862"/>
          <cell r="F3862"/>
          <cell r="G3862"/>
          <cell r="H3862"/>
          <cell r="J3862"/>
          <cell r="L3862"/>
          <cell r="M3862"/>
        </row>
        <row r="3863">
          <cell r="B3863"/>
          <cell r="C3863"/>
          <cell r="E3863"/>
          <cell r="F3863"/>
          <cell r="G3863"/>
          <cell r="H3863"/>
          <cell r="J3863"/>
          <cell r="L3863"/>
          <cell r="M3863"/>
        </row>
        <row r="3864">
          <cell r="B3864"/>
          <cell r="C3864"/>
          <cell r="E3864"/>
          <cell r="F3864"/>
          <cell r="G3864"/>
          <cell r="H3864"/>
          <cell r="J3864"/>
          <cell r="L3864"/>
          <cell r="M3864"/>
        </row>
        <row r="3865">
          <cell r="B3865"/>
          <cell r="C3865"/>
          <cell r="E3865"/>
          <cell r="F3865"/>
          <cell r="G3865"/>
          <cell r="H3865"/>
          <cell r="J3865"/>
          <cell r="L3865"/>
          <cell r="M3865"/>
        </row>
        <row r="3866">
          <cell r="B3866"/>
          <cell r="C3866"/>
          <cell r="E3866"/>
          <cell r="F3866"/>
          <cell r="G3866"/>
          <cell r="H3866"/>
          <cell r="J3866"/>
          <cell r="L3866"/>
          <cell r="M3866"/>
        </row>
        <row r="3867">
          <cell r="B3867"/>
          <cell r="C3867"/>
          <cell r="E3867"/>
          <cell r="F3867"/>
          <cell r="G3867"/>
          <cell r="H3867"/>
          <cell r="J3867"/>
          <cell r="L3867"/>
          <cell r="M3867"/>
        </row>
        <row r="3868">
          <cell r="B3868"/>
          <cell r="C3868"/>
          <cell r="E3868"/>
          <cell r="F3868"/>
          <cell r="G3868"/>
          <cell r="H3868"/>
          <cell r="J3868"/>
          <cell r="L3868"/>
          <cell r="M3868"/>
        </row>
        <row r="3869">
          <cell r="B3869"/>
          <cell r="C3869"/>
          <cell r="E3869"/>
          <cell r="F3869"/>
          <cell r="G3869"/>
          <cell r="H3869"/>
          <cell r="J3869"/>
          <cell r="L3869"/>
          <cell r="M3869"/>
        </row>
        <row r="3870">
          <cell r="B3870"/>
          <cell r="C3870"/>
          <cell r="E3870"/>
          <cell r="F3870"/>
          <cell r="G3870"/>
          <cell r="H3870"/>
          <cell r="J3870"/>
          <cell r="L3870"/>
          <cell r="M3870"/>
        </row>
        <row r="3871">
          <cell r="B3871"/>
          <cell r="C3871"/>
          <cell r="E3871"/>
          <cell r="F3871"/>
          <cell r="G3871"/>
          <cell r="H3871"/>
          <cell r="J3871"/>
          <cell r="L3871"/>
          <cell r="M3871"/>
        </row>
        <row r="3872">
          <cell r="B3872"/>
          <cell r="C3872"/>
          <cell r="E3872"/>
          <cell r="F3872"/>
          <cell r="G3872"/>
          <cell r="H3872"/>
          <cell r="J3872"/>
          <cell r="L3872"/>
          <cell r="M3872"/>
        </row>
        <row r="3873">
          <cell r="B3873"/>
          <cell r="C3873"/>
          <cell r="E3873"/>
          <cell r="F3873"/>
          <cell r="G3873"/>
          <cell r="H3873"/>
          <cell r="J3873"/>
          <cell r="L3873"/>
          <cell r="M3873"/>
        </row>
        <row r="3874">
          <cell r="B3874"/>
          <cell r="C3874"/>
          <cell r="E3874"/>
          <cell r="F3874"/>
          <cell r="G3874"/>
          <cell r="H3874"/>
          <cell r="J3874"/>
          <cell r="L3874"/>
          <cell r="M3874"/>
        </row>
        <row r="3875">
          <cell r="B3875"/>
          <cell r="C3875"/>
          <cell r="E3875"/>
          <cell r="F3875"/>
          <cell r="G3875"/>
          <cell r="H3875"/>
          <cell r="J3875"/>
          <cell r="L3875"/>
          <cell r="M3875"/>
        </row>
        <row r="3876">
          <cell r="B3876"/>
          <cell r="C3876"/>
          <cell r="E3876"/>
          <cell r="F3876"/>
          <cell r="G3876"/>
          <cell r="H3876"/>
          <cell r="J3876"/>
          <cell r="L3876"/>
          <cell r="M3876"/>
        </row>
        <row r="3877">
          <cell r="B3877"/>
          <cell r="C3877"/>
          <cell r="E3877"/>
          <cell r="F3877"/>
          <cell r="G3877"/>
          <cell r="H3877"/>
          <cell r="J3877"/>
          <cell r="L3877"/>
          <cell r="M3877"/>
        </row>
        <row r="3878">
          <cell r="B3878"/>
          <cell r="C3878"/>
          <cell r="E3878"/>
          <cell r="F3878"/>
          <cell r="G3878"/>
          <cell r="H3878"/>
          <cell r="J3878"/>
          <cell r="L3878"/>
          <cell r="M3878"/>
        </row>
        <row r="3879">
          <cell r="B3879"/>
          <cell r="C3879"/>
          <cell r="E3879"/>
          <cell r="F3879"/>
          <cell r="G3879"/>
          <cell r="H3879"/>
          <cell r="J3879"/>
          <cell r="L3879"/>
          <cell r="M3879"/>
        </row>
        <row r="3880">
          <cell r="B3880"/>
          <cell r="C3880"/>
          <cell r="E3880"/>
          <cell r="F3880"/>
          <cell r="G3880"/>
          <cell r="H3880"/>
          <cell r="J3880"/>
          <cell r="L3880"/>
          <cell r="M3880"/>
        </row>
        <row r="3881">
          <cell r="B3881"/>
          <cell r="C3881"/>
          <cell r="E3881"/>
          <cell r="F3881"/>
          <cell r="G3881"/>
          <cell r="H3881"/>
          <cell r="J3881"/>
          <cell r="L3881"/>
          <cell r="M3881"/>
        </row>
        <row r="3882">
          <cell r="B3882"/>
          <cell r="C3882"/>
          <cell r="E3882"/>
          <cell r="F3882"/>
          <cell r="G3882"/>
          <cell r="H3882"/>
          <cell r="J3882"/>
          <cell r="L3882"/>
          <cell r="M3882"/>
        </row>
        <row r="3883">
          <cell r="B3883"/>
          <cell r="C3883"/>
          <cell r="E3883"/>
          <cell r="F3883"/>
          <cell r="G3883"/>
          <cell r="H3883"/>
          <cell r="J3883"/>
          <cell r="L3883"/>
          <cell r="M3883"/>
        </row>
        <row r="3884">
          <cell r="B3884"/>
          <cell r="C3884"/>
          <cell r="E3884"/>
          <cell r="F3884"/>
          <cell r="G3884"/>
          <cell r="H3884"/>
          <cell r="J3884"/>
          <cell r="L3884"/>
          <cell r="M3884"/>
        </row>
        <row r="3885">
          <cell r="B3885"/>
          <cell r="C3885"/>
          <cell r="E3885"/>
          <cell r="F3885"/>
          <cell r="G3885"/>
          <cell r="H3885"/>
          <cell r="J3885"/>
          <cell r="L3885"/>
          <cell r="M3885"/>
        </row>
        <row r="3886">
          <cell r="B3886"/>
          <cell r="C3886"/>
          <cell r="E3886"/>
          <cell r="F3886"/>
          <cell r="G3886"/>
          <cell r="H3886"/>
          <cell r="J3886"/>
          <cell r="L3886"/>
          <cell r="M3886"/>
        </row>
        <row r="3887">
          <cell r="B3887"/>
          <cell r="C3887"/>
          <cell r="E3887"/>
          <cell r="F3887"/>
          <cell r="G3887"/>
          <cell r="H3887"/>
          <cell r="J3887"/>
          <cell r="L3887"/>
          <cell r="M3887"/>
        </row>
        <row r="3888">
          <cell r="B3888"/>
          <cell r="C3888"/>
          <cell r="E3888"/>
          <cell r="F3888"/>
          <cell r="G3888"/>
          <cell r="H3888"/>
          <cell r="J3888"/>
          <cell r="L3888"/>
          <cell r="M3888"/>
        </row>
        <row r="3889">
          <cell r="B3889"/>
          <cell r="C3889"/>
          <cell r="E3889"/>
          <cell r="F3889"/>
          <cell r="G3889"/>
          <cell r="H3889"/>
          <cell r="J3889"/>
          <cell r="L3889"/>
          <cell r="M3889"/>
        </row>
        <row r="3890">
          <cell r="B3890"/>
          <cell r="C3890"/>
          <cell r="E3890"/>
          <cell r="F3890"/>
          <cell r="G3890"/>
          <cell r="H3890"/>
          <cell r="J3890"/>
          <cell r="L3890"/>
          <cell r="M3890"/>
        </row>
        <row r="3891">
          <cell r="B3891"/>
          <cell r="C3891"/>
          <cell r="E3891"/>
          <cell r="F3891"/>
          <cell r="G3891"/>
          <cell r="H3891"/>
          <cell r="J3891"/>
          <cell r="L3891"/>
          <cell r="M3891"/>
        </row>
        <row r="3892">
          <cell r="B3892"/>
          <cell r="C3892"/>
          <cell r="E3892"/>
          <cell r="F3892"/>
          <cell r="G3892"/>
          <cell r="H3892"/>
          <cell r="J3892"/>
          <cell r="L3892"/>
          <cell r="M3892"/>
        </row>
        <row r="3893">
          <cell r="B3893"/>
          <cell r="C3893"/>
          <cell r="E3893"/>
          <cell r="F3893"/>
          <cell r="G3893"/>
          <cell r="H3893"/>
          <cell r="J3893"/>
          <cell r="L3893"/>
          <cell r="M3893"/>
        </row>
        <row r="3894">
          <cell r="B3894"/>
          <cell r="C3894"/>
          <cell r="E3894"/>
          <cell r="F3894"/>
          <cell r="G3894"/>
          <cell r="H3894"/>
          <cell r="J3894"/>
          <cell r="L3894"/>
          <cell r="M3894"/>
        </row>
        <row r="3895">
          <cell r="B3895"/>
          <cell r="C3895"/>
          <cell r="E3895"/>
          <cell r="F3895"/>
          <cell r="G3895"/>
          <cell r="H3895"/>
          <cell r="J3895"/>
          <cell r="L3895"/>
          <cell r="M3895"/>
        </row>
        <row r="3896">
          <cell r="B3896"/>
          <cell r="C3896"/>
          <cell r="E3896"/>
          <cell r="F3896"/>
          <cell r="G3896"/>
          <cell r="H3896"/>
          <cell r="J3896"/>
          <cell r="L3896"/>
          <cell r="M3896"/>
        </row>
        <row r="3897">
          <cell r="B3897"/>
          <cell r="C3897"/>
          <cell r="E3897"/>
          <cell r="F3897"/>
          <cell r="G3897"/>
          <cell r="H3897"/>
          <cell r="J3897"/>
          <cell r="L3897"/>
          <cell r="M3897"/>
        </row>
        <row r="3898">
          <cell r="B3898"/>
          <cell r="C3898"/>
          <cell r="E3898"/>
          <cell r="F3898"/>
          <cell r="G3898"/>
          <cell r="H3898"/>
          <cell r="J3898"/>
          <cell r="L3898"/>
          <cell r="M3898"/>
        </row>
        <row r="3899">
          <cell r="B3899"/>
          <cell r="C3899"/>
          <cell r="E3899"/>
          <cell r="F3899"/>
          <cell r="G3899"/>
          <cell r="H3899"/>
          <cell r="J3899"/>
          <cell r="L3899"/>
          <cell r="M3899"/>
        </row>
        <row r="3900">
          <cell r="B3900"/>
          <cell r="C3900"/>
          <cell r="E3900"/>
          <cell r="F3900"/>
          <cell r="G3900"/>
          <cell r="H3900"/>
          <cell r="J3900"/>
          <cell r="L3900"/>
          <cell r="M3900"/>
        </row>
        <row r="3901">
          <cell r="B3901"/>
          <cell r="C3901"/>
          <cell r="E3901"/>
          <cell r="F3901"/>
          <cell r="G3901"/>
          <cell r="H3901"/>
          <cell r="J3901"/>
          <cell r="L3901"/>
          <cell r="M3901"/>
        </row>
        <row r="3902">
          <cell r="B3902"/>
          <cell r="C3902"/>
          <cell r="E3902"/>
          <cell r="F3902"/>
          <cell r="G3902"/>
          <cell r="H3902"/>
          <cell r="J3902"/>
          <cell r="L3902"/>
          <cell r="M3902"/>
        </row>
        <row r="3903">
          <cell r="B3903"/>
          <cell r="C3903"/>
          <cell r="E3903"/>
          <cell r="F3903"/>
          <cell r="G3903"/>
          <cell r="H3903"/>
          <cell r="J3903"/>
          <cell r="L3903"/>
          <cell r="M3903"/>
        </row>
        <row r="3904">
          <cell r="B3904"/>
          <cell r="C3904"/>
          <cell r="E3904"/>
          <cell r="F3904"/>
          <cell r="G3904"/>
          <cell r="H3904"/>
          <cell r="J3904"/>
          <cell r="L3904"/>
          <cell r="M3904"/>
        </row>
        <row r="3905">
          <cell r="B3905"/>
          <cell r="C3905"/>
          <cell r="E3905"/>
          <cell r="F3905"/>
          <cell r="G3905"/>
          <cell r="H3905"/>
          <cell r="J3905"/>
          <cell r="L3905"/>
          <cell r="M3905"/>
        </row>
        <row r="3906">
          <cell r="B3906"/>
          <cell r="C3906"/>
          <cell r="E3906"/>
          <cell r="F3906"/>
          <cell r="G3906"/>
          <cell r="H3906"/>
          <cell r="J3906"/>
          <cell r="L3906"/>
          <cell r="M3906"/>
        </row>
        <row r="3907">
          <cell r="B3907"/>
          <cell r="C3907"/>
          <cell r="E3907"/>
          <cell r="F3907"/>
          <cell r="G3907"/>
          <cell r="H3907"/>
          <cell r="J3907"/>
          <cell r="L3907"/>
          <cell r="M3907"/>
        </row>
        <row r="3908">
          <cell r="B3908"/>
          <cell r="C3908"/>
          <cell r="E3908"/>
          <cell r="F3908"/>
          <cell r="G3908"/>
          <cell r="H3908"/>
          <cell r="J3908"/>
          <cell r="L3908"/>
          <cell r="M3908"/>
        </row>
        <row r="3909">
          <cell r="B3909"/>
          <cell r="C3909"/>
          <cell r="E3909"/>
          <cell r="F3909"/>
          <cell r="G3909"/>
          <cell r="H3909"/>
          <cell r="J3909"/>
          <cell r="L3909"/>
          <cell r="M3909"/>
        </row>
        <row r="3910">
          <cell r="B3910"/>
          <cell r="C3910"/>
          <cell r="E3910"/>
          <cell r="F3910"/>
          <cell r="G3910"/>
          <cell r="H3910"/>
          <cell r="J3910"/>
          <cell r="L3910"/>
          <cell r="M3910"/>
        </row>
        <row r="3911">
          <cell r="B3911"/>
          <cell r="C3911"/>
          <cell r="E3911"/>
          <cell r="F3911"/>
          <cell r="G3911"/>
          <cell r="H3911"/>
          <cell r="J3911"/>
          <cell r="L3911"/>
          <cell r="M3911"/>
        </row>
        <row r="3912">
          <cell r="B3912"/>
          <cell r="C3912"/>
          <cell r="E3912"/>
          <cell r="F3912"/>
          <cell r="G3912"/>
          <cell r="H3912"/>
          <cell r="J3912"/>
          <cell r="L3912"/>
          <cell r="M3912"/>
        </row>
        <row r="3913">
          <cell r="B3913"/>
          <cell r="C3913"/>
          <cell r="E3913"/>
          <cell r="F3913"/>
          <cell r="G3913"/>
          <cell r="H3913"/>
          <cell r="J3913"/>
          <cell r="L3913"/>
          <cell r="M3913"/>
        </row>
        <row r="3914">
          <cell r="B3914"/>
          <cell r="C3914"/>
          <cell r="E3914"/>
          <cell r="F3914"/>
          <cell r="G3914"/>
          <cell r="H3914"/>
          <cell r="J3914"/>
          <cell r="L3914"/>
          <cell r="M3914"/>
        </row>
        <row r="3915">
          <cell r="B3915"/>
          <cell r="C3915"/>
          <cell r="E3915"/>
          <cell r="F3915"/>
          <cell r="G3915"/>
          <cell r="H3915"/>
          <cell r="J3915"/>
          <cell r="L3915"/>
          <cell r="M3915"/>
        </row>
        <row r="3916">
          <cell r="B3916"/>
          <cell r="C3916"/>
          <cell r="E3916"/>
          <cell r="F3916"/>
          <cell r="G3916"/>
          <cell r="H3916"/>
          <cell r="J3916"/>
          <cell r="L3916"/>
          <cell r="M3916"/>
        </row>
        <row r="3917">
          <cell r="B3917"/>
          <cell r="C3917"/>
          <cell r="E3917"/>
          <cell r="F3917"/>
          <cell r="G3917"/>
          <cell r="H3917"/>
          <cell r="J3917"/>
          <cell r="L3917"/>
          <cell r="M3917"/>
        </row>
        <row r="3918">
          <cell r="B3918"/>
          <cell r="C3918"/>
          <cell r="E3918"/>
          <cell r="F3918"/>
          <cell r="G3918"/>
          <cell r="H3918"/>
          <cell r="J3918"/>
          <cell r="L3918"/>
          <cell r="M3918"/>
        </row>
        <row r="3919">
          <cell r="B3919"/>
          <cell r="C3919"/>
          <cell r="E3919"/>
          <cell r="F3919"/>
          <cell r="G3919"/>
          <cell r="H3919"/>
          <cell r="J3919"/>
          <cell r="L3919"/>
          <cell r="M3919"/>
        </row>
        <row r="3920">
          <cell r="B3920"/>
          <cell r="C3920"/>
          <cell r="E3920"/>
          <cell r="F3920"/>
          <cell r="G3920"/>
          <cell r="H3920"/>
          <cell r="J3920"/>
          <cell r="L3920"/>
          <cell r="M3920"/>
        </row>
        <row r="3921">
          <cell r="B3921"/>
          <cell r="C3921"/>
          <cell r="E3921"/>
          <cell r="F3921"/>
          <cell r="G3921"/>
          <cell r="H3921"/>
          <cell r="J3921"/>
          <cell r="L3921"/>
          <cell r="M3921"/>
        </row>
        <row r="3922">
          <cell r="B3922"/>
          <cell r="C3922"/>
          <cell r="E3922"/>
          <cell r="F3922"/>
          <cell r="G3922"/>
          <cell r="H3922"/>
          <cell r="J3922"/>
          <cell r="L3922"/>
          <cell r="M3922"/>
        </row>
        <row r="3923">
          <cell r="B3923"/>
          <cell r="C3923"/>
          <cell r="E3923"/>
          <cell r="F3923"/>
          <cell r="G3923"/>
          <cell r="H3923"/>
          <cell r="J3923"/>
          <cell r="L3923"/>
          <cell r="M3923"/>
        </row>
        <row r="3924">
          <cell r="B3924"/>
          <cell r="C3924"/>
          <cell r="E3924"/>
          <cell r="F3924"/>
          <cell r="G3924"/>
          <cell r="H3924"/>
          <cell r="J3924"/>
          <cell r="L3924"/>
          <cell r="M3924"/>
        </row>
        <row r="3925">
          <cell r="B3925"/>
          <cell r="C3925"/>
          <cell r="E3925"/>
          <cell r="F3925"/>
          <cell r="G3925"/>
          <cell r="H3925"/>
          <cell r="J3925"/>
          <cell r="L3925"/>
          <cell r="M3925"/>
        </row>
        <row r="3926">
          <cell r="B3926"/>
          <cell r="C3926"/>
          <cell r="E3926"/>
          <cell r="F3926"/>
          <cell r="G3926"/>
          <cell r="H3926"/>
          <cell r="J3926"/>
          <cell r="L3926"/>
          <cell r="M3926"/>
        </row>
        <row r="3927">
          <cell r="B3927"/>
          <cell r="C3927"/>
          <cell r="E3927"/>
          <cell r="F3927"/>
          <cell r="G3927"/>
          <cell r="H3927"/>
          <cell r="J3927"/>
          <cell r="L3927"/>
          <cell r="M3927"/>
        </row>
        <row r="3928">
          <cell r="B3928"/>
          <cell r="C3928"/>
          <cell r="E3928"/>
          <cell r="F3928"/>
          <cell r="G3928"/>
          <cell r="H3928"/>
          <cell r="J3928"/>
          <cell r="L3928"/>
          <cell r="M3928"/>
        </row>
        <row r="3929">
          <cell r="B3929"/>
          <cell r="C3929"/>
          <cell r="E3929"/>
          <cell r="F3929"/>
          <cell r="G3929"/>
          <cell r="H3929"/>
          <cell r="J3929"/>
          <cell r="L3929"/>
          <cell r="M3929"/>
        </row>
        <row r="3930">
          <cell r="B3930"/>
          <cell r="C3930"/>
          <cell r="E3930"/>
          <cell r="F3930"/>
          <cell r="G3930"/>
          <cell r="H3930"/>
          <cell r="J3930"/>
          <cell r="L3930"/>
          <cell r="M3930"/>
        </row>
        <row r="3931">
          <cell r="B3931"/>
          <cell r="C3931"/>
          <cell r="E3931"/>
          <cell r="F3931"/>
          <cell r="G3931"/>
          <cell r="H3931"/>
          <cell r="J3931"/>
          <cell r="L3931"/>
          <cell r="M3931"/>
        </row>
        <row r="3932">
          <cell r="B3932"/>
          <cell r="C3932"/>
          <cell r="E3932"/>
          <cell r="F3932"/>
          <cell r="G3932"/>
          <cell r="H3932"/>
          <cell r="J3932"/>
          <cell r="L3932"/>
          <cell r="M3932"/>
        </row>
        <row r="3933">
          <cell r="B3933"/>
          <cell r="C3933"/>
          <cell r="E3933"/>
          <cell r="F3933"/>
          <cell r="G3933"/>
          <cell r="H3933"/>
          <cell r="J3933"/>
          <cell r="L3933"/>
          <cell r="M3933"/>
        </row>
        <row r="3934">
          <cell r="B3934"/>
          <cell r="C3934"/>
          <cell r="E3934"/>
          <cell r="F3934"/>
          <cell r="G3934"/>
          <cell r="H3934"/>
          <cell r="J3934"/>
          <cell r="L3934"/>
          <cell r="M3934"/>
        </row>
        <row r="3935">
          <cell r="B3935"/>
          <cell r="C3935"/>
          <cell r="E3935"/>
          <cell r="F3935"/>
          <cell r="G3935"/>
          <cell r="H3935"/>
          <cell r="J3935"/>
          <cell r="L3935"/>
          <cell r="M3935"/>
        </row>
        <row r="3936">
          <cell r="B3936"/>
          <cell r="C3936"/>
          <cell r="E3936"/>
          <cell r="F3936"/>
          <cell r="G3936"/>
          <cell r="H3936"/>
          <cell r="J3936"/>
          <cell r="L3936"/>
          <cell r="M3936"/>
        </row>
        <row r="3937">
          <cell r="B3937"/>
          <cell r="C3937"/>
          <cell r="E3937"/>
          <cell r="F3937"/>
          <cell r="G3937"/>
          <cell r="H3937"/>
          <cell r="J3937"/>
          <cell r="L3937"/>
          <cell r="M3937"/>
        </row>
        <row r="3938">
          <cell r="B3938"/>
          <cell r="C3938"/>
          <cell r="E3938"/>
          <cell r="F3938"/>
          <cell r="G3938"/>
          <cell r="H3938"/>
          <cell r="J3938"/>
          <cell r="L3938"/>
          <cell r="M3938"/>
        </row>
        <row r="3939">
          <cell r="B3939"/>
          <cell r="C3939"/>
          <cell r="E3939"/>
          <cell r="F3939"/>
          <cell r="G3939"/>
          <cell r="H3939"/>
          <cell r="J3939"/>
          <cell r="L3939"/>
          <cell r="M3939"/>
        </row>
        <row r="3940">
          <cell r="B3940"/>
          <cell r="C3940"/>
          <cell r="E3940"/>
          <cell r="F3940"/>
          <cell r="G3940"/>
          <cell r="H3940"/>
          <cell r="J3940"/>
          <cell r="L3940"/>
          <cell r="M3940"/>
        </row>
        <row r="3941">
          <cell r="B3941"/>
          <cell r="C3941"/>
          <cell r="E3941"/>
          <cell r="F3941"/>
          <cell r="G3941"/>
          <cell r="H3941"/>
          <cell r="J3941"/>
          <cell r="L3941"/>
          <cell r="M3941"/>
        </row>
        <row r="3942">
          <cell r="B3942"/>
          <cell r="C3942"/>
          <cell r="E3942"/>
          <cell r="F3942"/>
          <cell r="G3942"/>
          <cell r="H3942"/>
          <cell r="J3942"/>
          <cell r="L3942"/>
          <cell r="M3942"/>
        </row>
        <row r="3943">
          <cell r="B3943"/>
          <cell r="C3943"/>
          <cell r="E3943"/>
          <cell r="F3943"/>
          <cell r="G3943"/>
          <cell r="H3943"/>
          <cell r="J3943"/>
          <cell r="L3943"/>
          <cell r="M3943"/>
        </row>
        <row r="3944">
          <cell r="B3944"/>
          <cell r="C3944"/>
          <cell r="E3944"/>
          <cell r="F3944"/>
          <cell r="G3944"/>
          <cell r="H3944"/>
          <cell r="J3944"/>
          <cell r="L3944"/>
          <cell r="M3944"/>
        </row>
        <row r="3945">
          <cell r="B3945"/>
          <cell r="C3945"/>
          <cell r="E3945"/>
          <cell r="F3945"/>
          <cell r="G3945"/>
          <cell r="H3945"/>
          <cell r="J3945"/>
          <cell r="L3945"/>
          <cell r="M3945"/>
        </row>
        <row r="3946">
          <cell r="B3946"/>
          <cell r="C3946"/>
          <cell r="E3946"/>
          <cell r="F3946"/>
          <cell r="G3946"/>
          <cell r="H3946"/>
          <cell r="J3946"/>
          <cell r="L3946"/>
          <cell r="M3946"/>
        </row>
        <row r="3947">
          <cell r="B3947"/>
          <cell r="C3947"/>
          <cell r="E3947"/>
          <cell r="F3947"/>
          <cell r="G3947"/>
          <cell r="H3947"/>
          <cell r="J3947"/>
          <cell r="L3947"/>
          <cell r="M3947"/>
        </row>
        <row r="3948">
          <cell r="B3948"/>
          <cell r="C3948"/>
          <cell r="E3948"/>
          <cell r="F3948"/>
          <cell r="G3948"/>
          <cell r="H3948"/>
          <cell r="J3948"/>
          <cell r="L3948"/>
          <cell r="M3948"/>
        </row>
        <row r="3949">
          <cell r="B3949"/>
          <cell r="C3949"/>
          <cell r="E3949"/>
          <cell r="F3949"/>
          <cell r="G3949"/>
          <cell r="H3949"/>
          <cell r="J3949"/>
          <cell r="L3949"/>
          <cell r="M3949"/>
        </row>
        <row r="3950">
          <cell r="B3950"/>
          <cell r="C3950"/>
          <cell r="E3950"/>
          <cell r="F3950"/>
          <cell r="G3950"/>
          <cell r="H3950"/>
          <cell r="J3950"/>
          <cell r="L3950"/>
          <cell r="M3950"/>
        </row>
        <row r="3951">
          <cell r="B3951"/>
          <cell r="C3951"/>
          <cell r="E3951"/>
          <cell r="F3951"/>
          <cell r="G3951"/>
          <cell r="H3951"/>
          <cell r="J3951"/>
          <cell r="L3951"/>
          <cell r="M3951"/>
        </row>
        <row r="3952">
          <cell r="B3952"/>
          <cell r="C3952"/>
          <cell r="E3952"/>
          <cell r="F3952"/>
          <cell r="G3952"/>
          <cell r="H3952"/>
          <cell r="J3952"/>
          <cell r="L3952"/>
          <cell r="M3952"/>
        </row>
        <row r="3953">
          <cell r="B3953"/>
          <cell r="C3953"/>
          <cell r="E3953"/>
          <cell r="F3953"/>
          <cell r="G3953"/>
          <cell r="H3953"/>
          <cell r="J3953"/>
          <cell r="L3953"/>
          <cell r="M3953"/>
        </row>
        <row r="3954">
          <cell r="B3954"/>
          <cell r="C3954"/>
          <cell r="E3954"/>
          <cell r="F3954"/>
          <cell r="G3954"/>
          <cell r="H3954"/>
          <cell r="J3954"/>
          <cell r="L3954"/>
          <cell r="M3954"/>
        </row>
        <row r="3955">
          <cell r="B3955"/>
          <cell r="C3955"/>
          <cell r="E3955"/>
          <cell r="F3955"/>
          <cell r="G3955"/>
          <cell r="H3955"/>
          <cell r="J3955"/>
          <cell r="L3955"/>
          <cell r="M3955"/>
        </row>
        <row r="3956">
          <cell r="B3956"/>
          <cell r="C3956"/>
          <cell r="E3956"/>
          <cell r="F3956"/>
          <cell r="G3956"/>
          <cell r="H3956"/>
          <cell r="J3956"/>
          <cell r="L3956"/>
          <cell r="M3956"/>
        </row>
        <row r="3957">
          <cell r="B3957"/>
          <cell r="C3957"/>
          <cell r="E3957"/>
          <cell r="F3957"/>
          <cell r="G3957"/>
          <cell r="H3957"/>
          <cell r="J3957"/>
          <cell r="L3957"/>
          <cell r="M3957"/>
        </row>
        <row r="3958">
          <cell r="B3958"/>
          <cell r="C3958"/>
          <cell r="E3958"/>
          <cell r="F3958"/>
          <cell r="G3958"/>
          <cell r="H3958"/>
          <cell r="J3958"/>
          <cell r="L3958"/>
          <cell r="M3958"/>
        </row>
        <row r="3959">
          <cell r="B3959"/>
          <cell r="C3959"/>
          <cell r="E3959"/>
          <cell r="F3959"/>
          <cell r="G3959"/>
          <cell r="H3959"/>
          <cell r="J3959"/>
          <cell r="L3959"/>
          <cell r="M3959"/>
        </row>
        <row r="3960">
          <cell r="B3960"/>
          <cell r="C3960"/>
          <cell r="E3960"/>
          <cell r="F3960"/>
          <cell r="G3960"/>
          <cell r="H3960"/>
          <cell r="J3960"/>
          <cell r="L3960"/>
          <cell r="M3960"/>
        </row>
        <row r="3961">
          <cell r="B3961"/>
          <cell r="C3961"/>
          <cell r="E3961"/>
          <cell r="F3961"/>
          <cell r="G3961"/>
          <cell r="H3961"/>
          <cell r="J3961"/>
          <cell r="L3961"/>
          <cell r="M3961"/>
        </row>
        <row r="3962">
          <cell r="B3962"/>
          <cell r="C3962"/>
          <cell r="E3962"/>
          <cell r="F3962"/>
          <cell r="G3962"/>
          <cell r="H3962"/>
          <cell r="J3962"/>
          <cell r="L3962"/>
          <cell r="M3962"/>
        </row>
        <row r="3963">
          <cell r="B3963"/>
          <cell r="C3963"/>
          <cell r="E3963"/>
          <cell r="F3963"/>
          <cell r="G3963"/>
          <cell r="H3963"/>
          <cell r="J3963"/>
          <cell r="L3963"/>
          <cell r="M3963"/>
        </row>
        <row r="3964">
          <cell r="B3964"/>
          <cell r="C3964"/>
          <cell r="E3964"/>
          <cell r="F3964"/>
          <cell r="G3964"/>
          <cell r="H3964"/>
          <cell r="J3964"/>
          <cell r="L3964"/>
          <cell r="M3964"/>
        </row>
        <row r="3965">
          <cell r="B3965"/>
          <cell r="C3965"/>
          <cell r="E3965"/>
          <cell r="F3965"/>
          <cell r="G3965"/>
          <cell r="H3965"/>
          <cell r="J3965"/>
          <cell r="L3965"/>
          <cell r="M3965"/>
        </row>
        <row r="3966">
          <cell r="B3966"/>
          <cell r="C3966"/>
          <cell r="E3966"/>
          <cell r="F3966"/>
          <cell r="G3966"/>
          <cell r="H3966"/>
          <cell r="J3966"/>
          <cell r="L3966"/>
          <cell r="M3966"/>
        </row>
        <row r="3967">
          <cell r="B3967"/>
          <cell r="C3967"/>
          <cell r="E3967"/>
          <cell r="F3967"/>
          <cell r="G3967"/>
          <cell r="H3967"/>
          <cell r="J3967"/>
          <cell r="L3967"/>
          <cell r="M3967"/>
        </row>
        <row r="3968">
          <cell r="B3968"/>
          <cell r="C3968"/>
          <cell r="E3968"/>
          <cell r="F3968"/>
          <cell r="G3968"/>
          <cell r="H3968"/>
          <cell r="J3968"/>
          <cell r="L3968"/>
          <cell r="M3968"/>
        </row>
        <row r="3969">
          <cell r="B3969"/>
          <cell r="C3969"/>
          <cell r="E3969"/>
          <cell r="F3969"/>
          <cell r="G3969"/>
          <cell r="H3969"/>
          <cell r="J3969"/>
          <cell r="L3969"/>
          <cell r="M3969"/>
        </row>
        <row r="3970">
          <cell r="B3970"/>
          <cell r="C3970"/>
          <cell r="E3970"/>
          <cell r="F3970"/>
          <cell r="G3970"/>
          <cell r="H3970"/>
          <cell r="J3970"/>
          <cell r="L3970"/>
          <cell r="M3970"/>
        </row>
        <row r="3971">
          <cell r="B3971"/>
          <cell r="C3971"/>
          <cell r="E3971"/>
          <cell r="F3971"/>
          <cell r="G3971"/>
          <cell r="H3971"/>
          <cell r="J3971"/>
          <cell r="L3971"/>
          <cell r="M3971"/>
        </row>
        <row r="3972">
          <cell r="B3972"/>
          <cell r="C3972"/>
          <cell r="E3972"/>
          <cell r="F3972"/>
          <cell r="G3972"/>
          <cell r="H3972"/>
          <cell r="J3972"/>
          <cell r="L3972"/>
          <cell r="M3972"/>
        </row>
        <row r="3973">
          <cell r="B3973"/>
          <cell r="C3973"/>
          <cell r="E3973"/>
          <cell r="F3973"/>
          <cell r="G3973"/>
          <cell r="H3973"/>
          <cell r="J3973"/>
          <cell r="L3973"/>
          <cell r="M3973"/>
        </row>
        <row r="3974">
          <cell r="B3974"/>
          <cell r="C3974"/>
          <cell r="E3974"/>
          <cell r="F3974"/>
          <cell r="G3974"/>
          <cell r="H3974"/>
          <cell r="J3974"/>
          <cell r="L3974"/>
          <cell r="M3974"/>
        </row>
        <row r="3975">
          <cell r="B3975"/>
          <cell r="C3975"/>
          <cell r="E3975"/>
          <cell r="F3975"/>
          <cell r="G3975"/>
          <cell r="H3975"/>
          <cell r="J3975"/>
          <cell r="L3975"/>
          <cell r="M3975"/>
        </row>
        <row r="3976">
          <cell r="B3976"/>
          <cell r="C3976"/>
          <cell r="E3976"/>
          <cell r="F3976"/>
          <cell r="G3976"/>
          <cell r="H3976"/>
          <cell r="J3976"/>
          <cell r="L3976"/>
          <cell r="M3976"/>
        </row>
        <row r="3977">
          <cell r="B3977"/>
          <cell r="C3977"/>
          <cell r="E3977"/>
          <cell r="F3977"/>
          <cell r="G3977"/>
          <cell r="H3977"/>
          <cell r="J3977"/>
          <cell r="L3977"/>
          <cell r="M3977"/>
        </row>
        <row r="3978">
          <cell r="B3978"/>
          <cell r="C3978"/>
          <cell r="E3978"/>
          <cell r="F3978"/>
          <cell r="G3978"/>
          <cell r="H3978"/>
          <cell r="J3978"/>
          <cell r="L3978"/>
          <cell r="M3978"/>
        </row>
        <row r="3979">
          <cell r="B3979"/>
          <cell r="C3979"/>
          <cell r="E3979"/>
          <cell r="F3979"/>
          <cell r="G3979"/>
          <cell r="H3979"/>
          <cell r="J3979"/>
          <cell r="L3979"/>
          <cell r="M3979"/>
        </row>
        <row r="3980">
          <cell r="B3980"/>
          <cell r="C3980"/>
          <cell r="E3980"/>
          <cell r="F3980"/>
          <cell r="G3980"/>
          <cell r="H3980"/>
          <cell r="J3980"/>
          <cell r="L3980"/>
          <cell r="M3980"/>
        </row>
        <row r="3981">
          <cell r="B3981"/>
          <cell r="C3981"/>
          <cell r="E3981"/>
          <cell r="F3981"/>
          <cell r="G3981"/>
          <cell r="H3981"/>
          <cell r="J3981"/>
          <cell r="L3981"/>
          <cell r="M3981"/>
        </row>
        <row r="3982">
          <cell r="B3982"/>
          <cell r="C3982"/>
          <cell r="E3982"/>
          <cell r="F3982"/>
          <cell r="G3982"/>
          <cell r="H3982"/>
          <cell r="J3982"/>
          <cell r="L3982"/>
          <cell r="M3982"/>
        </row>
        <row r="3983">
          <cell r="B3983"/>
          <cell r="C3983"/>
          <cell r="E3983"/>
          <cell r="F3983"/>
          <cell r="G3983"/>
          <cell r="H3983"/>
          <cell r="J3983"/>
          <cell r="L3983"/>
          <cell r="M3983"/>
        </row>
        <row r="3984">
          <cell r="B3984"/>
          <cell r="C3984"/>
          <cell r="E3984"/>
          <cell r="F3984"/>
          <cell r="G3984"/>
          <cell r="H3984"/>
          <cell r="J3984"/>
          <cell r="L3984"/>
          <cell r="M3984"/>
        </row>
        <row r="3985">
          <cell r="B3985"/>
          <cell r="C3985"/>
          <cell r="E3985"/>
          <cell r="F3985"/>
          <cell r="G3985"/>
          <cell r="H3985"/>
          <cell r="J3985"/>
          <cell r="L3985"/>
          <cell r="M3985"/>
        </row>
        <row r="3986">
          <cell r="B3986"/>
          <cell r="C3986"/>
          <cell r="E3986"/>
          <cell r="F3986"/>
          <cell r="G3986"/>
          <cell r="H3986"/>
          <cell r="J3986"/>
          <cell r="L3986"/>
          <cell r="M3986"/>
        </row>
        <row r="3987">
          <cell r="B3987"/>
          <cell r="C3987"/>
          <cell r="E3987"/>
          <cell r="F3987"/>
          <cell r="G3987"/>
          <cell r="H3987"/>
          <cell r="J3987"/>
          <cell r="L3987"/>
          <cell r="M3987"/>
        </row>
        <row r="3988">
          <cell r="B3988"/>
          <cell r="C3988"/>
          <cell r="E3988"/>
          <cell r="F3988"/>
          <cell r="G3988"/>
          <cell r="H3988"/>
          <cell r="J3988"/>
          <cell r="L3988"/>
          <cell r="M3988"/>
        </row>
        <row r="3989">
          <cell r="B3989"/>
          <cell r="C3989"/>
          <cell r="E3989"/>
          <cell r="F3989"/>
          <cell r="G3989"/>
          <cell r="H3989"/>
          <cell r="J3989"/>
          <cell r="L3989"/>
          <cell r="M3989"/>
        </row>
        <row r="3990">
          <cell r="B3990"/>
          <cell r="C3990"/>
          <cell r="E3990"/>
          <cell r="F3990"/>
          <cell r="G3990"/>
          <cell r="H3990"/>
          <cell r="J3990"/>
          <cell r="L3990"/>
          <cell r="M3990"/>
        </row>
        <row r="3991">
          <cell r="B3991"/>
          <cell r="C3991"/>
          <cell r="E3991"/>
          <cell r="F3991"/>
          <cell r="G3991"/>
          <cell r="H3991"/>
          <cell r="J3991"/>
          <cell r="L3991"/>
          <cell r="M3991"/>
        </row>
        <row r="3992">
          <cell r="B3992"/>
          <cell r="C3992"/>
          <cell r="E3992"/>
          <cell r="F3992"/>
          <cell r="G3992"/>
          <cell r="H3992"/>
          <cell r="J3992"/>
          <cell r="L3992"/>
          <cell r="M3992"/>
        </row>
        <row r="3993">
          <cell r="B3993"/>
          <cell r="C3993"/>
          <cell r="E3993"/>
          <cell r="F3993"/>
          <cell r="G3993"/>
          <cell r="H3993"/>
          <cell r="J3993"/>
          <cell r="L3993"/>
          <cell r="M3993"/>
        </row>
        <row r="3994">
          <cell r="B3994"/>
          <cell r="C3994"/>
          <cell r="E3994"/>
          <cell r="F3994"/>
          <cell r="G3994"/>
          <cell r="H3994"/>
          <cell r="J3994"/>
          <cell r="L3994"/>
          <cell r="M3994"/>
        </row>
        <row r="3995">
          <cell r="B3995"/>
          <cell r="C3995"/>
          <cell r="E3995"/>
          <cell r="F3995"/>
          <cell r="G3995"/>
          <cell r="H3995"/>
          <cell r="J3995"/>
          <cell r="L3995"/>
          <cell r="M3995"/>
        </row>
        <row r="3996">
          <cell r="B3996"/>
          <cell r="C3996"/>
          <cell r="E3996"/>
          <cell r="F3996"/>
          <cell r="G3996"/>
          <cell r="H3996"/>
          <cell r="J3996"/>
          <cell r="L3996"/>
          <cell r="M3996"/>
        </row>
        <row r="3997">
          <cell r="B3997"/>
          <cell r="C3997"/>
          <cell r="E3997"/>
          <cell r="F3997"/>
          <cell r="G3997"/>
          <cell r="H3997"/>
          <cell r="J3997"/>
          <cell r="L3997"/>
          <cell r="M3997"/>
        </row>
        <row r="3998">
          <cell r="B3998"/>
          <cell r="C3998"/>
          <cell r="E3998"/>
          <cell r="F3998"/>
          <cell r="G3998"/>
          <cell r="H3998"/>
          <cell r="J3998"/>
          <cell r="L3998"/>
          <cell r="M3998"/>
        </row>
        <row r="3999">
          <cell r="B3999"/>
          <cell r="C3999"/>
          <cell r="E3999"/>
          <cell r="F3999"/>
          <cell r="G3999"/>
          <cell r="H3999"/>
          <cell r="J3999"/>
          <cell r="L3999"/>
          <cell r="M3999"/>
        </row>
        <row r="4000">
          <cell r="B4000"/>
          <cell r="C4000"/>
          <cell r="E4000"/>
          <cell r="F4000"/>
          <cell r="G4000"/>
          <cell r="H4000"/>
          <cell r="J4000"/>
          <cell r="L4000"/>
          <cell r="M4000"/>
        </row>
        <row r="4001">
          <cell r="B4001"/>
          <cell r="C4001"/>
          <cell r="E4001"/>
          <cell r="F4001"/>
          <cell r="G4001"/>
          <cell r="H4001"/>
          <cell r="J4001"/>
          <cell r="L4001"/>
          <cell r="M4001"/>
        </row>
        <row r="4002">
          <cell r="B4002"/>
          <cell r="C4002"/>
          <cell r="E4002"/>
          <cell r="F4002"/>
          <cell r="G4002"/>
          <cell r="H4002"/>
          <cell r="J4002"/>
          <cell r="L4002"/>
          <cell r="M4002"/>
        </row>
        <row r="4003">
          <cell r="B4003"/>
          <cell r="C4003"/>
          <cell r="E4003"/>
          <cell r="F4003"/>
          <cell r="G4003"/>
          <cell r="H4003"/>
          <cell r="J4003"/>
          <cell r="L4003"/>
          <cell r="M4003"/>
        </row>
        <row r="4004">
          <cell r="B4004"/>
          <cell r="C4004"/>
          <cell r="E4004"/>
          <cell r="F4004"/>
          <cell r="G4004"/>
          <cell r="H4004"/>
          <cell r="J4004"/>
          <cell r="L4004"/>
          <cell r="M4004"/>
        </row>
        <row r="4005">
          <cell r="B4005"/>
          <cell r="C4005"/>
          <cell r="E4005"/>
          <cell r="F4005"/>
          <cell r="G4005"/>
          <cell r="H4005"/>
          <cell r="J4005"/>
          <cell r="L4005"/>
          <cell r="M4005"/>
        </row>
        <row r="4006">
          <cell r="B4006"/>
          <cell r="C4006"/>
          <cell r="E4006"/>
          <cell r="F4006"/>
          <cell r="G4006"/>
          <cell r="H4006"/>
          <cell r="J4006"/>
          <cell r="L4006"/>
          <cell r="M4006"/>
        </row>
        <row r="4007">
          <cell r="B4007"/>
          <cell r="C4007"/>
          <cell r="E4007"/>
          <cell r="F4007"/>
          <cell r="G4007"/>
          <cell r="H4007"/>
          <cell r="J4007"/>
          <cell r="L4007"/>
          <cell r="M4007"/>
        </row>
        <row r="4008">
          <cell r="B4008"/>
          <cell r="C4008"/>
          <cell r="E4008"/>
          <cell r="F4008"/>
          <cell r="G4008"/>
          <cell r="H4008"/>
          <cell r="J4008"/>
          <cell r="L4008"/>
          <cell r="M4008"/>
        </row>
        <row r="4009">
          <cell r="B4009"/>
          <cell r="C4009"/>
          <cell r="E4009"/>
          <cell r="F4009"/>
          <cell r="G4009"/>
          <cell r="H4009"/>
          <cell r="J4009"/>
          <cell r="L4009"/>
          <cell r="M4009"/>
        </row>
        <row r="4010">
          <cell r="B4010"/>
          <cell r="C4010"/>
          <cell r="E4010"/>
          <cell r="F4010"/>
          <cell r="G4010"/>
          <cell r="H4010"/>
          <cell r="J4010"/>
          <cell r="L4010"/>
          <cell r="M4010"/>
        </row>
        <row r="4011">
          <cell r="B4011"/>
          <cell r="C4011"/>
          <cell r="E4011"/>
          <cell r="F4011"/>
          <cell r="G4011"/>
          <cell r="H4011"/>
          <cell r="J4011"/>
          <cell r="L4011"/>
          <cell r="M4011"/>
        </row>
        <row r="4012">
          <cell r="B4012"/>
          <cell r="C4012"/>
          <cell r="E4012"/>
          <cell r="F4012"/>
          <cell r="G4012"/>
          <cell r="H4012"/>
          <cell r="J4012"/>
          <cell r="L4012"/>
          <cell r="M4012"/>
        </row>
        <row r="4013">
          <cell r="B4013"/>
          <cell r="C4013"/>
          <cell r="E4013"/>
          <cell r="F4013"/>
          <cell r="G4013"/>
          <cell r="H4013"/>
          <cell r="J4013"/>
          <cell r="L4013"/>
          <cell r="M4013"/>
        </row>
        <row r="4014">
          <cell r="B4014"/>
          <cell r="C4014"/>
          <cell r="E4014"/>
          <cell r="F4014"/>
          <cell r="G4014"/>
          <cell r="H4014"/>
          <cell r="J4014"/>
          <cell r="L4014"/>
          <cell r="M4014"/>
        </row>
        <row r="4015">
          <cell r="B4015"/>
          <cell r="C4015"/>
          <cell r="E4015"/>
          <cell r="F4015"/>
          <cell r="G4015"/>
          <cell r="H4015"/>
          <cell r="J4015"/>
          <cell r="L4015"/>
          <cell r="M4015"/>
        </row>
        <row r="4016">
          <cell r="B4016"/>
          <cell r="C4016"/>
          <cell r="E4016"/>
          <cell r="F4016"/>
          <cell r="G4016"/>
          <cell r="H4016"/>
          <cell r="J4016"/>
          <cell r="L4016"/>
          <cell r="M4016"/>
        </row>
        <row r="4017">
          <cell r="B4017"/>
          <cell r="C4017"/>
          <cell r="E4017"/>
          <cell r="F4017"/>
          <cell r="G4017"/>
          <cell r="H4017"/>
          <cell r="J4017"/>
          <cell r="L4017"/>
          <cell r="M4017"/>
        </row>
        <row r="4018">
          <cell r="B4018"/>
          <cell r="C4018"/>
          <cell r="E4018"/>
          <cell r="F4018"/>
          <cell r="G4018"/>
          <cell r="H4018"/>
          <cell r="J4018"/>
          <cell r="L4018"/>
          <cell r="M4018"/>
        </row>
        <row r="4019">
          <cell r="B4019"/>
          <cell r="C4019"/>
          <cell r="E4019"/>
          <cell r="F4019"/>
          <cell r="G4019"/>
          <cell r="H4019"/>
          <cell r="J4019"/>
          <cell r="L4019"/>
          <cell r="M4019"/>
        </row>
        <row r="4020">
          <cell r="B4020"/>
          <cell r="C4020"/>
          <cell r="E4020"/>
          <cell r="F4020"/>
          <cell r="G4020"/>
          <cell r="H4020"/>
          <cell r="J4020"/>
          <cell r="L4020"/>
          <cell r="M4020"/>
        </row>
        <row r="4021">
          <cell r="B4021"/>
          <cell r="C4021"/>
          <cell r="E4021"/>
          <cell r="F4021"/>
          <cell r="G4021"/>
          <cell r="H4021"/>
          <cell r="J4021"/>
          <cell r="L4021"/>
          <cell r="M4021"/>
        </row>
        <row r="4022">
          <cell r="B4022"/>
          <cell r="C4022"/>
          <cell r="E4022"/>
          <cell r="F4022"/>
          <cell r="G4022"/>
          <cell r="H4022"/>
          <cell r="J4022"/>
          <cell r="L4022"/>
          <cell r="M4022"/>
        </row>
        <row r="4023">
          <cell r="B4023"/>
          <cell r="C4023"/>
          <cell r="E4023"/>
          <cell r="F4023"/>
          <cell r="G4023"/>
          <cell r="H4023"/>
          <cell r="J4023"/>
          <cell r="L4023"/>
          <cell r="M4023"/>
        </row>
        <row r="4024">
          <cell r="B4024"/>
          <cell r="C4024"/>
          <cell r="E4024"/>
          <cell r="F4024"/>
          <cell r="G4024"/>
          <cell r="H4024"/>
          <cell r="J4024"/>
          <cell r="L4024"/>
          <cell r="M4024"/>
        </row>
        <row r="4025">
          <cell r="B4025"/>
          <cell r="C4025"/>
          <cell r="E4025"/>
          <cell r="F4025"/>
          <cell r="G4025"/>
          <cell r="H4025"/>
          <cell r="J4025"/>
          <cell r="L4025"/>
          <cell r="M4025"/>
        </row>
        <row r="4026">
          <cell r="B4026"/>
          <cell r="C4026"/>
          <cell r="E4026"/>
          <cell r="F4026"/>
          <cell r="G4026"/>
          <cell r="H4026"/>
          <cell r="J4026"/>
          <cell r="L4026"/>
          <cell r="M4026"/>
        </row>
        <row r="4027">
          <cell r="B4027"/>
          <cell r="C4027"/>
          <cell r="E4027"/>
          <cell r="F4027"/>
          <cell r="G4027"/>
          <cell r="H4027"/>
          <cell r="J4027"/>
          <cell r="L4027"/>
          <cell r="M4027"/>
        </row>
        <row r="4028">
          <cell r="B4028"/>
          <cell r="C4028"/>
          <cell r="E4028"/>
          <cell r="F4028"/>
          <cell r="G4028"/>
          <cell r="H4028"/>
          <cell r="J4028"/>
          <cell r="L4028"/>
          <cell r="M4028"/>
        </row>
        <row r="4029">
          <cell r="B4029"/>
          <cell r="C4029"/>
          <cell r="E4029"/>
          <cell r="F4029"/>
          <cell r="G4029"/>
          <cell r="H4029"/>
          <cell r="J4029"/>
          <cell r="L4029"/>
          <cell r="M4029"/>
        </row>
        <row r="4030">
          <cell r="B4030"/>
          <cell r="C4030"/>
          <cell r="E4030"/>
          <cell r="F4030"/>
          <cell r="G4030"/>
          <cell r="H4030"/>
          <cell r="J4030"/>
          <cell r="L4030"/>
          <cell r="M4030"/>
        </row>
        <row r="4031">
          <cell r="B4031"/>
          <cell r="C4031"/>
          <cell r="E4031"/>
          <cell r="F4031"/>
          <cell r="G4031"/>
          <cell r="H4031"/>
          <cell r="J4031"/>
          <cell r="L4031"/>
          <cell r="M4031"/>
        </row>
        <row r="4032">
          <cell r="B4032"/>
          <cell r="C4032"/>
          <cell r="E4032"/>
          <cell r="F4032"/>
          <cell r="G4032"/>
          <cell r="H4032"/>
          <cell r="J4032"/>
          <cell r="L4032"/>
          <cell r="M4032"/>
        </row>
        <row r="4033">
          <cell r="B4033"/>
          <cell r="C4033"/>
          <cell r="E4033"/>
          <cell r="F4033"/>
          <cell r="G4033"/>
          <cell r="H4033"/>
          <cell r="J4033"/>
          <cell r="L4033"/>
          <cell r="M4033"/>
        </row>
        <row r="4034">
          <cell r="B4034"/>
          <cell r="C4034"/>
          <cell r="E4034"/>
          <cell r="F4034"/>
          <cell r="G4034"/>
          <cell r="H4034"/>
          <cell r="J4034"/>
          <cell r="L4034"/>
          <cell r="M4034"/>
        </row>
        <row r="4035">
          <cell r="B4035"/>
          <cell r="C4035"/>
          <cell r="E4035"/>
          <cell r="F4035"/>
          <cell r="G4035"/>
          <cell r="H4035"/>
          <cell r="J4035"/>
          <cell r="L4035"/>
          <cell r="M4035"/>
        </row>
        <row r="4036">
          <cell r="B4036"/>
          <cell r="C4036"/>
          <cell r="E4036"/>
          <cell r="F4036"/>
          <cell r="G4036"/>
          <cell r="H4036"/>
          <cell r="J4036"/>
          <cell r="L4036"/>
          <cell r="M4036"/>
        </row>
        <row r="4037">
          <cell r="B4037"/>
          <cell r="C4037"/>
          <cell r="E4037"/>
          <cell r="F4037"/>
          <cell r="G4037"/>
          <cell r="H4037"/>
          <cell r="J4037"/>
          <cell r="L4037"/>
          <cell r="M4037"/>
        </row>
        <row r="4038">
          <cell r="B4038"/>
          <cell r="C4038"/>
          <cell r="E4038"/>
          <cell r="F4038"/>
          <cell r="G4038"/>
          <cell r="H4038"/>
          <cell r="J4038"/>
          <cell r="L4038"/>
          <cell r="M4038"/>
        </row>
        <row r="4039">
          <cell r="B4039"/>
          <cell r="C4039"/>
          <cell r="E4039"/>
          <cell r="F4039"/>
          <cell r="G4039"/>
          <cell r="H4039"/>
          <cell r="J4039"/>
          <cell r="L4039"/>
          <cell r="M4039"/>
        </row>
        <row r="4040">
          <cell r="B4040"/>
          <cell r="C4040"/>
          <cell r="E4040"/>
          <cell r="F4040"/>
          <cell r="G4040"/>
          <cell r="H4040"/>
          <cell r="J4040"/>
          <cell r="L4040"/>
          <cell r="M4040"/>
        </row>
        <row r="4041">
          <cell r="B4041"/>
          <cell r="C4041"/>
          <cell r="E4041"/>
          <cell r="F4041"/>
          <cell r="G4041"/>
          <cell r="H4041"/>
          <cell r="J4041"/>
          <cell r="L4041"/>
          <cell r="M4041"/>
        </row>
        <row r="4042">
          <cell r="B4042"/>
          <cell r="C4042"/>
          <cell r="E4042"/>
          <cell r="F4042"/>
          <cell r="G4042"/>
          <cell r="H4042"/>
          <cell r="J4042"/>
          <cell r="L4042"/>
          <cell r="M4042"/>
        </row>
        <row r="4043">
          <cell r="B4043"/>
          <cell r="C4043"/>
          <cell r="E4043"/>
          <cell r="F4043"/>
          <cell r="G4043"/>
          <cell r="H4043"/>
          <cell r="J4043"/>
          <cell r="L4043"/>
          <cell r="M4043"/>
        </row>
        <row r="4044">
          <cell r="B4044"/>
          <cell r="C4044"/>
          <cell r="E4044"/>
          <cell r="F4044"/>
          <cell r="G4044"/>
          <cell r="H4044"/>
          <cell r="J4044"/>
          <cell r="L4044"/>
          <cell r="M4044"/>
        </row>
        <row r="4045">
          <cell r="B4045"/>
          <cell r="C4045"/>
          <cell r="E4045"/>
          <cell r="F4045"/>
          <cell r="G4045"/>
          <cell r="H4045"/>
          <cell r="J4045"/>
          <cell r="L4045"/>
          <cell r="M4045"/>
        </row>
        <row r="4046">
          <cell r="B4046"/>
          <cell r="C4046"/>
          <cell r="E4046"/>
          <cell r="F4046"/>
          <cell r="G4046"/>
          <cell r="H4046"/>
          <cell r="J4046"/>
          <cell r="L4046"/>
          <cell r="M4046"/>
        </row>
        <row r="4047">
          <cell r="B4047"/>
          <cell r="C4047"/>
          <cell r="E4047"/>
          <cell r="F4047"/>
          <cell r="G4047"/>
          <cell r="H4047"/>
          <cell r="J4047"/>
          <cell r="L4047"/>
          <cell r="M4047"/>
        </row>
        <row r="4048">
          <cell r="B4048"/>
          <cell r="C4048"/>
          <cell r="E4048"/>
          <cell r="F4048"/>
          <cell r="G4048"/>
          <cell r="H4048"/>
          <cell r="J4048"/>
          <cell r="L4048"/>
          <cell r="M4048"/>
        </row>
        <row r="4049">
          <cell r="B4049"/>
          <cell r="C4049"/>
          <cell r="E4049"/>
          <cell r="F4049"/>
          <cell r="G4049"/>
          <cell r="H4049"/>
          <cell r="J4049"/>
          <cell r="L4049"/>
          <cell r="M4049"/>
        </row>
        <row r="4050">
          <cell r="B4050"/>
          <cell r="C4050"/>
          <cell r="E4050"/>
          <cell r="F4050"/>
          <cell r="G4050"/>
          <cell r="H4050"/>
          <cell r="J4050"/>
          <cell r="L4050"/>
          <cell r="M4050"/>
        </row>
        <row r="4051">
          <cell r="B4051"/>
          <cell r="C4051"/>
          <cell r="E4051"/>
          <cell r="F4051"/>
          <cell r="G4051"/>
          <cell r="H4051"/>
          <cell r="J4051"/>
          <cell r="L4051"/>
          <cell r="M4051"/>
        </row>
        <row r="4052">
          <cell r="B4052"/>
          <cell r="C4052"/>
          <cell r="E4052"/>
          <cell r="F4052"/>
          <cell r="G4052"/>
          <cell r="H4052"/>
          <cell r="J4052"/>
          <cell r="L4052"/>
          <cell r="M4052"/>
        </row>
        <row r="4053">
          <cell r="B4053"/>
          <cell r="C4053"/>
          <cell r="E4053"/>
          <cell r="F4053"/>
          <cell r="G4053"/>
          <cell r="H4053"/>
          <cell r="J4053"/>
          <cell r="L4053"/>
          <cell r="M4053"/>
        </row>
        <row r="4054">
          <cell r="B4054"/>
          <cell r="C4054"/>
          <cell r="E4054"/>
          <cell r="F4054"/>
          <cell r="G4054"/>
          <cell r="H4054"/>
          <cell r="J4054"/>
          <cell r="L4054"/>
          <cell r="M4054"/>
        </row>
        <row r="4055">
          <cell r="B4055"/>
          <cell r="C4055"/>
          <cell r="E4055"/>
          <cell r="F4055"/>
          <cell r="G4055"/>
          <cell r="H4055"/>
          <cell r="J4055"/>
          <cell r="L4055"/>
          <cell r="M4055"/>
        </row>
        <row r="4056">
          <cell r="B4056"/>
          <cell r="C4056"/>
          <cell r="E4056"/>
          <cell r="F4056"/>
          <cell r="G4056"/>
          <cell r="H4056"/>
          <cell r="J4056"/>
          <cell r="L4056"/>
          <cell r="M4056"/>
        </row>
        <row r="4057">
          <cell r="B4057"/>
          <cell r="C4057"/>
          <cell r="E4057"/>
          <cell r="F4057"/>
          <cell r="G4057"/>
          <cell r="H4057"/>
          <cell r="J4057"/>
          <cell r="L4057"/>
          <cell r="M4057"/>
        </row>
        <row r="4058">
          <cell r="B4058"/>
          <cell r="C4058"/>
          <cell r="E4058"/>
          <cell r="F4058"/>
          <cell r="G4058"/>
          <cell r="H4058"/>
          <cell r="J4058"/>
          <cell r="L4058"/>
          <cell r="M4058"/>
        </row>
        <row r="4059">
          <cell r="B4059"/>
          <cell r="C4059"/>
          <cell r="E4059"/>
          <cell r="F4059"/>
          <cell r="G4059"/>
          <cell r="H4059"/>
          <cell r="J4059"/>
          <cell r="L4059"/>
          <cell r="M4059"/>
        </row>
        <row r="4060">
          <cell r="B4060"/>
          <cell r="C4060"/>
          <cell r="E4060"/>
          <cell r="F4060"/>
          <cell r="G4060"/>
          <cell r="H4060"/>
          <cell r="J4060"/>
          <cell r="L4060"/>
          <cell r="M4060"/>
        </row>
        <row r="4061">
          <cell r="B4061"/>
          <cell r="C4061"/>
          <cell r="E4061"/>
          <cell r="F4061"/>
          <cell r="G4061"/>
          <cell r="H4061"/>
          <cell r="J4061"/>
          <cell r="L4061"/>
          <cell r="M4061"/>
        </row>
        <row r="4062">
          <cell r="B4062"/>
          <cell r="C4062"/>
          <cell r="E4062"/>
          <cell r="F4062"/>
          <cell r="G4062"/>
          <cell r="H4062"/>
          <cell r="J4062"/>
          <cell r="L4062"/>
          <cell r="M4062"/>
        </row>
        <row r="4063">
          <cell r="B4063"/>
          <cell r="C4063"/>
          <cell r="E4063"/>
          <cell r="F4063"/>
          <cell r="G4063"/>
          <cell r="H4063"/>
          <cell r="J4063"/>
          <cell r="L4063"/>
          <cell r="M4063"/>
        </row>
        <row r="4064">
          <cell r="B4064"/>
          <cell r="C4064"/>
          <cell r="E4064"/>
          <cell r="F4064"/>
          <cell r="G4064"/>
          <cell r="H4064"/>
          <cell r="J4064"/>
          <cell r="L4064"/>
          <cell r="M4064"/>
        </row>
        <row r="4065">
          <cell r="B4065"/>
          <cell r="C4065"/>
          <cell r="E4065"/>
          <cell r="F4065"/>
          <cell r="G4065"/>
          <cell r="H4065"/>
          <cell r="J4065"/>
          <cell r="L4065"/>
          <cell r="M4065"/>
        </row>
        <row r="4066">
          <cell r="B4066"/>
          <cell r="C4066"/>
          <cell r="E4066"/>
          <cell r="F4066"/>
          <cell r="G4066"/>
          <cell r="H4066"/>
          <cell r="J4066"/>
          <cell r="L4066"/>
          <cell r="M4066"/>
        </row>
        <row r="4067">
          <cell r="B4067"/>
          <cell r="C4067"/>
          <cell r="E4067"/>
          <cell r="F4067"/>
          <cell r="G4067"/>
          <cell r="H4067"/>
          <cell r="J4067"/>
          <cell r="L4067"/>
          <cell r="M4067"/>
        </row>
        <row r="4068">
          <cell r="B4068"/>
          <cell r="C4068"/>
          <cell r="E4068"/>
          <cell r="F4068"/>
          <cell r="G4068"/>
          <cell r="H4068"/>
          <cell r="J4068"/>
          <cell r="L4068"/>
          <cell r="M4068"/>
        </row>
        <row r="4069">
          <cell r="B4069"/>
          <cell r="C4069"/>
          <cell r="E4069"/>
          <cell r="F4069"/>
          <cell r="G4069"/>
          <cell r="H4069"/>
          <cell r="J4069"/>
          <cell r="L4069"/>
          <cell r="M4069"/>
        </row>
        <row r="4070">
          <cell r="B4070"/>
          <cell r="C4070"/>
          <cell r="E4070"/>
          <cell r="F4070"/>
          <cell r="G4070"/>
          <cell r="H4070"/>
          <cell r="J4070"/>
          <cell r="L4070"/>
          <cell r="M4070"/>
        </row>
        <row r="4071">
          <cell r="B4071"/>
          <cell r="C4071"/>
          <cell r="E4071"/>
          <cell r="F4071"/>
          <cell r="G4071"/>
          <cell r="H4071"/>
          <cell r="J4071"/>
          <cell r="L4071"/>
          <cell r="M4071"/>
        </row>
        <row r="4072">
          <cell r="B4072"/>
          <cell r="C4072"/>
          <cell r="E4072"/>
          <cell r="F4072"/>
          <cell r="G4072"/>
          <cell r="H4072"/>
          <cell r="J4072"/>
          <cell r="L4072"/>
          <cell r="M4072"/>
        </row>
        <row r="4073">
          <cell r="B4073"/>
          <cell r="C4073"/>
          <cell r="E4073"/>
          <cell r="F4073"/>
          <cell r="G4073"/>
          <cell r="H4073"/>
          <cell r="J4073"/>
          <cell r="L4073"/>
          <cell r="M4073"/>
        </row>
        <row r="4074">
          <cell r="B4074"/>
          <cell r="C4074"/>
          <cell r="E4074"/>
          <cell r="F4074"/>
          <cell r="G4074"/>
          <cell r="H4074"/>
          <cell r="J4074"/>
          <cell r="L4074"/>
          <cell r="M4074"/>
        </row>
        <row r="4075">
          <cell r="B4075"/>
          <cell r="C4075"/>
          <cell r="E4075"/>
          <cell r="F4075"/>
          <cell r="G4075"/>
          <cell r="H4075"/>
          <cell r="J4075"/>
          <cell r="L4075"/>
          <cell r="M4075"/>
        </row>
        <row r="4076">
          <cell r="B4076"/>
          <cell r="C4076"/>
          <cell r="E4076"/>
          <cell r="F4076"/>
          <cell r="G4076"/>
          <cell r="H4076"/>
          <cell r="J4076"/>
          <cell r="L4076"/>
          <cell r="M4076"/>
        </row>
        <row r="4077">
          <cell r="B4077"/>
          <cell r="C4077"/>
          <cell r="E4077"/>
          <cell r="F4077"/>
          <cell r="G4077"/>
          <cell r="H4077"/>
          <cell r="J4077"/>
          <cell r="L4077"/>
          <cell r="M4077"/>
        </row>
        <row r="4078">
          <cell r="B4078"/>
          <cell r="C4078"/>
          <cell r="E4078"/>
          <cell r="F4078"/>
          <cell r="G4078"/>
          <cell r="H4078"/>
          <cell r="J4078"/>
          <cell r="L4078"/>
          <cell r="M4078"/>
        </row>
        <row r="4079">
          <cell r="B4079"/>
          <cell r="C4079"/>
          <cell r="E4079"/>
          <cell r="F4079"/>
          <cell r="G4079"/>
          <cell r="H4079"/>
          <cell r="J4079"/>
          <cell r="L4079"/>
          <cell r="M4079"/>
        </row>
        <row r="4080">
          <cell r="B4080"/>
          <cell r="C4080"/>
          <cell r="E4080"/>
          <cell r="F4080"/>
          <cell r="G4080"/>
          <cell r="H4080"/>
          <cell r="J4080"/>
          <cell r="L4080"/>
          <cell r="M4080"/>
        </row>
        <row r="4081">
          <cell r="B4081"/>
          <cell r="C4081"/>
          <cell r="E4081"/>
          <cell r="F4081"/>
          <cell r="G4081"/>
          <cell r="H4081"/>
          <cell r="J4081"/>
          <cell r="L4081"/>
          <cell r="M4081"/>
        </row>
        <row r="4082">
          <cell r="B4082"/>
          <cell r="C4082"/>
          <cell r="E4082"/>
          <cell r="F4082"/>
          <cell r="G4082"/>
          <cell r="H4082"/>
          <cell r="J4082"/>
          <cell r="L4082"/>
          <cell r="M4082"/>
        </row>
        <row r="4083">
          <cell r="B4083"/>
          <cell r="C4083"/>
          <cell r="E4083"/>
          <cell r="F4083"/>
          <cell r="G4083"/>
          <cell r="H4083"/>
          <cell r="J4083"/>
          <cell r="L4083"/>
          <cell r="M4083"/>
        </row>
        <row r="4084">
          <cell r="B4084"/>
          <cell r="C4084"/>
          <cell r="E4084"/>
          <cell r="F4084"/>
          <cell r="G4084"/>
          <cell r="H4084"/>
          <cell r="J4084"/>
          <cell r="L4084"/>
          <cell r="M4084"/>
        </row>
        <row r="4085">
          <cell r="B4085"/>
          <cell r="C4085"/>
          <cell r="E4085"/>
          <cell r="F4085"/>
          <cell r="G4085"/>
          <cell r="H4085"/>
          <cell r="J4085"/>
          <cell r="L4085"/>
          <cell r="M4085"/>
        </row>
        <row r="4086">
          <cell r="B4086"/>
          <cell r="C4086"/>
          <cell r="E4086"/>
          <cell r="F4086"/>
          <cell r="G4086"/>
          <cell r="H4086"/>
          <cell r="J4086"/>
          <cell r="L4086"/>
          <cell r="M4086"/>
        </row>
        <row r="4087">
          <cell r="B4087"/>
          <cell r="C4087"/>
          <cell r="E4087"/>
          <cell r="F4087"/>
          <cell r="G4087"/>
          <cell r="H4087"/>
          <cell r="J4087"/>
          <cell r="L4087"/>
          <cell r="M4087"/>
        </row>
        <row r="4088">
          <cell r="B4088"/>
          <cell r="C4088"/>
          <cell r="E4088"/>
          <cell r="F4088"/>
          <cell r="G4088"/>
          <cell r="H4088"/>
          <cell r="J4088"/>
          <cell r="L4088"/>
          <cell r="M4088"/>
        </row>
        <row r="4089">
          <cell r="B4089"/>
          <cell r="C4089"/>
          <cell r="E4089"/>
          <cell r="F4089"/>
          <cell r="G4089"/>
          <cell r="H4089"/>
          <cell r="J4089"/>
          <cell r="L4089"/>
          <cell r="M4089"/>
        </row>
        <row r="4090">
          <cell r="B4090"/>
          <cell r="C4090"/>
          <cell r="E4090"/>
          <cell r="F4090"/>
          <cell r="G4090"/>
          <cell r="H4090"/>
          <cell r="J4090"/>
          <cell r="L4090"/>
          <cell r="M4090"/>
        </row>
        <row r="4091">
          <cell r="B4091"/>
          <cell r="C4091"/>
          <cell r="E4091"/>
          <cell r="F4091"/>
          <cell r="G4091"/>
          <cell r="H4091"/>
          <cell r="J4091"/>
          <cell r="L4091"/>
          <cell r="M4091"/>
        </row>
        <row r="4092">
          <cell r="B4092"/>
          <cell r="C4092"/>
          <cell r="E4092"/>
          <cell r="F4092"/>
          <cell r="G4092"/>
          <cell r="H4092"/>
          <cell r="J4092"/>
          <cell r="L4092"/>
          <cell r="M4092"/>
        </row>
        <row r="4093">
          <cell r="B4093"/>
          <cell r="C4093"/>
          <cell r="E4093"/>
          <cell r="F4093"/>
          <cell r="G4093"/>
          <cell r="H4093"/>
          <cell r="J4093"/>
          <cell r="L4093"/>
          <cell r="M4093"/>
        </row>
        <row r="4094">
          <cell r="B4094"/>
          <cell r="C4094"/>
          <cell r="E4094"/>
          <cell r="F4094"/>
          <cell r="G4094"/>
          <cell r="H4094"/>
          <cell r="J4094"/>
          <cell r="L4094"/>
          <cell r="M4094"/>
        </row>
        <row r="4095">
          <cell r="B4095"/>
          <cell r="C4095"/>
          <cell r="E4095"/>
          <cell r="F4095"/>
          <cell r="G4095"/>
          <cell r="H4095"/>
          <cell r="J4095"/>
          <cell r="L4095"/>
          <cell r="M4095"/>
        </row>
        <row r="4096">
          <cell r="B4096"/>
          <cell r="C4096"/>
          <cell r="E4096"/>
          <cell r="F4096"/>
          <cell r="G4096"/>
          <cell r="H4096"/>
          <cell r="J4096"/>
          <cell r="L4096"/>
          <cell r="M4096"/>
        </row>
        <row r="4097">
          <cell r="B4097"/>
          <cell r="C4097"/>
          <cell r="E4097"/>
          <cell r="F4097"/>
          <cell r="G4097"/>
          <cell r="H4097"/>
          <cell r="J4097"/>
          <cell r="L4097"/>
          <cell r="M4097"/>
        </row>
        <row r="4098">
          <cell r="B4098"/>
          <cell r="C4098"/>
          <cell r="E4098"/>
          <cell r="F4098"/>
          <cell r="G4098"/>
          <cell r="H4098"/>
          <cell r="J4098"/>
          <cell r="L4098"/>
          <cell r="M4098"/>
        </row>
        <row r="4099">
          <cell r="B4099"/>
          <cell r="C4099"/>
          <cell r="E4099"/>
          <cell r="F4099"/>
          <cell r="G4099"/>
          <cell r="H4099"/>
          <cell r="J4099"/>
          <cell r="L4099"/>
          <cell r="M4099"/>
        </row>
        <row r="4100">
          <cell r="B4100"/>
          <cell r="C4100"/>
          <cell r="E4100"/>
          <cell r="F4100"/>
          <cell r="G4100"/>
          <cell r="H4100"/>
          <cell r="J4100"/>
          <cell r="L4100"/>
          <cell r="M4100"/>
        </row>
        <row r="4101">
          <cell r="B4101"/>
          <cell r="C4101"/>
          <cell r="E4101"/>
          <cell r="F4101"/>
          <cell r="G4101"/>
          <cell r="H4101"/>
          <cell r="J4101"/>
          <cell r="L4101"/>
          <cell r="M4101"/>
        </row>
        <row r="4102">
          <cell r="B4102"/>
          <cell r="C4102"/>
          <cell r="E4102"/>
          <cell r="F4102"/>
          <cell r="G4102"/>
          <cell r="H4102"/>
          <cell r="J4102"/>
          <cell r="L4102"/>
          <cell r="M4102"/>
        </row>
        <row r="4103">
          <cell r="B4103"/>
          <cell r="C4103"/>
          <cell r="E4103"/>
          <cell r="F4103"/>
          <cell r="G4103"/>
          <cell r="H4103"/>
          <cell r="J4103"/>
          <cell r="L4103"/>
          <cell r="M4103"/>
        </row>
        <row r="4104">
          <cell r="B4104"/>
          <cell r="C4104"/>
          <cell r="E4104"/>
          <cell r="F4104"/>
          <cell r="G4104"/>
          <cell r="H4104"/>
          <cell r="J4104"/>
          <cell r="L4104"/>
          <cell r="M4104"/>
        </row>
        <row r="4105">
          <cell r="B4105"/>
          <cell r="C4105"/>
          <cell r="E4105"/>
          <cell r="F4105"/>
          <cell r="G4105"/>
          <cell r="H4105"/>
          <cell r="J4105"/>
          <cell r="L4105"/>
          <cell r="M4105"/>
        </row>
        <row r="4106">
          <cell r="B4106"/>
          <cell r="C4106"/>
          <cell r="E4106"/>
          <cell r="F4106"/>
          <cell r="G4106"/>
          <cell r="H4106"/>
          <cell r="J4106"/>
          <cell r="L4106"/>
          <cell r="M4106"/>
        </row>
        <row r="4107">
          <cell r="B4107"/>
          <cell r="C4107"/>
          <cell r="E4107"/>
          <cell r="F4107"/>
          <cell r="G4107"/>
          <cell r="H4107"/>
          <cell r="J4107"/>
          <cell r="L4107"/>
          <cell r="M4107"/>
        </row>
        <row r="4108">
          <cell r="B4108"/>
          <cell r="C4108"/>
          <cell r="E4108"/>
          <cell r="F4108"/>
          <cell r="G4108"/>
          <cell r="H4108"/>
          <cell r="J4108"/>
          <cell r="L4108"/>
          <cell r="M4108"/>
        </row>
        <row r="4109">
          <cell r="B4109"/>
          <cell r="C4109"/>
          <cell r="E4109"/>
          <cell r="F4109"/>
          <cell r="G4109"/>
          <cell r="H4109"/>
          <cell r="J4109"/>
          <cell r="L4109"/>
          <cell r="M4109"/>
        </row>
        <row r="4110">
          <cell r="B4110"/>
          <cell r="C4110"/>
          <cell r="E4110"/>
          <cell r="F4110"/>
          <cell r="G4110"/>
          <cell r="H4110"/>
          <cell r="J4110"/>
          <cell r="L4110"/>
          <cell r="M4110"/>
        </row>
        <row r="4111">
          <cell r="B4111"/>
          <cell r="C4111"/>
          <cell r="E4111"/>
          <cell r="F4111"/>
          <cell r="G4111"/>
          <cell r="H4111"/>
          <cell r="J4111"/>
          <cell r="L4111"/>
          <cell r="M4111"/>
        </row>
        <row r="4112">
          <cell r="B4112"/>
          <cell r="C4112"/>
          <cell r="E4112"/>
          <cell r="F4112"/>
          <cell r="G4112"/>
          <cell r="H4112"/>
          <cell r="J4112"/>
          <cell r="L4112"/>
          <cell r="M4112"/>
        </row>
        <row r="4113">
          <cell r="B4113"/>
          <cell r="C4113"/>
          <cell r="E4113"/>
          <cell r="F4113"/>
          <cell r="G4113"/>
          <cell r="H4113"/>
          <cell r="J4113"/>
          <cell r="L4113"/>
          <cell r="M4113"/>
        </row>
        <row r="4114">
          <cell r="B4114"/>
          <cell r="C4114"/>
          <cell r="E4114"/>
          <cell r="F4114"/>
          <cell r="G4114"/>
          <cell r="H4114"/>
          <cell r="J4114"/>
          <cell r="L4114"/>
          <cell r="M4114"/>
        </row>
        <row r="4115">
          <cell r="B4115"/>
          <cell r="C4115"/>
          <cell r="E4115"/>
          <cell r="F4115"/>
          <cell r="G4115"/>
          <cell r="H4115"/>
          <cell r="J4115"/>
          <cell r="L4115"/>
          <cell r="M4115"/>
        </row>
        <row r="4116">
          <cell r="B4116"/>
          <cell r="C4116"/>
          <cell r="E4116"/>
          <cell r="F4116"/>
          <cell r="G4116"/>
          <cell r="H4116"/>
          <cell r="J4116"/>
          <cell r="L4116"/>
          <cell r="M4116"/>
        </row>
        <row r="4117">
          <cell r="B4117"/>
          <cell r="C4117"/>
          <cell r="E4117"/>
          <cell r="F4117"/>
          <cell r="G4117"/>
          <cell r="H4117"/>
          <cell r="J4117"/>
          <cell r="L4117"/>
          <cell r="M4117"/>
        </row>
        <row r="4118">
          <cell r="B4118"/>
          <cell r="C4118"/>
          <cell r="E4118"/>
          <cell r="F4118"/>
          <cell r="G4118"/>
          <cell r="H4118"/>
          <cell r="J4118"/>
          <cell r="L4118"/>
          <cell r="M4118"/>
        </row>
        <row r="4119">
          <cell r="B4119"/>
          <cell r="C4119"/>
          <cell r="E4119"/>
          <cell r="F4119"/>
          <cell r="G4119"/>
          <cell r="H4119"/>
          <cell r="J4119"/>
          <cell r="L4119"/>
          <cell r="M4119"/>
        </row>
        <row r="4120">
          <cell r="B4120"/>
          <cell r="C4120"/>
          <cell r="E4120"/>
          <cell r="F4120"/>
          <cell r="G4120"/>
          <cell r="H4120"/>
          <cell r="J4120"/>
          <cell r="L4120"/>
          <cell r="M4120"/>
        </row>
        <row r="4121">
          <cell r="B4121"/>
          <cell r="C4121"/>
          <cell r="E4121"/>
          <cell r="F4121"/>
          <cell r="G4121"/>
          <cell r="H4121"/>
          <cell r="J4121"/>
          <cell r="L4121"/>
          <cell r="M4121"/>
        </row>
        <row r="4122">
          <cell r="B4122"/>
          <cell r="C4122"/>
          <cell r="E4122"/>
          <cell r="F4122"/>
          <cell r="G4122"/>
          <cell r="H4122"/>
          <cell r="J4122"/>
          <cell r="L4122"/>
          <cell r="M4122"/>
        </row>
        <row r="4123">
          <cell r="B4123"/>
          <cell r="C4123"/>
          <cell r="E4123"/>
          <cell r="F4123"/>
          <cell r="G4123"/>
          <cell r="H4123"/>
          <cell r="J4123"/>
          <cell r="L4123"/>
          <cell r="M4123"/>
        </row>
        <row r="4124">
          <cell r="B4124"/>
          <cell r="C4124"/>
          <cell r="E4124"/>
          <cell r="F4124"/>
          <cell r="G4124"/>
          <cell r="H4124"/>
          <cell r="J4124"/>
          <cell r="L4124"/>
          <cell r="M4124"/>
        </row>
        <row r="4125">
          <cell r="B4125"/>
          <cell r="C4125"/>
          <cell r="E4125"/>
          <cell r="F4125"/>
          <cell r="G4125"/>
          <cell r="H4125"/>
          <cell r="J4125"/>
          <cell r="L4125"/>
          <cell r="M4125"/>
        </row>
        <row r="4126">
          <cell r="B4126"/>
          <cell r="C4126"/>
          <cell r="E4126"/>
          <cell r="F4126"/>
          <cell r="G4126"/>
          <cell r="H4126"/>
          <cell r="J4126"/>
          <cell r="L4126"/>
          <cell r="M4126"/>
        </row>
        <row r="4127">
          <cell r="B4127"/>
          <cell r="C4127"/>
          <cell r="E4127"/>
          <cell r="F4127"/>
          <cell r="G4127"/>
          <cell r="H4127"/>
          <cell r="J4127"/>
          <cell r="L4127"/>
          <cell r="M4127"/>
        </row>
        <row r="4128">
          <cell r="B4128"/>
          <cell r="C4128"/>
          <cell r="E4128"/>
          <cell r="F4128"/>
          <cell r="G4128"/>
          <cell r="H4128"/>
          <cell r="J4128"/>
          <cell r="L4128"/>
          <cell r="M4128"/>
        </row>
        <row r="4129">
          <cell r="B4129"/>
          <cell r="C4129"/>
          <cell r="E4129"/>
          <cell r="F4129"/>
          <cell r="G4129"/>
          <cell r="H4129"/>
          <cell r="J4129"/>
          <cell r="L4129"/>
          <cell r="M4129"/>
        </row>
        <row r="4130">
          <cell r="B4130"/>
          <cell r="C4130"/>
          <cell r="E4130"/>
          <cell r="F4130"/>
          <cell r="G4130"/>
          <cell r="H4130"/>
          <cell r="J4130"/>
          <cell r="L4130"/>
          <cell r="M4130"/>
        </row>
        <row r="4131">
          <cell r="B4131"/>
          <cell r="C4131"/>
          <cell r="E4131"/>
          <cell r="F4131"/>
          <cell r="G4131"/>
          <cell r="H4131"/>
          <cell r="J4131"/>
          <cell r="L4131"/>
          <cell r="M4131"/>
        </row>
        <row r="4132">
          <cell r="B4132"/>
          <cell r="C4132"/>
          <cell r="E4132"/>
          <cell r="F4132"/>
          <cell r="G4132"/>
          <cell r="H4132"/>
          <cell r="J4132"/>
          <cell r="L4132"/>
          <cell r="M4132"/>
        </row>
        <row r="4133">
          <cell r="B4133"/>
          <cell r="C4133"/>
          <cell r="E4133"/>
          <cell r="F4133"/>
          <cell r="G4133"/>
          <cell r="H4133"/>
          <cell r="J4133"/>
          <cell r="L4133"/>
          <cell r="M4133"/>
        </row>
        <row r="4134">
          <cell r="B4134"/>
          <cell r="C4134"/>
          <cell r="E4134"/>
          <cell r="F4134"/>
          <cell r="G4134"/>
          <cell r="H4134"/>
          <cell r="J4134"/>
          <cell r="L4134"/>
          <cell r="M4134"/>
        </row>
        <row r="4135">
          <cell r="B4135"/>
          <cell r="C4135"/>
          <cell r="E4135"/>
          <cell r="F4135"/>
          <cell r="G4135"/>
          <cell r="H4135"/>
          <cell r="J4135"/>
          <cell r="L4135"/>
          <cell r="M4135"/>
        </row>
        <row r="4136">
          <cell r="B4136"/>
          <cell r="C4136"/>
          <cell r="E4136"/>
          <cell r="F4136"/>
          <cell r="G4136"/>
          <cell r="H4136"/>
          <cell r="J4136"/>
          <cell r="L4136"/>
          <cell r="M4136"/>
        </row>
        <row r="4137">
          <cell r="B4137"/>
          <cell r="C4137"/>
          <cell r="E4137"/>
          <cell r="F4137"/>
          <cell r="G4137"/>
          <cell r="H4137"/>
          <cell r="J4137"/>
          <cell r="L4137"/>
          <cell r="M4137"/>
        </row>
        <row r="4138">
          <cell r="B4138"/>
          <cell r="C4138"/>
          <cell r="E4138"/>
          <cell r="F4138"/>
          <cell r="G4138"/>
          <cell r="H4138"/>
          <cell r="J4138"/>
          <cell r="L4138"/>
          <cell r="M4138"/>
        </row>
        <row r="4139">
          <cell r="B4139"/>
          <cell r="C4139"/>
          <cell r="E4139"/>
          <cell r="F4139"/>
          <cell r="G4139"/>
          <cell r="H4139"/>
          <cell r="J4139"/>
          <cell r="L4139"/>
          <cell r="M4139"/>
        </row>
        <row r="4140">
          <cell r="B4140"/>
          <cell r="C4140"/>
          <cell r="E4140"/>
          <cell r="F4140"/>
          <cell r="G4140"/>
          <cell r="H4140"/>
          <cell r="J4140"/>
          <cell r="L4140"/>
          <cell r="M4140"/>
        </row>
        <row r="4141">
          <cell r="B4141"/>
          <cell r="C4141"/>
          <cell r="E4141"/>
          <cell r="F4141"/>
          <cell r="G4141"/>
          <cell r="H4141"/>
          <cell r="J4141"/>
          <cell r="L4141"/>
          <cell r="M4141"/>
        </row>
        <row r="4142">
          <cell r="B4142"/>
          <cell r="C4142"/>
          <cell r="E4142"/>
          <cell r="F4142"/>
          <cell r="G4142"/>
          <cell r="H4142"/>
          <cell r="J4142"/>
          <cell r="L4142"/>
          <cell r="M4142"/>
        </row>
        <row r="4143">
          <cell r="B4143"/>
          <cell r="C4143"/>
          <cell r="E4143"/>
          <cell r="F4143"/>
          <cell r="G4143"/>
          <cell r="H4143"/>
          <cell r="J4143"/>
          <cell r="L4143"/>
          <cell r="M4143"/>
        </row>
        <row r="4144">
          <cell r="B4144"/>
          <cell r="C4144"/>
          <cell r="E4144"/>
          <cell r="F4144"/>
          <cell r="G4144"/>
          <cell r="H4144"/>
          <cell r="J4144"/>
          <cell r="L4144"/>
          <cell r="M4144"/>
        </row>
        <row r="4145">
          <cell r="B4145"/>
          <cell r="C4145"/>
          <cell r="E4145"/>
          <cell r="F4145"/>
          <cell r="G4145"/>
          <cell r="H4145"/>
          <cell r="J4145"/>
          <cell r="L4145"/>
          <cell r="M4145"/>
        </row>
        <row r="4146">
          <cell r="B4146"/>
          <cell r="C4146"/>
          <cell r="E4146"/>
          <cell r="F4146"/>
          <cell r="G4146"/>
          <cell r="H4146"/>
          <cell r="J4146"/>
          <cell r="L4146"/>
          <cell r="M4146"/>
        </row>
        <row r="4147">
          <cell r="B4147"/>
          <cell r="C4147"/>
          <cell r="E4147"/>
          <cell r="F4147"/>
          <cell r="G4147"/>
          <cell r="H4147"/>
          <cell r="J4147"/>
          <cell r="L4147"/>
          <cell r="M4147"/>
        </row>
        <row r="4148">
          <cell r="B4148"/>
          <cell r="C4148"/>
          <cell r="E4148"/>
          <cell r="F4148"/>
          <cell r="G4148"/>
          <cell r="H4148"/>
          <cell r="J4148"/>
          <cell r="L4148"/>
          <cell r="M4148"/>
        </row>
        <row r="4149">
          <cell r="B4149"/>
          <cell r="C4149"/>
          <cell r="E4149"/>
          <cell r="F4149"/>
          <cell r="G4149"/>
          <cell r="H4149"/>
          <cell r="J4149"/>
          <cell r="L4149"/>
          <cell r="M4149"/>
        </row>
        <row r="4150">
          <cell r="B4150"/>
          <cell r="C4150"/>
          <cell r="E4150"/>
          <cell r="F4150"/>
          <cell r="G4150"/>
          <cell r="H4150"/>
          <cell r="J4150"/>
          <cell r="L4150"/>
          <cell r="M4150"/>
        </row>
        <row r="4151">
          <cell r="B4151"/>
          <cell r="C4151"/>
          <cell r="E4151"/>
          <cell r="F4151"/>
          <cell r="G4151"/>
          <cell r="H4151"/>
          <cell r="J4151"/>
          <cell r="L4151"/>
          <cell r="M4151"/>
        </row>
        <row r="4152">
          <cell r="B4152"/>
          <cell r="C4152"/>
          <cell r="E4152"/>
          <cell r="F4152"/>
          <cell r="G4152"/>
          <cell r="H4152"/>
          <cell r="J4152"/>
          <cell r="L4152"/>
          <cell r="M4152"/>
        </row>
        <row r="4153">
          <cell r="B4153"/>
          <cell r="C4153"/>
          <cell r="E4153"/>
          <cell r="F4153"/>
          <cell r="G4153"/>
          <cell r="H4153"/>
          <cell r="J4153"/>
          <cell r="L4153"/>
          <cell r="M4153"/>
        </row>
        <row r="4154">
          <cell r="B4154"/>
          <cell r="C4154"/>
          <cell r="E4154"/>
          <cell r="F4154"/>
          <cell r="G4154"/>
          <cell r="H4154"/>
          <cell r="J4154"/>
          <cell r="L4154"/>
          <cell r="M4154"/>
        </row>
        <row r="4155">
          <cell r="B4155"/>
          <cell r="C4155"/>
          <cell r="E4155"/>
          <cell r="F4155"/>
          <cell r="G4155"/>
          <cell r="H4155"/>
          <cell r="J4155"/>
          <cell r="L4155"/>
          <cell r="M4155"/>
        </row>
        <row r="4156">
          <cell r="B4156"/>
          <cell r="C4156"/>
          <cell r="E4156"/>
          <cell r="F4156"/>
          <cell r="G4156"/>
          <cell r="H4156"/>
          <cell r="J4156"/>
          <cell r="L4156"/>
          <cell r="M4156"/>
        </row>
        <row r="4157">
          <cell r="B4157"/>
          <cell r="C4157"/>
          <cell r="E4157"/>
          <cell r="F4157"/>
          <cell r="G4157"/>
          <cell r="H4157"/>
          <cell r="J4157"/>
          <cell r="L4157"/>
          <cell r="M4157"/>
        </row>
        <row r="4158">
          <cell r="B4158"/>
          <cell r="C4158"/>
          <cell r="E4158"/>
          <cell r="F4158"/>
          <cell r="G4158"/>
          <cell r="H4158"/>
          <cell r="J4158"/>
          <cell r="L4158"/>
          <cell r="M4158"/>
        </row>
        <row r="4159">
          <cell r="B4159"/>
          <cell r="C4159"/>
          <cell r="E4159"/>
          <cell r="F4159"/>
          <cell r="G4159"/>
          <cell r="H4159"/>
          <cell r="J4159"/>
          <cell r="L4159"/>
          <cell r="M4159"/>
        </row>
        <row r="4160">
          <cell r="B4160"/>
          <cell r="C4160"/>
          <cell r="E4160"/>
          <cell r="F4160"/>
          <cell r="G4160"/>
          <cell r="H4160"/>
          <cell r="J4160"/>
          <cell r="L4160"/>
          <cell r="M4160"/>
        </row>
        <row r="4161">
          <cell r="B4161"/>
          <cell r="C4161"/>
          <cell r="E4161"/>
          <cell r="F4161"/>
          <cell r="G4161"/>
          <cell r="H4161"/>
          <cell r="J4161"/>
          <cell r="L4161"/>
          <cell r="M4161"/>
        </row>
        <row r="4162">
          <cell r="B4162"/>
          <cell r="C4162"/>
          <cell r="E4162"/>
          <cell r="F4162"/>
          <cell r="G4162"/>
          <cell r="H4162"/>
          <cell r="J4162"/>
          <cell r="L4162"/>
          <cell r="M4162"/>
        </row>
        <row r="4163">
          <cell r="B4163"/>
          <cell r="C4163"/>
          <cell r="E4163"/>
          <cell r="F4163"/>
          <cell r="G4163"/>
          <cell r="H4163"/>
          <cell r="J4163"/>
          <cell r="L4163"/>
          <cell r="M4163"/>
        </row>
        <row r="4164">
          <cell r="B4164"/>
          <cell r="C4164"/>
          <cell r="E4164"/>
          <cell r="F4164"/>
          <cell r="G4164"/>
          <cell r="H4164"/>
          <cell r="J4164"/>
          <cell r="L4164"/>
          <cell r="M4164"/>
        </row>
        <row r="4165">
          <cell r="B4165"/>
          <cell r="C4165"/>
          <cell r="E4165"/>
          <cell r="F4165"/>
          <cell r="G4165"/>
          <cell r="H4165"/>
          <cell r="J4165"/>
          <cell r="L4165"/>
          <cell r="M4165"/>
        </row>
        <row r="4166">
          <cell r="B4166"/>
          <cell r="C4166"/>
          <cell r="E4166"/>
          <cell r="F4166"/>
          <cell r="G4166"/>
          <cell r="H4166"/>
          <cell r="J4166"/>
          <cell r="L4166"/>
          <cell r="M4166"/>
        </row>
        <row r="4167">
          <cell r="B4167"/>
          <cell r="C4167"/>
          <cell r="E4167"/>
          <cell r="F4167"/>
          <cell r="G4167"/>
          <cell r="H4167"/>
          <cell r="J4167"/>
          <cell r="L4167"/>
          <cell r="M4167"/>
        </row>
        <row r="4168">
          <cell r="B4168"/>
          <cell r="C4168"/>
          <cell r="E4168"/>
          <cell r="F4168"/>
          <cell r="G4168"/>
          <cell r="H4168"/>
          <cell r="J4168"/>
          <cell r="L4168"/>
          <cell r="M4168"/>
        </row>
        <row r="4169">
          <cell r="B4169"/>
          <cell r="C4169"/>
          <cell r="E4169"/>
          <cell r="F4169"/>
          <cell r="G4169"/>
          <cell r="H4169"/>
          <cell r="J4169"/>
          <cell r="L4169"/>
          <cell r="M4169"/>
        </row>
        <row r="4170">
          <cell r="B4170"/>
          <cell r="C4170"/>
          <cell r="E4170"/>
          <cell r="F4170"/>
          <cell r="G4170"/>
          <cell r="H4170"/>
          <cell r="J4170"/>
          <cell r="L4170"/>
          <cell r="M4170"/>
        </row>
        <row r="4171">
          <cell r="B4171"/>
          <cell r="C4171"/>
          <cell r="E4171"/>
          <cell r="F4171"/>
          <cell r="G4171"/>
          <cell r="H4171"/>
          <cell r="J4171"/>
          <cell r="L4171"/>
          <cell r="M4171"/>
        </row>
        <row r="4172">
          <cell r="B4172"/>
          <cell r="C4172"/>
          <cell r="E4172"/>
          <cell r="F4172"/>
          <cell r="G4172"/>
          <cell r="H4172"/>
          <cell r="J4172"/>
          <cell r="L4172"/>
          <cell r="M4172"/>
        </row>
        <row r="4173">
          <cell r="B4173"/>
          <cell r="C4173"/>
          <cell r="E4173"/>
          <cell r="F4173"/>
          <cell r="G4173"/>
          <cell r="H4173"/>
          <cell r="J4173"/>
          <cell r="L4173"/>
          <cell r="M4173"/>
        </row>
        <row r="4174">
          <cell r="B4174"/>
          <cell r="C4174"/>
          <cell r="E4174"/>
          <cell r="F4174"/>
          <cell r="G4174"/>
          <cell r="H4174"/>
          <cell r="J4174"/>
          <cell r="L4174"/>
          <cell r="M4174"/>
        </row>
        <row r="4175">
          <cell r="B4175"/>
          <cell r="C4175"/>
          <cell r="E4175"/>
          <cell r="F4175"/>
          <cell r="G4175"/>
          <cell r="H4175"/>
          <cell r="J4175"/>
          <cell r="L4175"/>
          <cell r="M4175"/>
        </row>
        <row r="4176">
          <cell r="B4176"/>
          <cell r="C4176"/>
          <cell r="E4176"/>
          <cell r="F4176"/>
          <cell r="G4176"/>
          <cell r="H4176"/>
          <cell r="J4176"/>
          <cell r="L4176"/>
          <cell r="M4176"/>
        </row>
        <row r="4177">
          <cell r="B4177"/>
          <cell r="C4177"/>
          <cell r="E4177"/>
          <cell r="F4177"/>
          <cell r="G4177"/>
          <cell r="H4177"/>
          <cell r="J4177"/>
          <cell r="L4177"/>
          <cell r="M4177"/>
        </row>
        <row r="4178">
          <cell r="B4178"/>
          <cell r="C4178"/>
          <cell r="E4178"/>
          <cell r="F4178"/>
          <cell r="G4178"/>
          <cell r="H4178"/>
          <cell r="J4178"/>
          <cell r="L4178"/>
          <cell r="M4178"/>
        </row>
        <row r="4179">
          <cell r="B4179"/>
          <cell r="C4179"/>
          <cell r="E4179"/>
          <cell r="F4179"/>
          <cell r="G4179"/>
          <cell r="H4179"/>
          <cell r="J4179"/>
          <cell r="L4179"/>
          <cell r="M4179"/>
        </row>
        <row r="4180">
          <cell r="B4180"/>
          <cell r="C4180"/>
          <cell r="E4180"/>
          <cell r="F4180"/>
          <cell r="G4180"/>
          <cell r="H4180"/>
          <cell r="J4180"/>
          <cell r="L4180"/>
          <cell r="M4180"/>
        </row>
        <row r="4181">
          <cell r="B4181"/>
          <cell r="C4181"/>
          <cell r="E4181"/>
          <cell r="F4181"/>
          <cell r="G4181"/>
          <cell r="H4181"/>
          <cell r="J4181"/>
          <cell r="L4181"/>
          <cell r="M4181"/>
        </row>
        <row r="4182">
          <cell r="B4182"/>
          <cell r="C4182"/>
          <cell r="E4182"/>
          <cell r="F4182"/>
          <cell r="G4182"/>
          <cell r="H4182"/>
          <cell r="J4182"/>
          <cell r="L4182"/>
          <cell r="M4182"/>
        </row>
        <row r="4183">
          <cell r="B4183"/>
          <cell r="C4183"/>
          <cell r="E4183"/>
          <cell r="F4183"/>
          <cell r="G4183"/>
          <cell r="H4183"/>
          <cell r="J4183"/>
          <cell r="L4183"/>
          <cell r="M4183"/>
        </row>
        <row r="4184">
          <cell r="B4184"/>
          <cell r="C4184"/>
          <cell r="E4184"/>
          <cell r="F4184"/>
          <cell r="G4184"/>
          <cell r="H4184"/>
          <cell r="J4184"/>
          <cell r="L4184"/>
          <cell r="M4184"/>
        </row>
        <row r="4185">
          <cell r="B4185"/>
          <cell r="C4185"/>
          <cell r="E4185"/>
          <cell r="F4185"/>
          <cell r="G4185"/>
          <cell r="H4185"/>
          <cell r="J4185"/>
          <cell r="L4185"/>
          <cell r="M4185"/>
        </row>
        <row r="4186">
          <cell r="B4186"/>
          <cell r="C4186"/>
          <cell r="E4186"/>
          <cell r="F4186"/>
          <cell r="G4186"/>
          <cell r="H4186"/>
          <cell r="J4186"/>
          <cell r="L4186"/>
          <cell r="M4186"/>
        </row>
        <row r="4187">
          <cell r="B4187"/>
          <cell r="C4187"/>
          <cell r="E4187"/>
          <cell r="F4187"/>
          <cell r="G4187"/>
          <cell r="H4187"/>
          <cell r="J4187"/>
          <cell r="L4187"/>
          <cell r="M4187"/>
        </row>
        <row r="4188">
          <cell r="B4188"/>
          <cell r="C4188"/>
          <cell r="E4188"/>
          <cell r="F4188"/>
          <cell r="G4188"/>
          <cell r="H4188"/>
          <cell r="J4188"/>
          <cell r="L4188"/>
          <cell r="M4188"/>
        </row>
        <row r="4189">
          <cell r="B4189"/>
          <cell r="C4189"/>
          <cell r="E4189"/>
          <cell r="F4189"/>
          <cell r="G4189"/>
          <cell r="H4189"/>
          <cell r="J4189"/>
          <cell r="L4189"/>
          <cell r="M4189"/>
        </row>
        <row r="4190">
          <cell r="B4190"/>
          <cell r="C4190"/>
          <cell r="E4190"/>
          <cell r="F4190"/>
          <cell r="G4190"/>
          <cell r="H4190"/>
          <cell r="J4190"/>
          <cell r="L4190"/>
          <cell r="M4190"/>
        </row>
        <row r="4191">
          <cell r="B4191"/>
          <cell r="C4191"/>
          <cell r="E4191"/>
          <cell r="F4191"/>
          <cell r="G4191"/>
          <cell r="H4191"/>
          <cell r="J4191"/>
          <cell r="L4191"/>
          <cell r="M4191"/>
        </row>
        <row r="4192">
          <cell r="B4192"/>
          <cell r="C4192"/>
          <cell r="E4192"/>
          <cell r="F4192"/>
          <cell r="G4192"/>
          <cell r="H4192"/>
          <cell r="J4192"/>
          <cell r="L4192"/>
          <cell r="M4192"/>
        </row>
        <row r="4193">
          <cell r="B4193"/>
          <cell r="C4193"/>
          <cell r="E4193"/>
          <cell r="F4193"/>
          <cell r="G4193"/>
          <cell r="H4193"/>
          <cell r="J4193"/>
          <cell r="L4193"/>
          <cell r="M4193"/>
        </row>
        <row r="4194">
          <cell r="B4194"/>
          <cell r="C4194"/>
          <cell r="E4194"/>
          <cell r="F4194"/>
          <cell r="G4194"/>
          <cell r="H4194"/>
          <cell r="J4194"/>
          <cell r="L4194"/>
          <cell r="M4194"/>
        </row>
        <row r="4195">
          <cell r="B4195"/>
          <cell r="C4195"/>
          <cell r="E4195"/>
          <cell r="F4195"/>
          <cell r="G4195"/>
          <cell r="H4195"/>
          <cell r="J4195"/>
          <cell r="L4195"/>
          <cell r="M4195"/>
        </row>
        <row r="4196">
          <cell r="B4196"/>
          <cell r="C4196"/>
          <cell r="E4196"/>
          <cell r="F4196"/>
          <cell r="G4196"/>
          <cell r="H4196"/>
          <cell r="J4196"/>
          <cell r="L4196"/>
          <cell r="M4196"/>
        </row>
        <row r="4197">
          <cell r="B4197"/>
          <cell r="C4197"/>
          <cell r="E4197"/>
          <cell r="F4197"/>
          <cell r="G4197"/>
          <cell r="H4197"/>
          <cell r="J4197"/>
          <cell r="L4197"/>
          <cell r="M4197"/>
        </row>
        <row r="4198">
          <cell r="B4198"/>
          <cell r="C4198"/>
          <cell r="E4198"/>
          <cell r="F4198"/>
          <cell r="G4198"/>
          <cell r="H4198"/>
          <cell r="J4198"/>
          <cell r="L4198"/>
          <cell r="M4198"/>
        </row>
        <row r="4199">
          <cell r="B4199"/>
          <cell r="C4199"/>
          <cell r="E4199"/>
          <cell r="F4199"/>
          <cell r="G4199"/>
          <cell r="H4199"/>
          <cell r="J4199"/>
          <cell r="L4199"/>
          <cell r="M4199"/>
        </row>
        <row r="4200">
          <cell r="B4200"/>
          <cell r="C4200"/>
          <cell r="E4200"/>
          <cell r="F4200"/>
          <cell r="G4200"/>
          <cell r="H4200"/>
          <cell r="J4200"/>
          <cell r="L4200"/>
          <cell r="M4200"/>
        </row>
        <row r="4201">
          <cell r="B4201"/>
          <cell r="C4201"/>
          <cell r="E4201"/>
          <cell r="F4201"/>
          <cell r="G4201"/>
          <cell r="H4201"/>
          <cell r="J4201"/>
          <cell r="L4201"/>
          <cell r="M4201"/>
        </row>
        <row r="4202">
          <cell r="B4202"/>
          <cell r="C4202"/>
          <cell r="E4202"/>
          <cell r="F4202"/>
          <cell r="G4202"/>
          <cell r="H4202"/>
          <cell r="J4202"/>
          <cell r="L4202"/>
          <cell r="M4202"/>
        </row>
        <row r="4203">
          <cell r="B4203"/>
          <cell r="C4203"/>
          <cell r="E4203"/>
          <cell r="F4203"/>
          <cell r="G4203"/>
          <cell r="H4203"/>
          <cell r="J4203"/>
          <cell r="L4203"/>
          <cell r="M4203"/>
        </row>
        <row r="4204">
          <cell r="B4204"/>
          <cell r="C4204"/>
          <cell r="E4204"/>
          <cell r="F4204"/>
          <cell r="G4204"/>
          <cell r="H4204"/>
          <cell r="J4204"/>
          <cell r="L4204"/>
          <cell r="M4204"/>
        </row>
        <row r="4205">
          <cell r="B4205"/>
          <cell r="C4205"/>
          <cell r="E4205"/>
          <cell r="F4205"/>
          <cell r="G4205"/>
          <cell r="H4205"/>
          <cell r="J4205"/>
          <cell r="L4205"/>
          <cell r="M4205"/>
        </row>
        <row r="4206">
          <cell r="B4206"/>
          <cell r="C4206"/>
          <cell r="E4206"/>
          <cell r="F4206"/>
          <cell r="G4206"/>
          <cell r="H4206"/>
          <cell r="J4206"/>
          <cell r="L4206"/>
          <cell r="M4206"/>
        </row>
        <row r="4207">
          <cell r="B4207"/>
          <cell r="C4207"/>
          <cell r="E4207"/>
          <cell r="F4207"/>
          <cell r="G4207"/>
          <cell r="H4207"/>
          <cell r="J4207"/>
          <cell r="L4207"/>
          <cell r="M4207"/>
        </row>
        <row r="4208">
          <cell r="B4208"/>
          <cell r="C4208"/>
          <cell r="E4208"/>
          <cell r="F4208"/>
          <cell r="G4208"/>
          <cell r="H4208"/>
          <cell r="J4208"/>
          <cell r="L4208"/>
          <cell r="M4208"/>
        </row>
        <row r="4209">
          <cell r="B4209"/>
          <cell r="C4209"/>
          <cell r="E4209"/>
          <cell r="F4209"/>
          <cell r="G4209"/>
          <cell r="H4209"/>
          <cell r="J4209"/>
          <cell r="L4209"/>
          <cell r="M4209"/>
        </row>
        <row r="4210">
          <cell r="B4210"/>
          <cell r="C4210"/>
          <cell r="E4210"/>
          <cell r="F4210"/>
          <cell r="G4210"/>
          <cell r="H4210"/>
          <cell r="J4210"/>
          <cell r="L4210"/>
          <cell r="M4210"/>
        </row>
        <row r="4211">
          <cell r="B4211"/>
          <cell r="C4211"/>
          <cell r="E4211"/>
          <cell r="F4211"/>
          <cell r="G4211"/>
          <cell r="H4211"/>
          <cell r="J4211"/>
          <cell r="L4211"/>
          <cell r="M4211"/>
        </row>
        <row r="4212">
          <cell r="B4212"/>
          <cell r="C4212"/>
          <cell r="E4212"/>
          <cell r="F4212"/>
          <cell r="G4212"/>
          <cell r="H4212"/>
          <cell r="J4212"/>
          <cell r="L4212"/>
          <cell r="M4212"/>
        </row>
        <row r="4213">
          <cell r="B4213"/>
          <cell r="C4213"/>
          <cell r="E4213"/>
          <cell r="F4213"/>
          <cell r="G4213"/>
          <cell r="H4213"/>
          <cell r="J4213"/>
          <cell r="L4213"/>
          <cell r="M4213"/>
        </row>
        <row r="4214">
          <cell r="B4214"/>
          <cell r="C4214"/>
          <cell r="E4214"/>
          <cell r="F4214"/>
          <cell r="G4214"/>
          <cell r="H4214"/>
          <cell r="J4214"/>
          <cell r="L4214"/>
          <cell r="M4214"/>
        </row>
        <row r="4215">
          <cell r="B4215"/>
          <cell r="C4215"/>
          <cell r="E4215"/>
          <cell r="F4215"/>
          <cell r="G4215"/>
          <cell r="H4215"/>
          <cell r="J4215"/>
          <cell r="L4215"/>
          <cell r="M4215"/>
        </row>
        <row r="4216">
          <cell r="B4216"/>
          <cell r="C4216"/>
          <cell r="E4216"/>
          <cell r="F4216"/>
          <cell r="G4216"/>
          <cell r="H4216"/>
          <cell r="J4216"/>
          <cell r="L4216"/>
          <cell r="M4216"/>
        </row>
        <row r="4217">
          <cell r="B4217"/>
          <cell r="C4217"/>
          <cell r="E4217"/>
          <cell r="F4217"/>
          <cell r="G4217"/>
          <cell r="H4217"/>
          <cell r="J4217"/>
          <cell r="L4217"/>
          <cell r="M4217"/>
        </row>
        <row r="4218">
          <cell r="B4218"/>
          <cell r="C4218"/>
          <cell r="E4218"/>
          <cell r="F4218"/>
          <cell r="G4218"/>
          <cell r="H4218"/>
          <cell r="J4218"/>
          <cell r="L4218"/>
          <cell r="M4218"/>
        </row>
        <row r="4219">
          <cell r="B4219"/>
          <cell r="C4219"/>
          <cell r="E4219"/>
          <cell r="F4219"/>
          <cell r="G4219"/>
          <cell r="H4219"/>
          <cell r="J4219"/>
          <cell r="L4219"/>
          <cell r="M4219"/>
        </row>
        <row r="4220">
          <cell r="B4220"/>
          <cell r="C4220"/>
          <cell r="E4220"/>
          <cell r="F4220"/>
          <cell r="G4220"/>
          <cell r="H4220"/>
          <cell r="J4220"/>
          <cell r="L4220"/>
          <cell r="M4220"/>
        </row>
        <row r="4221">
          <cell r="B4221"/>
          <cell r="C4221"/>
          <cell r="E4221"/>
          <cell r="F4221"/>
          <cell r="G4221"/>
          <cell r="H4221"/>
          <cell r="J4221"/>
          <cell r="L4221"/>
          <cell r="M4221"/>
        </row>
        <row r="4222">
          <cell r="B4222"/>
          <cell r="C4222"/>
          <cell r="E4222"/>
          <cell r="F4222"/>
          <cell r="G4222"/>
          <cell r="H4222"/>
          <cell r="J4222"/>
          <cell r="L4222"/>
          <cell r="M4222"/>
        </row>
        <row r="4223">
          <cell r="B4223"/>
          <cell r="C4223"/>
          <cell r="E4223"/>
          <cell r="F4223"/>
          <cell r="G4223"/>
          <cell r="H4223"/>
          <cell r="J4223"/>
          <cell r="L4223"/>
          <cell r="M4223"/>
        </row>
        <row r="4224">
          <cell r="B4224"/>
          <cell r="C4224"/>
          <cell r="E4224"/>
          <cell r="F4224"/>
          <cell r="G4224"/>
          <cell r="H4224"/>
          <cell r="J4224"/>
          <cell r="L4224"/>
          <cell r="M4224"/>
        </row>
        <row r="4225">
          <cell r="B4225"/>
          <cell r="C4225"/>
          <cell r="E4225"/>
          <cell r="F4225"/>
          <cell r="G4225"/>
          <cell r="H4225"/>
          <cell r="J4225"/>
          <cell r="L4225"/>
          <cell r="M4225"/>
        </row>
        <row r="4226">
          <cell r="B4226"/>
          <cell r="C4226"/>
          <cell r="E4226"/>
          <cell r="F4226"/>
          <cell r="G4226"/>
          <cell r="H4226"/>
          <cell r="J4226"/>
          <cell r="L4226"/>
          <cell r="M4226"/>
        </row>
        <row r="4227">
          <cell r="B4227"/>
          <cell r="C4227"/>
          <cell r="E4227"/>
          <cell r="F4227"/>
          <cell r="G4227"/>
          <cell r="H4227"/>
          <cell r="J4227"/>
          <cell r="L4227"/>
          <cell r="M4227"/>
        </row>
        <row r="4228">
          <cell r="B4228"/>
          <cell r="C4228"/>
          <cell r="E4228"/>
          <cell r="F4228"/>
          <cell r="G4228"/>
          <cell r="H4228"/>
          <cell r="J4228"/>
          <cell r="L4228"/>
          <cell r="M4228"/>
        </row>
        <row r="4229">
          <cell r="B4229"/>
          <cell r="C4229"/>
          <cell r="E4229"/>
          <cell r="F4229"/>
          <cell r="G4229"/>
          <cell r="H4229"/>
          <cell r="J4229"/>
          <cell r="L4229"/>
          <cell r="M4229"/>
        </row>
        <row r="4230">
          <cell r="B4230"/>
          <cell r="C4230"/>
          <cell r="E4230"/>
          <cell r="F4230"/>
          <cell r="G4230"/>
          <cell r="H4230"/>
          <cell r="J4230"/>
          <cell r="L4230"/>
          <cell r="M4230"/>
        </row>
        <row r="4231">
          <cell r="B4231"/>
          <cell r="C4231"/>
          <cell r="E4231"/>
          <cell r="F4231"/>
          <cell r="G4231"/>
          <cell r="H4231"/>
          <cell r="J4231"/>
          <cell r="L4231"/>
          <cell r="M4231"/>
        </row>
        <row r="4232">
          <cell r="B4232"/>
          <cell r="C4232"/>
          <cell r="E4232"/>
          <cell r="F4232"/>
          <cell r="G4232"/>
          <cell r="H4232"/>
          <cell r="J4232"/>
          <cell r="L4232"/>
          <cell r="M4232"/>
        </row>
        <row r="4233">
          <cell r="B4233"/>
          <cell r="C4233"/>
          <cell r="E4233"/>
          <cell r="F4233"/>
          <cell r="G4233"/>
          <cell r="H4233"/>
          <cell r="J4233"/>
          <cell r="L4233"/>
          <cell r="M4233"/>
        </row>
        <row r="4234">
          <cell r="B4234"/>
          <cell r="C4234"/>
          <cell r="E4234"/>
          <cell r="F4234"/>
          <cell r="G4234"/>
          <cell r="H4234"/>
          <cell r="J4234"/>
          <cell r="L4234"/>
          <cell r="M4234"/>
        </row>
        <row r="4235">
          <cell r="B4235"/>
          <cell r="C4235"/>
          <cell r="E4235"/>
          <cell r="F4235"/>
          <cell r="G4235"/>
          <cell r="H4235"/>
          <cell r="J4235"/>
          <cell r="L4235"/>
          <cell r="M4235"/>
        </row>
        <row r="4236">
          <cell r="B4236"/>
          <cell r="C4236"/>
          <cell r="E4236"/>
          <cell r="F4236"/>
          <cell r="G4236"/>
          <cell r="H4236"/>
          <cell r="J4236"/>
          <cell r="L4236"/>
          <cell r="M4236"/>
        </row>
        <row r="4237">
          <cell r="B4237"/>
          <cell r="C4237"/>
          <cell r="E4237"/>
          <cell r="F4237"/>
          <cell r="G4237"/>
          <cell r="H4237"/>
          <cell r="J4237"/>
          <cell r="L4237"/>
          <cell r="M4237"/>
        </row>
        <row r="4238">
          <cell r="B4238"/>
          <cell r="C4238"/>
          <cell r="E4238"/>
          <cell r="F4238"/>
          <cell r="G4238"/>
          <cell r="H4238"/>
          <cell r="J4238"/>
          <cell r="L4238"/>
          <cell r="M4238"/>
        </row>
        <row r="4239">
          <cell r="B4239"/>
          <cell r="C4239"/>
          <cell r="E4239"/>
          <cell r="F4239"/>
          <cell r="G4239"/>
          <cell r="H4239"/>
          <cell r="J4239"/>
          <cell r="L4239"/>
          <cell r="M4239"/>
        </row>
        <row r="4240">
          <cell r="B4240"/>
          <cell r="C4240"/>
          <cell r="E4240"/>
          <cell r="F4240"/>
          <cell r="G4240"/>
          <cell r="H4240"/>
          <cell r="J4240"/>
          <cell r="L4240"/>
          <cell r="M4240"/>
        </row>
        <row r="4241">
          <cell r="B4241"/>
          <cell r="C4241"/>
          <cell r="E4241"/>
          <cell r="F4241"/>
          <cell r="G4241"/>
          <cell r="H4241"/>
          <cell r="J4241"/>
          <cell r="L4241"/>
          <cell r="M4241"/>
        </row>
        <row r="4242">
          <cell r="B4242"/>
          <cell r="C4242"/>
          <cell r="E4242"/>
          <cell r="F4242"/>
          <cell r="G4242"/>
          <cell r="H4242"/>
          <cell r="J4242"/>
          <cell r="L4242"/>
          <cell r="M4242"/>
        </row>
        <row r="4243">
          <cell r="B4243"/>
          <cell r="C4243"/>
          <cell r="E4243"/>
          <cell r="F4243"/>
          <cell r="G4243"/>
          <cell r="H4243"/>
          <cell r="J4243"/>
          <cell r="L4243"/>
          <cell r="M4243"/>
        </row>
        <row r="4244">
          <cell r="B4244"/>
          <cell r="C4244"/>
          <cell r="E4244"/>
          <cell r="F4244"/>
          <cell r="G4244"/>
          <cell r="H4244"/>
          <cell r="J4244"/>
          <cell r="L4244"/>
          <cell r="M4244"/>
        </row>
        <row r="4245">
          <cell r="B4245"/>
          <cell r="C4245"/>
          <cell r="E4245"/>
          <cell r="F4245"/>
          <cell r="G4245"/>
          <cell r="H4245"/>
          <cell r="J4245"/>
          <cell r="L4245"/>
          <cell r="M4245"/>
        </row>
        <row r="4246">
          <cell r="B4246"/>
          <cell r="C4246"/>
          <cell r="E4246"/>
          <cell r="F4246"/>
          <cell r="G4246"/>
          <cell r="H4246"/>
          <cell r="J4246"/>
          <cell r="L4246"/>
          <cell r="M4246"/>
        </row>
        <row r="4247">
          <cell r="B4247"/>
          <cell r="C4247"/>
          <cell r="E4247"/>
          <cell r="F4247"/>
          <cell r="G4247"/>
          <cell r="H4247"/>
          <cell r="J4247"/>
          <cell r="L4247"/>
          <cell r="M4247"/>
        </row>
        <row r="4248">
          <cell r="B4248"/>
          <cell r="C4248"/>
          <cell r="E4248"/>
          <cell r="F4248"/>
          <cell r="G4248"/>
          <cell r="H4248"/>
          <cell r="J4248"/>
          <cell r="L4248"/>
          <cell r="M4248"/>
        </row>
        <row r="4249">
          <cell r="B4249"/>
          <cell r="C4249"/>
          <cell r="E4249"/>
          <cell r="F4249"/>
          <cell r="G4249"/>
          <cell r="H4249"/>
          <cell r="J4249"/>
          <cell r="L4249"/>
          <cell r="M4249"/>
        </row>
        <row r="4250">
          <cell r="B4250"/>
          <cell r="C4250"/>
          <cell r="E4250"/>
          <cell r="F4250"/>
          <cell r="G4250"/>
          <cell r="H4250"/>
          <cell r="J4250"/>
          <cell r="L4250"/>
          <cell r="M4250"/>
        </row>
        <row r="4251">
          <cell r="B4251"/>
          <cell r="C4251"/>
          <cell r="E4251"/>
          <cell r="F4251"/>
          <cell r="G4251"/>
          <cell r="H4251"/>
          <cell r="J4251"/>
          <cell r="L4251"/>
          <cell r="M4251"/>
        </row>
        <row r="4252">
          <cell r="B4252"/>
          <cell r="C4252"/>
          <cell r="E4252"/>
          <cell r="F4252"/>
          <cell r="G4252"/>
          <cell r="H4252"/>
          <cell r="J4252"/>
          <cell r="L4252"/>
          <cell r="M4252"/>
        </row>
        <row r="4253">
          <cell r="B4253"/>
          <cell r="C4253"/>
          <cell r="E4253"/>
          <cell r="F4253"/>
          <cell r="G4253"/>
          <cell r="H4253"/>
          <cell r="J4253"/>
          <cell r="L4253"/>
          <cell r="M4253"/>
        </row>
        <row r="4254">
          <cell r="B4254"/>
          <cell r="C4254"/>
          <cell r="E4254"/>
          <cell r="F4254"/>
          <cell r="G4254"/>
          <cell r="H4254"/>
          <cell r="J4254"/>
          <cell r="L4254"/>
          <cell r="M4254"/>
        </row>
        <row r="4255">
          <cell r="B4255"/>
          <cell r="C4255"/>
          <cell r="E4255"/>
          <cell r="F4255"/>
          <cell r="G4255"/>
          <cell r="H4255"/>
          <cell r="J4255"/>
          <cell r="L4255"/>
          <cell r="M4255"/>
        </row>
        <row r="4256">
          <cell r="B4256"/>
          <cell r="C4256"/>
          <cell r="E4256"/>
          <cell r="F4256"/>
          <cell r="G4256"/>
          <cell r="H4256"/>
          <cell r="J4256"/>
          <cell r="L4256"/>
          <cell r="M4256"/>
        </row>
        <row r="4257">
          <cell r="B4257"/>
          <cell r="C4257"/>
          <cell r="E4257"/>
          <cell r="F4257"/>
          <cell r="G4257"/>
          <cell r="H4257"/>
          <cell r="J4257"/>
          <cell r="L4257"/>
          <cell r="M4257"/>
        </row>
        <row r="4258">
          <cell r="B4258"/>
          <cell r="C4258"/>
          <cell r="E4258"/>
          <cell r="F4258"/>
          <cell r="G4258"/>
          <cell r="H4258"/>
          <cell r="J4258"/>
          <cell r="L4258"/>
          <cell r="M4258"/>
        </row>
        <row r="4259">
          <cell r="B4259"/>
          <cell r="C4259"/>
          <cell r="E4259"/>
          <cell r="F4259"/>
          <cell r="G4259"/>
          <cell r="H4259"/>
          <cell r="J4259"/>
          <cell r="L4259"/>
          <cell r="M4259"/>
        </row>
        <row r="4260">
          <cell r="B4260"/>
          <cell r="C4260"/>
          <cell r="E4260"/>
          <cell r="F4260"/>
          <cell r="G4260"/>
          <cell r="H4260"/>
          <cell r="J4260"/>
          <cell r="L4260"/>
          <cell r="M4260"/>
        </row>
        <row r="4261">
          <cell r="B4261"/>
          <cell r="C4261"/>
          <cell r="E4261"/>
          <cell r="F4261"/>
          <cell r="G4261"/>
          <cell r="H4261"/>
          <cell r="J4261"/>
          <cell r="L4261"/>
          <cell r="M4261"/>
        </row>
        <row r="4262">
          <cell r="B4262"/>
          <cell r="C4262"/>
          <cell r="E4262"/>
          <cell r="F4262"/>
          <cell r="G4262"/>
          <cell r="H4262"/>
          <cell r="J4262"/>
          <cell r="L4262"/>
          <cell r="M4262"/>
        </row>
        <row r="4263">
          <cell r="B4263"/>
          <cell r="C4263"/>
          <cell r="E4263"/>
          <cell r="F4263"/>
          <cell r="G4263"/>
          <cell r="H4263"/>
          <cell r="J4263"/>
          <cell r="L4263"/>
          <cell r="M4263"/>
        </row>
        <row r="4264">
          <cell r="B4264"/>
          <cell r="C4264"/>
          <cell r="E4264"/>
          <cell r="F4264"/>
          <cell r="G4264"/>
          <cell r="H4264"/>
          <cell r="J4264"/>
          <cell r="L4264"/>
          <cell r="M4264"/>
        </row>
        <row r="4265">
          <cell r="B4265"/>
          <cell r="C4265"/>
          <cell r="E4265"/>
          <cell r="F4265"/>
          <cell r="G4265"/>
          <cell r="H4265"/>
          <cell r="J4265"/>
          <cell r="L4265"/>
          <cell r="M4265"/>
        </row>
        <row r="4266">
          <cell r="B4266"/>
          <cell r="C4266"/>
          <cell r="E4266"/>
          <cell r="F4266"/>
          <cell r="G4266"/>
          <cell r="H4266"/>
          <cell r="J4266"/>
          <cell r="L4266"/>
          <cell r="M4266"/>
        </row>
        <row r="4267">
          <cell r="B4267"/>
          <cell r="C4267"/>
          <cell r="E4267"/>
          <cell r="F4267"/>
          <cell r="G4267"/>
          <cell r="H4267"/>
          <cell r="J4267"/>
          <cell r="L4267"/>
          <cell r="M4267"/>
        </row>
        <row r="4268">
          <cell r="B4268"/>
          <cell r="C4268"/>
          <cell r="E4268"/>
          <cell r="F4268"/>
          <cell r="G4268"/>
          <cell r="H4268"/>
          <cell r="J4268"/>
          <cell r="L4268"/>
          <cell r="M4268"/>
        </row>
        <row r="4269">
          <cell r="B4269"/>
          <cell r="C4269"/>
          <cell r="E4269"/>
          <cell r="F4269"/>
          <cell r="G4269"/>
          <cell r="H4269"/>
          <cell r="J4269"/>
          <cell r="L4269"/>
          <cell r="M4269"/>
        </row>
        <row r="4270">
          <cell r="B4270"/>
          <cell r="C4270"/>
          <cell r="E4270"/>
          <cell r="F4270"/>
          <cell r="G4270"/>
          <cell r="H4270"/>
          <cell r="J4270"/>
          <cell r="L4270"/>
          <cell r="M4270"/>
        </row>
        <row r="4271">
          <cell r="B4271"/>
          <cell r="C4271"/>
          <cell r="E4271"/>
          <cell r="F4271"/>
          <cell r="G4271"/>
          <cell r="H4271"/>
          <cell r="J4271"/>
          <cell r="L4271"/>
          <cell r="M4271"/>
        </row>
        <row r="4272">
          <cell r="B4272"/>
          <cell r="C4272"/>
          <cell r="E4272"/>
          <cell r="F4272"/>
          <cell r="G4272"/>
          <cell r="H4272"/>
          <cell r="J4272"/>
          <cell r="L4272"/>
          <cell r="M4272"/>
        </row>
        <row r="4273">
          <cell r="B4273"/>
          <cell r="C4273"/>
          <cell r="E4273"/>
          <cell r="F4273"/>
          <cell r="G4273"/>
          <cell r="H4273"/>
          <cell r="J4273"/>
          <cell r="L4273"/>
          <cell r="M4273"/>
        </row>
        <row r="4274">
          <cell r="B4274"/>
          <cell r="C4274"/>
          <cell r="E4274"/>
          <cell r="F4274"/>
          <cell r="G4274"/>
          <cell r="H4274"/>
          <cell r="J4274"/>
          <cell r="L4274"/>
          <cell r="M4274"/>
        </row>
        <row r="4275">
          <cell r="B4275"/>
          <cell r="C4275"/>
          <cell r="E4275"/>
          <cell r="F4275"/>
          <cell r="G4275"/>
          <cell r="H4275"/>
          <cell r="J4275"/>
          <cell r="L4275"/>
          <cell r="M4275"/>
        </row>
        <row r="4276">
          <cell r="B4276"/>
          <cell r="C4276"/>
          <cell r="E4276"/>
          <cell r="F4276"/>
          <cell r="G4276"/>
          <cell r="H4276"/>
          <cell r="J4276"/>
          <cell r="L4276"/>
          <cell r="M4276"/>
        </row>
        <row r="4277">
          <cell r="B4277"/>
          <cell r="C4277"/>
          <cell r="E4277"/>
          <cell r="F4277"/>
          <cell r="G4277"/>
          <cell r="H4277"/>
          <cell r="J4277"/>
          <cell r="L4277"/>
          <cell r="M4277"/>
        </row>
        <row r="4278">
          <cell r="B4278"/>
          <cell r="C4278"/>
          <cell r="E4278"/>
          <cell r="F4278"/>
          <cell r="G4278"/>
          <cell r="H4278"/>
          <cell r="J4278"/>
          <cell r="L4278"/>
          <cell r="M4278"/>
        </row>
        <row r="4279">
          <cell r="B4279"/>
          <cell r="C4279"/>
          <cell r="E4279"/>
          <cell r="F4279"/>
          <cell r="G4279"/>
          <cell r="H4279"/>
          <cell r="J4279"/>
          <cell r="L4279"/>
          <cell r="M4279"/>
        </row>
        <row r="4280">
          <cell r="B4280"/>
          <cell r="C4280"/>
          <cell r="E4280"/>
          <cell r="F4280"/>
          <cell r="G4280"/>
          <cell r="H4280"/>
          <cell r="J4280"/>
          <cell r="L4280"/>
          <cell r="M4280"/>
        </row>
        <row r="4281">
          <cell r="B4281"/>
          <cell r="C4281"/>
          <cell r="E4281"/>
          <cell r="F4281"/>
          <cell r="G4281"/>
          <cell r="H4281"/>
          <cell r="J4281"/>
          <cell r="L4281"/>
          <cell r="M4281"/>
        </row>
        <row r="4282">
          <cell r="B4282"/>
          <cell r="C4282"/>
          <cell r="E4282"/>
          <cell r="F4282"/>
          <cell r="G4282"/>
          <cell r="H4282"/>
          <cell r="J4282"/>
          <cell r="L4282"/>
          <cell r="M4282"/>
        </row>
        <row r="4283">
          <cell r="B4283"/>
          <cell r="C4283"/>
          <cell r="E4283"/>
          <cell r="F4283"/>
          <cell r="G4283"/>
          <cell r="H4283"/>
          <cell r="J4283"/>
          <cell r="L4283"/>
          <cell r="M4283"/>
        </row>
        <row r="4284">
          <cell r="B4284"/>
          <cell r="C4284"/>
          <cell r="E4284"/>
          <cell r="F4284"/>
          <cell r="G4284"/>
          <cell r="H4284"/>
          <cell r="J4284"/>
          <cell r="L4284"/>
          <cell r="M4284"/>
        </row>
        <row r="4285">
          <cell r="B4285"/>
          <cell r="C4285"/>
          <cell r="E4285"/>
          <cell r="F4285"/>
          <cell r="G4285"/>
          <cell r="H4285"/>
          <cell r="J4285"/>
          <cell r="L4285"/>
          <cell r="M4285"/>
        </row>
        <row r="4286">
          <cell r="B4286"/>
          <cell r="C4286"/>
          <cell r="E4286"/>
          <cell r="F4286"/>
          <cell r="G4286"/>
          <cell r="H4286"/>
          <cell r="J4286"/>
          <cell r="L4286"/>
          <cell r="M4286"/>
        </row>
        <row r="4287">
          <cell r="B4287"/>
          <cell r="C4287"/>
          <cell r="E4287"/>
          <cell r="F4287"/>
          <cell r="G4287"/>
          <cell r="H4287"/>
          <cell r="J4287"/>
          <cell r="L4287"/>
          <cell r="M4287"/>
        </row>
        <row r="4288">
          <cell r="B4288"/>
          <cell r="C4288"/>
          <cell r="E4288"/>
          <cell r="F4288"/>
          <cell r="G4288"/>
          <cell r="H4288"/>
          <cell r="J4288"/>
          <cell r="L4288"/>
          <cell r="M4288"/>
        </row>
        <row r="4289">
          <cell r="B4289"/>
          <cell r="C4289"/>
          <cell r="E4289"/>
          <cell r="F4289"/>
          <cell r="G4289"/>
          <cell r="H4289"/>
          <cell r="J4289"/>
          <cell r="L4289"/>
          <cell r="M4289"/>
        </row>
        <row r="4290">
          <cell r="B4290"/>
          <cell r="C4290"/>
          <cell r="E4290"/>
          <cell r="F4290"/>
          <cell r="G4290"/>
          <cell r="H4290"/>
          <cell r="J4290"/>
          <cell r="L4290"/>
          <cell r="M4290"/>
        </row>
        <row r="4291">
          <cell r="B4291"/>
          <cell r="C4291"/>
          <cell r="E4291"/>
          <cell r="F4291"/>
          <cell r="G4291"/>
          <cell r="H4291"/>
          <cell r="J4291"/>
          <cell r="L4291"/>
          <cell r="M4291"/>
        </row>
        <row r="4292">
          <cell r="B4292"/>
          <cell r="C4292"/>
          <cell r="E4292"/>
          <cell r="F4292"/>
          <cell r="G4292"/>
          <cell r="H4292"/>
          <cell r="J4292"/>
          <cell r="L4292"/>
          <cell r="M4292"/>
        </row>
        <row r="4293">
          <cell r="B4293"/>
          <cell r="C4293"/>
          <cell r="E4293"/>
          <cell r="F4293"/>
          <cell r="G4293"/>
          <cell r="H4293"/>
          <cell r="J4293"/>
          <cell r="L4293"/>
          <cell r="M4293"/>
        </row>
        <row r="4294">
          <cell r="B4294"/>
          <cell r="C4294"/>
          <cell r="E4294"/>
          <cell r="F4294"/>
          <cell r="G4294"/>
          <cell r="H4294"/>
          <cell r="J4294"/>
          <cell r="L4294"/>
          <cell r="M4294"/>
        </row>
        <row r="4295">
          <cell r="B4295"/>
          <cell r="C4295"/>
          <cell r="E4295"/>
          <cell r="F4295"/>
          <cell r="G4295"/>
          <cell r="H4295"/>
          <cell r="J4295"/>
          <cell r="L4295"/>
          <cell r="M4295"/>
        </row>
        <row r="4296">
          <cell r="B4296"/>
          <cell r="C4296"/>
          <cell r="E4296"/>
          <cell r="F4296"/>
          <cell r="G4296"/>
          <cell r="H4296"/>
          <cell r="J4296"/>
          <cell r="L4296"/>
          <cell r="M4296"/>
        </row>
        <row r="4297">
          <cell r="B4297"/>
          <cell r="C4297"/>
          <cell r="E4297"/>
          <cell r="F4297"/>
          <cell r="G4297"/>
          <cell r="H4297"/>
          <cell r="J4297"/>
          <cell r="L4297"/>
          <cell r="M4297"/>
        </row>
        <row r="4298">
          <cell r="B4298"/>
          <cell r="C4298"/>
          <cell r="E4298"/>
          <cell r="F4298"/>
          <cell r="G4298"/>
          <cell r="H4298"/>
          <cell r="J4298"/>
          <cell r="L4298"/>
          <cell r="M4298"/>
        </row>
        <row r="4299">
          <cell r="B4299"/>
          <cell r="C4299"/>
          <cell r="E4299"/>
          <cell r="F4299"/>
          <cell r="G4299"/>
          <cell r="H4299"/>
          <cell r="J4299"/>
          <cell r="L4299"/>
          <cell r="M4299"/>
        </row>
        <row r="4300">
          <cell r="B4300"/>
          <cell r="C4300"/>
          <cell r="E4300"/>
          <cell r="F4300"/>
          <cell r="G4300"/>
          <cell r="H4300"/>
          <cell r="J4300"/>
          <cell r="L4300"/>
          <cell r="M4300"/>
        </row>
        <row r="4301">
          <cell r="B4301"/>
          <cell r="C4301"/>
          <cell r="E4301"/>
          <cell r="F4301"/>
          <cell r="G4301"/>
          <cell r="H4301"/>
          <cell r="J4301"/>
          <cell r="L4301"/>
          <cell r="M4301"/>
        </row>
        <row r="4302">
          <cell r="B4302"/>
          <cell r="C4302"/>
          <cell r="E4302"/>
          <cell r="F4302"/>
          <cell r="G4302"/>
          <cell r="H4302"/>
          <cell r="J4302"/>
          <cell r="L4302"/>
          <cell r="M4302"/>
        </row>
        <row r="4303">
          <cell r="B4303"/>
          <cell r="C4303"/>
          <cell r="E4303"/>
          <cell r="F4303"/>
          <cell r="G4303"/>
          <cell r="H4303"/>
          <cell r="J4303"/>
          <cell r="L4303"/>
          <cell r="M4303"/>
        </row>
        <row r="4304">
          <cell r="B4304"/>
          <cell r="C4304"/>
          <cell r="E4304"/>
          <cell r="F4304"/>
          <cell r="G4304"/>
          <cell r="H4304"/>
          <cell r="J4304"/>
          <cell r="L4304"/>
          <cell r="M4304"/>
        </row>
        <row r="4305">
          <cell r="B4305"/>
          <cell r="C4305"/>
          <cell r="E4305"/>
          <cell r="F4305"/>
          <cell r="G4305"/>
          <cell r="H4305"/>
          <cell r="J4305"/>
          <cell r="L4305"/>
          <cell r="M4305"/>
        </row>
        <row r="4306">
          <cell r="B4306"/>
          <cell r="C4306"/>
          <cell r="E4306"/>
          <cell r="F4306"/>
          <cell r="G4306"/>
          <cell r="H4306"/>
          <cell r="J4306"/>
          <cell r="L4306"/>
          <cell r="M4306"/>
        </row>
        <row r="4307">
          <cell r="B4307"/>
          <cell r="C4307"/>
          <cell r="E4307"/>
          <cell r="F4307"/>
          <cell r="G4307"/>
          <cell r="H4307"/>
          <cell r="J4307"/>
          <cell r="L4307"/>
          <cell r="M4307"/>
        </row>
        <row r="4308">
          <cell r="B4308"/>
          <cell r="C4308"/>
          <cell r="E4308"/>
          <cell r="F4308"/>
          <cell r="G4308"/>
          <cell r="H4308"/>
          <cell r="J4308"/>
          <cell r="L4308"/>
          <cell r="M4308"/>
        </row>
        <row r="4309">
          <cell r="B4309"/>
          <cell r="C4309"/>
          <cell r="E4309"/>
          <cell r="F4309"/>
          <cell r="G4309"/>
          <cell r="H4309"/>
          <cell r="J4309"/>
          <cell r="L4309"/>
          <cell r="M4309"/>
        </row>
        <row r="4310">
          <cell r="B4310"/>
          <cell r="C4310"/>
          <cell r="E4310"/>
          <cell r="F4310"/>
          <cell r="G4310"/>
          <cell r="H4310"/>
          <cell r="J4310"/>
          <cell r="L4310"/>
          <cell r="M4310"/>
        </row>
        <row r="4311">
          <cell r="B4311"/>
          <cell r="C4311"/>
          <cell r="E4311"/>
          <cell r="F4311"/>
          <cell r="G4311"/>
          <cell r="H4311"/>
          <cell r="J4311"/>
          <cell r="L4311"/>
          <cell r="M4311"/>
        </row>
        <row r="4312">
          <cell r="B4312"/>
          <cell r="C4312"/>
          <cell r="E4312"/>
          <cell r="F4312"/>
          <cell r="G4312"/>
          <cell r="H4312"/>
          <cell r="J4312"/>
          <cell r="L4312"/>
          <cell r="M4312"/>
        </row>
        <row r="4313">
          <cell r="B4313"/>
          <cell r="C4313"/>
          <cell r="E4313"/>
          <cell r="F4313"/>
          <cell r="G4313"/>
          <cell r="H4313"/>
          <cell r="J4313"/>
          <cell r="L4313"/>
          <cell r="M4313"/>
        </row>
        <row r="4314">
          <cell r="B4314"/>
          <cell r="C4314"/>
          <cell r="E4314"/>
          <cell r="F4314"/>
          <cell r="G4314"/>
          <cell r="H4314"/>
          <cell r="J4314"/>
          <cell r="L4314"/>
          <cell r="M4314"/>
        </row>
        <row r="4315">
          <cell r="B4315"/>
          <cell r="C4315"/>
          <cell r="E4315"/>
          <cell r="F4315"/>
          <cell r="G4315"/>
          <cell r="H4315"/>
          <cell r="J4315"/>
          <cell r="L4315"/>
          <cell r="M4315"/>
        </row>
        <row r="4316">
          <cell r="B4316"/>
          <cell r="C4316"/>
          <cell r="E4316"/>
          <cell r="F4316"/>
          <cell r="G4316"/>
          <cell r="H4316"/>
          <cell r="J4316"/>
          <cell r="L4316"/>
          <cell r="M4316"/>
        </row>
        <row r="4317">
          <cell r="B4317"/>
          <cell r="C4317"/>
          <cell r="E4317"/>
          <cell r="F4317"/>
          <cell r="G4317"/>
          <cell r="H4317"/>
          <cell r="J4317"/>
          <cell r="L4317"/>
          <cell r="M4317"/>
        </row>
        <row r="4318">
          <cell r="B4318"/>
          <cell r="C4318"/>
          <cell r="E4318"/>
          <cell r="F4318"/>
          <cell r="G4318"/>
          <cell r="H4318"/>
          <cell r="J4318"/>
          <cell r="L4318"/>
          <cell r="M4318"/>
        </row>
        <row r="4319">
          <cell r="B4319"/>
          <cell r="C4319"/>
          <cell r="E4319"/>
          <cell r="F4319"/>
          <cell r="G4319"/>
          <cell r="H4319"/>
          <cell r="J4319"/>
          <cell r="L4319"/>
          <cell r="M4319"/>
        </row>
        <row r="4320">
          <cell r="B4320"/>
          <cell r="C4320"/>
          <cell r="E4320"/>
          <cell r="F4320"/>
          <cell r="G4320"/>
          <cell r="H4320"/>
          <cell r="J4320"/>
          <cell r="L4320"/>
          <cell r="M4320"/>
        </row>
        <row r="4321">
          <cell r="B4321"/>
          <cell r="C4321"/>
          <cell r="E4321"/>
          <cell r="F4321"/>
          <cell r="G4321"/>
          <cell r="H4321"/>
          <cell r="J4321"/>
          <cell r="L4321"/>
          <cell r="M4321"/>
        </row>
        <row r="4322">
          <cell r="B4322"/>
          <cell r="C4322"/>
          <cell r="E4322"/>
          <cell r="F4322"/>
          <cell r="G4322"/>
          <cell r="H4322"/>
          <cell r="J4322"/>
          <cell r="L4322"/>
          <cell r="M4322"/>
        </row>
        <row r="4323">
          <cell r="B4323"/>
          <cell r="C4323"/>
          <cell r="E4323"/>
          <cell r="F4323"/>
          <cell r="G4323"/>
          <cell r="H4323"/>
          <cell r="J4323"/>
          <cell r="L4323"/>
          <cell r="M4323"/>
        </row>
        <row r="4324">
          <cell r="B4324"/>
          <cell r="C4324"/>
          <cell r="E4324"/>
          <cell r="F4324"/>
          <cell r="G4324"/>
          <cell r="H4324"/>
          <cell r="J4324"/>
          <cell r="L4324"/>
          <cell r="M4324"/>
        </row>
        <row r="4325">
          <cell r="B4325"/>
          <cell r="C4325"/>
          <cell r="E4325"/>
          <cell r="F4325"/>
          <cell r="G4325"/>
          <cell r="H4325"/>
          <cell r="J4325"/>
          <cell r="L4325"/>
          <cell r="M4325"/>
        </row>
        <row r="4326">
          <cell r="B4326"/>
          <cell r="C4326"/>
          <cell r="E4326"/>
          <cell r="F4326"/>
          <cell r="G4326"/>
          <cell r="H4326"/>
          <cell r="J4326"/>
          <cell r="L4326"/>
          <cell r="M4326"/>
        </row>
        <row r="4327">
          <cell r="B4327"/>
          <cell r="C4327"/>
          <cell r="E4327"/>
          <cell r="F4327"/>
          <cell r="G4327"/>
          <cell r="H4327"/>
          <cell r="J4327"/>
          <cell r="L4327"/>
          <cell r="M4327"/>
        </row>
        <row r="4328">
          <cell r="B4328"/>
          <cell r="C4328"/>
          <cell r="E4328"/>
          <cell r="F4328"/>
          <cell r="G4328"/>
          <cell r="H4328"/>
          <cell r="J4328"/>
          <cell r="L4328"/>
          <cell r="M4328"/>
        </row>
        <row r="4329">
          <cell r="B4329"/>
          <cell r="C4329"/>
          <cell r="E4329"/>
          <cell r="F4329"/>
          <cell r="G4329"/>
          <cell r="H4329"/>
          <cell r="J4329"/>
          <cell r="L4329"/>
          <cell r="M4329"/>
        </row>
        <row r="4330">
          <cell r="B4330"/>
          <cell r="C4330"/>
          <cell r="E4330"/>
          <cell r="F4330"/>
          <cell r="G4330"/>
          <cell r="H4330"/>
          <cell r="J4330"/>
          <cell r="L4330"/>
          <cell r="M4330"/>
        </row>
        <row r="4331">
          <cell r="B4331"/>
          <cell r="C4331"/>
          <cell r="E4331"/>
          <cell r="F4331"/>
          <cell r="G4331"/>
          <cell r="H4331"/>
          <cell r="J4331"/>
          <cell r="L4331"/>
          <cell r="M4331"/>
        </row>
        <row r="4332">
          <cell r="B4332"/>
          <cell r="C4332"/>
          <cell r="E4332"/>
          <cell r="F4332"/>
          <cell r="G4332"/>
          <cell r="H4332"/>
          <cell r="J4332"/>
          <cell r="L4332"/>
          <cell r="M4332"/>
        </row>
        <row r="4333">
          <cell r="B4333"/>
          <cell r="C4333"/>
          <cell r="E4333"/>
          <cell r="F4333"/>
          <cell r="G4333"/>
          <cell r="H4333"/>
          <cell r="J4333"/>
          <cell r="L4333"/>
          <cell r="M4333"/>
        </row>
        <row r="4334">
          <cell r="B4334"/>
          <cell r="C4334"/>
          <cell r="E4334"/>
          <cell r="F4334"/>
          <cell r="G4334"/>
          <cell r="H4334"/>
          <cell r="J4334"/>
          <cell r="L4334"/>
          <cell r="M4334"/>
        </row>
        <row r="4335">
          <cell r="B4335"/>
          <cell r="C4335"/>
          <cell r="E4335"/>
          <cell r="F4335"/>
          <cell r="G4335"/>
          <cell r="H4335"/>
          <cell r="J4335"/>
          <cell r="L4335"/>
          <cell r="M4335"/>
        </row>
        <row r="4336">
          <cell r="B4336"/>
          <cell r="C4336"/>
          <cell r="E4336"/>
          <cell r="F4336"/>
          <cell r="G4336"/>
          <cell r="H4336"/>
          <cell r="J4336"/>
          <cell r="L4336"/>
          <cell r="M4336"/>
        </row>
        <row r="4337">
          <cell r="B4337"/>
          <cell r="C4337"/>
          <cell r="E4337"/>
          <cell r="F4337"/>
          <cell r="G4337"/>
          <cell r="H4337"/>
          <cell r="J4337"/>
          <cell r="L4337"/>
          <cell r="M4337"/>
        </row>
        <row r="4338">
          <cell r="B4338"/>
          <cell r="C4338"/>
          <cell r="E4338"/>
          <cell r="F4338"/>
          <cell r="G4338"/>
          <cell r="H4338"/>
          <cell r="J4338"/>
          <cell r="L4338"/>
          <cell r="M4338"/>
        </row>
        <row r="4339">
          <cell r="B4339"/>
          <cell r="C4339"/>
          <cell r="E4339"/>
          <cell r="F4339"/>
          <cell r="G4339"/>
          <cell r="H4339"/>
          <cell r="J4339"/>
          <cell r="L4339"/>
          <cell r="M4339"/>
        </row>
        <row r="4340">
          <cell r="B4340"/>
          <cell r="C4340"/>
          <cell r="E4340"/>
          <cell r="F4340"/>
          <cell r="G4340"/>
          <cell r="H4340"/>
          <cell r="J4340"/>
          <cell r="L4340"/>
          <cell r="M4340"/>
        </row>
        <row r="4341">
          <cell r="B4341"/>
          <cell r="C4341"/>
          <cell r="E4341"/>
          <cell r="F4341"/>
          <cell r="G4341"/>
          <cell r="H4341"/>
          <cell r="J4341"/>
          <cell r="L4341"/>
          <cell r="M4341"/>
        </row>
        <row r="4342">
          <cell r="B4342"/>
          <cell r="C4342"/>
          <cell r="E4342"/>
          <cell r="F4342"/>
          <cell r="G4342"/>
          <cell r="H4342"/>
          <cell r="J4342"/>
          <cell r="L4342"/>
          <cell r="M4342"/>
        </row>
        <row r="4343">
          <cell r="B4343"/>
          <cell r="C4343"/>
          <cell r="E4343"/>
          <cell r="F4343"/>
          <cell r="G4343"/>
          <cell r="H4343"/>
          <cell r="J4343"/>
          <cell r="L4343"/>
          <cell r="M4343"/>
        </row>
        <row r="4344">
          <cell r="B4344"/>
          <cell r="C4344"/>
          <cell r="E4344"/>
          <cell r="F4344"/>
          <cell r="G4344"/>
          <cell r="H4344"/>
          <cell r="J4344"/>
          <cell r="L4344"/>
          <cell r="M4344"/>
        </row>
        <row r="4345">
          <cell r="B4345"/>
          <cell r="C4345"/>
          <cell r="E4345"/>
          <cell r="F4345"/>
          <cell r="G4345"/>
          <cell r="H4345"/>
          <cell r="J4345"/>
          <cell r="L4345"/>
          <cell r="M4345"/>
        </row>
        <row r="4346">
          <cell r="B4346"/>
          <cell r="C4346"/>
          <cell r="E4346"/>
          <cell r="F4346"/>
          <cell r="G4346"/>
          <cell r="H4346"/>
          <cell r="J4346"/>
          <cell r="L4346"/>
          <cell r="M4346"/>
        </row>
        <row r="4347">
          <cell r="B4347"/>
          <cell r="C4347"/>
          <cell r="E4347"/>
          <cell r="F4347"/>
          <cell r="G4347"/>
          <cell r="H4347"/>
          <cell r="J4347"/>
          <cell r="L4347"/>
          <cell r="M4347"/>
        </row>
        <row r="4348">
          <cell r="B4348"/>
          <cell r="C4348"/>
          <cell r="E4348"/>
          <cell r="F4348"/>
          <cell r="G4348"/>
          <cell r="H4348"/>
          <cell r="J4348"/>
          <cell r="L4348"/>
          <cell r="M4348"/>
        </row>
        <row r="4349">
          <cell r="B4349"/>
          <cell r="C4349"/>
          <cell r="E4349"/>
          <cell r="F4349"/>
          <cell r="G4349"/>
          <cell r="H4349"/>
          <cell r="J4349"/>
          <cell r="L4349"/>
          <cell r="M4349"/>
        </row>
        <row r="4350">
          <cell r="B4350"/>
          <cell r="C4350"/>
          <cell r="E4350"/>
          <cell r="F4350"/>
          <cell r="G4350"/>
          <cell r="H4350"/>
          <cell r="J4350"/>
          <cell r="L4350"/>
          <cell r="M4350"/>
        </row>
        <row r="4351">
          <cell r="B4351"/>
          <cell r="C4351"/>
          <cell r="E4351"/>
          <cell r="F4351"/>
          <cell r="G4351"/>
          <cell r="H4351"/>
          <cell r="J4351"/>
          <cell r="L4351"/>
          <cell r="M4351"/>
        </row>
        <row r="4352">
          <cell r="B4352"/>
          <cell r="C4352"/>
          <cell r="E4352"/>
          <cell r="F4352"/>
          <cell r="G4352"/>
          <cell r="H4352"/>
          <cell r="J4352"/>
          <cell r="L4352"/>
          <cell r="M4352"/>
        </row>
        <row r="4353">
          <cell r="B4353"/>
          <cell r="C4353"/>
          <cell r="E4353"/>
          <cell r="F4353"/>
          <cell r="G4353"/>
          <cell r="H4353"/>
          <cell r="J4353"/>
          <cell r="L4353"/>
          <cell r="M4353"/>
        </row>
        <row r="4354">
          <cell r="B4354"/>
          <cell r="C4354"/>
          <cell r="E4354"/>
          <cell r="F4354"/>
          <cell r="G4354"/>
          <cell r="H4354"/>
          <cell r="J4354"/>
          <cell r="L4354"/>
          <cell r="M4354"/>
        </row>
        <row r="4355">
          <cell r="B4355"/>
          <cell r="C4355"/>
          <cell r="E4355"/>
          <cell r="F4355"/>
          <cell r="G4355"/>
          <cell r="H4355"/>
          <cell r="J4355"/>
          <cell r="L4355"/>
          <cell r="M4355"/>
        </row>
        <row r="4356">
          <cell r="B4356"/>
          <cell r="C4356"/>
          <cell r="E4356"/>
          <cell r="F4356"/>
          <cell r="G4356"/>
          <cell r="H4356"/>
          <cell r="J4356"/>
          <cell r="L4356"/>
          <cell r="M4356"/>
        </row>
        <row r="4357">
          <cell r="B4357"/>
          <cell r="C4357"/>
          <cell r="E4357"/>
          <cell r="F4357"/>
          <cell r="G4357"/>
          <cell r="H4357"/>
          <cell r="J4357"/>
          <cell r="L4357"/>
          <cell r="M4357"/>
        </row>
        <row r="4358">
          <cell r="B4358"/>
          <cell r="C4358"/>
          <cell r="E4358"/>
          <cell r="F4358"/>
          <cell r="G4358"/>
          <cell r="H4358"/>
          <cell r="J4358"/>
          <cell r="L4358"/>
          <cell r="M4358"/>
        </row>
        <row r="4359">
          <cell r="B4359"/>
          <cell r="C4359"/>
          <cell r="E4359"/>
          <cell r="F4359"/>
          <cell r="G4359"/>
          <cell r="H4359"/>
          <cell r="J4359"/>
          <cell r="L4359"/>
          <cell r="M4359"/>
        </row>
        <row r="4360">
          <cell r="B4360"/>
          <cell r="C4360"/>
          <cell r="E4360"/>
          <cell r="F4360"/>
          <cell r="G4360"/>
          <cell r="H4360"/>
          <cell r="J4360"/>
          <cell r="L4360"/>
          <cell r="M4360"/>
        </row>
        <row r="4361">
          <cell r="B4361"/>
          <cell r="C4361"/>
          <cell r="E4361"/>
          <cell r="F4361"/>
          <cell r="G4361"/>
          <cell r="H4361"/>
          <cell r="J4361"/>
          <cell r="L4361"/>
          <cell r="M4361"/>
        </row>
        <row r="4362">
          <cell r="B4362"/>
          <cell r="C4362"/>
          <cell r="E4362"/>
          <cell r="F4362"/>
          <cell r="G4362"/>
          <cell r="H4362"/>
          <cell r="J4362"/>
          <cell r="L4362"/>
          <cell r="M4362"/>
        </row>
        <row r="4363">
          <cell r="B4363"/>
          <cell r="C4363"/>
          <cell r="E4363"/>
          <cell r="F4363"/>
          <cell r="G4363"/>
          <cell r="H4363"/>
          <cell r="J4363"/>
          <cell r="L4363"/>
          <cell r="M4363"/>
        </row>
        <row r="4364">
          <cell r="B4364"/>
          <cell r="C4364"/>
          <cell r="E4364"/>
          <cell r="F4364"/>
          <cell r="G4364"/>
          <cell r="H4364"/>
          <cell r="J4364"/>
          <cell r="L4364"/>
          <cell r="M4364"/>
        </row>
        <row r="4365">
          <cell r="B4365"/>
          <cell r="C4365"/>
          <cell r="E4365"/>
          <cell r="F4365"/>
          <cell r="G4365"/>
          <cell r="H4365"/>
          <cell r="J4365"/>
          <cell r="L4365"/>
          <cell r="M4365"/>
        </row>
        <row r="4366">
          <cell r="B4366"/>
          <cell r="C4366"/>
          <cell r="E4366"/>
          <cell r="F4366"/>
          <cell r="G4366"/>
          <cell r="H4366"/>
          <cell r="J4366"/>
          <cell r="L4366"/>
          <cell r="M4366"/>
        </row>
        <row r="4367">
          <cell r="B4367"/>
          <cell r="C4367"/>
          <cell r="E4367"/>
          <cell r="F4367"/>
          <cell r="G4367"/>
          <cell r="H4367"/>
          <cell r="J4367"/>
          <cell r="L4367"/>
          <cell r="M4367"/>
        </row>
        <row r="4368">
          <cell r="B4368"/>
          <cell r="C4368"/>
          <cell r="E4368"/>
          <cell r="F4368"/>
          <cell r="G4368"/>
          <cell r="H4368"/>
          <cell r="J4368"/>
          <cell r="L4368"/>
          <cell r="M4368"/>
        </row>
        <row r="4369">
          <cell r="B4369"/>
          <cell r="C4369"/>
          <cell r="E4369"/>
          <cell r="F4369"/>
          <cell r="G4369"/>
          <cell r="H4369"/>
          <cell r="J4369"/>
          <cell r="L4369"/>
          <cell r="M4369"/>
        </row>
        <row r="4370">
          <cell r="B4370"/>
          <cell r="C4370"/>
          <cell r="E4370"/>
          <cell r="F4370"/>
          <cell r="G4370"/>
          <cell r="H4370"/>
          <cell r="J4370"/>
          <cell r="L4370"/>
          <cell r="M4370"/>
        </row>
        <row r="4371">
          <cell r="B4371"/>
          <cell r="C4371"/>
          <cell r="E4371"/>
          <cell r="F4371"/>
          <cell r="G4371"/>
          <cell r="H4371"/>
          <cell r="J4371"/>
          <cell r="L4371"/>
          <cell r="M4371"/>
        </row>
        <row r="4372">
          <cell r="B4372"/>
          <cell r="C4372"/>
          <cell r="E4372"/>
          <cell r="F4372"/>
          <cell r="G4372"/>
          <cell r="H4372"/>
          <cell r="J4372"/>
          <cell r="L4372"/>
          <cell r="M4372"/>
        </row>
        <row r="4373">
          <cell r="B4373"/>
          <cell r="C4373"/>
          <cell r="E4373"/>
          <cell r="F4373"/>
          <cell r="G4373"/>
          <cell r="H4373"/>
          <cell r="J4373"/>
          <cell r="L4373"/>
          <cell r="M4373"/>
        </row>
        <row r="4374">
          <cell r="B4374"/>
          <cell r="C4374"/>
          <cell r="E4374"/>
          <cell r="F4374"/>
          <cell r="G4374"/>
          <cell r="H4374"/>
          <cell r="J4374"/>
          <cell r="L4374"/>
          <cell r="M4374"/>
        </row>
        <row r="4375">
          <cell r="B4375"/>
          <cell r="C4375"/>
          <cell r="E4375"/>
          <cell r="F4375"/>
          <cell r="G4375"/>
          <cell r="H4375"/>
          <cell r="J4375"/>
          <cell r="L4375"/>
          <cell r="M4375"/>
        </row>
        <row r="4376">
          <cell r="B4376"/>
          <cell r="C4376"/>
          <cell r="E4376"/>
          <cell r="F4376"/>
          <cell r="G4376"/>
          <cell r="H4376"/>
          <cell r="J4376"/>
          <cell r="L4376"/>
          <cell r="M4376"/>
        </row>
        <row r="4377">
          <cell r="B4377"/>
          <cell r="C4377"/>
          <cell r="E4377"/>
          <cell r="F4377"/>
          <cell r="G4377"/>
          <cell r="H4377"/>
          <cell r="J4377"/>
          <cell r="L4377"/>
          <cell r="M4377"/>
        </row>
        <row r="4378">
          <cell r="B4378"/>
          <cell r="C4378"/>
          <cell r="E4378"/>
          <cell r="F4378"/>
          <cell r="G4378"/>
          <cell r="H4378"/>
          <cell r="J4378"/>
          <cell r="L4378"/>
          <cell r="M4378"/>
        </row>
        <row r="4379">
          <cell r="B4379"/>
          <cell r="C4379"/>
          <cell r="E4379"/>
          <cell r="F4379"/>
          <cell r="G4379"/>
          <cell r="H4379"/>
          <cell r="J4379"/>
          <cell r="L4379"/>
          <cell r="M4379"/>
        </row>
        <row r="4380">
          <cell r="B4380"/>
          <cell r="C4380"/>
          <cell r="E4380"/>
          <cell r="F4380"/>
          <cell r="G4380"/>
          <cell r="H4380"/>
          <cell r="J4380"/>
          <cell r="L4380"/>
          <cell r="M4380"/>
        </row>
        <row r="4381">
          <cell r="B4381"/>
          <cell r="C4381"/>
          <cell r="E4381"/>
          <cell r="F4381"/>
          <cell r="G4381"/>
          <cell r="H4381"/>
          <cell r="J4381"/>
          <cell r="L4381"/>
          <cell r="M4381"/>
        </row>
        <row r="4382">
          <cell r="B4382"/>
          <cell r="C4382"/>
          <cell r="E4382"/>
          <cell r="F4382"/>
          <cell r="G4382"/>
          <cell r="H4382"/>
          <cell r="J4382"/>
          <cell r="L4382"/>
          <cell r="M4382"/>
        </row>
        <row r="4383">
          <cell r="B4383"/>
          <cell r="C4383"/>
          <cell r="E4383"/>
          <cell r="F4383"/>
          <cell r="G4383"/>
          <cell r="H4383"/>
          <cell r="J4383"/>
          <cell r="L4383"/>
          <cell r="M4383"/>
        </row>
        <row r="4384">
          <cell r="B4384"/>
          <cell r="C4384"/>
          <cell r="E4384"/>
          <cell r="F4384"/>
          <cell r="G4384"/>
          <cell r="H4384"/>
          <cell r="J4384"/>
          <cell r="L4384"/>
          <cell r="M4384"/>
        </row>
        <row r="4385">
          <cell r="B4385"/>
          <cell r="C4385"/>
          <cell r="E4385"/>
          <cell r="F4385"/>
          <cell r="G4385"/>
          <cell r="H4385"/>
          <cell r="J4385"/>
          <cell r="L4385"/>
          <cell r="M4385"/>
        </row>
        <row r="4386">
          <cell r="B4386"/>
          <cell r="C4386"/>
          <cell r="E4386"/>
          <cell r="F4386"/>
          <cell r="G4386"/>
          <cell r="H4386"/>
          <cell r="J4386"/>
          <cell r="L4386"/>
          <cell r="M4386"/>
        </row>
        <row r="4387">
          <cell r="B4387"/>
          <cell r="C4387"/>
          <cell r="E4387"/>
          <cell r="F4387"/>
          <cell r="G4387"/>
          <cell r="H4387"/>
          <cell r="J4387"/>
          <cell r="L4387"/>
          <cell r="M4387"/>
        </row>
        <row r="4388">
          <cell r="B4388"/>
          <cell r="C4388"/>
          <cell r="E4388"/>
          <cell r="F4388"/>
          <cell r="G4388"/>
          <cell r="H4388"/>
          <cell r="J4388"/>
          <cell r="L4388"/>
          <cell r="M4388"/>
        </row>
        <row r="4389">
          <cell r="B4389"/>
          <cell r="C4389"/>
          <cell r="E4389"/>
          <cell r="F4389"/>
          <cell r="G4389"/>
          <cell r="H4389"/>
          <cell r="J4389"/>
          <cell r="L4389"/>
          <cell r="M4389"/>
        </row>
        <row r="4390">
          <cell r="B4390"/>
          <cell r="C4390"/>
          <cell r="E4390"/>
          <cell r="F4390"/>
          <cell r="G4390"/>
          <cell r="H4390"/>
          <cell r="J4390"/>
          <cell r="L4390"/>
          <cell r="M4390"/>
        </row>
        <row r="4391">
          <cell r="B4391"/>
          <cell r="C4391"/>
          <cell r="E4391"/>
          <cell r="F4391"/>
          <cell r="G4391"/>
          <cell r="H4391"/>
          <cell r="J4391"/>
          <cell r="L4391"/>
          <cell r="M4391"/>
        </row>
        <row r="4392">
          <cell r="B4392"/>
          <cell r="C4392"/>
          <cell r="E4392"/>
          <cell r="F4392"/>
          <cell r="G4392"/>
          <cell r="H4392"/>
          <cell r="J4392"/>
          <cell r="L4392"/>
          <cell r="M4392"/>
        </row>
        <row r="4393">
          <cell r="B4393"/>
          <cell r="C4393"/>
          <cell r="E4393"/>
          <cell r="F4393"/>
          <cell r="G4393"/>
          <cell r="H4393"/>
          <cell r="J4393"/>
          <cell r="L4393"/>
          <cell r="M4393"/>
        </row>
        <row r="4394">
          <cell r="B4394"/>
          <cell r="C4394"/>
          <cell r="E4394"/>
          <cell r="F4394"/>
          <cell r="G4394"/>
          <cell r="H4394"/>
          <cell r="J4394"/>
          <cell r="L4394"/>
          <cell r="M4394"/>
        </row>
        <row r="4395">
          <cell r="B4395"/>
          <cell r="C4395"/>
          <cell r="E4395"/>
          <cell r="F4395"/>
          <cell r="G4395"/>
          <cell r="H4395"/>
          <cell r="J4395"/>
          <cell r="L4395"/>
          <cell r="M4395"/>
        </row>
        <row r="4396">
          <cell r="B4396"/>
          <cell r="C4396"/>
          <cell r="E4396"/>
          <cell r="F4396"/>
          <cell r="G4396"/>
          <cell r="H4396"/>
          <cell r="J4396"/>
          <cell r="L4396"/>
          <cell r="M4396"/>
        </row>
        <row r="4397">
          <cell r="B4397"/>
          <cell r="C4397"/>
          <cell r="E4397"/>
          <cell r="F4397"/>
          <cell r="G4397"/>
          <cell r="H4397"/>
          <cell r="J4397"/>
          <cell r="L4397"/>
          <cell r="M4397"/>
        </row>
        <row r="4398">
          <cell r="B4398"/>
          <cell r="C4398"/>
          <cell r="E4398"/>
          <cell r="F4398"/>
          <cell r="G4398"/>
          <cell r="H4398"/>
          <cell r="J4398"/>
          <cell r="L4398"/>
          <cell r="M4398"/>
        </row>
        <row r="4399">
          <cell r="B4399"/>
          <cell r="C4399"/>
          <cell r="E4399"/>
          <cell r="F4399"/>
          <cell r="G4399"/>
          <cell r="H4399"/>
          <cell r="J4399"/>
          <cell r="L4399"/>
          <cell r="M4399"/>
        </row>
        <row r="4400">
          <cell r="B4400"/>
          <cell r="C4400"/>
          <cell r="E4400"/>
          <cell r="F4400"/>
          <cell r="G4400"/>
          <cell r="H4400"/>
          <cell r="J4400"/>
          <cell r="L4400"/>
          <cell r="M4400"/>
        </row>
        <row r="4401">
          <cell r="B4401"/>
          <cell r="C4401"/>
          <cell r="E4401"/>
          <cell r="F4401"/>
          <cell r="G4401"/>
          <cell r="H4401"/>
          <cell r="J4401"/>
          <cell r="L4401"/>
          <cell r="M4401"/>
        </row>
        <row r="4402">
          <cell r="B4402"/>
          <cell r="C4402"/>
          <cell r="E4402"/>
          <cell r="F4402"/>
          <cell r="G4402"/>
          <cell r="H4402"/>
          <cell r="J4402"/>
          <cell r="L4402"/>
          <cell r="M4402"/>
        </row>
        <row r="4403">
          <cell r="B4403"/>
          <cell r="C4403"/>
          <cell r="E4403"/>
          <cell r="F4403"/>
          <cell r="G4403"/>
          <cell r="H4403"/>
          <cell r="J4403"/>
          <cell r="L4403"/>
          <cell r="M4403"/>
        </row>
        <row r="4404">
          <cell r="B4404"/>
          <cell r="C4404"/>
          <cell r="E4404"/>
          <cell r="F4404"/>
          <cell r="G4404"/>
          <cell r="H4404"/>
          <cell r="J4404"/>
          <cell r="L4404"/>
          <cell r="M4404"/>
        </row>
        <row r="4405">
          <cell r="B4405"/>
          <cell r="C4405"/>
          <cell r="E4405"/>
          <cell r="F4405"/>
          <cell r="G4405"/>
          <cell r="H4405"/>
          <cell r="J4405"/>
          <cell r="L4405"/>
          <cell r="M4405"/>
        </row>
        <row r="4406">
          <cell r="B4406"/>
          <cell r="C4406"/>
          <cell r="E4406"/>
          <cell r="F4406"/>
          <cell r="G4406"/>
          <cell r="H4406"/>
          <cell r="J4406"/>
          <cell r="L4406"/>
          <cell r="M4406"/>
        </row>
        <row r="4407">
          <cell r="B4407"/>
          <cell r="C4407"/>
          <cell r="E4407"/>
          <cell r="F4407"/>
          <cell r="G4407"/>
          <cell r="H4407"/>
          <cell r="J4407"/>
          <cell r="L4407"/>
          <cell r="M4407"/>
        </row>
        <row r="4408">
          <cell r="B4408"/>
          <cell r="C4408"/>
          <cell r="E4408"/>
          <cell r="F4408"/>
          <cell r="G4408"/>
          <cell r="H4408"/>
          <cell r="J4408"/>
          <cell r="L4408"/>
          <cell r="M4408"/>
        </row>
        <row r="4409">
          <cell r="B4409"/>
          <cell r="C4409"/>
          <cell r="E4409"/>
          <cell r="F4409"/>
          <cell r="G4409"/>
          <cell r="H4409"/>
          <cell r="J4409"/>
          <cell r="L4409"/>
          <cell r="M4409"/>
        </row>
        <row r="4410">
          <cell r="B4410"/>
          <cell r="C4410"/>
          <cell r="E4410"/>
          <cell r="F4410"/>
          <cell r="G4410"/>
          <cell r="H4410"/>
          <cell r="J4410"/>
          <cell r="L4410"/>
          <cell r="M4410"/>
        </row>
        <row r="4411">
          <cell r="B4411"/>
          <cell r="C4411"/>
          <cell r="E4411"/>
          <cell r="F4411"/>
          <cell r="G4411"/>
          <cell r="H4411"/>
          <cell r="J4411"/>
          <cell r="L4411"/>
          <cell r="M4411"/>
        </row>
        <row r="4412">
          <cell r="B4412"/>
          <cell r="C4412"/>
          <cell r="E4412"/>
          <cell r="F4412"/>
          <cell r="G4412"/>
          <cell r="H4412"/>
          <cell r="J4412"/>
          <cell r="L4412"/>
          <cell r="M4412"/>
        </row>
        <row r="4413">
          <cell r="B4413"/>
          <cell r="C4413"/>
          <cell r="E4413"/>
          <cell r="F4413"/>
          <cell r="G4413"/>
          <cell r="H4413"/>
          <cell r="J4413"/>
          <cell r="L4413"/>
          <cell r="M4413"/>
        </row>
        <row r="4414">
          <cell r="B4414"/>
          <cell r="C4414"/>
          <cell r="E4414"/>
          <cell r="F4414"/>
          <cell r="G4414"/>
          <cell r="H4414"/>
          <cell r="J4414"/>
          <cell r="L4414"/>
          <cell r="M4414"/>
        </row>
        <row r="4415">
          <cell r="B4415"/>
          <cell r="C4415"/>
          <cell r="E4415"/>
          <cell r="F4415"/>
          <cell r="G4415"/>
          <cell r="H4415"/>
          <cell r="J4415"/>
          <cell r="L4415"/>
          <cell r="M4415"/>
        </row>
        <row r="4416">
          <cell r="B4416"/>
          <cell r="C4416"/>
          <cell r="E4416"/>
          <cell r="F4416"/>
          <cell r="G4416"/>
          <cell r="H4416"/>
          <cell r="J4416"/>
          <cell r="L4416"/>
          <cell r="M4416"/>
        </row>
        <row r="4417">
          <cell r="B4417"/>
          <cell r="C4417"/>
          <cell r="E4417"/>
          <cell r="F4417"/>
          <cell r="G4417"/>
          <cell r="H4417"/>
          <cell r="J4417"/>
          <cell r="L4417"/>
          <cell r="M4417"/>
        </row>
        <row r="4418">
          <cell r="B4418"/>
          <cell r="C4418"/>
          <cell r="E4418"/>
          <cell r="F4418"/>
          <cell r="G4418"/>
          <cell r="H4418"/>
          <cell r="J4418"/>
          <cell r="L4418"/>
          <cell r="M4418"/>
        </row>
        <row r="4419">
          <cell r="B4419"/>
          <cell r="C4419"/>
          <cell r="E4419"/>
          <cell r="F4419"/>
          <cell r="G4419"/>
          <cell r="H4419"/>
          <cell r="J4419"/>
          <cell r="L4419"/>
          <cell r="M4419"/>
        </row>
        <row r="4420">
          <cell r="B4420"/>
          <cell r="C4420"/>
          <cell r="E4420"/>
          <cell r="F4420"/>
          <cell r="G4420"/>
          <cell r="H4420"/>
          <cell r="J4420"/>
          <cell r="L4420"/>
          <cell r="M4420"/>
        </row>
        <row r="4421">
          <cell r="B4421"/>
          <cell r="C4421"/>
          <cell r="E4421"/>
          <cell r="F4421"/>
          <cell r="G4421"/>
          <cell r="H4421"/>
          <cell r="J4421"/>
          <cell r="L4421"/>
          <cell r="M4421"/>
        </row>
        <row r="4422">
          <cell r="B4422"/>
          <cell r="C4422"/>
          <cell r="E4422"/>
          <cell r="F4422"/>
          <cell r="G4422"/>
          <cell r="H4422"/>
          <cell r="J4422"/>
          <cell r="L4422"/>
          <cell r="M4422"/>
        </row>
        <row r="4423">
          <cell r="B4423"/>
          <cell r="C4423"/>
          <cell r="E4423"/>
          <cell r="F4423"/>
          <cell r="G4423"/>
          <cell r="H4423"/>
          <cell r="J4423"/>
          <cell r="L4423"/>
          <cell r="M4423"/>
        </row>
        <row r="4424">
          <cell r="B4424"/>
          <cell r="C4424"/>
          <cell r="E4424"/>
          <cell r="F4424"/>
          <cell r="G4424"/>
          <cell r="H4424"/>
          <cell r="J4424"/>
          <cell r="L4424"/>
          <cell r="M4424"/>
        </row>
        <row r="4425">
          <cell r="B4425"/>
          <cell r="C4425"/>
          <cell r="E4425"/>
          <cell r="F4425"/>
          <cell r="G4425"/>
          <cell r="H4425"/>
          <cell r="J4425"/>
          <cell r="L4425"/>
          <cell r="M4425"/>
        </row>
        <row r="4426">
          <cell r="B4426"/>
          <cell r="C4426"/>
          <cell r="E4426"/>
          <cell r="F4426"/>
          <cell r="G4426"/>
          <cell r="H4426"/>
          <cell r="J4426"/>
          <cell r="L4426"/>
          <cell r="M4426"/>
        </row>
        <row r="4427">
          <cell r="B4427"/>
          <cell r="C4427"/>
          <cell r="E4427"/>
          <cell r="F4427"/>
          <cell r="G4427"/>
          <cell r="H4427"/>
          <cell r="J4427"/>
          <cell r="L4427"/>
          <cell r="M4427"/>
        </row>
        <row r="4428">
          <cell r="B4428"/>
          <cell r="C4428"/>
          <cell r="E4428"/>
          <cell r="F4428"/>
          <cell r="G4428"/>
          <cell r="H4428"/>
          <cell r="J4428"/>
          <cell r="L4428"/>
          <cell r="M4428"/>
        </row>
        <row r="4429">
          <cell r="B4429"/>
          <cell r="C4429"/>
          <cell r="E4429"/>
          <cell r="F4429"/>
          <cell r="G4429"/>
          <cell r="H4429"/>
          <cell r="J4429"/>
          <cell r="L4429"/>
          <cell r="M4429"/>
        </row>
        <row r="4430">
          <cell r="B4430"/>
          <cell r="C4430"/>
          <cell r="E4430"/>
          <cell r="F4430"/>
          <cell r="G4430"/>
          <cell r="H4430"/>
          <cell r="J4430"/>
          <cell r="L4430"/>
          <cell r="M4430"/>
        </row>
        <row r="4431">
          <cell r="B4431"/>
          <cell r="C4431"/>
          <cell r="E4431"/>
          <cell r="F4431"/>
          <cell r="G4431"/>
          <cell r="H4431"/>
          <cell r="J4431"/>
          <cell r="L4431"/>
          <cell r="M4431"/>
        </row>
        <row r="4432">
          <cell r="B4432"/>
          <cell r="C4432"/>
          <cell r="E4432"/>
          <cell r="F4432"/>
          <cell r="G4432"/>
          <cell r="H4432"/>
          <cell r="J4432"/>
          <cell r="L4432"/>
          <cell r="M4432"/>
        </row>
        <row r="4433">
          <cell r="B4433"/>
          <cell r="C4433"/>
          <cell r="E4433"/>
          <cell r="F4433"/>
          <cell r="G4433"/>
          <cell r="H4433"/>
          <cell r="J4433"/>
          <cell r="L4433"/>
          <cell r="M4433"/>
        </row>
        <row r="4434">
          <cell r="B4434"/>
          <cell r="C4434"/>
          <cell r="E4434"/>
          <cell r="F4434"/>
          <cell r="G4434"/>
          <cell r="H4434"/>
          <cell r="J4434"/>
          <cell r="L4434"/>
          <cell r="M4434"/>
        </row>
        <row r="4435">
          <cell r="B4435"/>
          <cell r="C4435"/>
          <cell r="E4435"/>
          <cell r="F4435"/>
          <cell r="G4435"/>
          <cell r="H4435"/>
          <cell r="J4435"/>
          <cell r="L4435"/>
          <cell r="M4435"/>
        </row>
        <row r="4436">
          <cell r="B4436"/>
          <cell r="C4436"/>
          <cell r="E4436"/>
          <cell r="F4436"/>
          <cell r="G4436"/>
          <cell r="H4436"/>
          <cell r="J4436"/>
          <cell r="L4436"/>
          <cell r="M4436"/>
        </row>
        <row r="4437">
          <cell r="B4437"/>
          <cell r="C4437"/>
          <cell r="E4437"/>
          <cell r="F4437"/>
          <cell r="G4437"/>
          <cell r="H4437"/>
          <cell r="J4437"/>
          <cell r="L4437"/>
          <cell r="M4437"/>
        </row>
        <row r="4438">
          <cell r="B4438"/>
          <cell r="C4438"/>
          <cell r="E4438"/>
          <cell r="F4438"/>
          <cell r="G4438"/>
          <cell r="H4438"/>
          <cell r="J4438"/>
          <cell r="L4438"/>
          <cell r="M4438"/>
        </row>
        <row r="4439">
          <cell r="B4439"/>
          <cell r="C4439"/>
          <cell r="E4439"/>
          <cell r="F4439"/>
          <cell r="G4439"/>
          <cell r="H4439"/>
          <cell r="J4439"/>
          <cell r="L4439"/>
          <cell r="M4439"/>
        </row>
        <row r="4440">
          <cell r="B4440"/>
          <cell r="C4440"/>
          <cell r="E4440"/>
          <cell r="F4440"/>
          <cell r="G4440"/>
          <cell r="H4440"/>
          <cell r="J4440"/>
          <cell r="L4440"/>
          <cell r="M4440"/>
        </row>
        <row r="4441">
          <cell r="B4441"/>
          <cell r="C4441"/>
          <cell r="E4441"/>
          <cell r="F4441"/>
          <cell r="G4441"/>
          <cell r="H4441"/>
          <cell r="J4441"/>
          <cell r="L4441"/>
          <cell r="M4441"/>
        </row>
        <row r="4442">
          <cell r="B4442"/>
          <cell r="C4442"/>
          <cell r="E4442"/>
          <cell r="F4442"/>
          <cell r="G4442"/>
          <cell r="H4442"/>
          <cell r="J4442"/>
          <cell r="L4442"/>
          <cell r="M4442"/>
        </row>
        <row r="4443">
          <cell r="B4443"/>
          <cell r="C4443"/>
          <cell r="E4443"/>
          <cell r="F4443"/>
          <cell r="G4443"/>
          <cell r="H4443"/>
          <cell r="J4443"/>
          <cell r="L4443"/>
          <cell r="M4443"/>
        </row>
        <row r="4444">
          <cell r="B4444"/>
          <cell r="C4444"/>
          <cell r="E4444"/>
          <cell r="F4444"/>
          <cell r="G4444"/>
          <cell r="H4444"/>
          <cell r="J4444"/>
          <cell r="L4444"/>
          <cell r="M4444"/>
        </row>
        <row r="4445">
          <cell r="B4445"/>
          <cell r="C4445"/>
          <cell r="E4445"/>
          <cell r="F4445"/>
          <cell r="G4445"/>
          <cell r="H4445"/>
          <cell r="J4445"/>
          <cell r="L4445"/>
          <cell r="M4445"/>
        </row>
        <row r="4446">
          <cell r="B4446"/>
          <cell r="C4446"/>
          <cell r="E4446"/>
          <cell r="F4446"/>
          <cell r="G4446"/>
          <cell r="H4446"/>
          <cell r="J4446"/>
          <cell r="L4446"/>
          <cell r="M4446"/>
        </row>
        <row r="4447">
          <cell r="B4447"/>
          <cell r="C4447"/>
          <cell r="E4447"/>
          <cell r="F4447"/>
          <cell r="G4447"/>
          <cell r="H4447"/>
          <cell r="J4447"/>
          <cell r="L4447"/>
          <cell r="M4447"/>
        </row>
        <row r="4448">
          <cell r="B4448"/>
          <cell r="C4448"/>
          <cell r="E4448"/>
          <cell r="F4448"/>
          <cell r="G4448"/>
          <cell r="H4448"/>
          <cell r="J4448"/>
          <cell r="L4448"/>
          <cell r="M4448"/>
        </row>
        <row r="4449">
          <cell r="B4449"/>
          <cell r="C4449"/>
          <cell r="E4449"/>
          <cell r="F4449"/>
          <cell r="G4449"/>
          <cell r="H4449"/>
          <cell r="J4449"/>
          <cell r="L4449"/>
          <cell r="M4449"/>
        </row>
        <row r="4450">
          <cell r="B4450"/>
          <cell r="C4450"/>
          <cell r="E4450"/>
          <cell r="F4450"/>
          <cell r="G4450"/>
          <cell r="H4450"/>
          <cell r="J4450"/>
          <cell r="L4450"/>
          <cell r="M4450"/>
        </row>
        <row r="4451">
          <cell r="B4451"/>
          <cell r="C4451"/>
          <cell r="E4451"/>
          <cell r="F4451"/>
          <cell r="G4451"/>
          <cell r="H4451"/>
          <cell r="J4451"/>
          <cell r="L4451"/>
          <cell r="M4451"/>
        </row>
        <row r="4452">
          <cell r="B4452"/>
          <cell r="C4452"/>
          <cell r="E4452"/>
          <cell r="F4452"/>
          <cell r="G4452"/>
          <cell r="H4452"/>
          <cell r="J4452"/>
          <cell r="L4452"/>
          <cell r="M4452"/>
        </row>
        <row r="4453">
          <cell r="B4453"/>
          <cell r="C4453"/>
          <cell r="E4453"/>
          <cell r="F4453"/>
          <cell r="G4453"/>
          <cell r="H4453"/>
          <cell r="J4453"/>
          <cell r="L4453"/>
          <cell r="M4453"/>
        </row>
        <row r="4454">
          <cell r="B4454"/>
          <cell r="C4454"/>
          <cell r="E4454"/>
          <cell r="F4454"/>
          <cell r="G4454"/>
          <cell r="H4454"/>
          <cell r="J4454"/>
          <cell r="L4454"/>
          <cell r="M4454"/>
        </row>
        <row r="4455">
          <cell r="B4455"/>
          <cell r="C4455"/>
          <cell r="E4455"/>
          <cell r="F4455"/>
          <cell r="G4455"/>
          <cell r="H4455"/>
          <cell r="J4455"/>
          <cell r="L4455"/>
          <cell r="M4455"/>
        </row>
        <row r="4456">
          <cell r="B4456"/>
          <cell r="C4456"/>
          <cell r="E4456"/>
          <cell r="F4456"/>
          <cell r="G4456"/>
          <cell r="H4456"/>
          <cell r="J4456"/>
          <cell r="L4456"/>
          <cell r="M4456"/>
        </row>
        <row r="4457">
          <cell r="B4457"/>
          <cell r="C4457"/>
          <cell r="E4457"/>
          <cell r="F4457"/>
          <cell r="G4457"/>
          <cell r="H4457"/>
          <cell r="J4457"/>
          <cell r="L4457"/>
          <cell r="M4457"/>
        </row>
        <row r="4458">
          <cell r="B4458"/>
          <cell r="C4458"/>
          <cell r="E4458"/>
          <cell r="F4458"/>
          <cell r="G4458"/>
          <cell r="H4458"/>
          <cell r="J4458"/>
          <cell r="L4458"/>
          <cell r="M4458"/>
        </row>
        <row r="4459">
          <cell r="B4459"/>
          <cell r="C4459"/>
          <cell r="E4459"/>
          <cell r="F4459"/>
          <cell r="G4459"/>
          <cell r="H4459"/>
          <cell r="J4459"/>
          <cell r="L4459"/>
          <cell r="M4459"/>
        </row>
        <row r="4460">
          <cell r="B4460"/>
          <cell r="C4460"/>
          <cell r="E4460"/>
          <cell r="F4460"/>
          <cell r="G4460"/>
          <cell r="H4460"/>
          <cell r="J4460"/>
          <cell r="L4460"/>
          <cell r="M4460"/>
        </row>
        <row r="4461">
          <cell r="B4461"/>
          <cell r="C4461"/>
          <cell r="E4461"/>
          <cell r="F4461"/>
          <cell r="G4461"/>
          <cell r="H4461"/>
          <cell r="J4461"/>
          <cell r="L4461"/>
          <cell r="M4461"/>
        </row>
        <row r="4462">
          <cell r="B4462"/>
          <cell r="C4462"/>
          <cell r="E4462"/>
          <cell r="F4462"/>
          <cell r="G4462"/>
          <cell r="H4462"/>
          <cell r="J4462"/>
          <cell r="L4462"/>
          <cell r="M4462"/>
        </row>
        <row r="4463">
          <cell r="B4463"/>
          <cell r="C4463"/>
          <cell r="E4463"/>
          <cell r="F4463"/>
          <cell r="G4463"/>
          <cell r="H4463"/>
          <cell r="J4463"/>
          <cell r="L4463"/>
          <cell r="M4463"/>
        </row>
        <row r="4464">
          <cell r="B4464"/>
          <cell r="C4464"/>
          <cell r="E4464"/>
          <cell r="F4464"/>
          <cell r="G4464"/>
          <cell r="H4464"/>
          <cell r="J4464"/>
          <cell r="L4464"/>
          <cell r="M4464"/>
        </row>
        <row r="4465">
          <cell r="B4465"/>
          <cell r="C4465"/>
          <cell r="E4465"/>
          <cell r="F4465"/>
          <cell r="G4465"/>
          <cell r="H4465"/>
          <cell r="J4465"/>
          <cell r="L4465"/>
          <cell r="M4465"/>
        </row>
        <row r="4466">
          <cell r="B4466"/>
          <cell r="C4466"/>
          <cell r="E4466"/>
          <cell r="F4466"/>
          <cell r="G4466"/>
          <cell r="H4466"/>
          <cell r="J4466"/>
          <cell r="L4466"/>
          <cell r="M4466"/>
        </row>
        <row r="4467">
          <cell r="B4467"/>
          <cell r="C4467"/>
          <cell r="E4467"/>
          <cell r="F4467"/>
          <cell r="G4467"/>
          <cell r="H4467"/>
          <cell r="J4467"/>
          <cell r="L4467"/>
          <cell r="M4467"/>
        </row>
        <row r="4468">
          <cell r="B4468"/>
          <cell r="C4468"/>
          <cell r="E4468"/>
          <cell r="F4468"/>
          <cell r="G4468"/>
          <cell r="H4468"/>
          <cell r="J4468"/>
          <cell r="L4468"/>
          <cell r="M4468"/>
        </row>
        <row r="4469">
          <cell r="B4469"/>
          <cell r="C4469"/>
          <cell r="E4469"/>
          <cell r="F4469"/>
          <cell r="G4469"/>
          <cell r="H4469"/>
          <cell r="J4469"/>
          <cell r="L4469"/>
          <cell r="M4469"/>
        </row>
        <row r="4470">
          <cell r="B4470"/>
          <cell r="C4470"/>
          <cell r="E4470"/>
          <cell r="F4470"/>
          <cell r="G4470"/>
          <cell r="H4470"/>
          <cell r="J4470"/>
          <cell r="L4470"/>
          <cell r="M4470"/>
        </row>
        <row r="4471">
          <cell r="B4471"/>
          <cell r="C4471"/>
          <cell r="E4471"/>
          <cell r="F4471"/>
          <cell r="G4471"/>
          <cell r="H4471"/>
          <cell r="J4471"/>
          <cell r="L4471"/>
          <cell r="M4471"/>
        </row>
        <row r="4472">
          <cell r="B4472"/>
          <cell r="C4472"/>
          <cell r="E4472"/>
          <cell r="F4472"/>
          <cell r="G4472"/>
          <cell r="H4472"/>
          <cell r="J4472"/>
          <cell r="L4472"/>
          <cell r="M4472"/>
        </row>
        <row r="4473">
          <cell r="B4473"/>
          <cell r="C4473"/>
          <cell r="E4473"/>
          <cell r="F4473"/>
          <cell r="G4473"/>
          <cell r="H4473"/>
          <cell r="J4473"/>
          <cell r="L4473"/>
          <cell r="M4473"/>
        </row>
        <row r="4474">
          <cell r="B4474"/>
          <cell r="C4474"/>
          <cell r="E4474"/>
          <cell r="F4474"/>
          <cell r="G4474"/>
          <cell r="H4474"/>
          <cell r="J4474"/>
          <cell r="L4474"/>
          <cell r="M4474"/>
        </row>
        <row r="4475">
          <cell r="B4475"/>
          <cell r="C4475"/>
          <cell r="E4475"/>
          <cell r="F4475"/>
          <cell r="G4475"/>
          <cell r="H4475"/>
          <cell r="J4475"/>
          <cell r="L4475"/>
          <cell r="M4475"/>
        </row>
        <row r="4476">
          <cell r="B4476"/>
          <cell r="C4476"/>
          <cell r="E4476"/>
          <cell r="F4476"/>
          <cell r="G4476"/>
          <cell r="H4476"/>
          <cell r="J4476"/>
          <cell r="L4476"/>
          <cell r="M4476"/>
        </row>
        <row r="4477">
          <cell r="B4477"/>
          <cell r="C4477"/>
          <cell r="E4477"/>
          <cell r="F4477"/>
          <cell r="G4477"/>
          <cell r="H4477"/>
          <cell r="J4477"/>
          <cell r="L4477"/>
          <cell r="M4477"/>
        </row>
        <row r="4478">
          <cell r="B4478"/>
          <cell r="C4478"/>
          <cell r="E4478"/>
          <cell r="F4478"/>
          <cell r="G4478"/>
          <cell r="H4478"/>
          <cell r="J4478"/>
          <cell r="L4478"/>
          <cell r="M4478"/>
        </row>
        <row r="4479">
          <cell r="B4479"/>
          <cell r="C4479"/>
          <cell r="E4479"/>
          <cell r="F4479"/>
          <cell r="G4479"/>
          <cell r="H4479"/>
          <cell r="J4479"/>
          <cell r="L4479"/>
          <cell r="M4479"/>
        </row>
        <row r="4480">
          <cell r="B4480"/>
          <cell r="C4480"/>
          <cell r="E4480"/>
          <cell r="F4480"/>
          <cell r="G4480"/>
          <cell r="H4480"/>
          <cell r="J4480"/>
          <cell r="L4480"/>
          <cell r="M4480"/>
        </row>
        <row r="4481">
          <cell r="B4481"/>
          <cell r="C4481"/>
          <cell r="E4481"/>
          <cell r="F4481"/>
          <cell r="G4481"/>
          <cell r="H4481"/>
          <cell r="J4481"/>
          <cell r="L4481"/>
          <cell r="M4481"/>
        </row>
        <row r="4482">
          <cell r="B4482"/>
          <cell r="C4482"/>
          <cell r="E4482"/>
          <cell r="F4482"/>
          <cell r="G4482"/>
          <cell r="H4482"/>
          <cell r="J4482"/>
          <cell r="L4482"/>
          <cell r="M4482"/>
        </row>
        <row r="4483">
          <cell r="B4483"/>
          <cell r="C4483"/>
          <cell r="E4483"/>
          <cell r="F4483"/>
          <cell r="G4483"/>
          <cell r="H4483"/>
          <cell r="J4483"/>
          <cell r="L4483"/>
          <cell r="M4483"/>
        </row>
        <row r="4484">
          <cell r="B4484"/>
          <cell r="C4484"/>
          <cell r="E4484"/>
          <cell r="F4484"/>
          <cell r="G4484"/>
          <cell r="H4484"/>
          <cell r="J4484"/>
          <cell r="L4484"/>
          <cell r="M4484"/>
        </row>
        <row r="4485">
          <cell r="B4485"/>
          <cell r="C4485"/>
          <cell r="E4485"/>
          <cell r="F4485"/>
          <cell r="G4485"/>
          <cell r="H4485"/>
          <cell r="J4485"/>
          <cell r="L4485"/>
          <cell r="M4485"/>
        </row>
        <row r="4486">
          <cell r="B4486"/>
          <cell r="C4486"/>
          <cell r="E4486"/>
          <cell r="F4486"/>
          <cell r="G4486"/>
          <cell r="H4486"/>
          <cell r="J4486"/>
          <cell r="L4486"/>
          <cell r="M4486"/>
        </row>
        <row r="4487">
          <cell r="B4487"/>
          <cell r="C4487"/>
          <cell r="E4487"/>
          <cell r="F4487"/>
          <cell r="G4487"/>
          <cell r="H4487"/>
          <cell r="J4487"/>
          <cell r="L4487"/>
          <cell r="M4487"/>
        </row>
        <row r="4488">
          <cell r="B4488"/>
          <cell r="C4488"/>
          <cell r="E4488"/>
          <cell r="F4488"/>
          <cell r="G4488"/>
          <cell r="H4488"/>
          <cell r="J4488"/>
          <cell r="L4488"/>
          <cell r="M4488"/>
        </row>
        <row r="4489">
          <cell r="B4489"/>
          <cell r="C4489"/>
          <cell r="E4489"/>
          <cell r="F4489"/>
          <cell r="G4489"/>
          <cell r="H4489"/>
          <cell r="J4489"/>
          <cell r="L4489"/>
          <cell r="M4489"/>
        </row>
        <row r="4490">
          <cell r="B4490"/>
          <cell r="C4490"/>
          <cell r="E4490"/>
          <cell r="F4490"/>
          <cell r="G4490"/>
          <cell r="H4490"/>
          <cell r="J4490"/>
          <cell r="L4490"/>
          <cell r="M4490"/>
        </row>
        <row r="4491">
          <cell r="B4491"/>
          <cell r="C4491"/>
          <cell r="E4491"/>
          <cell r="F4491"/>
          <cell r="G4491"/>
          <cell r="H4491"/>
          <cell r="J4491"/>
          <cell r="L4491"/>
          <cell r="M4491"/>
        </row>
        <row r="4492">
          <cell r="B4492"/>
          <cell r="C4492"/>
          <cell r="E4492"/>
          <cell r="F4492"/>
          <cell r="G4492"/>
          <cell r="H4492"/>
          <cell r="J4492"/>
          <cell r="L4492"/>
          <cell r="M4492"/>
        </row>
        <row r="4493">
          <cell r="B4493"/>
          <cell r="C4493"/>
          <cell r="E4493"/>
          <cell r="F4493"/>
          <cell r="G4493"/>
          <cell r="H4493"/>
          <cell r="J4493"/>
          <cell r="L4493"/>
          <cell r="M4493"/>
        </row>
        <row r="4494">
          <cell r="B4494"/>
          <cell r="C4494"/>
          <cell r="E4494"/>
          <cell r="F4494"/>
          <cell r="G4494"/>
          <cell r="H4494"/>
          <cell r="J4494"/>
          <cell r="L4494"/>
          <cell r="M4494"/>
        </row>
        <row r="4495">
          <cell r="B4495"/>
          <cell r="C4495"/>
          <cell r="E4495"/>
          <cell r="F4495"/>
          <cell r="G4495"/>
          <cell r="H4495"/>
          <cell r="J4495"/>
          <cell r="L4495"/>
          <cell r="M4495"/>
        </row>
        <row r="4496">
          <cell r="B4496"/>
          <cell r="C4496"/>
          <cell r="E4496"/>
          <cell r="F4496"/>
          <cell r="G4496"/>
          <cell r="H4496"/>
          <cell r="J4496"/>
          <cell r="L4496"/>
          <cell r="M4496"/>
        </row>
        <row r="4497">
          <cell r="B4497"/>
          <cell r="C4497"/>
          <cell r="E4497"/>
          <cell r="F4497"/>
          <cell r="G4497"/>
          <cell r="H4497"/>
          <cell r="J4497"/>
          <cell r="L4497"/>
          <cell r="M4497"/>
        </row>
        <row r="4498">
          <cell r="B4498"/>
          <cell r="C4498"/>
          <cell r="E4498"/>
          <cell r="F4498"/>
          <cell r="G4498"/>
          <cell r="H4498"/>
          <cell r="J4498"/>
          <cell r="L4498"/>
          <cell r="M4498"/>
        </row>
        <row r="4499">
          <cell r="B4499"/>
          <cell r="C4499"/>
          <cell r="E4499"/>
          <cell r="F4499"/>
          <cell r="G4499"/>
          <cell r="H4499"/>
          <cell r="J4499"/>
          <cell r="L4499"/>
          <cell r="M4499"/>
        </row>
        <row r="4500">
          <cell r="B4500"/>
          <cell r="C4500"/>
          <cell r="E4500"/>
          <cell r="F4500"/>
          <cell r="G4500"/>
          <cell r="H4500"/>
          <cell r="J4500"/>
          <cell r="L4500"/>
          <cell r="M4500"/>
        </row>
        <row r="4501">
          <cell r="B4501"/>
          <cell r="C4501"/>
          <cell r="E4501"/>
          <cell r="F4501"/>
          <cell r="G4501"/>
          <cell r="H4501"/>
          <cell r="J4501"/>
          <cell r="L4501"/>
          <cell r="M4501"/>
        </row>
        <row r="4502">
          <cell r="B4502"/>
          <cell r="C4502"/>
          <cell r="E4502"/>
          <cell r="F4502"/>
          <cell r="G4502"/>
          <cell r="H4502"/>
          <cell r="J4502"/>
          <cell r="L4502"/>
          <cell r="M4502"/>
        </row>
        <row r="4503">
          <cell r="B4503"/>
          <cell r="C4503"/>
          <cell r="E4503"/>
          <cell r="F4503"/>
          <cell r="G4503"/>
          <cell r="H4503"/>
          <cell r="J4503"/>
          <cell r="L4503"/>
          <cell r="M4503"/>
        </row>
        <row r="4504">
          <cell r="B4504"/>
          <cell r="C4504"/>
          <cell r="E4504"/>
          <cell r="F4504"/>
          <cell r="G4504"/>
          <cell r="H4504"/>
          <cell r="J4504"/>
          <cell r="L4504"/>
          <cell r="M4504"/>
        </row>
        <row r="4505">
          <cell r="B4505"/>
          <cell r="C4505"/>
          <cell r="E4505"/>
          <cell r="F4505"/>
          <cell r="G4505"/>
          <cell r="H4505"/>
          <cell r="J4505"/>
          <cell r="L4505"/>
          <cell r="M4505"/>
        </row>
        <row r="4506">
          <cell r="B4506"/>
          <cell r="C4506"/>
          <cell r="E4506"/>
          <cell r="F4506"/>
          <cell r="G4506"/>
          <cell r="H4506"/>
          <cell r="J4506"/>
          <cell r="L4506"/>
          <cell r="M4506"/>
        </row>
        <row r="4507">
          <cell r="B4507"/>
          <cell r="C4507"/>
          <cell r="E4507"/>
          <cell r="F4507"/>
          <cell r="G4507"/>
          <cell r="H4507"/>
          <cell r="J4507"/>
          <cell r="L4507"/>
          <cell r="M4507"/>
        </row>
        <row r="4508">
          <cell r="B4508"/>
          <cell r="C4508"/>
          <cell r="E4508"/>
          <cell r="F4508"/>
          <cell r="G4508"/>
          <cell r="H4508"/>
          <cell r="J4508"/>
          <cell r="L4508"/>
          <cell r="M4508"/>
        </row>
        <row r="4509">
          <cell r="B4509"/>
          <cell r="C4509"/>
          <cell r="E4509"/>
          <cell r="F4509"/>
          <cell r="G4509"/>
          <cell r="H4509"/>
          <cell r="J4509"/>
          <cell r="L4509"/>
          <cell r="M4509"/>
        </row>
        <row r="4510">
          <cell r="B4510"/>
          <cell r="C4510"/>
          <cell r="E4510"/>
          <cell r="F4510"/>
          <cell r="G4510"/>
          <cell r="H4510"/>
          <cell r="J4510"/>
          <cell r="L4510"/>
          <cell r="M4510"/>
        </row>
        <row r="4511">
          <cell r="B4511"/>
          <cell r="C4511"/>
          <cell r="E4511"/>
          <cell r="F4511"/>
          <cell r="G4511"/>
          <cell r="H4511"/>
          <cell r="J4511"/>
          <cell r="L4511"/>
          <cell r="M4511"/>
        </row>
        <row r="4512">
          <cell r="B4512"/>
          <cell r="C4512"/>
          <cell r="E4512"/>
          <cell r="F4512"/>
          <cell r="G4512"/>
          <cell r="H4512"/>
          <cell r="J4512"/>
          <cell r="L4512"/>
          <cell r="M4512"/>
        </row>
        <row r="4513">
          <cell r="B4513"/>
          <cell r="C4513"/>
          <cell r="E4513"/>
          <cell r="F4513"/>
          <cell r="G4513"/>
          <cell r="H4513"/>
          <cell r="J4513"/>
          <cell r="L4513"/>
          <cell r="M4513"/>
        </row>
        <row r="4514">
          <cell r="B4514"/>
          <cell r="C4514"/>
          <cell r="E4514"/>
          <cell r="F4514"/>
          <cell r="G4514"/>
          <cell r="H4514"/>
          <cell r="J4514"/>
          <cell r="L4514"/>
          <cell r="M4514"/>
        </row>
        <row r="4515">
          <cell r="B4515"/>
          <cell r="C4515"/>
          <cell r="E4515"/>
          <cell r="F4515"/>
          <cell r="G4515"/>
          <cell r="H4515"/>
          <cell r="J4515"/>
          <cell r="L4515"/>
          <cell r="M4515"/>
        </row>
        <row r="4516">
          <cell r="B4516"/>
          <cell r="C4516"/>
          <cell r="E4516"/>
          <cell r="F4516"/>
          <cell r="G4516"/>
          <cell r="H4516"/>
          <cell r="J4516"/>
          <cell r="L4516"/>
          <cell r="M4516"/>
        </row>
        <row r="4517">
          <cell r="B4517"/>
          <cell r="C4517"/>
          <cell r="E4517"/>
          <cell r="F4517"/>
          <cell r="G4517"/>
          <cell r="H4517"/>
          <cell r="J4517"/>
          <cell r="L4517"/>
          <cell r="M4517"/>
        </row>
        <row r="4518">
          <cell r="B4518"/>
          <cell r="C4518"/>
          <cell r="E4518"/>
          <cell r="F4518"/>
          <cell r="G4518"/>
          <cell r="H4518"/>
          <cell r="J4518"/>
          <cell r="L4518"/>
          <cell r="M4518"/>
        </row>
        <row r="4519">
          <cell r="B4519"/>
          <cell r="C4519"/>
          <cell r="E4519"/>
          <cell r="F4519"/>
          <cell r="G4519"/>
          <cell r="H4519"/>
          <cell r="J4519"/>
          <cell r="L4519"/>
          <cell r="M4519"/>
        </row>
        <row r="4520">
          <cell r="B4520"/>
          <cell r="C4520"/>
          <cell r="E4520"/>
          <cell r="F4520"/>
          <cell r="G4520"/>
          <cell r="H4520"/>
          <cell r="J4520"/>
          <cell r="L4520"/>
          <cell r="M4520"/>
        </row>
        <row r="4521">
          <cell r="B4521"/>
          <cell r="C4521"/>
          <cell r="E4521"/>
          <cell r="F4521"/>
          <cell r="G4521"/>
          <cell r="H4521"/>
          <cell r="J4521"/>
          <cell r="L4521"/>
          <cell r="M4521"/>
        </row>
        <row r="4522">
          <cell r="B4522"/>
          <cell r="C4522"/>
          <cell r="E4522"/>
          <cell r="F4522"/>
          <cell r="G4522"/>
          <cell r="H4522"/>
          <cell r="J4522"/>
          <cell r="L4522"/>
          <cell r="M4522"/>
        </row>
        <row r="4523">
          <cell r="B4523"/>
          <cell r="C4523"/>
          <cell r="E4523"/>
          <cell r="F4523"/>
          <cell r="G4523"/>
          <cell r="H4523"/>
          <cell r="J4523"/>
          <cell r="L4523"/>
          <cell r="M4523"/>
        </row>
        <row r="4524">
          <cell r="B4524"/>
          <cell r="C4524"/>
          <cell r="E4524"/>
          <cell r="F4524"/>
          <cell r="G4524"/>
          <cell r="H4524"/>
          <cell r="J4524"/>
          <cell r="L4524"/>
          <cell r="M4524"/>
        </row>
        <row r="4525">
          <cell r="B4525"/>
          <cell r="C4525"/>
          <cell r="E4525"/>
          <cell r="F4525"/>
          <cell r="G4525"/>
          <cell r="H4525"/>
          <cell r="J4525"/>
          <cell r="L4525"/>
          <cell r="M4525"/>
        </row>
        <row r="4526">
          <cell r="B4526"/>
          <cell r="C4526"/>
          <cell r="E4526"/>
          <cell r="F4526"/>
          <cell r="G4526"/>
          <cell r="H4526"/>
          <cell r="J4526"/>
          <cell r="L4526"/>
          <cell r="M4526"/>
        </row>
        <row r="4527">
          <cell r="B4527"/>
          <cell r="C4527"/>
          <cell r="E4527"/>
          <cell r="F4527"/>
          <cell r="G4527"/>
          <cell r="H4527"/>
          <cell r="J4527"/>
          <cell r="L4527"/>
          <cell r="M4527"/>
        </row>
        <row r="4528">
          <cell r="B4528"/>
          <cell r="C4528"/>
          <cell r="E4528"/>
          <cell r="F4528"/>
          <cell r="G4528"/>
          <cell r="H4528"/>
          <cell r="J4528"/>
          <cell r="L4528"/>
          <cell r="M4528"/>
        </row>
        <row r="4529">
          <cell r="B4529"/>
          <cell r="C4529"/>
          <cell r="E4529"/>
          <cell r="F4529"/>
          <cell r="G4529"/>
          <cell r="H4529"/>
          <cell r="J4529"/>
          <cell r="L4529"/>
          <cell r="M4529"/>
        </row>
        <row r="4530">
          <cell r="B4530"/>
          <cell r="C4530"/>
          <cell r="E4530"/>
          <cell r="F4530"/>
          <cell r="G4530"/>
          <cell r="H4530"/>
          <cell r="J4530"/>
          <cell r="L4530"/>
          <cell r="M4530"/>
        </row>
        <row r="4531">
          <cell r="B4531"/>
          <cell r="C4531"/>
          <cell r="E4531"/>
          <cell r="F4531"/>
          <cell r="G4531"/>
          <cell r="H4531"/>
          <cell r="J4531"/>
          <cell r="L4531"/>
          <cell r="M4531"/>
        </row>
        <row r="4532">
          <cell r="B4532"/>
          <cell r="C4532"/>
          <cell r="E4532"/>
          <cell r="F4532"/>
          <cell r="G4532"/>
          <cell r="H4532"/>
          <cell r="J4532"/>
          <cell r="L4532"/>
          <cell r="M4532"/>
        </row>
        <row r="4533">
          <cell r="B4533"/>
          <cell r="C4533"/>
          <cell r="E4533"/>
          <cell r="F4533"/>
          <cell r="G4533"/>
          <cell r="H4533"/>
          <cell r="J4533"/>
          <cell r="L4533"/>
          <cell r="M4533"/>
        </row>
        <row r="4534">
          <cell r="B4534"/>
          <cell r="C4534"/>
          <cell r="E4534"/>
          <cell r="F4534"/>
          <cell r="G4534"/>
          <cell r="H4534"/>
          <cell r="J4534"/>
          <cell r="L4534"/>
          <cell r="M4534"/>
        </row>
        <row r="4535">
          <cell r="B4535"/>
          <cell r="C4535"/>
          <cell r="E4535"/>
          <cell r="F4535"/>
          <cell r="G4535"/>
          <cell r="H4535"/>
          <cell r="J4535"/>
          <cell r="L4535"/>
          <cell r="M4535"/>
        </row>
        <row r="4536">
          <cell r="B4536"/>
          <cell r="C4536"/>
          <cell r="E4536"/>
          <cell r="F4536"/>
          <cell r="G4536"/>
          <cell r="H4536"/>
          <cell r="J4536"/>
          <cell r="L4536"/>
          <cell r="M4536"/>
        </row>
        <row r="4537">
          <cell r="B4537"/>
          <cell r="C4537"/>
          <cell r="E4537"/>
          <cell r="F4537"/>
          <cell r="G4537"/>
          <cell r="H4537"/>
          <cell r="J4537"/>
          <cell r="L4537"/>
          <cell r="M4537"/>
        </row>
        <row r="4538">
          <cell r="B4538"/>
          <cell r="C4538"/>
          <cell r="E4538"/>
          <cell r="F4538"/>
          <cell r="G4538"/>
          <cell r="H4538"/>
          <cell r="J4538"/>
          <cell r="L4538"/>
          <cell r="M4538"/>
        </row>
        <row r="4539">
          <cell r="B4539"/>
          <cell r="C4539"/>
          <cell r="E4539"/>
          <cell r="F4539"/>
          <cell r="G4539"/>
          <cell r="H4539"/>
          <cell r="J4539"/>
          <cell r="L4539"/>
          <cell r="M4539"/>
        </row>
        <row r="4540">
          <cell r="B4540"/>
          <cell r="C4540"/>
          <cell r="E4540"/>
          <cell r="F4540"/>
          <cell r="G4540"/>
          <cell r="H4540"/>
          <cell r="J4540"/>
          <cell r="L4540"/>
          <cell r="M4540"/>
        </row>
        <row r="4541">
          <cell r="B4541"/>
          <cell r="C4541"/>
          <cell r="E4541"/>
          <cell r="F4541"/>
          <cell r="G4541"/>
          <cell r="H4541"/>
          <cell r="J4541"/>
          <cell r="L4541"/>
          <cell r="M4541"/>
        </row>
        <row r="4542">
          <cell r="B4542"/>
          <cell r="C4542"/>
          <cell r="E4542"/>
          <cell r="F4542"/>
          <cell r="G4542"/>
          <cell r="H4542"/>
          <cell r="J4542"/>
          <cell r="L4542"/>
          <cell r="M4542"/>
        </row>
        <row r="4543">
          <cell r="B4543"/>
          <cell r="C4543"/>
          <cell r="E4543"/>
          <cell r="F4543"/>
          <cell r="G4543"/>
          <cell r="H4543"/>
          <cell r="J4543"/>
          <cell r="L4543"/>
          <cell r="M4543"/>
        </row>
        <row r="4544">
          <cell r="B4544"/>
          <cell r="C4544"/>
          <cell r="E4544"/>
          <cell r="F4544"/>
          <cell r="G4544"/>
          <cell r="H4544"/>
          <cell r="J4544"/>
          <cell r="L4544"/>
          <cell r="M4544"/>
        </row>
        <row r="4545">
          <cell r="B4545"/>
          <cell r="C4545"/>
          <cell r="E4545"/>
          <cell r="F4545"/>
          <cell r="G4545"/>
          <cell r="H4545"/>
          <cell r="J4545"/>
          <cell r="L4545"/>
          <cell r="M4545"/>
        </row>
        <row r="4546">
          <cell r="B4546"/>
          <cell r="C4546"/>
          <cell r="E4546"/>
          <cell r="F4546"/>
          <cell r="G4546"/>
          <cell r="H4546"/>
          <cell r="J4546"/>
          <cell r="L4546"/>
          <cell r="M4546"/>
        </row>
        <row r="4547">
          <cell r="B4547"/>
          <cell r="C4547"/>
          <cell r="E4547"/>
          <cell r="F4547"/>
          <cell r="G4547"/>
          <cell r="H4547"/>
          <cell r="J4547"/>
          <cell r="L4547"/>
          <cell r="M4547"/>
        </row>
        <row r="4548">
          <cell r="B4548"/>
          <cell r="C4548"/>
          <cell r="E4548"/>
          <cell r="F4548"/>
          <cell r="G4548"/>
          <cell r="H4548"/>
          <cell r="J4548"/>
          <cell r="L4548"/>
          <cell r="M4548"/>
        </row>
        <row r="4549">
          <cell r="B4549"/>
          <cell r="C4549"/>
          <cell r="E4549"/>
          <cell r="F4549"/>
          <cell r="G4549"/>
          <cell r="H4549"/>
          <cell r="J4549"/>
          <cell r="L4549"/>
          <cell r="M4549"/>
        </row>
        <row r="4550">
          <cell r="B4550"/>
          <cell r="C4550"/>
          <cell r="E4550"/>
          <cell r="F4550"/>
          <cell r="G4550"/>
          <cell r="H4550"/>
          <cell r="J4550"/>
          <cell r="L4550"/>
          <cell r="M4550"/>
        </row>
        <row r="4551">
          <cell r="B4551"/>
          <cell r="C4551"/>
          <cell r="E4551"/>
          <cell r="F4551"/>
          <cell r="G4551"/>
          <cell r="H4551"/>
          <cell r="J4551"/>
          <cell r="L4551"/>
          <cell r="M4551"/>
        </row>
        <row r="4552">
          <cell r="B4552"/>
          <cell r="C4552"/>
          <cell r="E4552"/>
          <cell r="F4552"/>
          <cell r="G4552"/>
          <cell r="H4552"/>
          <cell r="J4552"/>
          <cell r="L4552"/>
          <cell r="M4552"/>
        </row>
        <row r="4553">
          <cell r="B4553"/>
          <cell r="C4553"/>
          <cell r="E4553"/>
          <cell r="F4553"/>
          <cell r="G4553"/>
          <cell r="H4553"/>
          <cell r="J4553"/>
          <cell r="L4553"/>
          <cell r="M4553"/>
        </row>
        <row r="4554">
          <cell r="B4554"/>
          <cell r="C4554"/>
          <cell r="E4554"/>
          <cell r="F4554"/>
          <cell r="G4554"/>
          <cell r="H4554"/>
          <cell r="J4554"/>
          <cell r="L4554"/>
          <cell r="M4554"/>
        </row>
        <row r="4555">
          <cell r="B4555"/>
          <cell r="C4555"/>
          <cell r="E4555"/>
          <cell r="F4555"/>
          <cell r="G4555"/>
          <cell r="H4555"/>
          <cell r="J4555"/>
          <cell r="L4555"/>
          <cell r="M4555"/>
        </row>
        <row r="4556">
          <cell r="B4556"/>
          <cell r="C4556"/>
          <cell r="E4556"/>
          <cell r="F4556"/>
          <cell r="G4556"/>
          <cell r="H4556"/>
          <cell r="J4556"/>
          <cell r="L4556"/>
          <cell r="M4556"/>
        </row>
        <row r="4557">
          <cell r="B4557"/>
          <cell r="C4557"/>
          <cell r="E4557"/>
          <cell r="F4557"/>
          <cell r="G4557"/>
          <cell r="H4557"/>
          <cell r="J4557"/>
          <cell r="L4557"/>
          <cell r="M4557"/>
        </row>
        <row r="4558">
          <cell r="B4558"/>
          <cell r="C4558"/>
          <cell r="E4558"/>
          <cell r="F4558"/>
          <cell r="G4558"/>
          <cell r="H4558"/>
          <cell r="J4558"/>
          <cell r="L4558"/>
          <cell r="M4558"/>
        </row>
        <row r="4559">
          <cell r="B4559"/>
          <cell r="C4559"/>
          <cell r="E4559"/>
          <cell r="F4559"/>
          <cell r="G4559"/>
          <cell r="H4559"/>
          <cell r="J4559"/>
          <cell r="L4559"/>
          <cell r="M4559"/>
        </row>
        <row r="4560">
          <cell r="B4560"/>
          <cell r="C4560"/>
          <cell r="E4560"/>
          <cell r="F4560"/>
          <cell r="G4560"/>
          <cell r="H4560"/>
          <cell r="J4560"/>
          <cell r="L4560"/>
          <cell r="M4560"/>
        </row>
        <row r="4561">
          <cell r="B4561"/>
          <cell r="C4561"/>
          <cell r="E4561"/>
          <cell r="F4561"/>
          <cell r="G4561"/>
          <cell r="H4561"/>
          <cell r="J4561"/>
          <cell r="L4561"/>
          <cell r="M4561"/>
        </row>
        <row r="4562">
          <cell r="B4562"/>
          <cell r="C4562"/>
          <cell r="E4562"/>
          <cell r="F4562"/>
          <cell r="G4562"/>
          <cell r="H4562"/>
          <cell r="J4562"/>
          <cell r="L4562"/>
          <cell r="M4562"/>
        </row>
        <row r="4563">
          <cell r="B4563"/>
          <cell r="C4563"/>
          <cell r="E4563"/>
          <cell r="F4563"/>
          <cell r="G4563"/>
          <cell r="H4563"/>
          <cell r="J4563"/>
          <cell r="L4563"/>
          <cell r="M4563"/>
        </row>
        <row r="4564">
          <cell r="B4564"/>
          <cell r="C4564"/>
          <cell r="E4564"/>
          <cell r="F4564"/>
          <cell r="G4564"/>
          <cell r="H4564"/>
          <cell r="J4564"/>
          <cell r="L4564"/>
          <cell r="M4564"/>
        </row>
        <row r="4565">
          <cell r="B4565"/>
          <cell r="C4565"/>
          <cell r="E4565"/>
          <cell r="F4565"/>
          <cell r="G4565"/>
          <cell r="H4565"/>
          <cell r="J4565"/>
          <cell r="L4565"/>
          <cell r="M4565"/>
        </row>
        <row r="4566">
          <cell r="B4566"/>
          <cell r="C4566"/>
          <cell r="E4566"/>
          <cell r="F4566"/>
          <cell r="G4566"/>
          <cell r="H4566"/>
          <cell r="J4566"/>
          <cell r="L4566"/>
          <cell r="M4566"/>
        </row>
        <row r="4567">
          <cell r="B4567"/>
          <cell r="C4567"/>
          <cell r="E4567"/>
          <cell r="F4567"/>
          <cell r="G4567"/>
          <cell r="H4567"/>
          <cell r="J4567"/>
          <cell r="L4567"/>
          <cell r="M4567"/>
        </row>
        <row r="4568">
          <cell r="B4568"/>
          <cell r="C4568"/>
          <cell r="E4568"/>
          <cell r="F4568"/>
          <cell r="G4568"/>
          <cell r="H4568"/>
          <cell r="J4568"/>
          <cell r="L4568"/>
          <cell r="M4568"/>
        </row>
        <row r="4569">
          <cell r="B4569"/>
          <cell r="C4569"/>
          <cell r="E4569"/>
          <cell r="F4569"/>
          <cell r="G4569"/>
          <cell r="H4569"/>
          <cell r="J4569"/>
          <cell r="L4569"/>
          <cell r="M4569"/>
        </row>
        <row r="4570">
          <cell r="B4570"/>
          <cell r="C4570"/>
          <cell r="E4570"/>
          <cell r="F4570"/>
          <cell r="G4570"/>
          <cell r="H4570"/>
          <cell r="J4570"/>
          <cell r="L4570"/>
          <cell r="M4570"/>
        </row>
        <row r="4571">
          <cell r="B4571"/>
          <cell r="C4571"/>
          <cell r="E4571"/>
          <cell r="F4571"/>
          <cell r="G4571"/>
          <cell r="H4571"/>
          <cell r="J4571"/>
          <cell r="L4571"/>
          <cell r="M4571"/>
        </row>
        <row r="4572">
          <cell r="B4572"/>
          <cell r="C4572"/>
          <cell r="E4572"/>
          <cell r="F4572"/>
          <cell r="G4572"/>
          <cell r="H4572"/>
          <cell r="J4572"/>
          <cell r="L4572"/>
          <cell r="M4572"/>
        </row>
        <row r="4573">
          <cell r="B4573"/>
          <cell r="C4573"/>
          <cell r="E4573"/>
          <cell r="F4573"/>
          <cell r="G4573"/>
          <cell r="H4573"/>
          <cell r="J4573"/>
          <cell r="L4573"/>
          <cell r="M4573"/>
        </row>
        <row r="4574">
          <cell r="B4574"/>
          <cell r="C4574"/>
          <cell r="E4574"/>
          <cell r="F4574"/>
          <cell r="G4574"/>
          <cell r="H4574"/>
          <cell r="J4574"/>
          <cell r="L4574"/>
          <cell r="M4574"/>
        </row>
        <row r="4575">
          <cell r="B4575"/>
          <cell r="C4575"/>
          <cell r="E4575"/>
          <cell r="F4575"/>
          <cell r="G4575"/>
          <cell r="H4575"/>
          <cell r="J4575"/>
          <cell r="L4575"/>
          <cell r="M4575"/>
        </row>
        <row r="4576">
          <cell r="B4576"/>
          <cell r="C4576"/>
          <cell r="E4576"/>
          <cell r="F4576"/>
          <cell r="G4576"/>
          <cell r="H4576"/>
          <cell r="J4576"/>
          <cell r="L4576"/>
          <cell r="M4576"/>
        </row>
        <row r="4577">
          <cell r="B4577"/>
          <cell r="C4577"/>
          <cell r="E4577"/>
          <cell r="F4577"/>
          <cell r="G4577"/>
          <cell r="H4577"/>
          <cell r="J4577"/>
          <cell r="L4577"/>
          <cell r="M4577"/>
        </row>
        <row r="4578">
          <cell r="B4578"/>
          <cell r="C4578"/>
          <cell r="E4578"/>
          <cell r="F4578"/>
          <cell r="G4578"/>
          <cell r="H4578"/>
          <cell r="J4578"/>
          <cell r="L4578"/>
          <cell r="M4578"/>
        </row>
        <row r="4579">
          <cell r="B4579"/>
          <cell r="C4579"/>
          <cell r="E4579"/>
          <cell r="F4579"/>
          <cell r="G4579"/>
          <cell r="H4579"/>
          <cell r="J4579"/>
          <cell r="L4579"/>
          <cell r="M4579"/>
        </row>
        <row r="4580">
          <cell r="B4580"/>
          <cell r="C4580"/>
          <cell r="E4580"/>
          <cell r="F4580"/>
          <cell r="G4580"/>
          <cell r="H4580"/>
          <cell r="J4580"/>
          <cell r="L4580"/>
          <cell r="M4580"/>
        </row>
        <row r="4581">
          <cell r="B4581"/>
          <cell r="C4581"/>
          <cell r="E4581"/>
          <cell r="F4581"/>
          <cell r="G4581"/>
          <cell r="H4581"/>
          <cell r="J4581"/>
          <cell r="L4581"/>
          <cell r="M4581"/>
        </row>
        <row r="4582">
          <cell r="B4582"/>
          <cell r="C4582"/>
          <cell r="E4582"/>
          <cell r="F4582"/>
          <cell r="G4582"/>
          <cell r="H4582"/>
          <cell r="J4582"/>
          <cell r="L4582"/>
          <cell r="M4582"/>
        </row>
        <row r="4583">
          <cell r="B4583"/>
          <cell r="C4583"/>
          <cell r="E4583"/>
          <cell r="F4583"/>
          <cell r="G4583"/>
          <cell r="H4583"/>
          <cell r="J4583"/>
          <cell r="L4583"/>
          <cell r="M4583"/>
        </row>
        <row r="4584">
          <cell r="B4584"/>
          <cell r="C4584"/>
          <cell r="E4584"/>
          <cell r="F4584"/>
          <cell r="G4584"/>
          <cell r="H4584"/>
          <cell r="J4584"/>
          <cell r="L4584"/>
          <cell r="M4584"/>
        </row>
        <row r="4585">
          <cell r="B4585"/>
          <cell r="C4585"/>
          <cell r="E4585"/>
          <cell r="F4585"/>
          <cell r="G4585"/>
          <cell r="H4585"/>
          <cell r="J4585"/>
          <cell r="L4585"/>
          <cell r="M4585"/>
        </row>
        <row r="4586">
          <cell r="B4586"/>
          <cell r="C4586"/>
          <cell r="E4586"/>
          <cell r="F4586"/>
          <cell r="G4586"/>
          <cell r="H4586"/>
          <cell r="J4586"/>
          <cell r="L4586"/>
          <cell r="M4586"/>
        </row>
        <row r="4587">
          <cell r="B4587"/>
          <cell r="C4587"/>
          <cell r="E4587"/>
          <cell r="F4587"/>
          <cell r="G4587"/>
          <cell r="H4587"/>
          <cell r="J4587"/>
          <cell r="L4587"/>
          <cell r="M4587"/>
        </row>
        <row r="4588">
          <cell r="B4588"/>
          <cell r="C4588"/>
          <cell r="E4588"/>
          <cell r="F4588"/>
          <cell r="G4588"/>
          <cell r="H4588"/>
          <cell r="J4588"/>
          <cell r="L4588"/>
          <cell r="M4588"/>
        </row>
        <row r="4589">
          <cell r="B4589"/>
          <cell r="C4589"/>
          <cell r="E4589"/>
          <cell r="F4589"/>
          <cell r="G4589"/>
          <cell r="H4589"/>
          <cell r="J4589"/>
          <cell r="L4589"/>
          <cell r="M4589"/>
        </row>
        <row r="4590">
          <cell r="B4590"/>
          <cell r="C4590"/>
          <cell r="E4590"/>
          <cell r="F4590"/>
          <cell r="G4590"/>
          <cell r="H4590"/>
          <cell r="J4590"/>
          <cell r="L4590"/>
          <cell r="M4590"/>
        </row>
        <row r="4591">
          <cell r="B4591"/>
          <cell r="C4591"/>
          <cell r="E4591"/>
          <cell r="F4591"/>
          <cell r="G4591"/>
          <cell r="H4591"/>
          <cell r="J4591"/>
          <cell r="L4591"/>
          <cell r="M4591"/>
        </row>
        <row r="4592">
          <cell r="B4592"/>
          <cell r="C4592"/>
          <cell r="E4592"/>
          <cell r="F4592"/>
          <cell r="G4592"/>
          <cell r="H4592"/>
          <cell r="J4592"/>
          <cell r="L4592"/>
          <cell r="M4592"/>
        </row>
        <row r="4593">
          <cell r="B4593"/>
          <cell r="C4593"/>
          <cell r="E4593"/>
          <cell r="F4593"/>
          <cell r="G4593"/>
          <cell r="H4593"/>
          <cell r="J4593"/>
          <cell r="L4593"/>
          <cell r="M4593"/>
        </row>
        <row r="4594">
          <cell r="B4594"/>
          <cell r="C4594"/>
          <cell r="E4594"/>
          <cell r="F4594"/>
          <cell r="G4594"/>
          <cell r="H4594"/>
          <cell r="J4594"/>
          <cell r="L4594"/>
          <cell r="M4594"/>
        </row>
        <row r="4595">
          <cell r="B4595"/>
          <cell r="C4595"/>
          <cell r="E4595"/>
          <cell r="F4595"/>
          <cell r="G4595"/>
          <cell r="H4595"/>
          <cell r="J4595"/>
          <cell r="L4595"/>
          <cell r="M4595"/>
        </row>
        <row r="4596">
          <cell r="B4596"/>
          <cell r="C4596"/>
          <cell r="E4596"/>
          <cell r="F4596"/>
          <cell r="G4596"/>
          <cell r="H4596"/>
          <cell r="J4596"/>
          <cell r="L4596"/>
          <cell r="M4596"/>
        </row>
        <row r="4597">
          <cell r="B4597"/>
          <cell r="C4597"/>
          <cell r="E4597"/>
          <cell r="F4597"/>
          <cell r="G4597"/>
          <cell r="H4597"/>
          <cell r="J4597"/>
          <cell r="L4597"/>
          <cell r="M4597"/>
        </row>
        <row r="4598">
          <cell r="B4598"/>
          <cell r="C4598"/>
          <cell r="E4598"/>
          <cell r="F4598"/>
          <cell r="G4598"/>
          <cell r="H4598"/>
          <cell r="J4598"/>
          <cell r="L4598"/>
          <cell r="M4598"/>
        </row>
        <row r="4599">
          <cell r="B4599"/>
          <cell r="C4599"/>
          <cell r="E4599"/>
          <cell r="F4599"/>
          <cell r="G4599"/>
          <cell r="H4599"/>
          <cell r="J4599"/>
          <cell r="L4599"/>
          <cell r="M4599"/>
        </row>
        <row r="4600">
          <cell r="B4600"/>
          <cell r="C4600"/>
          <cell r="E4600"/>
          <cell r="F4600"/>
          <cell r="G4600"/>
          <cell r="H4600"/>
          <cell r="J4600"/>
          <cell r="L4600"/>
          <cell r="M4600"/>
        </row>
        <row r="4601">
          <cell r="B4601"/>
          <cell r="C4601"/>
          <cell r="E4601"/>
          <cell r="F4601"/>
          <cell r="G4601"/>
          <cell r="H4601"/>
          <cell r="J4601"/>
          <cell r="L4601"/>
          <cell r="M4601"/>
        </row>
        <row r="4602">
          <cell r="B4602"/>
          <cell r="C4602"/>
          <cell r="E4602"/>
          <cell r="F4602"/>
          <cell r="G4602"/>
          <cell r="H4602"/>
          <cell r="J4602"/>
          <cell r="L4602"/>
          <cell r="M4602"/>
        </row>
        <row r="4603">
          <cell r="B4603"/>
          <cell r="C4603"/>
          <cell r="E4603"/>
          <cell r="F4603"/>
          <cell r="G4603"/>
          <cell r="H4603"/>
          <cell r="J4603"/>
          <cell r="L4603"/>
          <cell r="M4603"/>
        </row>
        <row r="4604">
          <cell r="B4604"/>
          <cell r="C4604"/>
          <cell r="E4604"/>
          <cell r="F4604"/>
          <cell r="G4604"/>
          <cell r="H4604"/>
          <cell r="J4604"/>
          <cell r="L4604"/>
          <cell r="M4604"/>
        </row>
        <row r="4605">
          <cell r="B4605"/>
          <cell r="C4605"/>
          <cell r="E4605"/>
          <cell r="F4605"/>
          <cell r="G4605"/>
          <cell r="H4605"/>
          <cell r="J4605"/>
          <cell r="L4605"/>
          <cell r="M4605"/>
        </row>
        <row r="4606">
          <cell r="B4606"/>
          <cell r="C4606"/>
          <cell r="E4606"/>
          <cell r="F4606"/>
          <cell r="G4606"/>
          <cell r="H4606"/>
          <cell r="J4606"/>
          <cell r="L4606"/>
          <cell r="M4606"/>
        </row>
        <row r="4607">
          <cell r="B4607"/>
          <cell r="C4607"/>
          <cell r="E4607"/>
          <cell r="F4607"/>
          <cell r="G4607"/>
          <cell r="H4607"/>
          <cell r="J4607"/>
          <cell r="L4607"/>
          <cell r="M4607"/>
        </row>
        <row r="4608">
          <cell r="B4608"/>
          <cell r="C4608"/>
          <cell r="E4608"/>
          <cell r="F4608"/>
          <cell r="G4608"/>
          <cell r="H4608"/>
          <cell r="J4608"/>
          <cell r="L4608"/>
          <cell r="M4608"/>
        </row>
        <row r="4609">
          <cell r="B4609"/>
          <cell r="C4609"/>
          <cell r="E4609"/>
          <cell r="F4609"/>
          <cell r="G4609"/>
          <cell r="H4609"/>
          <cell r="J4609"/>
          <cell r="L4609"/>
          <cell r="M4609"/>
        </row>
        <row r="4610">
          <cell r="B4610"/>
          <cell r="C4610"/>
          <cell r="E4610"/>
          <cell r="F4610"/>
          <cell r="G4610"/>
          <cell r="H4610"/>
          <cell r="J4610"/>
          <cell r="L4610"/>
          <cell r="M4610"/>
        </row>
        <row r="4611">
          <cell r="B4611"/>
          <cell r="C4611"/>
          <cell r="E4611"/>
          <cell r="F4611"/>
          <cell r="G4611"/>
          <cell r="H4611"/>
          <cell r="J4611"/>
          <cell r="L4611"/>
          <cell r="M4611"/>
        </row>
        <row r="4612">
          <cell r="B4612"/>
          <cell r="C4612"/>
          <cell r="E4612"/>
          <cell r="F4612"/>
          <cell r="G4612"/>
          <cell r="H4612"/>
          <cell r="J4612"/>
          <cell r="L4612"/>
          <cell r="M4612"/>
        </row>
        <row r="4613">
          <cell r="B4613"/>
          <cell r="C4613"/>
          <cell r="E4613"/>
          <cell r="F4613"/>
          <cell r="G4613"/>
          <cell r="H4613"/>
          <cell r="J4613"/>
          <cell r="L4613"/>
          <cell r="M4613"/>
        </row>
        <row r="4614">
          <cell r="B4614"/>
          <cell r="C4614"/>
          <cell r="E4614"/>
          <cell r="F4614"/>
          <cell r="G4614"/>
          <cell r="H4614"/>
          <cell r="J4614"/>
          <cell r="L4614"/>
          <cell r="M4614"/>
        </row>
        <row r="4615">
          <cell r="B4615"/>
          <cell r="C4615"/>
          <cell r="E4615"/>
          <cell r="F4615"/>
          <cell r="G4615"/>
          <cell r="H4615"/>
          <cell r="J4615"/>
          <cell r="L4615"/>
          <cell r="M4615"/>
        </row>
        <row r="4616">
          <cell r="B4616"/>
          <cell r="C4616"/>
          <cell r="E4616"/>
          <cell r="F4616"/>
          <cell r="G4616"/>
          <cell r="H4616"/>
          <cell r="J4616"/>
          <cell r="L4616"/>
          <cell r="M4616"/>
        </row>
        <row r="4617">
          <cell r="B4617"/>
          <cell r="C4617"/>
          <cell r="E4617"/>
          <cell r="F4617"/>
          <cell r="G4617"/>
          <cell r="H4617"/>
          <cell r="J4617"/>
          <cell r="L4617"/>
          <cell r="M4617"/>
        </row>
        <row r="4618">
          <cell r="B4618"/>
          <cell r="C4618"/>
          <cell r="E4618"/>
          <cell r="F4618"/>
          <cell r="G4618"/>
          <cell r="H4618"/>
          <cell r="J4618"/>
          <cell r="L4618"/>
          <cell r="M4618"/>
        </row>
        <row r="4619">
          <cell r="B4619"/>
          <cell r="C4619"/>
          <cell r="E4619"/>
          <cell r="F4619"/>
          <cell r="G4619"/>
          <cell r="H4619"/>
          <cell r="J4619"/>
          <cell r="L4619"/>
          <cell r="M4619"/>
        </row>
        <row r="4620">
          <cell r="B4620"/>
          <cell r="C4620"/>
          <cell r="E4620"/>
          <cell r="F4620"/>
          <cell r="G4620"/>
          <cell r="H4620"/>
          <cell r="J4620"/>
          <cell r="L4620"/>
          <cell r="M4620"/>
        </row>
        <row r="4621">
          <cell r="B4621"/>
          <cell r="C4621"/>
          <cell r="E4621"/>
          <cell r="F4621"/>
          <cell r="G4621"/>
          <cell r="H4621"/>
          <cell r="J4621"/>
          <cell r="L4621"/>
          <cell r="M4621"/>
        </row>
        <row r="4622">
          <cell r="B4622"/>
          <cell r="C4622"/>
          <cell r="E4622"/>
          <cell r="F4622"/>
          <cell r="G4622"/>
          <cell r="H4622"/>
          <cell r="J4622"/>
          <cell r="L4622"/>
          <cell r="M4622"/>
        </row>
        <row r="4623">
          <cell r="B4623"/>
          <cell r="C4623"/>
          <cell r="E4623"/>
          <cell r="F4623"/>
          <cell r="G4623"/>
          <cell r="H4623"/>
          <cell r="J4623"/>
          <cell r="L4623"/>
          <cell r="M4623"/>
        </row>
        <row r="4624">
          <cell r="B4624"/>
          <cell r="C4624"/>
          <cell r="E4624"/>
          <cell r="F4624"/>
          <cell r="G4624"/>
          <cell r="H4624"/>
          <cell r="J4624"/>
          <cell r="L4624"/>
          <cell r="M4624"/>
        </row>
        <row r="4625">
          <cell r="B4625"/>
          <cell r="C4625"/>
          <cell r="E4625"/>
          <cell r="F4625"/>
          <cell r="G4625"/>
          <cell r="H4625"/>
          <cell r="J4625"/>
          <cell r="L4625"/>
          <cell r="M4625"/>
        </row>
        <row r="4626">
          <cell r="B4626"/>
          <cell r="C4626"/>
          <cell r="E4626"/>
          <cell r="F4626"/>
          <cell r="G4626"/>
          <cell r="H4626"/>
          <cell r="J4626"/>
          <cell r="L4626"/>
          <cell r="M4626"/>
        </row>
        <row r="4627">
          <cell r="B4627"/>
          <cell r="C4627"/>
          <cell r="E4627"/>
          <cell r="F4627"/>
          <cell r="G4627"/>
          <cell r="H4627"/>
          <cell r="J4627"/>
          <cell r="L4627"/>
          <cell r="M4627"/>
        </row>
        <row r="4628">
          <cell r="B4628"/>
          <cell r="C4628"/>
          <cell r="E4628"/>
          <cell r="F4628"/>
          <cell r="G4628"/>
          <cell r="H4628"/>
          <cell r="J4628"/>
          <cell r="L4628"/>
          <cell r="M4628"/>
        </row>
        <row r="4629">
          <cell r="B4629"/>
          <cell r="C4629"/>
          <cell r="E4629"/>
          <cell r="F4629"/>
          <cell r="G4629"/>
          <cell r="H4629"/>
          <cell r="J4629"/>
          <cell r="L4629"/>
          <cell r="M4629"/>
        </row>
        <row r="4630">
          <cell r="B4630"/>
          <cell r="C4630"/>
          <cell r="E4630"/>
          <cell r="F4630"/>
          <cell r="G4630"/>
          <cell r="H4630"/>
          <cell r="J4630"/>
          <cell r="L4630"/>
          <cell r="M4630"/>
        </row>
        <row r="4631">
          <cell r="B4631"/>
          <cell r="C4631"/>
          <cell r="E4631"/>
          <cell r="F4631"/>
          <cell r="G4631"/>
          <cell r="H4631"/>
          <cell r="J4631"/>
          <cell r="L4631"/>
          <cell r="M4631"/>
        </row>
        <row r="4632">
          <cell r="B4632"/>
          <cell r="C4632"/>
          <cell r="E4632"/>
          <cell r="F4632"/>
          <cell r="G4632"/>
          <cell r="H4632"/>
          <cell r="J4632"/>
          <cell r="L4632"/>
          <cell r="M4632"/>
        </row>
        <row r="4633">
          <cell r="B4633"/>
          <cell r="C4633"/>
          <cell r="E4633"/>
          <cell r="F4633"/>
          <cell r="G4633"/>
          <cell r="H4633"/>
          <cell r="J4633"/>
          <cell r="L4633"/>
          <cell r="M4633"/>
        </row>
        <row r="4634">
          <cell r="B4634"/>
          <cell r="C4634"/>
          <cell r="E4634"/>
          <cell r="F4634"/>
          <cell r="G4634"/>
          <cell r="H4634"/>
          <cell r="J4634"/>
          <cell r="L4634"/>
          <cell r="M4634"/>
        </row>
        <row r="4635">
          <cell r="B4635"/>
          <cell r="C4635"/>
          <cell r="E4635"/>
          <cell r="F4635"/>
          <cell r="G4635"/>
          <cell r="H4635"/>
          <cell r="J4635"/>
          <cell r="L4635"/>
          <cell r="M4635"/>
        </row>
        <row r="4636">
          <cell r="B4636"/>
          <cell r="C4636"/>
          <cell r="E4636"/>
          <cell r="F4636"/>
          <cell r="G4636"/>
          <cell r="H4636"/>
          <cell r="J4636"/>
          <cell r="L4636"/>
          <cell r="M4636"/>
        </row>
        <row r="4637">
          <cell r="B4637"/>
          <cell r="C4637"/>
          <cell r="E4637"/>
          <cell r="F4637"/>
          <cell r="G4637"/>
          <cell r="H4637"/>
          <cell r="J4637"/>
          <cell r="L4637"/>
          <cell r="M4637"/>
        </row>
        <row r="4638">
          <cell r="B4638"/>
          <cell r="C4638"/>
          <cell r="E4638"/>
          <cell r="F4638"/>
          <cell r="G4638"/>
          <cell r="H4638"/>
          <cell r="J4638"/>
          <cell r="L4638"/>
          <cell r="M4638"/>
        </row>
        <row r="4639">
          <cell r="B4639"/>
          <cell r="C4639"/>
          <cell r="E4639"/>
          <cell r="F4639"/>
          <cell r="G4639"/>
          <cell r="H4639"/>
          <cell r="J4639"/>
          <cell r="L4639"/>
          <cell r="M4639"/>
        </row>
        <row r="4640">
          <cell r="B4640"/>
          <cell r="C4640"/>
          <cell r="E4640"/>
          <cell r="F4640"/>
          <cell r="G4640"/>
          <cell r="H4640"/>
          <cell r="J4640"/>
          <cell r="L4640"/>
          <cell r="M4640"/>
        </row>
        <row r="4641">
          <cell r="B4641"/>
          <cell r="C4641"/>
          <cell r="E4641"/>
          <cell r="F4641"/>
          <cell r="G4641"/>
          <cell r="H4641"/>
          <cell r="J4641"/>
          <cell r="L4641"/>
          <cell r="M4641"/>
        </row>
        <row r="4642">
          <cell r="B4642"/>
          <cell r="C4642"/>
          <cell r="E4642"/>
          <cell r="F4642"/>
          <cell r="G4642"/>
          <cell r="H4642"/>
          <cell r="J4642"/>
          <cell r="L4642"/>
          <cell r="M4642"/>
        </row>
        <row r="4643">
          <cell r="B4643"/>
          <cell r="C4643"/>
          <cell r="E4643"/>
          <cell r="F4643"/>
          <cell r="G4643"/>
          <cell r="H4643"/>
          <cell r="J4643"/>
          <cell r="L4643"/>
          <cell r="M4643"/>
        </row>
        <row r="4644">
          <cell r="B4644"/>
          <cell r="C4644"/>
          <cell r="E4644"/>
          <cell r="F4644"/>
          <cell r="G4644"/>
          <cell r="H4644"/>
          <cell r="J4644"/>
          <cell r="L4644"/>
          <cell r="M4644"/>
        </row>
        <row r="4645">
          <cell r="B4645"/>
          <cell r="C4645"/>
          <cell r="E4645"/>
          <cell r="F4645"/>
          <cell r="G4645"/>
          <cell r="H4645"/>
          <cell r="J4645"/>
          <cell r="L4645"/>
          <cell r="M4645"/>
        </row>
        <row r="4646">
          <cell r="B4646"/>
          <cell r="C4646"/>
          <cell r="E4646"/>
          <cell r="F4646"/>
          <cell r="G4646"/>
          <cell r="H4646"/>
          <cell r="J4646"/>
          <cell r="L4646"/>
          <cell r="M4646"/>
        </row>
        <row r="4647">
          <cell r="B4647"/>
          <cell r="C4647"/>
          <cell r="E4647"/>
          <cell r="F4647"/>
          <cell r="G4647"/>
          <cell r="H4647"/>
          <cell r="J4647"/>
          <cell r="L4647"/>
          <cell r="M4647"/>
        </row>
        <row r="4648">
          <cell r="B4648"/>
          <cell r="C4648"/>
          <cell r="E4648"/>
          <cell r="F4648"/>
          <cell r="G4648"/>
          <cell r="H4648"/>
          <cell r="J4648"/>
          <cell r="L4648"/>
          <cell r="M4648"/>
        </row>
        <row r="4649">
          <cell r="B4649"/>
          <cell r="C4649"/>
          <cell r="E4649"/>
          <cell r="F4649"/>
          <cell r="G4649"/>
          <cell r="H4649"/>
          <cell r="J4649"/>
          <cell r="L4649"/>
          <cell r="M4649"/>
        </row>
        <row r="4650">
          <cell r="B4650"/>
          <cell r="C4650"/>
          <cell r="E4650"/>
          <cell r="F4650"/>
          <cell r="G4650"/>
          <cell r="H4650"/>
          <cell r="J4650"/>
          <cell r="L4650"/>
          <cell r="M4650"/>
        </row>
        <row r="4651">
          <cell r="B4651"/>
          <cell r="C4651"/>
          <cell r="E4651"/>
          <cell r="F4651"/>
          <cell r="G4651"/>
          <cell r="H4651"/>
          <cell r="J4651"/>
          <cell r="L4651"/>
          <cell r="M4651"/>
        </row>
        <row r="4652">
          <cell r="B4652"/>
          <cell r="C4652"/>
          <cell r="E4652"/>
          <cell r="F4652"/>
          <cell r="G4652"/>
          <cell r="H4652"/>
          <cell r="J4652"/>
          <cell r="L4652"/>
          <cell r="M4652"/>
        </row>
        <row r="4653">
          <cell r="B4653"/>
          <cell r="C4653"/>
          <cell r="E4653"/>
          <cell r="F4653"/>
          <cell r="G4653"/>
          <cell r="H4653"/>
          <cell r="J4653"/>
          <cell r="L4653"/>
          <cell r="M4653"/>
        </row>
        <row r="4654">
          <cell r="B4654"/>
          <cell r="C4654"/>
          <cell r="E4654"/>
          <cell r="F4654"/>
          <cell r="G4654"/>
          <cell r="H4654"/>
          <cell r="J4654"/>
          <cell r="L4654"/>
          <cell r="M4654"/>
        </row>
        <row r="4655">
          <cell r="B4655"/>
          <cell r="C4655"/>
          <cell r="E4655"/>
          <cell r="F4655"/>
          <cell r="G4655"/>
          <cell r="H4655"/>
          <cell r="J4655"/>
          <cell r="L4655"/>
          <cell r="M4655"/>
        </row>
        <row r="4656">
          <cell r="B4656"/>
          <cell r="C4656"/>
          <cell r="E4656"/>
          <cell r="F4656"/>
          <cell r="G4656"/>
          <cell r="H4656"/>
          <cell r="J4656"/>
          <cell r="L4656"/>
          <cell r="M4656"/>
        </row>
        <row r="4657">
          <cell r="B4657"/>
          <cell r="C4657"/>
          <cell r="E4657"/>
          <cell r="F4657"/>
          <cell r="G4657"/>
          <cell r="H4657"/>
          <cell r="J4657"/>
          <cell r="L4657"/>
          <cell r="M4657"/>
        </row>
        <row r="4658">
          <cell r="B4658"/>
          <cell r="C4658"/>
          <cell r="E4658"/>
          <cell r="F4658"/>
          <cell r="G4658"/>
          <cell r="H4658"/>
          <cell r="J4658"/>
          <cell r="L4658"/>
          <cell r="M4658"/>
        </row>
        <row r="4659">
          <cell r="B4659"/>
          <cell r="C4659"/>
          <cell r="E4659"/>
          <cell r="F4659"/>
          <cell r="G4659"/>
          <cell r="H4659"/>
          <cell r="J4659"/>
          <cell r="L4659"/>
          <cell r="M4659"/>
        </row>
        <row r="4660">
          <cell r="B4660"/>
          <cell r="C4660"/>
          <cell r="E4660"/>
          <cell r="F4660"/>
          <cell r="G4660"/>
          <cell r="H4660"/>
          <cell r="J4660"/>
          <cell r="L4660"/>
          <cell r="M4660"/>
        </row>
        <row r="4661">
          <cell r="B4661"/>
          <cell r="C4661"/>
          <cell r="E4661"/>
          <cell r="F4661"/>
          <cell r="G4661"/>
          <cell r="H4661"/>
          <cell r="J4661"/>
          <cell r="L4661"/>
          <cell r="M4661"/>
        </row>
        <row r="4662">
          <cell r="B4662"/>
          <cell r="C4662"/>
          <cell r="E4662"/>
          <cell r="F4662"/>
          <cell r="G4662"/>
          <cell r="H4662"/>
          <cell r="J4662"/>
          <cell r="L4662"/>
          <cell r="M4662"/>
        </row>
        <row r="4663">
          <cell r="B4663"/>
          <cell r="C4663"/>
          <cell r="E4663"/>
          <cell r="F4663"/>
          <cell r="G4663"/>
          <cell r="H4663"/>
          <cell r="J4663"/>
          <cell r="L4663"/>
          <cell r="M4663"/>
        </row>
        <row r="4664">
          <cell r="B4664"/>
          <cell r="C4664"/>
          <cell r="E4664"/>
          <cell r="F4664"/>
          <cell r="G4664"/>
          <cell r="H4664"/>
          <cell r="J4664"/>
          <cell r="L4664"/>
          <cell r="M4664"/>
        </row>
        <row r="4665">
          <cell r="B4665"/>
          <cell r="C4665"/>
          <cell r="E4665"/>
          <cell r="F4665"/>
          <cell r="G4665"/>
          <cell r="H4665"/>
          <cell r="J4665"/>
          <cell r="L4665"/>
          <cell r="M4665"/>
        </row>
        <row r="4666">
          <cell r="B4666"/>
          <cell r="C4666"/>
          <cell r="E4666"/>
          <cell r="F4666"/>
          <cell r="G4666"/>
          <cell r="H4666"/>
          <cell r="J4666"/>
          <cell r="L4666"/>
          <cell r="M4666"/>
        </row>
        <row r="4667">
          <cell r="B4667"/>
          <cell r="C4667"/>
          <cell r="E4667"/>
          <cell r="F4667"/>
          <cell r="G4667"/>
          <cell r="H4667"/>
          <cell r="J4667"/>
          <cell r="L4667"/>
          <cell r="M4667"/>
        </row>
        <row r="4668">
          <cell r="B4668"/>
          <cell r="C4668"/>
          <cell r="E4668"/>
          <cell r="F4668"/>
          <cell r="G4668"/>
          <cell r="H4668"/>
          <cell r="J4668"/>
          <cell r="L4668"/>
          <cell r="M4668"/>
        </row>
        <row r="4669">
          <cell r="B4669"/>
          <cell r="C4669"/>
          <cell r="E4669"/>
          <cell r="F4669"/>
          <cell r="G4669"/>
          <cell r="H4669"/>
          <cell r="J4669"/>
          <cell r="L4669"/>
          <cell r="M4669"/>
        </row>
        <row r="4670">
          <cell r="B4670"/>
          <cell r="C4670"/>
          <cell r="E4670"/>
          <cell r="F4670"/>
          <cell r="G4670"/>
          <cell r="H4670"/>
          <cell r="J4670"/>
          <cell r="L4670"/>
          <cell r="M4670"/>
        </row>
        <row r="4671">
          <cell r="B4671"/>
          <cell r="C4671"/>
          <cell r="E4671"/>
          <cell r="F4671"/>
          <cell r="G4671"/>
          <cell r="H4671"/>
          <cell r="J4671"/>
          <cell r="L4671"/>
          <cell r="M4671"/>
        </row>
        <row r="4672">
          <cell r="B4672"/>
          <cell r="C4672"/>
          <cell r="E4672"/>
          <cell r="F4672"/>
          <cell r="G4672"/>
          <cell r="H4672"/>
          <cell r="J4672"/>
          <cell r="L4672"/>
          <cell r="M4672"/>
        </row>
        <row r="4673">
          <cell r="B4673"/>
          <cell r="C4673"/>
          <cell r="E4673"/>
          <cell r="F4673"/>
          <cell r="G4673"/>
          <cell r="H4673"/>
          <cell r="J4673"/>
          <cell r="L4673"/>
          <cell r="M4673"/>
        </row>
        <row r="4674">
          <cell r="B4674"/>
          <cell r="C4674"/>
          <cell r="E4674"/>
          <cell r="F4674"/>
          <cell r="G4674"/>
          <cell r="H4674"/>
          <cell r="J4674"/>
          <cell r="L4674"/>
          <cell r="M4674"/>
        </row>
        <row r="4675">
          <cell r="B4675"/>
          <cell r="C4675"/>
          <cell r="E4675"/>
          <cell r="F4675"/>
          <cell r="G4675"/>
          <cell r="H4675"/>
          <cell r="J4675"/>
          <cell r="L4675"/>
          <cell r="M4675"/>
        </row>
        <row r="4676">
          <cell r="B4676"/>
          <cell r="C4676"/>
          <cell r="E4676"/>
          <cell r="F4676"/>
          <cell r="G4676"/>
          <cell r="H4676"/>
          <cell r="J4676"/>
          <cell r="L4676"/>
          <cell r="M4676"/>
        </row>
        <row r="4677">
          <cell r="B4677"/>
          <cell r="C4677"/>
          <cell r="E4677"/>
          <cell r="F4677"/>
          <cell r="G4677"/>
          <cell r="H4677"/>
          <cell r="J4677"/>
          <cell r="L4677"/>
          <cell r="M4677"/>
        </row>
        <row r="4678">
          <cell r="B4678"/>
          <cell r="C4678"/>
          <cell r="E4678"/>
          <cell r="F4678"/>
          <cell r="G4678"/>
          <cell r="H4678"/>
          <cell r="J4678"/>
          <cell r="L4678"/>
          <cell r="M4678"/>
        </row>
        <row r="4679">
          <cell r="B4679"/>
          <cell r="C4679"/>
          <cell r="E4679"/>
          <cell r="F4679"/>
          <cell r="G4679"/>
          <cell r="H4679"/>
          <cell r="J4679"/>
          <cell r="L4679"/>
          <cell r="M4679"/>
        </row>
        <row r="4680">
          <cell r="B4680"/>
          <cell r="C4680"/>
          <cell r="E4680"/>
          <cell r="F4680"/>
          <cell r="G4680"/>
          <cell r="H4680"/>
          <cell r="J4680"/>
          <cell r="L4680"/>
          <cell r="M4680"/>
        </row>
        <row r="4681">
          <cell r="B4681"/>
          <cell r="C4681"/>
          <cell r="E4681"/>
          <cell r="F4681"/>
          <cell r="G4681"/>
          <cell r="H4681"/>
          <cell r="J4681"/>
          <cell r="L4681"/>
          <cell r="M4681"/>
        </row>
        <row r="4682">
          <cell r="B4682"/>
          <cell r="C4682"/>
          <cell r="E4682"/>
          <cell r="F4682"/>
          <cell r="G4682"/>
          <cell r="H4682"/>
          <cell r="J4682"/>
          <cell r="L4682"/>
          <cell r="M4682"/>
        </row>
        <row r="4683">
          <cell r="B4683"/>
          <cell r="C4683"/>
          <cell r="E4683"/>
          <cell r="F4683"/>
          <cell r="G4683"/>
          <cell r="H4683"/>
          <cell r="J4683"/>
          <cell r="L4683"/>
          <cell r="M4683"/>
        </row>
        <row r="4684">
          <cell r="B4684"/>
          <cell r="C4684"/>
          <cell r="E4684"/>
          <cell r="F4684"/>
          <cell r="G4684"/>
          <cell r="H4684"/>
          <cell r="J4684"/>
          <cell r="L4684"/>
          <cell r="M4684"/>
        </row>
        <row r="4685">
          <cell r="B4685"/>
          <cell r="C4685"/>
          <cell r="E4685"/>
          <cell r="F4685"/>
          <cell r="G4685"/>
          <cell r="H4685"/>
          <cell r="J4685"/>
          <cell r="L4685"/>
          <cell r="M4685"/>
        </row>
        <row r="4686">
          <cell r="B4686"/>
          <cell r="C4686"/>
          <cell r="E4686"/>
          <cell r="F4686"/>
          <cell r="G4686"/>
          <cell r="H4686"/>
          <cell r="J4686"/>
          <cell r="L4686"/>
          <cell r="M4686"/>
        </row>
        <row r="4687">
          <cell r="B4687"/>
          <cell r="C4687"/>
          <cell r="E4687"/>
          <cell r="F4687"/>
          <cell r="G4687"/>
          <cell r="H4687"/>
          <cell r="J4687"/>
          <cell r="L4687"/>
          <cell r="M4687"/>
        </row>
        <row r="4688">
          <cell r="B4688"/>
          <cell r="C4688"/>
          <cell r="E4688"/>
          <cell r="F4688"/>
          <cell r="G4688"/>
          <cell r="H4688"/>
          <cell r="J4688"/>
          <cell r="L4688"/>
          <cell r="M4688"/>
        </row>
        <row r="4689">
          <cell r="B4689"/>
          <cell r="C4689"/>
          <cell r="E4689"/>
          <cell r="F4689"/>
          <cell r="G4689"/>
          <cell r="H4689"/>
          <cell r="J4689"/>
          <cell r="L4689"/>
          <cell r="M4689"/>
        </row>
        <row r="4690">
          <cell r="B4690"/>
          <cell r="C4690"/>
          <cell r="E4690"/>
          <cell r="F4690"/>
          <cell r="G4690"/>
          <cell r="H4690"/>
          <cell r="J4690"/>
          <cell r="L4690"/>
          <cell r="M4690"/>
        </row>
        <row r="4691">
          <cell r="B4691"/>
          <cell r="C4691"/>
          <cell r="E4691"/>
          <cell r="F4691"/>
          <cell r="G4691"/>
          <cell r="H4691"/>
          <cell r="J4691"/>
          <cell r="L4691"/>
          <cell r="M4691"/>
        </row>
        <row r="4692">
          <cell r="B4692"/>
          <cell r="C4692"/>
          <cell r="E4692"/>
          <cell r="F4692"/>
          <cell r="G4692"/>
          <cell r="H4692"/>
          <cell r="J4692"/>
          <cell r="L4692"/>
          <cell r="M4692"/>
        </row>
        <row r="4693">
          <cell r="B4693"/>
          <cell r="C4693"/>
          <cell r="E4693"/>
          <cell r="F4693"/>
          <cell r="G4693"/>
          <cell r="H4693"/>
          <cell r="J4693"/>
          <cell r="L4693"/>
          <cell r="M4693"/>
        </row>
        <row r="4694">
          <cell r="B4694"/>
          <cell r="C4694"/>
          <cell r="E4694"/>
          <cell r="F4694"/>
          <cell r="G4694"/>
          <cell r="H4694"/>
          <cell r="J4694"/>
          <cell r="L4694"/>
          <cell r="M4694"/>
        </row>
        <row r="4695">
          <cell r="B4695"/>
          <cell r="C4695"/>
          <cell r="E4695"/>
          <cell r="F4695"/>
          <cell r="G4695"/>
          <cell r="H4695"/>
          <cell r="J4695"/>
          <cell r="L4695"/>
          <cell r="M4695"/>
        </row>
        <row r="4696">
          <cell r="B4696"/>
          <cell r="C4696"/>
          <cell r="E4696"/>
          <cell r="F4696"/>
          <cell r="G4696"/>
          <cell r="H4696"/>
          <cell r="J4696"/>
          <cell r="L4696"/>
          <cell r="M4696"/>
        </row>
        <row r="4697">
          <cell r="B4697"/>
          <cell r="C4697"/>
          <cell r="E4697"/>
          <cell r="F4697"/>
          <cell r="G4697"/>
          <cell r="H4697"/>
          <cell r="J4697"/>
          <cell r="L4697"/>
          <cell r="M4697"/>
        </row>
        <row r="4698">
          <cell r="B4698"/>
          <cell r="C4698"/>
          <cell r="E4698"/>
          <cell r="F4698"/>
          <cell r="G4698"/>
          <cell r="H4698"/>
          <cell r="J4698"/>
          <cell r="L4698"/>
          <cell r="M4698"/>
        </row>
        <row r="4699">
          <cell r="B4699"/>
          <cell r="C4699"/>
          <cell r="E4699"/>
          <cell r="F4699"/>
          <cell r="G4699"/>
          <cell r="H4699"/>
          <cell r="J4699"/>
          <cell r="L4699"/>
          <cell r="M4699"/>
        </row>
        <row r="4700">
          <cell r="B4700"/>
          <cell r="C4700"/>
          <cell r="E4700"/>
          <cell r="F4700"/>
          <cell r="G4700"/>
          <cell r="H4700"/>
          <cell r="J4700"/>
          <cell r="L4700"/>
          <cell r="M4700"/>
        </row>
        <row r="4701">
          <cell r="B4701"/>
          <cell r="C4701"/>
          <cell r="E4701"/>
          <cell r="F4701"/>
          <cell r="G4701"/>
          <cell r="H4701"/>
          <cell r="J4701"/>
          <cell r="L4701"/>
          <cell r="M4701"/>
        </row>
        <row r="4702">
          <cell r="B4702"/>
          <cell r="C4702"/>
          <cell r="E4702"/>
          <cell r="F4702"/>
          <cell r="G4702"/>
          <cell r="H4702"/>
          <cell r="J4702"/>
          <cell r="L4702"/>
          <cell r="M4702"/>
        </row>
        <row r="4703">
          <cell r="B4703"/>
          <cell r="C4703"/>
          <cell r="E4703"/>
          <cell r="F4703"/>
          <cell r="G4703"/>
          <cell r="H4703"/>
          <cell r="J4703"/>
          <cell r="L4703"/>
          <cell r="M4703"/>
        </row>
        <row r="4704">
          <cell r="B4704"/>
          <cell r="C4704"/>
          <cell r="E4704"/>
          <cell r="F4704"/>
          <cell r="G4704"/>
          <cell r="H4704"/>
          <cell r="J4704"/>
          <cell r="L4704"/>
          <cell r="M4704"/>
        </row>
        <row r="4705">
          <cell r="B4705"/>
          <cell r="C4705"/>
          <cell r="E4705"/>
          <cell r="F4705"/>
          <cell r="G4705"/>
          <cell r="H4705"/>
          <cell r="J4705"/>
          <cell r="L4705"/>
          <cell r="M4705"/>
        </row>
        <row r="4706">
          <cell r="B4706"/>
          <cell r="C4706"/>
          <cell r="E4706"/>
          <cell r="F4706"/>
          <cell r="G4706"/>
          <cell r="H4706"/>
          <cell r="J4706"/>
          <cell r="L4706"/>
          <cell r="M4706"/>
        </row>
        <row r="4707">
          <cell r="B4707"/>
          <cell r="C4707"/>
          <cell r="E4707"/>
          <cell r="F4707"/>
          <cell r="G4707"/>
          <cell r="H4707"/>
          <cell r="J4707"/>
          <cell r="L4707"/>
          <cell r="M4707"/>
        </row>
        <row r="4708">
          <cell r="B4708"/>
          <cell r="C4708"/>
          <cell r="E4708"/>
          <cell r="F4708"/>
          <cell r="G4708"/>
          <cell r="H4708"/>
          <cell r="J4708"/>
          <cell r="L4708"/>
          <cell r="M4708"/>
        </row>
        <row r="4709">
          <cell r="B4709"/>
          <cell r="C4709"/>
          <cell r="E4709"/>
          <cell r="F4709"/>
          <cell r="G4709"/>
          <cell r="H4709"/>
          <cell r="J4709"/>
          <cell r="L4709"/>
          <cell r="M4709"/>
        </row>
        <row r="4710">
          <cell r="B4710"/>
          <cell r="C4710"/>
          <cell r="E4710"/>
          <cell r="F4710"/>
          <cell r="G4710"/>
          <cell r="H4710"/>
          <cell r="J4710"/>
          <cell r="L4710"/>
          <cell r="M4710"/>
        </row>
        <row r="4711">
          <cell r="B4711"/>
          <cell r="C4711"/>
          <cell r="E4711"/>
          <cell r="F4711"/>
          <cell r="G4711"/>
          <cell r="H4711"/>
          <cell r="J4711"/>
          <cell r="L4711"/>
          <cell r="M4711"/>
        </row>
        <row r="4712">
          <cell r="B4712"/>
          <cell r="C4712"/>
          <cell r="E4712"/>
          <cell r="F4712"/>
          <cell r="G4712"/>
          <cell r="H4712"/>
          <cell r="J4712"/>
          <cell r="L4712"/>
          <cell r="M4712"/>
        </row>
        <row r="4713">
          <cell r="B4713"/>
          <cell r="C4713"/>
          <cell r="E4713"/>
          <cell r="F4713"/>
          <cell r="G4713"/>
          <cell r="H4713"/>
          <cell r="J4713"/>
          <cell r="L4713"/>
          <cell r="M4713"/>
        </row>
        <row r="4714">
          <cell r="B4714"/>
          <cell r="C4714"/>
          <cell r="E4714"/>
          <cell r="F4714"/>
          <cell r="G4714"/>
          <cell r="H4714"/>
          <cell r="J4714"/>
          <cell r="L4714"/>
          <cell r="M4714"/>
        </row>
        <row r="4715">
          <cell r="B4715"/>
          <cell r="C4715"/>
          <cell r="E4715"/>
          <cell r="F4715"/>
          <cell r="G4715"/>
          <cell r="H4715"/>
          <cell r="J4715"/>
          <cell r="L4715"/>
          <cell r="M4715"/>
        </row>
        <row r="4716">
          <cell r="B4716"/>
          <cell r="C4716"/>
          <cell r="E4716"/>
          <cell r="F4716"/>
          <cell r="G4716"/>
          <cell r="H4716"/>
          <cell r="J4716"/>
          <cell r="L4716"/>
          <cell r="M4716"/>
        </row>
        <row r="4717">
          <cell r="B4717"/>
          <cell r="C4717"/>
          <cell r="E4717"/>
          <cell r="F4717"/>
          <cell r="G4717"/>
          <cell r="H4717"/>
          <cell r="J4717"/>
          <cell r="L4717"/>
          <cell r="M4717"/>
        </row>
        <row r="4718">
          <cell r="B4718"/>
          <cell r="C4718"/>
          <cell r="E4718"/>
          <cell r="F4718"/>
          <cell r="G4718"/>
          <cell r="H4718"/>
          <cell r="J4718"/>
          <cell r="L4718"/>
          <cell r="M4718"/>
        </row>
        <row r="4719">
          <cell r="B4719"/>
          <cell r="C4719"/>
          <cell r="E4719"/>
          <cell r="F4719"/>
          <cell r="G4719"/>
          <cell r="H4719"/>
          <cell r="J4719"/>
          <cell r="L4719"/>
          <cell r="M4719"/>
        </row>
        <row r="4720">
          <cell r="B4720"/>
          <cell r="C4720"/>
          <cell r="E4720"/>
          <cell r="F4720"/>
          <cell r="G4720"/>
          <cell r="H4720"/>
          <cell r="J4720"/>
          <cell r="L4720"/>
          <cell r="M4720"/>
        </row>
        <row r="4721">
          <cell r="B4721"/>
          <cell r="C4721"/>
          <cell r="E4721"/>
          <cell r="F4721"/>
          <cell r="G4721"/>
          <cell r="H4721"/>
          <cell r="J4721"/>
          <cell r="L4721"/>
          <cell r="M4721"/>
        </row>
        <row r="4722">
          <cell r="B4722"/>
          <cell r="C4722"/>
          <cell r="E4722"/>
          <cell r="F4722"/>
          <cell r="G4722"/>
          <cell r="H4722"/>
          <cell r="J4722"/>
          <cell r="L4722"/>
          <cell r="M4722"/>
        </row>
        <row r="4723">
          <cell r="B4723"/>
          <cell r="C4723"/>
          <cell r="E4723"/>
          <cell r="F4723"/>
          <cell r="G4723"/>
          <cell r="H4723"/>
          <cell r="J4723"/>
          <cell r="L4723"/>
          <cell r="M4723"/>
        </row>
        <row r="4724">
          <cell r="B4724"/>
          <cell r="C4724"/>
          <cell r="E4724"/>
          <cell r="F4724"/>
          <cell r="G4724"/>
          <cell r="H4724"/>
          <cell r="J4724"/>
          <cell r="L4724"/>
          <cell r="M4724"/>
        </row>
        <row r="4725">
          <cell r="B4725"/>
          <cell r="C4725"/>
          <cell r="E4725"/>
          <cell r="F4725"/>
          <cell r="G4725"/>
          <cell r="H4725"/>
          <cell r="J4725"/>
          <cell r="L4725"/>
          <cell r="M4725"/>
        </row>
        <row r="4726">
          <cell r="B4726"/>
          <cell r="C4726"/>
          <cell r="E4726"/>
          <cell r="F4726"/>
          <cell r="G4726"/>
          <cell r="H4726"/>
          <cell r="J4726"/>
          <cell r="L4726"/>
          <cell r="M4726"/>
        </row>
        <row r="4727">
          <cell r="B4727"/>
          <cell r="C4727"/>
          <cell r="E4727"/>
          <cell r="F4727"/>
          <cell r="G4727"/>
          <cell r="H4727"/>
          <cell r="J4727"/>
          <cell r="L4727"/>
          <cell r="M4727"/>
        </row>
        <row r="4728">
          <cell r="B4728"/>
          <cell r="C4728"/>
          <cell r="E4728"/>
          <cell r="F4728"/>
          <cell r="G4728"/>
          <cell r="H4728"/>
          <cell r="J4728"/>
          <cell r="L4728"/>
          <cell r="M4728"/>
        </row>
        <row r="4729">
          <cell r="B4729"/>
          <cell r="C4729"/>
          <cell r="E4729"/>
          <cell r="F4729"/>
          <cell r="G4729"/>
          <cell r="H4729"/>
          <cell r="J4729"/>
          <cell r="L4729"/>
          <cell r="M4729"/>
        </row>
        <row r="4730">
          <cell r="B4730"/>
          <cell r="C4730"/>
          <cell r="E4730"/>
          <cell r="F4730"/>
          <cell r="G4730"/>
          <cell r="H4730"/>
          <cell r="J4730"/>
          <cell r="L4730"/>
          <cell r="M4730"/>
        </row>
        <row r="4731">
          <cell r="B4731"/>
          <cell r="C4731"/>
          <cell r="E4731"/>
          <cell r="F4731"/>
          <cell r="G4731"/>
          <cell r="H4731"/>
          <cell r="J4731"/>
          <cell r="L4731"/>
          <cell r="M4731"/>
        </row>
        <row r="4732">
          <cell r="B4732"/>
          <cell r="C4732"/>
          <cell r="E4732"/>
          <cell r="F4732"/>
          <cell r="G4732"/>
          <cell r="H4732"/>
          <cell r="J4732"/>
          <cell r="L4732"/>
          <cell r="M4732"/>
        </row>
        <row r="4733">
          <cell r="B4733"/>
          <cell r="C4733"/>
          <cell r="E4733"/>
          <cell r="F4733"/>
          <cell r="G4733"/>
          <cell r="H4733"/>
          <cell r="J4733"/>
          <cell r="L4733"/>
          <cell r="M4733"/>
        </row>
        <row r="4734">
          <cell r="B4734"/>
          <cell r="C4734"/>
          <cell r="E4734"/>
          <cell r="F4734"/>
          <cell r="G4734"/>
          <cell r="H4734"/>
          <cell r="J4734"/>
          <cell r="L4734"/>
          <cell r="M4734"/>
        </row>
        <row r="4735">
          <cell r="B4735"/>
          <cell r="C4735"/>
          <cell r="E4735"/>
          <cell r="F4735"/>
          <cell r="G4735"/>
          <cell r="H4735"/>
          <cell r="J4735"/>
          <cell r="L4735"/>
          <cell r="M4735"/>
        </row>
        <row r="4736">
          <cell r="B4736"/>
          <cell r="C4736"/>
          <cell r="E4736"/>
          <cell r="F4736"/>
          <cell r="G4736"/>
          <cell r="H4736"/>
          <cell r="J4736"/>
          <cell r="L4736"/>
          <cell r="M4736"/>
        </row>
        <row r="4737">
          <cell r="B4737"/>
          <cell r="C4737"/>
          <cell r="E4737"/>
          <cell r="F4737"/>
          <cell r="G4737"/>
          <cell r="H4737"/>
          <cell r="J4737"/>
          <cell r="L4737"/>
          <cell r="M4737"/>
        </row>
        <row r="4738">
          <cell r="B4738"/>
          <cell r="C4738"/>
          <cell r="E4738"/>
          <cell r="F4738"/>
          <cell r="G4738"/>
          <cell r="H4738"/>
          <cell r="J4738"/>
          <cell r="L4738"/>
          <cell r="M4738"/>
        </row>
        <row r="4739">
          <cell r="B4739"/>
          <cell r="C4739"/>
          <cell r="E4739"/>
          <cell r="F4739"/>
          <cell r="G4739"/>
          <cell r="H4739"/>
          <cell r="J4739"/>
          <cell r="L4739"/>
          <cell r="M4739"/>
        </row>
        <row r="4740">
          <cell r="B4740"/>
          <cell r="C4740"/>
          <cell r="E4740"/>
          <cell r="F4740"/>
          <cell r="G4740"/>
          <cell r="H4740"/>
          <cell r="J4740"/>
          <cell r="L4740"/>
          <cell r="M4740"/>
        </row>
        <row r="4741">
          <cell r="B4741"/>
          <cell r="C4741"/>
          <cell r="E4741"/>
          <cell r="F4741"/>
          <cell r="G4741"/>
          <cell r="H4741"/>
          <cell r="J4741"/>
          <cell r="L4741"/>
          <cell r="M4741"/>
        </row>
        <row r="4742">
          <cell r="B4742"/>
          <cell r="C4742"/>
          <cell r="E4742"/>
          <cell r="F4742"/>
          <cell r="G4742"/>
          <cell r="H4742"/>
          <cell r="J4742"/>
          <cell r="L4742"/>
          <cell r="M4742"/>
        </row>
        <row r="4743">
          <cell r="B4743"/>
          <cell r="C4743"/>
          <cell r="E4743"/>
          <cell r="F4743"/>
          <cell r="G4743"/>
          <cell r="H4743"/>
          <cell r="J4743"/>
          <cell r="L4743"/>
          <cell r="M4743"/>
        </row>
        <row r="4744">
          <cell r="B4744"/>
          <cell r="C4744"/>
          <cell r="E4744"/>
          <cell r="F4744"/>
          <cell r="G4744"/>
          <cell r="H4744"/>
          <cell r="J4744"/>
          <cell r="L4744"/>
          <cell r="M4744"/>
        </row>
        <row r="4745">
          <cell r="B4745"/>
          <cell r="C4745"/>
          <cell r="E4745"/>
          <cell r="F4745"/>
          <cell r="G4745"/>
          <cell r="H4745"/>
          <cell r="J4745"/>
          <cell r="L4745"/>
          <cell r="M4745"/>
        </row>
        <row r="4746">
          <cell r="B4746"/>
          <cell r="C4746"/>
          <cell r="E4746"/>
          <cell r="F4746"/>
          <cell r="G4746"/>
          <cell r="H4746"/>
          <cell r="J4746"/>
          <cell r="L4746"/>
          <cell r="M4746"/>
        </row>
        <row r="4747">
          <cell r="B4747"/>
          <cell r="C4747"/>
          <cell r="E4747"/>
          <cell r="F4747"/>
          <cell r="G4747"/>
          <cell r="H4747"/>
          <cell r="J4747"/>
          <cell r="L4747"/>
          <cell r="M4747"/>
        </row>
        <row r="4748">
          <cell r="B4748"/>
          <cell r="C4748"/>
          <cell r="E4748"/>
          <cell r="F4748"/>
          <cell r="G4748"/>
          <cell r="H4748"/>
          <cell r="J4748"/>
          <cell r="L4748"/>
          <cell r="M4748"/>
        </row>
        <row r="4749">
          <cell r="B4749"/>
          <cell r="C4749"/>
          <cell r="E4749"/>
          <cell r="F4749"/>
          <cell r="G4749"/>
          <cell r="H4749"/>
          <cell r="J4749"/>
          <cell r="L4749"/>
          <cell r="M4749"/>
        </row>
        <row r="4750">
          <cell r="B4750"/>
          <cell r="C4750"/>
          <cell r="E4750"/>
          <cell r="F4750"/>
          <cell r="G4750"/>
          <cell r="H4750"/>
          <cell r="J4750"/>
          <cell r="L4750"/>
          <cell r="M4750"/>
        </row>
        <row r="4751">
          <cell r="B4751"/>
          <cell r="C4751"/>
          <cell r="E4751"/>
          <cell r="F4751"/>
          <cell r="G4751"/>
          <cell r="H4751"/>
          <cell r="J4751"/>
          <cell r="L4751"/>
          <cell r="M4751"/>
        </row>
        <row r="4752">
          <cell r="B4752"/>
          <cell r="C4752"/>
          <cell r="E4752"/>
          <cell r="F4752"/>
          <cell r="G4752"/>
          <cell r="H4752"/>
          <cell r="J4752"/>
          <cell r="L4752"/>
          <cell r="M4752"/>
        </row>
        <row r="4753">
          <cell r="B4753"/>
          <cell r="C4753"/>
          <cell r="E4753"/>
          <cell r="F4753"/>
          <cell r="G4753"/>
          <cell r="H4753"/>
          <cell r="J4753"/>
          <cell r="L4753"/>
          <cell r="M4753"/>
        </row>
        <row r="4754">
          <cell r="B4754"/>
          <cell r="C4754"/>
          <cell r="E4754"/>
          <cell r="F4754"/>
          <cell r="G4754"/>
          <cell r="H4754"/>
          <cell r="J4754"/>
          <cell r="L4754"/>
          <cell r="M4754"/>
        </row>
        <row r="4755">
          <cell r="B4755"/>
          <cell r="C4755"/>
          <cell r="E4755"/>
          <cell r="F4755"/>
          <cell r="G4755"/>
          <cell r="H4755"/>
          <cell r="J4755"/>
          <cell r="L4755"/>
          <cell r="M4755"/>
        </row>
        <row r="4756">
          <cell r="B4756"/>
          <cell r="C4756"/>
          <cell r="E4756"/>
          <cell r="F4756"/>
          <cell r="G4756"/>
          <cell r="H4756"/>
          <cell r="J4756"/>
          <cell r="L4756"/>
          <cell r="M4756"/>
        </row>
        <row r="4757">
          <cell r="B4757"/>
          <cell r="C4757"/>
          <cell r="E4757"/>
          <cell r="F4757"/>
          <cell r="G4757"/>
          <cell r="H4757"/>
          <cell r="J4757"/>
          <cell r="L4757"/>
          <cell r="M4757"/>
        </row>
        <row r="4758">
          <cell r="B4758"/>
          <cell r="C4758"/>
          <cell r="E4758"/>
          <cell r="F4758"/>
          <cell r="G4758"/>
          <cell r="H4758"/>
          <cell r="J4758"/>
          <cell r="L4758"/>
          <cell r="M4758"/>
        </row>
        <row r="4759">
          <cell r="B4759"/>
          <cell r="C4759"/>
          <cell r="E4759"/>
          <cell r="F4759"/>
          <cell r="G4759"/>
          <cell r="H4759"/>
          <cell r="J4759"/>
          <cell r="L4759"/>
          <cell r="M4759"/>
        </row>
        <row r="4760">
          <cell r="B4760"/>
          <cell r="C4760"/>
          <cell r="E4760"/>
          <cell r="F4760"/>
          <cell r="G4760"/>
          <cell r="H4760"/>
          <cell r="J4760"/>
          <cell r="L4760"/>
          <cell r="M4760"/>
        </row>
        <row r="4761">
          <cell r="B4761"/>
          <cell r="C4761"/>
          <cell r="E4761"/>
          <cell r="F4761"/>
          <cell r="G4761"/>
          <cell r="H4761"/>
          <cell r="J4761"/>
          <cell r="L4761"/>
          <cell r="M4761"/>
        </row>
        <row r="4762">
          <cell r="B4762"/>
          <cell r="C4762"/>
          <cell r="E4762"/>
          <cell r="F4762"/>
          <cell r="G4762"/>
          <cell r="H4762"/>
          <cell r="J4762"/>
          <cell r="L4762"/>
          <cell r="M4762"/>
        </row>
        <row r="4763">
          <cell r="B4763"/>
          <cell r="C4763"/>
          <cell r="E4763"/>
          <cell r="F4763"/>
          <cell r="G4763"/>
          <cell r="H4763"/>
          <cell r="J4763"/>
          <cell r="L4763"/>
          <cell r="M4763"/>
        </row>
        <row r="4764">
          <cell r="B4764"/>
          <cell r="C4764"/>
          <cell r="E4764"/>
          <cell r="F4764"/>
          <cell r="G4764"/>
          <cell r="H4764"/>
          <cell r="J4764"/>
          <cell r="L4764"/>
          <cell r="M4764"/>
        </row>
        <row r="4765">
          <cell r="B4765"/>
          <cell r="C4765"/>
          <cell r="E4765"/>
          <cell r="F4765"/>
          <cell r="G4765"/>
          <cell r="H4765"/>
          <cell r="J4765"/>
          <cell r="L4765"/>
          <cell r="M4765"/>
        </row>
        <row r="4766">
          <cell r="B4766"/>
          <cell r="C4766"/>
          <cell r="E4766"/>
          <cell r="F4766"/>
          <cell r="G4766"/>
          <cell r="H4766"/>
          <cell r="J4766"/>
          <cell r="L4766"/>
          <cell r="M4766"/>
        </row>
        <row r="4767">
          <cell r="B4767"/>
          <cell r="C4767"/>
          <cell r="E4767"/>
          <cell r="F4767"/>
          <cell r="G4767"/>
          <cell r="H4767"/>
          <cell r="J4767"/>
          <cell r="L4767"/>
          <cell r="M4767"/>
        </row>
        <row r="4768">
          <cell r="B4768"/>
          <cell r="C4768"/>
          <cell r="E4768"/>
          <cell r="F4768"/>
          <cell r="G4768"/>
          <cell r="H4768"/>
          <cell r="J4768"/>
          <cell r="L4768"/>
          <cell r="M4768"/>
        </row>
        <row r="4769">
          <cell r="B4769"/>
          <cell r="C4769"/>
          <cell r="E4769"/>
          <cell r="F4769"/>
          <cell r="G4769"/>
          <cell r="H4769"/>
          <cell r="J4769"/>
          <cell r="L4769"/>
          <cell r="M4769"/>
        </row>
        <row r="4770">
          <cell r="B4770"/>
          <cell r="C4770"/>
          <cell r="E4770"/>
          <cell r="F4770"/>
          <cell r="G4770"/>
          <cell r="H4770"/>
          <cell r="J4770"/>
          <cell r="L4770"/>
          <cell r="M4770"/>
        </row>
        <row r="4771">
          <cell r="B4771"/>
          <cell r="C4771"/>
          <cell r="E4771"/>
          <cell r="F4771"/>
          <cell r="G4771"/>
          <cell r="H4771"/>
          <cell r="J4771"/>
          <cell r="L4771"/>
          <cell r="M4771"/>
        </row>
        <row r="4772">
          <cell r="B4772"/>
          <cell r="C4772"/>
          <cell r="E4772"/>
          <cell r="F4772"/>
          <cell r="G4772"/>
          <cell r="H4772"/>
          <cell r="J4772"/>
          <cell r="L4772"/>
          <cell r="M4772"/>
        </row>
        <row r="4773">
          <cell r="B4773"/>
          <cell r="C4773"/>
          <cell r="E4773"/>
          <cell r="F4773"/>
          <cell r="G4773"/>
          <cell r="H4773"/>
          <cell r="J4773"/>
          <cell r="L4773"/>
          <cell r="M4773"/>
        </row>
        <row r="4774">
          <cell r="B4774"/>
          <cell r="C4774"/>
          <cell r="E4774"/>
          <cell r="F4774"/>
          <cell r="G4774"/>
          <cell r="H4774"/>
          <cell r="J4774"/>
          <cell r="L4774"/>
          <cell r="M4774"/>
        </row>
        <row r="4775">
          <cell r="B4775"/>
          <cell r="C4775"/>
          <cell r="E4775"/>
          <cell r="F4775"/>
          <cell r="G4775"/>
          <cell r="H4775"/>
          <cell r="J4775"/>
          <cell r="L4775"/>
          <cell r="M4775"/>
        </row>
        <row r="4776">
          <cell r="B4776"/>
          <cell r="C4776"/>
          <cell r="E4776"/>
          <cell r="F4776"/>
          <cell r="G4776"/>
          <cell r="H4776"/>
          <cell r="J4776"/>
          <cell r="L4776"/>
          <cell r="M4776"/>
        </row>
        <row r="4777">
          <cell r="B4777"/>
          <cell r="C4777"/>
          <cell r="E4777"/>
          <cell r="F4777"/>
          <cell r="G4777"/>
          <cell r="H4777"/>
          <cell r="J4777"/>
          <cell r="L4777"/>
          <cell r="M4777"/>
        </row>
        <row r="4778">
          <cell r="B4778"/>
          <cell r="C4778"/>
          <cell r="E4778"/>
          <cell r="F4778"/>
          <cell r="G4778"/>
          <cell r="H4778"/>
          <cell r="J4778"/>
          <cell r="L4778"/>
          <cell r="M4778"/>
        </row>
        <row r="4779">
          <cell r="B4779"/>
          <cell r="C4779"/>
          <cell r="E4779"/>
          <cell r="F4779"/>
          <cell r="G4779"/>
          <cell r="H4779"/>
          <cell r="J4779"/>
          <cell r="L4779"/>
          <cell r="M4779"/>
        </row>
        <row r="4780">
          <cell r="B4780"/>
          <cell r="C4780"/>
          <cell r="E4780"/>
          <cell r="F4780"/>
          <cell r="G4780"/>
          <cell r="H4780"/>
          <cell r="J4780"/>
          <cell r="L4780"/>
          <cell r="M4780"/>
        </row>
        <row r="4781">
          <cell r="B4781"/>
          <cell r="C4781"/>
          <cell r="E4781"/>
          <cell r="F4781"/>
          <cell r="G4781"/>
          <cell r="H4781"/>
          <cell r="J4781"/>
          <cell r="L4781"/>
          <cell r="M4781"/>
        </row>
        <row r="4782">
          <cell r="B4782"/>
          <cell r="C4782"/>
          <cell r="E4782"/>
          <cell r="F4782"/>
          <cell r="G4782"/>
          <cell r="H4782"/>
          <cell r="J4782"/>
          <cell r="L4782"/>
          <cell r="M4782"/>
        </row>
        <row r="4783">
          <cell r="B4783"/>
          <cell r="C4783"/>
          <cell r="E4783"/>
          <cell r="F4783"/>
          <cell r="G4783"/>
          <cell r="H4783"/>
          <cell r="J4783"/>
          <cell r="L4783"/>
          <cell r="M4783"/>
        </row>
        <row r="4784">
          <cell r="B4784"/>
          <cell r="C4784"/>
          <cell r="E4784"/>
          <cell r="F4784"/>
          <cell r="G4784"/>
          <cell r="H4784"/>
          <cell r="J4784"/>
          <cell r="L4784"/>
          <cell r="M4784"/>
        </row>
        <row r="4785">
          <cell r="B4785"/>
          <cell r="C4785"/>
          <cell r="E4785"/>
          <cell r="F4785"/>
          <cell r="G4785"/>
          <cell r="H4785"/>
          <cell r="J4785"/>
          <cell r="L4785"/>
          <cell r="M4785"/>
        </row>
        <row r="4786">
          <cell r="B4786"/>
          <cell r="C4786"/>
          <cell r="E4786"/>
          <cell r="F4786"/>
          <cell r="G4786"/>
          <cell r="H4786"/>
          <cell r="J4786"/>
          <cell r="L4786"/>
          <cell r="M4786"/>
        </row>
        <row r="4787">
          <cell r="B4787"/>
          <cell r="C4787"/>
          <cell r="E4787"/>
          <cell r="F4787"/>
          <cell r="G4787"/>
          <cell r="H4787"/>
          <cell r="J4787"/>
          <cell r="L4787"/>
          <cell r="M4787"/>
        </row>
        <row r="4788">
          <cell r="B4788"/>
          <cell r="C4788"/>
          <cell r="E4788"/>
          <cell r="F4788"/>
          <cell r="G4788"/>
          <cell r="H4788"/>
          <cell r="J4788"/>
          <cell r="L4788"/>
          <cell r="M4788"/>
        </row>
        <row r="4789">
          <cell r="B4789"/>
          <cell r="C4789"/>
          <cell r="E4789"/>
          <cell r="F4789"/>
          <cell r="G4789"/>
          <cell r="H4789"/>
          <cell r="J4789"/>
          <cell r="L4789"/>
          <cell r="M4789"/>
        </row>
        <row r="4790">
          <cell r="B4790"/>
          <cell r="C4790"/>
          <cell r="E4790"/>
          <cell r="F4790"/>
          <cell r="G4790"/>
          <cell r="H4790"/>
          <cell r="J4790"/>
          <cell r="L4790"/>
          <cell r="M4790"/>
        </row>
        <row r="4791">
          <cell r="B4791"/>
          <cell r="C4791"/>
          <cell r="E4791"/>
          <cell r="F4791"/>
          <cell r="G4791"/>
          <cell r="H4791"/>
          <cell r="J4791"/>
          <cell r="L4791"/>
          <cell r="M4791"/>
        </row>
        <row r="4792">
          <cell r="B4792"/>
          <cell r="C4792"/>
          <cell r="E4792"/>
          <cell r="F4792"/>
          <cell r="G4792"/>
          <cell r="H4792"/>
          <cell r="J4792"/>
          <cell r="L4792"/>
          <cell r="M4792"/>
        </row>
        <row r="4793">
          <cell r="B4793"/>
          <cell r="C4793"/>
          <cell r="E4793"/>
          <cell r="F4793"/>
          <cell r="G4793"/>
          <cell r="H4793"/>
          <cell r="J4793"/>
          <cell r="L4793"/>
          <cell r="M4793"/>
        </row>
        <row r="4794">
          <cell r="B4794"/>
          <cell r="C4794"/>
          <cell r="E4794"/>
          <cell r="F4794"/>
          <cell r="G4794"/>
          <cell r="H4794"/>
          <cell r="J4794"/>
          <cell r="L4794"/>
          <cell r="M4794"/>
        </row>
        <row r="4795">
          <cell r="B4795"/>
          <cell r="C4795"/>
          <cell r="E4795"/>
          <cell r="F4795"/>
          <cell r="G4795"/>
          <cell r="H4795"/>
          <cell r="J4795"/>
          <cell r="L4795"/>
          <cell r="M4795"/>
        </row>
        <row r="4796">
          <cell r="B4796"/>
          <cell r="C4796"/>
          <cell r="E4796"/>
          <cell r="F4796"/>
          <cell r="G4796"/>
          <cell r="H4796"/>
          <cell r="J4796"/>
          <cell r="L4796"/>
          <cell r="M4796"/>
        </row>
        <row r="4797">
          <cell r="B4797"/>
          <cell r="C4797"/>
          <cell r="E4797"/>
          <cell r="F4797"/>
          <cell r="G4797"/>
          <cell r="H4797"/>
          <cell r="J4797"/>
          <cell r="L4797"/>
          <cell r="M4797"/>
        </row>
        <row r="4798">
          <cell r="B4798"/>
          <cell r="C4798"/>
          <cell r="E4798"/>
          <cell r="F4798"/>
          <cell r="G4798"/>
          <cell r="H4798"/>
          <cell r="J4798"/>
          <cell r="L4798"/>
          <cell r="M4798"/>
        </row>
        <row r="4799">
          <cell r="B4799"/>
          <cell r="C4799"/>
          <cell r="E4799"/>
          <cell r="F4799"/>
          <cell r="G4799"/>
          <cell r="H4799"/>
          <cell r="J4799"/>
          <cell r="L4799"/>
          <cell r="M4799"/>
        </row>
        <row r="4800">
          <cell r="B4800"/>
          <cell r="C4800"/>
          <cell r="E4800"/>
          <cell r="F4800"/>
          <cell r="G4800"/>
          <cell r="H4800"/>
          <cell r="J4800"/>
          <cell r="L4800"/>
          <cell r="M4800"/>
        </row>
        <row r="4801">
          <cell r="B4801"/>
          <cell r="C4801"/>
          <cell r="E4801"/>
          <cell r="F4801"/>
          <cell r="G4801"/>
          <cell r="H4801"/>
          <cell r="J4801"/>
          <cell r="L4801"/>
          <cell r="M4801"/>
        </row>
        <row r="4802">
          <cell r="B4802"/>
          <cell r="C4802"/>
          <cell r="E4802"/>
          <cell r="F4802"/>
          <cell r="G4802"/>
          <cell r="H4802"/>
          <cell r="J4802"/>
          <cell r="L4802"/>
          <cell r="M4802"/>
        </row>
        <row r="4803">
          <cell r="B4803"/>
          <cell r="C4803"/>
          <cell r="E4803"/>
          <cell r="F4803"/>
          <cell r="G4803"/>
          <cell r="H4803"/>
          <cell r="J4803"/>
          <cell r="L4803"/>
          <cell r="M4803"/>
        </row>
        <row r="4804">
          <cell r="B4804"/>
          <cell r="C4804"/>
          <cell r="E4804"/>
          <cell r="F4804"/>
          <cell r="G4804"/>
          <cell r="H4804"/>
          <cell r="J4804"/>
          <cell r="L4804"/>
          <cell r="M4804"/>
        </row>
        <row r="4805">
          <cell r="B4805"/>
          <cell r="C4805"/>
          <cell r="E4805"/>
          <cell r="F4805"/>
          <cell r="G4805"/>
          <cell r="H4805"/>
          <cell r="J4805"/>
          <cell r="L4805"/>
          <cell r="M4805"/>
        </row>
        <row r="4806">
          <cell r="B4806"/>
          <cell r="C4806"/>
          <cell r="E4806"/>
          <cell r="F4806"/>
          <cell r="G4806"/>
          <cell r="H4806"/>
          <cell r="J4806"/>
          <cell r="L4806"/>
          <cell r="M4806"/>
        </row>
        <row r="4807">
          <cell r="B4807"/>
          <cell r="C4807"/>
          <cell r="E4807"/>
          <cell r="F4807"/>
          <cell r="G4807"/>
          <cell r="H4807"/>
          <cell r="J4807"/>
          <cell r="L4807"/>
          <cell r="M4807"/>
        </row>
        <row r="4808">
          <cell r="B4808"/>
          <cell r="C4808"/>
          <cell r="E4808"/>
          <cell r="F4808"/>
          <cell r="G4808"/>
          <cell r="H4808"/>
          <cell r="J4808"/>
          <cell r="L4808"/>
          <cell r="M4808"/>
        </row>
        <row r="4809">
          <cell r="B4809"/>
          <cell r="C4809"/>
          <cell r="E4809"/>
          <cell r="F4809"/>
          <cell r="G4809"/>
          <cell r="H4809"/>
          <cell r="J4809"/>
          <cell r="L4809"/>
          <cell r="M4809"/>
        </row>
        <row r="4810">
          <cell r="B4810"/>
          <cell r="C4810"/>
          <cell r="E4810"/>
          <cell r="F4810"/>
          <cell r="G4810"/>
          <cell r="H4810"/>
          <cell r="J4810"/>
          <cell r="L4810"/>
          <cell r="M4810"/>
        </row>
        <row r="4811">
          <cell r="B4811"/>
          <cell r="C4811"/>
          <cell r="E4811"/>
          <cell r="F4811"/>
          <cell r="G4811"/>
          <cell r="H4811"/>
          <cell r="J4811"/>
          <cell r="L4811"/>
          <cell r="M4811"/>
        </row>
        <row r="4812">
          <cell r="B4812"/>
          <cell r="C4812"/>
          <cell r="E4812"/>
          <cell r="F4812"/>
          <cell r="G4812"/>
          <cell r="H4812"/>
          <cell r="J4812"/>
          <cell r="L4812"/>
          <cell r="M4812"/>
        </row>
        <row r="4813">
          <cell r="B4813"/>
          <cell r="C4813"/>
          <cell r="E4813"/>
          <cell r="F4813"/>
          <cell r="G4813"/>
          <cell r="H4813"/>
          <cell r="J4813"/>
          <cell r="L4813"/>
          <cell r="M4813"/>
        </row>
        <row r="4814">
          <cell r="B4814"/>
          <cell r="C4814"/>
          <cell r="E4814"/>
          <cell r="F4814"/>
          <cell r="G4814"/>
          <cell r="H4814"/>
          <cell r="J4814"/>
          <cell r="L4814"/>
          <cell r="M4814"/>
        </row>
        <row r="4815">
          <cell r="B4815"/>
          <cell r="C4815"/>
          <cell r="E4815"/>
          <cell r="F4815"/>
          <cell r="G4815"/>
          <cell r="H4815"/>
          <cell r="J4815"/>
          <cell r="L4815"/>
          <cell r="M4815"/>
        </row>
        <row r="4816">
          <cell r="B4816"/>
          <cell r="C4816"/>
          <cell r="E4816"/>
          <cell r="F4816"/>
          <cell r="G4816"/>
          <cell r="H4816"/>
          <cell r="J4816"/>
          <cell r="L4816"/>
          <cell r="M4816"/>
        </row>
        <row r="4817">
          <cell r="B4817"/>
          <cell r="C4817"/>
          <cell r="E4817"/>
          <cell r="F4817"/>
          <cell r="G4817"/>
          <cell r="H4817"/>
          <cell r="J4817"/>
          <cell r="L4817"/>
          <cell r="M4817"/>
        </row>
        <row r="4818">
          <cell r="B4818"/>
          <cell r="C4818"/>
          <cell r="E4818"/>
          <cell r="F4818"/>
          <cell r="G4818"/>
          <cell r="H4818"/>
          <cell r="J4818"/>
          <cell r="L4818"/>
          <cell r="M4818"/>
        </row>
        <row r="4819">
          <cell r="B4819"/>
          <cell r="C4819"/>
          <cell r="E4819"/>
          <cell r="F4819"/>
          <cell r="G4819"/>
          <cell r="H4819"/>
          <cell r="J4819"/>
          <cell r="L4819"/>
          <cell r="M4819"/>
        </row>
        <row r="4820">
          <cell r="B4820"/>
          <cell r="C4820"/>
          <cell r="E4820"/>
          <cell r="F4820"/>
          <cell r="G4820"/>
          <cell r="H4820"/>
          <cell r="J4820"/>
          <cell r="L4820"/>
          <cell r="M4820"/>
        </row>
        <row r="4821">
          <cell r="B4821"/>
          <cell r="C4821"/>
          <cell r="E4821"/>
          <cell r="F4821"/>
          <cell r="G4821"/>
          <cell r="H4821"/>
          <cell r="J4821"/>
          <cell r="L4821"/>
          <cell r="M4821"/>
        </row>
        <row r="4822">
          <cell r="B4822"/>
          <cell r="C4822"/>
          <cell r="E4822"/>
          <cell r="F4822"/>
          <cell r="G4822"/>
          <cell r="H4822"/>
          <cell r="J4822"/>
          <cell r="L4822"/>
          <cell r="M4822"/>
        </row>
        <row r="4823">
          <cell r="B4823"/>
          <cell r="C4823"/>
          <cell r="E4823"/>
          <cell r="F4823"/>
          <cell r="G4823"/>
          <cell r="H4823"/>
          <cell r="J4823"/>
          <cell r="L4823"/>
          <cell r="M4823"/>
        </row>
        <row r="4824">
          <cell r="B4824"/>
          <cell r="C4824"/>
          <cell r="E4824"/>
          <cell r="F4824"/>
          <cell r="G4824"/>
          <cell r="H4824"/>
          <cell r="J4824"/>
          <cell r="L4824"/>
          <cell r="M4824"/>
        </row>
        <row r="4825">
          <cell r="B4825"/>
          <cell r="C4825"/>
          <cell r="E4825"/>
          <cell r="F4825"/>
          <cell r="G4825"/>
          <cell r="H4825"/>
          <cell r="J4825"/>
          <cell r="L4825"/>
          <cell r="M4825"/>
        </row>
        <row r="4826">
          <cell r="B4826"/>
          <cell r="C4826"/>
          <cell r="E4826"/>
          <cell r="F4826"/>
          <cell r="G4826"/>
          <cell r="H4826"/>
          <cell r="J4826"/>
          <cell r="L4826"/>
          <cell r="M4826"/>
        </row>
        <row r="4827">
          <cell r="B4827"/>
          <cell r="C4827"/>
          <cell r="E4827"/>
          <cell r="F4827"/>
          <cell r="G4827"/>
          <cell r="H4827"/>
          <cell r="J4827"/>
          <cell r="L4827"/>
          <cell r="M4827"/>
        </row>
        <row r="4828">
          <cell r="B4828"/>
          <cell r="C4828"/>
          <cell r="E4828"/>
          <cell r="F4828"/>
          <cell r="G4828"/>
          <cell r="H4828"/>
          <cell r="J4828"/>
          <cell r="L4828"/>
          <cell r="M4828"/>
        </row>
        <row r="4829">
          <cell r="B4829"/>
          <cell r="C4829"/>
          <cell r="E4829"/>
          <cell r="F4829"/>
          <cell r="G4829"/>
          <cell r="H4829"/>
          <cell r="J4829"/>
          <cell r="L4829"/>
          <cell r="M4829"/>
        </row>
        <row r="4830">
          <cell r="B4830"/>
          <cell r="C4830"/>
          <cell r="E4830"/>
          <cell r="F4830"/>
          <cell r="G4830"/>
          <cell r="H4830"/>
          <cell r="J4830"/>
          <cell r="L4830"/>
          <cell r="M4830"/>
        </row>
        <row r="4831">
          <cell r="B4831"/>
          <cell r="C4831"/>
          <cell r="E4831"/>
          <cell r="F4831"/>
          <cell r="G4831"/>
          <cell r="H4831"/>
          <cell r="J4831"/>
          <cell r="L4831"/>
          <cell r="M4831"/>
        </row>
        <row r="4832">
          <cell r="B4832"/>
          <cell r="C4832"/>
          <cell r="E4832"/>
          <cell r="F4832"/>
          <cell r="G4832"/>
          <cell r="H4832"/>
          <cell r="J4832"/>
          <cell r="L4832"/>
          <cell r="M4832"/>
        </row>
        <row r="4833">
          <cell r="B4833"/>
          <cell r="C4833"/>
          <cell r="E4833"/>
          <cell r="F4833"/>
          <cell r="G4833"/>
          <cell r="H4833"/>
          <cell r="J4833"/>
          <cell r="L4833"/>
          <cell r="M4833"/>
        </row>
        <row r="4834">
          <cell r="B4834"/>
          <cell r="C4834"/>
          <cell r="E4834"/>
          <cell r="F4834"/>
          <cell r="G4834"/>
          <cell r="H4834"/>
          <cell r="J4834"/>
          <cell r="L4834"/>
          <cell r="M4834"/>
        </row>
        <row r="4835">
          <cell r="B4835"/>
          <cell r="C4835"/>
          <cell r="E4835"/>
          <cell r="F4835"/>
          <cell r="G4835"/>
          <cell r="H4835"/>
          <cell r="J4835"/>
          <cell r="L4835"/>
          <cell r="M4835"/>
        </row>
        <row r="4836">
          <cell r="B4836"/>
          <cell r="C4836"/>
          <cell r="E4836"/>
          <cell r="F4836"/>
          <cell r="G4836"/>
          <cell r="H4836"/>
          <cell r="J4836"/>
          <cell r="L4836"/>
          <cell r="M4836"/>
        </row>
        <row r="4837">
          <cell r="B4837"/>
          <cell r="C4837"/>
          <cell r="E4837"/>
          <cell r="F4837"/>
          <cell r="G4837"/>
          <cell r="H4837"/>
          <cell r="J4837"/>
          <cell r="L4837"/>
          <cell r="M4837"/>
        </row>
        <row r="4838">
          <cell r="B4838"/>
          <cell r="C4838"/>
          <cell r="E4838"/>
          <cell r="F4838"/>
          <cell r="G4838"/>
          <cell r="H4838"/>
          <cell r="J4838"/>
          <cell r="L4838"/>
          <cell r="M4838"/>
        </row>
        <row r="4839">
          <cell r="B4839"/>
          <cell r="C4839"/>
          <cell r="E4839"/>
          <cell r="F4839"/>
          <cell r="G4839"/>
          <cell r="H4839"/>
          <cell r="J4839"/>
          <cell r="L4839"/>
          <cell r="M4839"/>
        </row>
        <row r="4840">
          <cell r="B4840"/>
          <cell r="C4840"/>
          <cell r="E4840"/>
          <cell r="F4840"/>
          <cell r="G4840"/>
          <cell r="H4840"/>
          <cell r="J4840"/>
          <cell r="L4840"/>
          <cell r="M4840"/>
        </row>
        <row r="4841">
          <cell r="B4841"/>
          <cell r="C4841"/>
          <cell r="E4841"/>
          <cell r="F4841"/>
          <cell r="G4841"/>
          <cell r="H4841"/>
          <cell r="J4841"/>
          <cell r="L4841"/>
          <cell r="M4841"/>
        </row>
        <row r="4842">
          <cell r="B4842"/>
          <cell r="C4842"/>
          <cell r="E4842"/>
          <cell r="F4842"/>
          <cell r="G4842"/>
          <cell r="H4842"/>
          <cell r="J4842"/>
          <cell r="L4842"/>
          <cell r="M4842"/>
        </row>
        <row r="4843">
          <cell r="B4843"/>
          <cell r="C4843"/>
          <cell r="E4843"/>
          <cell r="F4843"/>
          <cell r="G4843"/>
          <cell r="H4843"/>
          <cell r="J4843"/>
          <cell r="L4843"/>
          <cell r="M4843"/>
        </row>
        <row r="4844">
          <cell r="B4844"/>
          <cell r="C4844"/>
          <cell r="E4844"/>
          <cell r="F4844"/>
          <cell r="G4844"/>
          <cell r="H4844"/>
          <cell r="J4844"/>
          <cell r="L4844"/>
          <cell r="M4844"/>
        </row>
        <row r="4845">
          <cell r="B4845"/>
          <cell r="C4845"/>
          <cell r="E4845"/>
          <cell r="F4845"/>
          <cell r="G4845"/>
          <cell r="H4845"/>
          <cell r="J4845"/>
          <cell r="L4845"/>
          <cell r="M4845"/>
        </row>
        <row r="4846">
          <cell r="B4846"/>
          <cell r="C4846"/>
          <cell r="E4846"/>
          <cell r="F4846"/>
          <cell r="G4846"/>
          <cell r="H4846"/>
          <cell r="J4846"/>
          <cell r="L4846"/>
          <cell r="M4846"/>
        </row>
        <row r="4847">
          <cell r="B4847"/>
          <cell r="C4847"/>
          <cell r="E4847"/>
          <cell r="F4847"/>
          <cell r="G4847"/>
          <cell r="H4847"/>
          <cell r="J4847"/>
          <cell r="L4847"/>
          <cell r="M4847"/>
        </row>
        <row r="4848">
          <cell r="B4848"/>
          <cell r="C4848"/>
          <cell r="E4848"/>
          <cell r="F4848"/>
          <cell r="G4848"/>
          <cell r="H4848"/>
          <cell r="J4848"/>
          <cell r="L4848"/>
          <cell r="M4848"/>
        </row>
        <row r="4849">
          <cell r="B4849"/>
          <cell r="C4849"/>
          <cell r="E4849"/>
          <cell r="F4849"/>
          <cell r="G4849"/>
          <cell r="H4849"/>
          <cell r="J4849"/>
          <cell r="L4849"/>
          <cell r="M4849"/>
        </row>
        <row r="4850">
          <cell r="B4850"/>
          <cell r="C4850"/>
          <cell r="E4850"/>
          <cell r="F4850"/>
          <cell r="G4850"/>
          <cell r="H4850"/>
          <cell r="J4850"/>
          <cell r="L4850"/>
          <cell r="M4850"/>
        </row>
        <row r="4851">
          <cell r="B4851"/>
          <cell r="C4851"/>
          <cell r="E4851"/>
          <cell r="F4851"/>
          <cell r="G4851"/>
          <cell r="H4851"/>
          <cell r="J4851"/>
          <cell r="L4851"/>
          <cell r="M4851"/>
        </row>
        <row r="4852">
          <cell r="B4852"/>
          <cell r="C4852"/>
          <cell r="E4852"/>
          <cell r="F4852"/>
          <cell r="G4852"/>
          <cell r="H4852"/>
          <cell r="J4852"/>
          <cell r="L4852"/>
          <cell r="M4852"/>
        </row>
        <row r="4853">
          <cell r="B4853"/>
          <cell r="C4853"/>
          <cell r="E4853"/>
          <cell r="F4853"/>
          <cell r="G4853"/>
          <cell r="H4853"/>
          <cell r="J4853"/>
          <cell r="L4853"/>
          <cell r="M4853"/>
        </row>
        <row r="4854">
          <cell r="B4854"/>
          <cell r="C4854"/>
          <cell r="E4854"/>
          <cell r="F4854"/>
          <cell r="G4854"/>
          <cell r="H4854"/>
          <cell r="J4854"/>
          <cell r="L4854"/>
          <cell r="M4854"/>
        </row>
        <row r="4855">
          <cell r="B4855"/>
          <cell r="C4855"/>
          <cell r="E4855"/>
          <cell r="F4855"/>
          <cell r="G4855"/>
          <cell r="H4855"/>
          <cell r="J4855"/>
          <cell r="L4855"/>
          <cell r="M4855"/>
        </row>
        <row r="4856">
          <cell r="B4856"/>
          <cell r="C4856"/>
          <cell r="E4856"/>
          <cell r="F4856"/>
          <cell r="G4856"/>
          <cell r="H4856"/>
          <cell r="J4856"/>
          <cell r="L4856"/>
          <cell r="M4856"/>
        </row>
        <row r="4857">
          <cell r="B4857"/>
          <cell r="C4857"/>
          <cell r="E4857"/>
          <cell r="F4857"/>
          <cell r="G4857"/>
          <cell r="H4857"/>
          <cell r="J4857"/>
          <cell r="L4857"/>
          <cell r="M4857"/>
        </row>
        <row r="4858">
          <cell r="B4858"/>
          <cell r="C4858"/>
          <cell r="E4858"/>
          <cell r="F4858"/>
          <cell r="G4858"/>
          <cell r="H4858"/>
          <cell r="J4858"/>
          <cell r="L4858"/>
          <cell r="M4858"/>
        </row>
        <row r="4859">
          <cell r="B4859"/>
          <cell r="C4859"/>
          <cell r="E4859"/>
          <cell r="F4859"/>
          <cell r="G4859"/>
          <cell r="H4859"/>
          <cell r="J4859"/>
          <cell r="L4859"/>
          <cell r="M4859"/>
        </row>
        <row r="4860">
          <cell r="B4860"/>
          <cell r="C4860"/>
          <cell r="E4860"/>
          <cell r="F4860"/>
          <cell r="G4860"/>
          <cell r="H4860"/>
          <cell r="J4860"/>
          <cell r="L4860"/>
          <cell r="M4860"/>
        </row>
        <row r="4861">
          <cell r="B4861"/>
          <cell r="C4861"/>
          <cell r="E4861"/>
          <cell r="F4861"/>
          <cell r="G4861"/>
          <cell r="H4861"/>
          <cell r="J4861"/>
          <cell r="L4861"/>
          <cell r="M4861"/>
        </row>
        <row r="4862">
          <cell r="B4862"/>
          <cell r="C4862"/>
          <cell r="E4862"/>
          <cell r="F4862"/>
          <cell r="G4862"/>
          <cell r="H4862"/>
          <cell r="J4862"/>
          <cell r="L4862"/>
          <cell r="M4862"/>
        </row>
        <row r="4863">
          <cell r="B4863"/>
          <cell r="C4863"/>
          <cell r="E4863"/>
          <cell r="F4863"/>
          <cell r="G4863"/>
          <cell r="H4863"/>
          <cell r="J4863"/>
          <cell r="L4863"/>
          <cell r="M4863"/>
        </row>
        <row r="4864">
          <cell r="B4864"/>
          <cell r="C4864"/>
          <cell r="E4864"/>
          <cell r="F4864"/>
          <cell r="G4864"/>
          <cell r="H4864"/>
          <cell r="J4864"/>
          <cell r="L4864"/>
          <cell r="M4864"/>
        </row>
        <row r="4865">
          <cell r="B4865"/>
          <cell r="C4865"/>
          <cell r="E4865"/>
          <cell r="F4865"/>
          <cell r="G4865"/>
          <cell r="H4865"/>
          <cell r="J4865"/>
          <cell r="L4865"/>
          <cell r="M4865"/>
        </row>
        <row r="4866">
          <cell r="B4866"/>
          <cell r="C4866"/>
          <cell r="E4866"/>
          <cell r="F4866"/>
          <cell r="G4866"/>
          <cell r="H4866"/>
          <cell r="J4866"/>
          <cell r="L4866"/>
          <cell r="M4866"/>
        </row>
        <row r="4867">
          <cell r="B4867"/>
          <cell r="C4867"/>
          <cell r="E4867"/>
          <cell r="F4867"/>
          <cell r="G4867"/>
          <cell r="H4867"/>
          <cell r="J4867"/>
          <cell r="L4867"/>
          <cell r="M4867"/>
        </row>
        <row r="4868">
          <cell r="B4868"/>
          <cell r="C4868"/>
          <cell r="E4868"/>
          <cell r="F4868"/>
          <cell r="G4868"/>
          <cell r="H4868"/>
          <cell r="J4868"/>
          <cell r="L4868"/>
          <cell r="M4868"/>
        </row>
        <row r="4869">
          <cell r="B4869"/>
          <cell r="C4869"/>
          <cell r="E4869"/>
          <cell r="F4869"/>
          <cell r="G4869"/>
          <cell r="H4869"/>
          <cell r="J4869"/>
          <cell r="L4869"/>
          <cell r="M4869"/>
        </row>
        <row r="4870">
          <cell r="B4870"/>
          <cell r="C4870"/>
          <cell r="E4870"/>
          <cell r="F4870"/>
          <cell r="G4870"/>
          <cell r="H4870"/>
          <cell r="J4870"/>
          <cell r="L4870"/>
          <cell r="M4870"/>
        </row>
        <row r="4871">
          <cell r="B4871"/>
          <cell r="C4871"/>
          <cell r="E4871"/>
          <cell r="F4871"/>
          <cell r="G4871"/>
          <cell r="H4871"/>
          <cell r="J4871"/>
          <cell r="L4871"/>
          <cell r="M4871"/>
        </row>
        <row r="4872">
          <cell r="B4872"/>
          <cell r="C4872"/>
          <cell r="E4872"/>
          <cell r="F4872"/>
          <cell r="G4872"/>
          <cell r="H4872"/>
          <cell r="J4872"/>
          <cell r="L4872"/>
          <cell r="M4872"/>
        </row>
        <row r="4873">
          <cell r="B4873"/>
          <cell r="C4873"/>
          <cell r="E4873"/>
          <cell r="F4873"/>
          <cell r="G4873"/>
          <cell r="H4873"/>
          <cell r="J4873"/>
          <cell r="L4873"/>
          <cell r="M4873"/>
        </row>
        <row r="4874">
          <cell r="B4874"/>
          <cell r="C4874"/>
          <cell r="E4874"/>
          <cell r="F4874"/>
          <cell r="G4874"/>
          <cell r="H4874"/>
          <cell r="J4874"/>
          <cell r="L4874"/>
          <cell r="M4874"/>
        </row>
        <row r="4875">
          <cell r="B4875"/>
          <cell r="C4875"/>
          <cell r="E4875"/>
          <cell r="F4875"/>
          <cell r="G4875"/>
          <cell r="H4875"/>
          <cell r="J4875"/>
          <cell r="L4875"/>
          <cell r="M4875"/>
        </row>
        <row r="4876">
          <cell r="B4876"/>
          <cell r="C4876"/>
          <cell r="E4876"/>
          <cell r="F4876"/>
          <cell r="G4876"/>
          <cell r="H4876"/>
          <cell r="J4876"/>
          <cell r="L4876"/>
          <cell r="M4876"/>
        </row>
        <row r="4877">
          <cell r="B4877"/>
          <cell r="C4877"/>
          <cell r="E4877"/>
          <cell r="F4877"/>
          <cell r="G4877"/>
          <cell r="H4877"/>
          <cell r="J4877"/>
          <cell r="L4877"/>
          <cell r="M4877"/>
        </row>
        <row r="4878">
          <cell r="B4878"/>
          <cell r="C4878"/>
          <cell r="E4878"/>
          <cell r="F4878"/>
          <cell r="G4878"/>
          <cell r="H4878"/>
          <cell r="J4878"/>
          <cell r="L4878"/>
          <cell r="M4878"/>
        </row>
        <row r="4879">
          <cell r="B4879"/>
          <cell r="C4879"/>
          <cell r="E4879"/>
          <cell r="F4879"/>
          <cell r="G4879"/>
          <cell r="H4879"/>
          <cell r="J4879"/>
          <cell r="L4879"/>
          <cell r="M4879"/>
        </row>
        <row r="4880">
          <cell r="B4880"/>
          <cell r="C4880"/>
          <cell r="E4880"/>
          <cell r="F4880"/>
          <cell r="G4880"/>
          <cell r="H4880"/>
          <cell r="J4880"/>
          <cell r="L4880"/>
          <cell r="M4880"/>
        </row>
        <row r="4881">
          <cell r="B4881"/>
          <cell r="C4881"/>
          <cell r="E4881"/>
          <cell r="F4881"/>
          <cell r="G4881"/>
          <cell r="H4881"/>
          <cell r="J4881"/>
          <cell r="L4881"/>
          <cell r="M4881"/>
        </row>
        <row r="4882">
          <cell r="B4882"/>
          <cell r="C4882"/>
          <cell r="E4882"/>
          <cell r="F4882"/>
          <cell r="G4882"/>
          <cell r="H4882"/>
          <cell r="J4882"/>
          <cell r="L4882"/>
          <cell r="M4882"/>
        </row>
        <row r="4883">
          <cell r="B4883"/>
          <cell r="C4883"/>
          <cell r="E4883"/>
          <cell r="F4883"/>
          <cell r="G4883"/>
          <cell r="H4883"/>
          <cell r="J4883"/>
          <cell r="L4883"/>
          <cell r="M4883"/>
        </row>
        <row r="4884">
          <cell r="B4884"/>
          <cell r="C4884"/>
          <cell r="E4884"/>
          <cell r="F4884"/>
          <cell r="G4884"/>
          <cell r="H4884"/>
          <cell r="J4884"/>
          <cell r="L4884"/>
          <cell r="M4884"/>
        </row>
        <row r="4885">
          <cell r="B4885"/>
          <cell r="C4885"/>
          <cell r="E4885"/>
          <cell r="F4885"/>
          <cell r="G4885"/>
          <cell r="H4885"/>
          <cell r="J4885"/>
          <cell r="L4885"/>
          <cell r="M4885"/>
        </row>
        <row r="4886">
          <cell r="B4886"/>
          <cell r="C4886"/>
          <cell r="E4886"/>
          <cell r="F4886"/>
          <cell r="G4886"/>
          <cell r="H4886"/>
          <cell r="J4886"/>
          <cell r="L4886"/>
          <cell r="M4886"/>
        </row>
        <row r="4887">
          <cell r="B4887"/>
          <cell r="C4887"/>
          <cell r="E4887"/>
          <cell r="F4887"/>
          <cell r="G4887"/>
          <cell r="H4887"/>
          <cell r="J4887"/>
          <cell r="L4887"/>
          <cell r="M4887"/>
        </row>
        <row r="4888">
          <cell r="B4888"/>
          <cell r="C4888"/>
          <cell r="E4888"/>
          <cell r="F4888"/>
          <cell r="G4888"/>
          <cell r="H4888"/>
          <cell r="J4888"/>
          <cell r="L4888"/>
          <cell r="M4888"/>
        </row>
        <row r="4889">
          <cell r="B4889"/>
          <cell r="C4889"/>
          <cell r="E4889"/>
          <cell r="F4889"/>
          <cell r="G4889"/>
          <cell r="H4889"/>
          <cell r="J4889"/>
          <cell r="L4889"/>
          <cell r="M4889"/>
        </row>
        <row r="4890">
          <cell r="B4890"/>
          <cell r="C4890"/>
          <cell r="E4890"/>
          <cell r="F4890"/>
          <cell r="G4890"/>
          <cell r="H4890"/>
          <cell r="J4890"/>
          <cell r="L4890"/>
          <cell r="M4890"/>
        </row>
        <row r="4891">
          <cell r="B4891"/>
          <cell r="C4891"/>
          <cell r="E4891"/>
          <cell r="F4891"/>
          <cell r="G4891"/>
          <cell r="H4891"/>
          <cell r="J4891"/>
          <cell r="L4891"/>
          <cell r="M4891"/>
        </row>
        <row r="4892">
          <cell r="B4892"/>
          <cell r="C4892"/>
          <cell r="E4892"/>
          <cell r="F4892"/>
          <cell r="G4892"/>
          <cell r="H4892"/>
          <cell r="J4892"/>
          <cell r="L4892"/>
          <cell r="M4892"/>
        </row>
        <row r="4893">
          <cell r="B4893"/>
          <cell r="C4893"/>
          <cell r="E4893"/>
          <cell r="F4893"/>
          <cell r="G4893"/>
          <cell r="H4893"/>
          <cell r="J4893"/>
          <cell r="L4893"/>
          <cell r="M4893"/>
        </row>
        <row r="4894">
          <cell r="B4894"/>
          <cell r="C4894"/>
          <cell r="E4894"/>
          <cell r="F4894"/>
          <cell r="G4894"/>
          <cell r="H4894"/>
          <cell r="J4894"/>
          <cell r="L4894"/>
          <cell r="M4894"/>
        </row>
        <row r="4895">
          <cell r="B4895"/>
          <cell r="C4895"/>
          <cell r="E4895"/>
          <cell r="F4895"/>
          <cell r="G4895"/>
          <cell r="H4895"/>
          <cell r="J4895"/>
          <cell r="L4895"/>
          <cell r="M4895"/>
        </row>
        <row r="4896">
          <cell r="B4896"/>
          <cell r="C4896"/>
          <cell r="E4896"/>
          <cell r="F4896"/>
          <cell r="G4896"/>
          <cell r="H4896"/>
          <cell r="J4896"/>
          <cell r="L4896"/>
          <cell r="M4896"/>
        </row>
        <row r="4897">
          <cell r="B4897"/>
          <cell r="C4897"/>
          <cell r="E4897"/>
          <cell r="F4897"/>
          <cell r="G4897"/>
          <cell r="H4897"/>
          <cell r="J4897"/>
          <cell r="L4897"/>
          <cell r="M4897"/>
        </row>
        <row r="4898">
          <cell r="B4898"/>
          <cell r="C4898"/>
          <cell r="E4898"/>
          <cell r="F4898"/>
          <cell r="G4898"/>
          <cell r="H4898"/>
          <cell r="J4898"/>
          <cell r="L4898"/>
          <cell r="M4898"/>
        </row>
        <row r="4899">
          <cell r="B4899"/>
          <cell r="C4899"/>
          <cell r="E4899"/>
          <cell r="F4899"/>
          <cell r="G4899"/>
          <cell r="H4899"/>
          <cell r="J4899"/>
          <cell r="L4899"/>
          <cell r="M4899"/>
        </row>
        <row r="4900">
          <cell r="B4900"/>
          <cell r="C4900"/>
          <cell r="E4900"/>
          <cell r="F4900"/>
          <cell r="G4900"/>
          <cell r="H4900"/>
          <cell r="J4900"/>
          <cell r="L4900"/>
          <cell r="M4900"/>
        </row>
        <row r="4901">
          <cell r="B4901"/>
          <cell r="C4901"/>
          <cell r="E4901"/>
          <cell r="F4901"/>
          <cell r="G4901"/>
          <cell r="H4901"/>
          <cell r="J4901"/>
          <cell r="L4901"/>
          <cell r="M4901"/>
        </row>
        <row r="4902">
          <cell r="B4902"/>
          <cell r="C4902"/>
          <cell r="E4902"/>
          <cell r="F4902"/>
          <cell r="G4902"/>
          <cell r="H4902"/>
          <cell r="J4902"/>
          <cell r="L4902"/>
          <cell r="M4902"/>
        </row>
        <row r="4903">
          <cell r="B4903"/>
          <cell r="C4903"/>
          <cell r="E4903"/>
          <cell r="F4903"/>
          <cell r="G4903"/>
          <cell r="H4903"/>
          <cell r="J4903"/>
          <cell r="L4903"/>
          <cell r="M4903"/>
        </row>
        <row r="4904">
          <cell r="B4904"/>
          <cell r="C4904"/>
          <cell r="E4904"/>
          <cell r="F4904"/>
          <cell r="G4904"/>
          <cell r="H4904"/>
          <cell r="J4904"/>
          <cell r="L4904"/>
          <cell r="M4904"/>
        </row>
        <row r="4905">
          <cell r="B4905"/>
          <cell r="C4905"/>
          <cell r="E4905"/>
          <cell r="F4905"/>
          <cell r="G4905"/>
          <cell r="H4905"/>
          <cell r="J4905"/>
          <cell r="L4905"/>
          <cell r="M4905"/>
        </row>
        <row r="4906">
          <cell r="B4906"/>
          <cell r="C4906"/>
          <cell r="E4906"/>
          <cell r="F4906"/>
          <cell r="G4906"/>
          <cell r="H4906"/>
          <cell r="J4906"/>
          <cell r="L4906"/>
          <cell r="M4906"/>
        </row>
        <row r="4907">
          <cell r="B4907"/>
          <cell r="C4907"/>
          <cell r="E4907"/>
          <cell r="F4907"/>
          <cell r="G4907"/>
          <cell r="H4907"/>
          <cell r="J4907"/>
          <cell r="L4907"/>
          <cell r="M4907"/>
        </row>
        <row r="4908">
          <cell r="B4908"/>
          <cell r="C4908"/>
          <cell r="E4908"/>
          <cell r="F4908"/>
          <cell r="G4908"/>
          <cell r="H4908"/>
          <cell r="J4908"/>
          <cell r="L4908"/>
          <cell r="M4908"/>
        </row>
        <row r="4909">
          <cell r="B4909"/>
          <cell r="C4909"/>
          <cell r="E4909"/>
          <cell r="F4909"/>
          <cell r="G4909"/>
          <cell r="H4909"/>
          <cell r="J4909"/>
          <cell r="L4909"/>
          <cell r="M4909"/>
        </row>
        <row r="4910">
          <cell r="B4910"/>
          <cell r="C4910"/>
          <cell r="E4910"/>
          <cell r="F4910"/>
          <cell r="G4910"/>
          <cell r="H4910"/>
          <cell r="J4910"/>
          <cell r="L4910"/>
          <cell r="M4910"/>
        </row>
        <row r="4911">
          <cell r="B4911"/>
          <cell r="C4911"/>
          <cell r="E4911"/>
          <cell r="F4911"/>
          <cell r="G4911"/>
          <cell r="H4911"/>
          <cell r="J4911"/>
          <cell r="L4911"/>
          <cell r="M4911"/>
        </row>
        <row r="4912">
          <cell r="B4912"/>
          <cell r="C4912"/>
          <cell r="E4912"/>
          <cell r="F4912"/>
          <cell r="G4912"/>
          <cell r="H4912"/>
          <cell r="J4912"/>
          <cell r="L4912"/>
          <cell r="M4912"/>
        </row>
        <row r="4913">
          <cell r="B4913"/>
          <cell r="C4913"/>
          <cell r="E4913"/>
          <cell r="F4913"/>
          <cell r="G4913"/>
          <cell r="H4913"/>
          <cell r="J4913"/>
          <cell r="L4913"/>
          <cell r="M4913"/>
        </row>
        <row r="4914">
          <cell r="B4914"/>
          <cell r="C4914"/>
          <cell r="E4914"/>
          <cell r="F4914"/>
          <cell r="G4914"/>
          <cell r="H4914"/>
          <cell r="J4914"/>
          <cell r="L4914"/>
          <cell r="M4914"/>
        </row>
        <row r="4915">
          <cell r="B4915"/>
          <cell r="C4915"/>
          <cell r="E4915"/>
          <cell r="F4915"/>
          <cell r="G4915"/>
          <cell r="H4915"/>
          <cell r="J4915"/>
          <cell r="L4915"/>
          <cell r="M4915"/>
        </row>
        <row r="4916">
          <cell r="B4916"/>
          <cell r="C4916"/>
          <cell r="E4916"/>
          <cell r="F4916"/>
          <cell r="G4916"/>
          <cell r="H4916"/>
          <cell r="J4916"/>
          <cell r="L4916"/>
          <cell r="M4916"/>
        </row>
        <row r="4917">
          <cell r="B4917"/>
          <cell r="C4917"/>
          <cell r="E4917"/>
          <cell r="F4917"/>
          <cell r="G4917"/>
          <cell r="H4917"/>
          <cell r="J4917"/>
          <cell r="L4917"/>
          <cell r="M4917"/>
        </row>
        <row r="4918">
          <cell r="B4918"/>
          <cell r="C4918"/>
          <cell r="E4918"/>
          <cell r="F4918"/>
          <cell r="G4918"/>
          <cell r="H4918"/>
          <cell r="J4918"/>
          <cell r="L4918"/>
          <cell r="M4918"/>
        </row>
        <row r="4919">
          <cell r="B4919"/>
          <cell r="C4919"/>
          <cell r="E4919"/>
          <cell r="F4919"/>
          <cell r="G4919"/>
          <cell r="H4919"/>
          <cell r="J4919"/>
          <cell r="L4919"/>
          <cell r="M4919"/>
        </row>
        <row r="4920">
          <cell r="B4920"/>
          <cell r="C4920"/>
          <cell r="E4920"/>
          <cell r="F4920"/>
          <cell r="G4920"/>
          <cell r="H4920"/>
          <cell r="J4920"/>
          <cell r="L4920"/>
          <cell r="M4920"/>
        </row>
        <row r="4921">
          <cell r="B4921"/>
          <cell r="C4921"/>
          <cell r="E4921"/>
          <cell r="F4921"/>
          <cell r="G4921"/>
          <cell r="H4921"/>
          <cell r="J4921"/>
          <cell r="L4921"/>
          <cell r="M4921"/>
        </row>
        <row r="4922">
          <cell r="B4922"/>
          <cell r="C4922"/>
          <cell r="E4922"/>
          <cell r="F4922"/>
          <cell r="G4922"/>
          <cell r="H4922"/>
          <cell r="J4922"/>
          <cell r="L4922"/>
          <cell r="M4922"/>
        </row>
        <row r="4923">
          <cell r="B4923"/>
          <cell r="C4923"/>
          <cell r="E4923"/>
          <cell r="F4923"/>
          <cell r="G4923"/>
          <cell r="H4923"/>
          <cell r="J4923"/>
          <cell r="L4923"/>
          <cell r="M4923"/>
        </row>
        <row r="4924">
          <cell r="B4924"/>
          <cell r="C4924"/>
          <cell r="E4924"/>
          <cell r="F4924"/>
          <cell r="G4924"/>
          <cell r="H4924"/>
          <cell r="J4924"/>
          <cell r="L4924"/>
          <cell r="M4924"/>
        </row>
        <row r="4925">
          <cell r="B4925"/>
          <cell r="C4925"/>
          <cell r="E4925"/>
          <cell r="F4925"/>
          <cell r="G4925"/>
          <cell r="H4925"/>
          <cell r="J4925"/>
          <cell r="L4925"/>
          <cell r="M4925"/>
        </row>
        <row r="4926">
          <cell r="B4926"/>
          <cell r="C4926"/>
          <cell r="E4926"/>
          <cell r="F4926"/>
          <cell r="G4926"/>
          <cell r="H4926"/>
          <cell r="J4926"/>
          <cell r="L4926"/>
          <cell r="M4926"/>
        </row>
        <row r="4927">
          <cell r="B4927"/>
          <cell r="C4927"/>
          <cell r="E4927"/>
          <cell r="F4927"/>
          <cell r="G4927"/>
          <cell r="H4927"/>
          <cell r="J4927"/>
          <cell r="L4927"/>
          <cell r="M4927"/>
        </row>
        <row r="4928">
          <cell r="B4928"/>
          <cell r="C4928"/>
          <cell r="E4928"/>
          <cell r="F4928"/>
          <cell r="G4928"/>
          <cell r="H4928"/>
          <cell r="J4928"/>
          <cell r="L4928"/>
          <cell r="M4928"/>
        </row>
        <row r="4929">
          <cell r="B4929"/>
          <cell r="C4929"/>
          <cell r="E4929"/>
          <cell r="F4929"/>
          <cell r="G4929"/>
          <cell r="H4929"/>
          <cell r="J4929"/>
          <cell r="L4929"/>
          <cell r="M4929"/>
        </row>
        <row r="4930">
          <cell r="B4930"/>
          <cell r="C4930"/>
          <cell r="E4930"/>
          <cell r="F4930"/>
          <cell r="G4930"/>
          <cell r="H4930"/>
          <cell r="J4930"/>
          <cell r="L4930"/>
          <cell r="M4930"/>
        </row>
        <row r="4931">
          <cell r="B4931"/>
          <cell r="C4931"/>
          <cell r="E4931"/>
          <cell r="F4931"/>
          <cell r="G4931"/>
          <cell r="H4931"/>
          <cell r="J4931"/>
          <cell r="L4931"/>
          <cell r="M4931"/>
        </row>
        <row r="4932">
          <cell r="B4932"/>
          <cell r="C4932"/>
          <cell r="E4932"/>
          <cell r="F4932"/>
          <cell r="G4932"/>
          <cell r="H4932"/>
          <cell r="J4932"/>
          <cell r="L4932"/>
          <cell r="M4932"/>
        </row>
        <row r="4933">
          <cell r="B4933"/>
          <cell r="C4933"/>
          <cell r="E4933"/>
          <cell r="F4933"/>
          <cell r="G4933"/>
          <cell r="H4933"/>
          <cell r="J4933"/>
          <cell r="L4933"/>
          <cell r="M4933"/>
        </row>
        <row r="4934">
          <cell r="B4934"/>
          <cell r="C4934"/>
          <cell r="E4934"/>
          <cell r="F4934"/>
          <cell r="G4934"/>
          <cell r="H4934"/>
          <cell r="J4934"/>
          <cell r="L4934"/>
          <cell r="M4934"/>
        </row>
        <row r="4935">
          <cell r="B4935"/>
          <cell r="C4935"/>
          <cell r="E4935"/>
          <cell r="F4935"/>
          <cell r="G4935"/>
          <cell r="H4935"/>
          <cell r="J4935"/>
          <cell r="L4935"/>
          <cell r="M4935"/>
        </row>
        <row r="4936">
          <cell r="B4936"/>
          <cell r="C4936"/>
          <cell r="E4936"/>
          <cell r="F4936"/>
          <cell r="G4936"/>
          <cell r="H4936"/>
          <cell r="J4936"/>
          <cell r="L4936"/>
          <cell r="M4936"/>
        </row>
        <row r="4937">
          <cell r="B4937"/>
          <cell r="C4937"/>
          <cell r="E4937"/>
          <cell r="F4937"/>
          <cell r="G4937"/>
          <cell r="H4937"/>
          <cell r="J4937"/>
          <cell r="L4937"/>
          <cell r="M4937"/>
        </row>
        <row r="4938">
          <cell r="B4938"/>
          <cell r="C4938"/>
          <cell r="E4938"/>
          <cell r="F4938"/>
          <cell r="G4938"/>
          <cell r="H4938"/>
          <cell r="J4938"/>
          <cell r="L4938"/>
          <cell r="M4938"/>
        </row>
        <row r="4939">
          <cell r="B4939"/>
          <cell r="C4939"/>
          <cell r="E4939"/>
          <cell r="F4939"/>
          <cell r="G4939"/>
          <cell r="H4939"/>
          <cell r="J4939"/>
          <cell r="L4939"/>
          <cell r="M4939"/>
        </row>
        <row r="4940">
          <cell r="B4940"/>
          <cell r="C4940"/>
          <cell r="E4940"/>
          <cell r="F4940"/>
          <cell r="G4940"/>
          <cell r="H4940"/>
          <cell r="J4940"/>
          <cell r="L4940"/>
          <cell r="M4940"/>
        </row>
        <row r="4941">
          <cell r="B4941"/>
          <cell r="C4941"/>
          <cell r="E4941"/>
          <cell r="F4941"/>
          <cell r="G4941"/>
          <cell r="H4941"/>
          <cell r="J4941"/>
          <cell r="L4941"/>
          <cell r="M4941"/>
        </row>
        <row r="4942">
          <cell r="B4942"/>
          <cell r="C4942"/>
          <cell r="E4942"/>
          <cell r="F4942"/>
          <cell r="G4942"/>
          <cell r="H4942"/>
          <cell r="J4942"/>
          <cell r="L4942"/>
          <cell r="M4942"/>
        </row>
        <row r="4943">
          <cell r="B4943"/>
          <cell r="C4943"/>
          <cell r="E4943"/>
          <cell r="F4943"/>
          <cell r="G4943"/>
          <cell r="H4943"/>
          <cell r="J4943"/>
          <cell r="L4943"/>
          <cell r="M4943"/>
        </row>
        <row r="4944">
          <cell r="B4944"/>
          <cell r="C4944"/>
          <cell r="E4944"/>
          <cell r="F4944"/>
          <cell r="G4944"/>
          <cell r="H4944"/>
          <cell r="J4944"/>
          <cell r="L4944"/>
          <cell r="M4944"/>
        </row>
        <row r="4945">
          <cell r="B4945"/>
          <cell r="C4945"/>
          <cell r="E4945"/>
          <cell r="F4945"/>
          <cell r="G4945"/>
          <cell r="H4945"/>
          <cell r="J4945"/>
          <cell r="L4945"/>
          <cell r="M4945"/>
        </row>
        <row r="4946">
          <cell r="B4946"/>
          <cell r="C4946"/>
          <cell r="E4946"/>
          <cell r="F4946"/>
          <cell r="G4946"/>
          <cell r="H4946"/>
          <cell r="J4946"/>
          <cell r="L4946"/>
          <cell r="M4946"/>
        </row>
        <row r="4947">
          <cell r="B4947"/>
          <cell r="C4947"/>
          <cell r="E4947"/>
          <cell r="F4947"/>
          <cell r="G4947"/>
          <cell r="H4947"/>
          <cell r="J4947"/>
          <cell r="L4947"/>
          <cell r="M4947"/>
        </row>
        <row r="4948">
          <cell r="B4948"/>
          <cell r="C4948"/>
          <cell r="E4948"/>
          <cell r="F4948"/>
          <cell r="G4948"/>
          <cell r="H4948"/>
          <cell r="J4948"/>
          <cell r="L4948"/>
          <cell r="M4948"/>
        </row>
        <row r="4949">
          <cell r="B4949"/>
          <cell r="C4949"/>
          <cell r="E4949"/>
          <cell r="F4949"/>
          <cell r="G4949"/>
          <cell r="H4949"/>
          <cell r="J4949"/>
          <cell r="L4949"/>
          <cell r="M4949"/>
        </row>
        <row r="4950">
          <cell r="B4950"/>
          <cell r="C4950"/>
          <cell r="E4950"/>
          <cell r="F4950"/>
          <cell r="G4950"/>
          <cell r="H4950"/>
          <cell r="J4950"/>
          <cell r="L4950"/>
          <cell r="M4950"/>
        </row>
        <row r="4951">
          <cell r="B4951"/>
          <cell r="C4951"/>
          <cell r="E4951"/>
          <cell r="F4951"/>
          <cell r="G4951"/>
          <cell r="H4951"/>
          <cell r="J4951"/>
          <cell r="L4951"/>
          <cell r="M4951"/>
        </row>
        <row r="4952">
          <cell r="B4952"/>
          <cell r="C4952"/>
          <cell r="E4952"/>
          <cell r="F4952"/>
          <cell r="G4952"/>
          <cell r="H4952"/>
          <cell r="J4952"/>
          <cell r="L4952"/>
          <cell r="M4952"/>
        </row>
        <row r="4953">
          <cell r="B4953"/>
          <cell r="C4953"/>
          <cell r="E4953"/>
          <cell r="F4953"/>
          <cell r="G4953"/>
          <cell r="H4953"/>
          <cell r="J4953"/>
          <cell r="L4953"/>
          <cell r="M4953"/>
        </row>
        <row r="4954">
          <cell r="B4954"/>
          <cell r="C4954"/>
          <cell r="E4954"/>
          <cell r="F4954"/>
          <cell r="G4954"/>
          <cell r="H4954"/>
          <cell r="J4954"/>
          <cell r="L4954"/>
          <cell r="M4954"/>
        </row>
        <row r="4955">
          <cell r="B4955"/>
          <cell r="C4955"/>
          <cell r="E4955"/>
          <cell r="F4955"/>
          <cell r="G4955"/>
          <cell r="H4955"/>
          <cell r="J4955"/>
          <cell r="L4955"/>
          <cell r="M4955"/>
        </row>
        <row r="4956">
          <cell r="B4956"/>
          <cell r="C4956"/>
          <cell r="E4956"/>
          <cell r="F4956"/>
          <cell r="G4956"/>
          <cell r="H4956"/>
          <cell r="J4956"/>
          <cell r="L4956"/>
          <cell r="M4956"/>
        </row>
        <row r="4957">
          <cell r="B4957"/>
          <cell r="C4957"/>
          <cell r="E4957"/>
          <cell r="F4957"/>
          <cell r="G4957"/>
          <cell r="H4957"/>
          <cell r="J4957"/>
          <cell r="L4957"/>
          <cell r="M4957"/>
        </row>
        <row r="4958">
          <cell r="B4958"/>
          <cell r="C4958"/>
          <cell r="E4958"/>
          <cell r="F4958"/>
          <cell r="G4958"/>
          <cell r="H4958"/>
          <cell r="J4958"/>
          <cell r="L4958"/>
          <cell r="M4958"/>
        </row>
        <row r="4959">
          <cell r="B4959"/>
          <cell r="C4959"/>
          <cell r="E4959"/>
          <cell r="F4959"/>
          <cell r="G4959"/>
          <cell r="H4959"/>
          <cell r="J4959"/>
          <cell r="L4959"/>
          <cell r="M4959"/>
        </row>
        <row r="4960">
          <cell r="B4960"/>
          <cell r="C4960"/>
          <cell r="E4960"/>
          <cell r="F4960"/>
          <cell r="G4960"/>
          <cell r="H4960"/>
          <cell r="J4960"/>
          <cell r="L4960"/>
          <cell r="M4960"/>
        </row>
        <row r="4961">
          <cell r="B4961"/>
          <cell r="C4961"/>
          <cell r="E4961"/>
          <cell r="F4961"/>
          <cell r="G4961"/>
          <cell r="H4961"/>
          <cell r="J4961"/>
          <cell r="L4961"/>
          <cell r="M4961"/>
        </row>
        <row r="4962">
          <cell r="B4962"/>
          <cell r="C4962"/>
          <cell r="E4962"/>
          <cell r="F4962"/>
          <cell r="G4962"/>
          <cell r="H4962"/>
          <cell r="J4962"/>
          <cell r="L4962"/>
          <cell r="M4962"/>
        </row>
        <row r="4963">
          <cell r="B4963"/>
          <cell r="C4963"/>
          <cell r="E4963"/>
          <cell r="F4963"/>
          <cell r="G4963"/>
          <cell r="H4963"/>
          <cell r="J4963"/>
          <cell r="L4963"/>
          <cell r="M4963"/>
        </row>
        <row r="4964">
          <cell r="B4964"/>
          <cell r="C4964"/>
          <cell r="E4964"/>
          <cell r="F4964"/>
          <cell r="G4964"/>
          <cell r="H4964"/>
          <cell r="J4964"/>
          <cell r="L4964"/>
          <cell r="M4964"/>
        </row>
        <row r="4965">
          <cell r="B4965"/>
          <cell r="C4965"/>
          <cell r="E4965"/>
          <cell r="F4965"/>
          <cell r="G4965"/>
          <cell r="H4965"/>
          <cell r="J4965"/>
          <cell r="L4965"/>
          <cell r="M4965"/>
        </row>
        <row r="4966">
          <cell r="B4966"/>
          <cell r="C4966"/>
          <cell r="E4966"/>
          <cell r="F4966"/>
          <cell r="G4966"/>
          <cell r="H4966"/>
          <cell r="J4966"/>
          <cell r="L4966"/>
          <cell r="M4966"/>
        </row>
        <row r="4967">
          <cell r="B4967"/>
          <cell r="C4967"/>
          <cell r="E4967"/>
          <cell r="F4967"/>
          <cell r="G4967"/>
          <cell r="H4967"/>
          <cell r="J4967"/>
          <cell r="L4967"/>
          <cell r="M4967"/>
        </row>
        <row r="4968">
          <cell r="B4968"/>
          <cell r="C4968"/>
          <cell r="E4968"/>
          <cell r="F4968"/>
          <cell r="G4968"/>
          <cell r="H4968"/>
          <cell r="J4968"/>
          <cell r="L4968"/>
          <cell r="M4968"/>
        </row>
        <row r="4969">
          <cell r="B4969"/>
          <cell r="C4969"/>
          <cell r="E4969"/>
          <cell r="F4969"/>
          <cell r="G4969"/>
          <cell r="H4969"/>
          <cell r="J4969"/>
          <cell r="L4969"/>
          <cell r="M4969"/>
        </row>
        <row r="4970">
          <cell r="B4970"/>
          <cell r="C4970"/>
          <cell r="E4970"/>
          <cell r="F4970"/>
          <cell r="G4970"/>
          <cell r="H4970"/>
          <cell r="J4970"/>
          <cell r="L4970"/>
          <cell r="M4970"/>
        </row>
        <row r="4971">
          <cell r="B4971"/>
          <cell r="C4971"/>
          <cell r="E4971"/>
          <cell r="F4971"/>
          <cell r="G4971"/>
          <cell r="H4971"/>
          <cell r="J4971"/>
          <cell r="L4971"/>
          <cell r="M4971"/>
        </row>
        <row r="4972">
          <cell r="B4972"/>
          <cell r="C4972"/>
          <cell r="E4972"/>
          <cell r="F4972"/>
          <cell r="G4972"/>
          <cell r="H4972"/>
          <cell r="J4972"/>
          <cell r="L4972"/>
          <cell r="M4972"/>
        </row>
        <row r="4973">
          <cell r="B4973"/>
          <cell r="C4973"/>
          <cell r="E4973"/>
          <cell r="F4973"/>
          <cell r="G4973"/>
          <cell r="H4973"/>
          <cell r="J4973"/>
          <cell r="L4973"/>
          <cell r="M4973"/>
        </row>
        <row r="4974">
          <cell r="B4974"/>
          <cell r="C4974"/>
          <cell r="E4974"/>
          <cell r="F4974"/>
          <cell r="G4974"/>
          <cell r="H4974"/>
          <cell r="J4974"/>
          <cell r="L4974"/>
          <cell r="M4974"/>
        </row>
        <row r="4975">
          <cell r="B4975"/>
          <cell r="C4975"/>
          <cell r="E4975"/>
          <cell r="F4975"/>
          <cell r="G4975"/>
          <cell r="H4975"/>
          <cell r="J4975"/>
          <cell r="L4975"/>
          <cell r="M4975"/>
        </row>
        <row r="4976">
          <cell r="B4976"/>
          <cell r="C4976"/>
          <cell r="E4976"/>
          <cell r="F4976"/>
          <cell r="G4976"/>
          <cell r="H4976"/>
          <cell r="J4976"/>
          <cell r="L4976"/>
          <cell r="M4976"/>
        </row>
        <row r="4977">
          <cell r="B4977"/>
          <cell r="C4977"/>
          <cell r="E4977"/>
          <cell r="F4977"/>
          <cell r="G4977"/>
          <cell r="H4977"/>
          <cell r="J4977"/>
          <cell r="L4977"/>
          <cell r="M4977"/>
        </row>
        <row r="4978">
          <cell r="B4978"/>
          <cell r="C4978"/>
          <cell r="E4978"/>
          <cell r="F4978"/>
          <cell r="G4978"/>
          <cell r="H4978"/>
          <cell r="J4978"/>
          <cell r="L4978"/>
          <cell r="M4978"/>
        </row>
        <row r="4979">
          <cell r="B4979"/>
          <cell r="C4979"/>
          <cell r="E4979"/>
          <cell r="F4979"/>
          <cell r="G4979"/>
          <cell r="H4979"/>
          <cell r="J4979"/>
          <cell r="L4979"/>
          <cell r="M4979"/>
        </row>
        <row r="4980">
          <cell r="B4980"/>
          <cell r="C4980"/>
          <cell r="E4980"/>
          <cell r="F4980"/>
          <cell r="G4980"/>
          <cell r="H4980"/>
          <cell r="J4980"/>
          <cell r="L4980"/>
          <cell r="M4980"/>
        </row>
        <row r="4981">
          <cell r="B4981"/>
          <cell r="C4981"/>
          <cell r="E4981"/>
          <cell r="F4981"/>
          <cell r="G4981"/>
          <cell r="H4981"/>
          <cell r="J4981"/>
          <cell r="L4981"/>
          <cell r="M4981"/>
        </row>
        <row r="4982">
          <cell r="B4982"/>
          <cell r="C4982"/>
          <cell r="E4982"/>
          <cell r="F4982"/>
          <cell r="G4982"/>
          <cell r="H4982"/>
          <cell r="J4982"/>
          <cell r="L4982"/>
          <cell r="M4982"/>
        </row>
        <row r="4983">
          <cell r="B4983"/>
          <cell r="C4983"/>
          <cell r="E4983"/>
          <cell r="F4983"/>
          <cell r="G4983"/>
          <cell r="H4983"/>
          <cell r="J4983"/>
          <cell r="L4983"/>
          <cell r="M4983"/>
        </row>
        <row r="4984">
          <cell r="B4984"/>
          <cell r="C4984"/>
          <cell r="E4984"/>
          <cell r="F4984"/>
          <cell r="G4984"/>
          <cell r="H4984"/>
          <cell r="J4984"/>
          <cell r="L4984"/>
          <cell r="M4984"/>
        </row>
        <row r="4985">
          <cell r="B4985"/>
          <cell r="C4985"/>
          <cell r="E4985"/>
          <cell r="F4985"/>
          <cell r="G4985"/>
          <cell r="H4985"/>
          <cell r="J4985"/>
          <cell r="L4985"/>
          <cell r="M4985"/>
        </row>
        <row r="4986">
          <cell r="B4986"/>
          <cell r="C4986"/>
          <cell r="E4986"/>
          <cell r="F4986"/>
          <cell r="G4986"/>
          <cell r="H4986"/>
          <cell r="J4986"/>
          <cell r="L4986"/>
          <cell r="M4986"/>
        </row>
        <row r="4987">
          <cell r="B4987"/>
          <cell r="C4987"/>
          <cell r="E4987"/>
          <cell r="F4987"/>
          <cell r="G4987"/>
          <cell r="H4987"/>
          <cell r="J4987"/>
          <cell r="L4987"/>
          <cell r="M4987"/>
        </row>
        <row r="4988">
          <cell r="B4988"/>
          <cell r="C4988"/>
          <cell r="E4988"/>
          <cell r="F4988"/>
          <cell r="G4988"/>
          <cell r="H4988"/>
          <cell r="J4988"/>
          <cell r="L4988"/>
          <cell r="M4988"/>
        </row>
        <row r="4989">
          <cell r="B4989"/>
          <cell r="C4989"/>
          <cell r="E4989"/>
          <cell r="F4989"/>
          <cell r="G4989"/>
          <cell r="H4989"/>
          <cell r="J4989"/>
          <cell r="L4989"/>
          <cell r="M4989"/>
        </row>
        <row r="4990">
          <cell r="B4990"/>
          <cell r="C4990"/>
          <cell r="E4990"/>
          <cell r="F4990"/>
          <cell r="G4990"/>
          <cell r="H4990"/>
          <cell r="J4990"/>
          <cell r="L4990"/>
          <cell r="M4990"/>
        </row>
        <row r="4991">
          <cell r="B4991"/>
          <cell r="C4991"/>
          <cell r="E4991"/>
          <cell r="F4991"/>
          <cell r="G4991"/>
          <cell r="H4991"/>
          <cell r="J4991"/>
          <cell r="L4991"/>
          <cell r="M4991"/>
        </row>
        <row r="4992">
          <cell r="B4992"/>
          <cell r="C4992"/>
          <cell r="E4992"/>
          <cell r="F4992"/>
          <cell r="G4992"/>
          <cell r="H4992"/>
          <cell r="J4992"/>
          <cell r="L4992"/>
          <cell r="M4992"/>
        </row>
        <row r="4993">
          <cell r="B4993"/>
          <cell r="C4993"/>
          <cell r="E4993"/>
          <cell r="F4993"/>
          <cell r="G4993"/>
          <cell r="H4993"/>
          <cell r="J4993"/>
          <cell r="L4993"/>
          <cell r="M4993"/>
        </row>
        <row r="4994">
          <cell r="B4994"/>
          <cell r="C4994"/>
          <cell r="E4994"/>
          <cell r="F4994"/>
          <cell r="G4994"/>
          <cell r="H4994"/>
          <cell r="J4994"/>
          <cell r="L4994"/>
          <cell r="M4994"/>
        </row>
        <row r="4995">
          <cell r="B4995"/>
          <cell r="C4995"/>
          <cell r="E4995"/>
          <cell r="F4995"/>
          <cell r="G4995"/>
          <cell r="H4995"/>
          <cell r="J4995"/>
          <cell r="L4995"/>
          <cell r="M4995"/>
        </row>
        <row r="4996">
          <cell r="B4996"/>
          <cell r="C4996"/>
          <cell r="E4996"/>
          <cell r="F4996"/>
          <cell r="G4996"/>
          <cell r="H4996"/>
          <cell r="J4996"/>
          <cell r="L4996"/>
          <cell r="M4996"/>
        </row>
        <row r="4997">
          <cell r="B4997"/>
          <cell r="C4997"/>
          <cell r="E4997"/>
          <cell r="F4997"/>
          <cell r="G4997"/>
          <cell r="H4997"/>
          <cell r="J4997"/>
          <cell r="L4997"/>
          <cell r="M4997"/>
        </row>
        <row r="4998">
          <cell r="B4998"/>
          <cell r="C4998"/>
          <cell r="E4998"/>
          <cell r="F4998"/>
          <cell r="G4998"/>
          <cell r="H4998"/>
          <cell r="J4998"/>
          <cell r="L4998"/>
          <cell r="M4998"/>
        </row>
        <row r="4999">
          <cell r="B4999"/>
          <cell r="C4999"/>
          <cell r="E4999"/>
          <cell r="F4999"/>
          <cell r="G4999"/>
          <cell r="H4999"/>
          <cell r="J4999"/>
          <cell r="L4999"/>
          <cell r="M4999"/>
        </row>
        <row r="5000">
          <cell r="B5000"/>
          <cell r="C5000"/>
          <cell r="E5000"/>
          <cell r="F5000"/>
          <cell r="G5000"/>
          <cell r="H5000"/>
          <cell r="J5000"/>
          <cell r="L5000"/>
          <cell r="M5000"/>
        </row>
        <row r="5001">
          <cell r="B5001"/>
          <cell r="C5001"/>
          <cell r="E5001"/>
          <cell r="F5001"/>
          <cell r="G5001"/>
          <cell r="H5001"/>
          <cell r="J5001"/>
          <cell r="L5001"/>
          <cell r="M5001"/>
        </row>
        <row r="5002">
          <cell r="B5002"/>
          <cell r="C5002"/>
          <cell r="E5002"/>
          <cell r="F5002"/>
          <cell r="G5002"/>
          <cell r="H5002"/>
          <cell r="J5002"/>
          <cell r="L5002"/>
          <cell r="M5002"/>
        </row>
        <row r="5003">
          <cell r="B5003"/>
          <cell r="C5003"/>
          <cell r="E5003"/>
          <cell r="F5003"/>
          <cell r="G5003"/>
          <cell r="H5003"/>
          <cell r="J5003"/>
          <cell r="L5003"/>
          <cell r="M5003"/>
        </row>
        <row r="5004">
          <cell r="B5004"/>
          <cell r="C5004"/>
          <cell r="E5004"/>
          <cell r="F5004"/>
          <cell r="G5004"/>
          <cell r="H5004"/>
          <cell r="J5004"/>
          <cell r="L5004"/>
          <cell r="M5004"/>
        </row>
        <row r="5005">
          <cell r="B5005"/>
          <cell r="C5005"/>
          <cell r="E5005"/>
          <cell r="F5005"/>
          <cell r="G5005"/>
          <cell r="H5005"/>
          <cell r="J5005"/>
          <cell r="L5005"/>
          <cell r="M5005"/>
        </row>
        <row r="5006">
          <cell r="B5006"/>
          <cell r="C5006"/>
          <cell r="E5006"/>
          <cell r="F5006"/>
          <cell r="G5006"/>
          <cell r="H5006"/>
          <cell r="J5006"/>
          <cell r="L5006"/>
          <cell r="M5006"/>
        </row>
        <row r="5007">
          <cell r="B5007"/>
          <cell r="C5007"/>
          <cell r="E5007"/>
          <cell r="F5007"/>
          <cell r="G5007"/>
          <cell r="H5007"/>
          <cell r="J5007"/>
          <cell r="L5007"/>
          <cell r="M5007"/>
        </row>
        <row r="5008">
          <cell r="B5008"/>
          <cell r="C5008"/>
          <cell r="E5008"/>
          <cell r="F5008"/>
          <cell r="G5008"/>
          <cell r="H5008"/>
          <cell r="J5008"/>
          <cell r="L5008"/>
          <cell r="M5008"/>
        </row>
        <row r="5009">
          <cell r="B5009"/>
          <cell r="C5009"/>
          <cell r="E5009"/>
          <cell r="F5009"/>
          <cell r="G5009"/>
          <cell r="H5009"/>
          <cell r="J5009"/>
          <cell r="L5009"/>
          <cell r="M5009"/>
        </row>
        <row r="5010">
          <cell r="B5010"/>
          <cell r="C5010"/>
          <cell r="E5010"/>
          <cell r="F5010"/>
          <cell r="G5010"/>
          <cell r="H5010"/>
          <cell r="J5010"/>
          <cell r="L5010"/>
          <cell r="M5010"/>
        </row>
        <row r="5011">
          <cell r="B5011"/>
          <cell r="C5011"/>
          <cell r="E5011"/>
          <cell r="F5011"/>
          <cell r="G5011"/>
          <cell r="H5011"/>
          <cell r="J5011"/>
          <cell r="L5011"/>
          <cell r="M5011"/>
        </row>
        <row r="5012">
          <cell r="B5012"/>
          <cell r="C5012"/>
          <cell r="E5012"/>
          <cell r="F5012"/>
          <cell r="G5012"/>
          <cell r="H5012"/>
          <cell r="J5012"/>
          <cell r="L5012"/>
          <cell r="M5012"/>
        </row>
        <row r="5013">
          <cell r="B5013"/>
          <cell r="C5013"/>
          <cell r="E5013"/>
          <cell r="F5013"/>
          <cell r="G5013"/>
          <cell r="H5013"/>
          <cell r="J5013"/>
          <cell r="L5013"/>
          <cell r="M5013"/>
        </row>
        <row r="5014">
          <cell r="B5014"/>
          <cell r="C5014"/>
          <cell r="E5014"/>
          <cell r="F5014"/>
          <cell r="G5014"/>
          <cell r="H5014"/>
          <cell r="J5014"/>
          <cell r="L5014"/>
          <cell r="M5014"/>
        </row>
        <row r="5015">
          <cell r="B5015"/>
          <cell r="C5015"/>
          <cell r="E5015"/>
          <cell r="F5015"/>
          <cell r="G5015"/>
          <cell r="H5015"/>
          <cell r="J5015"/>
          <cell r="L5015"/>
          <cell r="M5015"/>
        </row>
        <row r="5016">
          <cell r="B5016"/>
          <cell r="C5016"/>
          <cell r="E5016"/>
          <cell r="F5016"/>
          <cell r="G5016"/>
          <cell r="H5016"/>
          <cell r="J5016"/>
          <cell r="L5016"/>
          <cell r="M5016"/>
        </row>
        <row r="5017">
          <cell r="B5017"/>
          <cell r="C5017"/>
          <cell r="E5017"/>
          <cell r="F5017"/>
          <cell r="G5017"/>
          <cell r="H5017"/>
          <cell r="J5017"/>
          <cell r="L5017"/>
          <cell r="M5017"/>
        </row>
        <row r="5018">
          <cell r="B5018"/>
          <cell r="C5018"/>
          <cell r="E5018"/>
          <cell r="F5018"/>
          <cell r="G5018"/>
          <cell r="H5018"/>
          <cell r="J5018"/>
          <cell r="L5018"/>
          <cell r="M5018"/>
        </row>
        <row r="5019">
          <cell r="B5019"/>
          <cell r="C5019"/>
          <cell r="E5019"/>
          <cell r="F5019"/>
          <cell r="G5019"/>
          <cell r="H5019"/>
          <cell r="J5019"/>
          <cell r="L5019"/>
          <cell r="M5019"/>
        </row>
        <row r="5020">
          <cell r="B5020"/>
          <cell r="C5020"/>
          <cell r="E5020"/>
          <cell r="F5020"/>
          <cell r="G5020"/>
          <cell r="H5020"/>
          <cell r="J5020"/>
          <cell r="L5020"/>
          <cell r="M5020"/>
        </row>
        <row r="5021">
          <cell r="B5021"/>
          <cell r="C5021"/>
          <cell r="E5021"/>
          <cell r="F5021"/>
          <cell r="G5021"/>
          <cell r="H5021"/>
          <cell r="J5021"/>
          <cell r="L5021"/>
          <cell r="M5021"/>
        </row>
        <row r="5022">
          <cell r="B5022"/>
          <cell r="C5022"/>
          <cell r="E5022"/>
          <cell r="F5022"/>
          <cell r="G5022"/>
          <cell r="H5022"/>
          <cell r="J5022"/>
          <cell r="L5022"/>
          <cell r="M5022"/>
        </row>
        <row r="5023">
          <cell r="B5023"/>
          <cell r="C5023"/>
          <cell r="E5023"/>
          <cell r="F5023"/>
          <cell r="G5023"/>
          <cell r="H5023"/>
          <cell r="J5023"/>
          <cell r="L5023"/>
          <cell r="M5023"/>
        </row>
        <row r="5024">
          <cell r="B5024"/>
          <cell r="C5024"/>
          <cell r="E5024"/>
          <cell r="F5024"/>
          <cell r="G5024"/>
          <cell r="H5024"/>
          <cell r="J5024"/>
          <cell r="L5024"/>
          <cell r="M5024"/>
        </row>
        <row r="5025">
          <cell r="B5025"/>
          <cell r="C5025"/>
          <cell r="E5025"/>
          <cell r="F5025"/>
          <cell r="G5025"/>
          <cell r="H5025"/>
          <cell r="J5025"/>
          <cell r="L5025"/>
          <cell r="M5025"/>
        </row>
        <row r="5026">
          <cell r="B5026"/>
          <cell r="C5026"/>
          <cell r="E5026"/>
          <cell r="F5026"/>
          <cell r="G5026"/>
          <cell r="H5026"/>
          <cell r="J5026"/>
          <cell r="L5026"/>
          <cell r="M5026"/>
        </row>
        <row r="5027">
          <cell r="B5027"/>
          <cell r="C5027"/>
          <cell r="E5027"/>
          <cell r="F5027"/>
          <cell r="G5027"/>
          <cell r="H5027"/>
          <cell r="J5027"/>
          <cell r="L5027"/>
          <cell r="M5027"/>
        </row>
        <row r="5028">
          <cell r="B5028"/>
          <cell r="C5028"/>
          <cell r="E5028"/>
          <cell r="F5028"/>
          <cell r="G5028"/>
          <cell r="H5028"/>
          <cell r="J5028"/>
          <cell r="L5028"/>
          <cell r="M5028"/>
        </row>
        <row r="5029">
          <cell r="B5029"/>
          <cell r="C5029"/>
          <cell r="E5029"/>
          <cell r="F5029"/>
          <cell r="G5029"/>
          <cell r="H5029"/>
          <cell r="J5029"/>
          <cell r="L5029"/>
          <cell r="M5029"/>
        </row>
        <row r="5030">
          <cell r="B5030"/>
          <cell r="C5030"/>
          <cell r="E5030"/>
          <cell r="F5030"/>
          <cell r="G5030"/>
          <cell r="H5030"/>
          <cell r="J5030"/>
          <cell r="L5030"/>
          <cell r="M5030"/>
        </row>
        <row r="5031">
          <cell r="B5031"/>
          <cell r="C5031"/>
          <cell r="E5031"/>
          <cell r="F5031"/>
          <cell r="G5031"/>
          <cell r="H5031"/>
          <cell r="J5031"/>
          <cell r="L5031"/>
          <cell r="M5031"/>
        </row>
        <row r="5032">
          <cell r="B5032"/>
          <cell r="C5032"/>
          <cell r="E5032"/>
          <cell r="F5032"/>
          <cell r="G5032"/>
          <cell r="H5032"/>
          <cell r="J5032"/>
          <cell r="L5032"/>
          <cell r="M5032"/>
        </row>
        <row r="5033">
          <cell r="B5033"/>
          <cell r="C5033"/>
          <cell r="E5033"/>
          <cell r="F5033"/>
          <cell r="G5033"/>
          <cell r="H5033"/>
          <cell r="J5033"/>
          <cell r="L5033"/>
          <cell r="M5033"/>
        </row>
        <row r="5034">
          <cell r="B5034"/>
          <cell r="C5034"/>
          <cell r="E5034"/>
          <cell r="F5034"/>
          <cell r="G5034"/>
          <cell r="H5034"/>
          <cell r="J5034"/>
          <cell r="L5034"/>
          <cell r="M5034"/>
        </row>
        <row r="5035">
          <cell r="B5035"/>
          <cell r="C5035"/>
          <cell r="E5035"/>
          <cell r="F5035"/>
          <cell r="G5035"/>
          <cell r="H5035"/>
          <cell r="J5035"/>
          <cell r="L5035"/>
          <cell r="M5035"/>
        </row>
        <row r="5036">
          <cell r="B5036"/>
          <cell r="C5036"/>
          <cell r="E5036"/>
          <cell r="F5036"/>
          <cell r="G5036"/>
          <cell r="H5036"/>
          <cell r="J5036"/>
          <cell r="L5036"/>
          <cell r="M5036"/>
        </row>
        <row r="5037">
          <cell r="B5037"/>
          <cell r="C5037"/>
          <cell r="E5037"/>
          <cell r="F5037"/>
          <cell r="G5037"/>
          <cell r="H5037"/>
          <cell r="J5037"/>
          <cell r="L5037"/>
          <cell r="M5037"/>
        </row>
        <row r="5038">
          <cell r="B5038"/>
          <cell r="C5038"/>
          <cell r="E5038"/>
          <cell r="F5038"/>
          <cell r="G5038"/>
          <cell r="H5038"/>
          <cell r="J5038"/>
          <cell r="L5038"/>
          <cell r="M5038"/>
        </row>
        <row r="5039">
          <cell r="B5039"/>
          <cell r="C5039"/>
          <cell r="E5039"/>
          <cell r="F5039"/>
          <cell r="G5039"/>
          <cell r="H5039"/>
          <cell r="J5039"/>
          <cell r="L5039"/>
          <cell r="M5039"/>
        </row>
        <row r="5040">
          <cell r="B5040"/>
          <cell r="C5040"/>
          <cell r="E5040"/>
          <cell r="F5040"/>
          <cell r="G5040"/>
          <cell r="H5040"/>
          <cell r="J5040"/>
          <cell r="L5040"/>
          <cell r="M5040"/>
        </row>
        <row r="5041">
          <cell r="B5041"/>
          <cell r="C5041"/>
          <cell r="E5041"/>
          <cell r="F5041"/>
          <cell r="G5041"/>
          <cell r="H5041"/>
          <cell r="J5041"/>
          <cell r="L5041"/>
          <cell r="M5041"/>
        </row>
        <row r="5042">
          <cell r="B5042"/>
          <cell r="C5042"/>
          <cell r="E5042"/>
          <cell r="F5042"/>
          <cell r="G5042"/>
          <cell r="H5042"/>
          <cell r="J5042"/>
          <cell r="L5042"/>
          <cell r="M5042"/>
        </row>
        <row r="5043">
          <cell r="B5043"/>
          <cell r="C5043"/>
          <cell r="E5043"/>
          <cell r="F5043"/>
          <cell r="G5043"/>
          <cell r="H5043"/>
          <cell r="J5043"/>
          <cell r="L5043"/>
          <cell r="M5043"/>
        </row>
        <row r="5044">
          <cell r="B5044"/>
          <cell r="C5044"/>
          <cell r="E5044"/>
          <cell r="F5044"/>
          <cell r="G5044"/>
          <cell r="H5044"/>
          <cell r="J5044"/>
          <cell r="L5044"/>
          <cell r="M5044"/>
        </row>
        <row r="5045">
          <cell r="B5045"/>
          <cell r="C5045"/>
          <cell r="E5045"/>
          <cell r="F5045"/>
          <cell r="G5045"/>
          <cell r="H5045"/>
          <cell r="J5045"/>
          <cell r="L5045"/>
          <cell r="M5045"/>
        </row>
        <row r="5046">
          <cell r="B5046"/>
          <cell r="C5046"/>
          <cell r="E5046"/>
          <cell r="F5046"/>
          <cell r="G5046"/>
          <cell r="H5046"/>
          <cell r="J5046"/>
          <cell r="L5046"/>
          <cell r="M5046"/>
        </row>
        <row r="5047">
          <cell r="B5047"/>
          <cell r="C5047"/>
          <cell r="E5047"/>
          <cell r="F5047"/>
          <cell r="G5047"/>
          <cell r="H5047"/>
          <cell r="J5047"/>
          <cell r="L5047"/>
          <cell r="M5047"/>
        </row>
        <row r="5048">
          <cell r="B5048"/>
          <cell r="C5048"/>
          <cell r="E5048"/>
          <cell r="F5048"/>
          <cell r="G5048"/>
          <cell r="H5048"/>
          <cell r="J5048"/>
          <cell r="L5048"/>
          <cell r="M5048"/>
        </row>
        <row r="5049">
          <cell r="B5049"/>
          <cell r="C5049"/>
          <cell r="E5049"/>
          <cell r="F5049"/>
          <cell r="G5049"/>
          <cell r="H5049"/>
          <cell r="J5049"/>
          <cell r="L5049"/>
          <cell r="M5049"/>
        </row>
        <row r="5050">
          <cell r="B5050"/>
          <cell r="C5050"/>
          <cell r="E5050"/>
          <cell r="F5050"/>
          <cell r="G5050"/>
          <cell r="H5050"/>
          <cell r="J5050"/>
          <cell r="L5050"/>
          <cell r="M5050"/>
        </row>
        <row r="5051">
          <cell r="B5051"/>
          <cell r="C5051"/>
          <cell r="E5051"/>
          <cell r="F5051"/>
          <cell r="G5051"/>
          <cell r="H5051"/>
          <cell r="J5051"/>
          <cell r="L5051"/>
          <cell r="M5051"/>
        </row>
        <row r="5052">
          <cell r="B5052"/>
          <cell r="C5052"/>
          <cell r="E5052"/>
          <cell r="F5052"/>
          <cell r="G5052"/>
          <cell r="H5052"/>
          <cell r="J5052"/>
          <cell r="L5052"/>
          <cell r="M5052"/>
        </row>
        <row r="5053">
          <cell r="B5053"/>
          <cell r="C5053"/>
          <cell r="E5053"/>
          <cell r="F5053"/>
          <cell r="G5053"/>
          <cell r="H5053"/>
          <cell r="J5053"/>
          <cell r="L5053"/>
          <cell r="M5053"/>
        </row>
        <row r="5054">
          <cell r="B5054"/>
          <cell r="C5054"/>
          <cell r="E5054"/>
          <cell r="F5054"/>
          <cell r="G5054"/>
          <cell r="H5054"/>
          <cell r="J5054"/>
          <cell r="L5054"/>
          <cell r="M5054"/>
        </row>
        <row r="5055">
          <cell r="B5055"/>
          <cell r="C5055"/>
          <cell r="E5055"/>
          <cell r="F5055"/>
          <cell r="G5055"/>
          <cell r="H5055"/>
          <cell r="J5055"/>
          <cell r="L5055"/>
          <cell r="M5055"/>
        </row>
        <row r="5056">
          <cell r="B5056"/>
          <cell r="C5056"/>
          <cell r="E5056"/>
          <cell r="F5056"/>
          <cell r="G5056"/>
          <cell r="H5056"/>
          <cell r="J5056"/>
          <cell r="L5056"/>
          <cell r="M5056"/>
        </row>
        <row r="5057">
          <cell r="B5057"/>
          <cell r="C5057"/>
          <cell r="E5057"/>
          <cell r="F5057"/>
          <cell r="G5057"/>
          <cell r="H5057"/>
          <cell r="J5057"/>
          <cell r="L5057"/>
          <cell r="M5057"/>
        </row>
        <row r="5058">
          <cell r="B5058"/>
          <cell r="C5058"/>
          <cell r="E5058"/>
          <cell r="F5058"/>
          <cell r="G5058"/>
          <cell r="H5058"/>
          <cell r="J5058"/>
          <cell r="L5058"/>
          <cell r="M5058"/>
        </row>
        <row r="5059">
          <cell r="B5059"/>
          <cell r="C5059"/>
          <cell r="E5059"/>
          <cell r="F5059"/>
          <cell r="G5059"/>
          <cell r="H5059"/>
          <cell r="J5059"/>
          <cell r="L5059"/>
          <cell r="M5059"/>
        </row>
        <row r="5060">
          <cell r="B5060"/>
          <cell r="C5060"/>
          <cell r="E5060"/>
          <cell r="F5060"/>
          <cell r="G5060"/>
          <cell r="H5060"/>
          <cell r="J5060"/>
          <cell r="L5060"/>
          <cell r="M5060"/>
        </row>
        <row r="5061">
          <cell r="B5061"/>
          <cell r="C5061"/>
          <cell r="E5061"/>
          <cell r="F5061"/>
          <cell r="G5061"/>
          <cell r="H5061"/>
          <cell r="J5061"/>
          <cell r="L5061"/>
          <cell r="M5061"/>
        </row>
        <row r="5062">
          <cell r="B5062"/>
          <cell r="C5062"/>
          <cell r="E5062"/>
          <cell r="F5062"/>
          <cell r="G5062"/>
          <cell r="H5062"/>
          <cell r="J5062"/>
          <cell r="L5062"/>
          <cell r="M5062"/>
        </row>
        <row r="5063">
          <cell r="B5063"/>
          <cell r="C5063"/>
          <cell r="E5063"/>
          <cell r="F5063"/>
          <cell r="G5063"/>
          <cell r="H5063"/>
          <cell r="J5063"/>
          <cell r="L5063"/>
          <cell r="M5063"/>
        </row>
        <row r="5064">
          <cell r="B5064"/>
          <cell r="C5064"/>
          <cell r="E5064"/>
          <cell r="F5064"/>
          <cell r="G5064"/>
          <cell r="H5064"/>
          <cell r="J5064"/>
          <cell r="L5064"/>
          <cell r="M5064"/>
        </row>
        <row r="5065">
          <cell r="B5065"/>
          <cell r="C5065"/>
          <cell r="E5065"/>
          <cell r="F5065"/>
          <cell r="G5065"/>
          <cell r="H5065"/>
          <cell r="J5065"/>
          <cell r="L5065"/>
          <cell r="M5065"/>
        </row>
        <row r="5066">
          <cell r="B5066"/>
          <cell r="C5066"/>
          <cell r="E5066"/>
          <cell r="F5066"/>
          <cell r="G5066"/>
          <cell r="H5066"/>
          <cell r="J5066"/>
          <cell r="L5066"/>
          <cell r="M5066"/>
        </row>
        <row r="5067">
          <cell r="B5067"/>
          <cell r="C5067"/>
          <cell r="E5067"/>
          <cell r="F5067"/>
          <cell r="G5067"/>
          <cell r="H5067"/>
          <cell r="J5067"/>
          <cell r="L5067"/>
          <cell r="M5067"/>
        </row>
        <row r="5068">
          <cell r="B5068"/>
          <cell r="C5068"/>
          <cell r="E5068"/>
          <cell r="F5068"/>
          <cell r="G5068"/>
          <cell r="H5068"/>
          <cell r="J5068"/>
          <cell r="L5068"/>
          <cell r="M5068"/>
        </row>
        <row r="5069">
          <cell r="B5069"/>
          <cell r="C5069"/>
          <cell r="E5069"/>
          <cell r="F5069"/>
          <cell r="G5069"/>
          <cell r="H5069"/>
          <cell r="J5069"/>
          <cell r="L5069"/>
          <cell r="M5069"/>
        </row>
        <row r="5070">
          <cell r="B5070"/>
          <cell r="C5070"/>
          <cell r="E5070"/>
          <cell r="F5070"/>
          <cell r="G5070"/>
          <cell r="H5070"/>
          <cell r="J5070"/>
          <cell r="L5070"/>
          <cell r="M5070"/>
        </row>
        <row r="5071">
          <cell r="B5071"/>
          <cell r="C5071"/>
          <cell r="E5071"/>
          <cell r="F5071"/>
          <cell r="G5071"/>
          <cell r="H5071"/>
          <cell r="J5071"/>
          <cell r="L5071"/>
          <cell r="M5071"/>
        </row>
        <row r="5072">
          <cell r="B5072"/>
          <cell r="C5072"/>
          <cell r="E5072"/>
          <cell r="F5072"/>
          <cell r="G5072"/>
          <cell r="H5072"/>
          <cell r="J5072"/>
          <cell r="L5072"/>
          <cell r="M5072"/>
        </row>
        <row r="5073">
          <cell r="B5073"/>
          <cell r="C5073"/>
          <cell r="E5073"/>
          <cell r="F5073"/>
          <cell r="G5073"/>
          <cell r="H5073"/>
          <cell r="J5073"/>
          <cell r="L5073"/>
          <cell r="M5073"/>
        </row>
        <row r="5074">
          <cell r="B5074"/>
          <cell r="C5074"/>
          <cell r="E5074"/>
          <cell r="F5074"/>
          <cell r="G5074"/>
          <cell r="H5074"/>
          <cell r="J5074"/>
          <cell r="L5074"/>
          <cell r="M5074"/>
        </row>
        <row r="5075">
          <cell r="B5075"/>
          <cell r="C5075"/>
          <cell r="E5075"/>
          <cell r="F5075"/>
          <cell r="G5075"/>
          <cell r="H5075"/>
          <cell r="J5075"/>
          <cell r="L5075"/>
          <cell r="M5075"/>
        </row>
        <row r="5076">
          <cell r="B5076"/>
          <cell r="C5076"/>
          <cell r="E5076"/>
          <cell r="F5076"/>
          <cell r="G5076"/>
          <cell r="H5076"/>
          <cell r="J5076"/>
          <cell r="L5076"/>
          <cell r="M5076"/>
        </row>
        <row r="5077">
          <cell r="B5077"/>
          <cell r="C5077"/>
          <cell r="E5077"/>
          <cell r="F5077"/>
          <cell r="G5077"/>
          <cell r="H5077"/>
          <cell r="J5077"/>
          <cell r="L5077"/>
          <cell r="M5077"/>
        </row>
        <row r="5078">
          <cell r="B5078"/>
          <cell r="C5078"/>
          <cell r="E5078"/>
          <cell r="F5078"/>
          <cell r="G5078"/>
          <cell r="H5078"/>
          <cell r="J5078"/>
          <cell r="L5078"/>
          <cell r="M5078"/>
        </row>
        <row r="5079">
          <cell r="B5079"/>
          <cell r="C5079"/>
          <cell r="E5079"/>
          <cell r="F5079"/>
          <cell r="G5079"/>
          <cell r="H5079"/>
          <cell r="J5079"/>
          <cell r="L5079"/>
          <cell r="M5079"/>
        </row>
        <row r="5080">
          <cell r="B5080"/>
          <cell r="C5080"/>
          <cell r="E5080"/>
          <cell r="F5080"/>
          <cell r="G5080"/>
          <cell r="H5080"/>
          <cell r="J5080"/>
          <cell r="L5080"/>
          <cell r="M5080"/>
        </row>
        <row r="5081">
          <cell r="B5081"/>
          <cell r="C5081"/>
          <cell r="E5081"/>
          <cell r="F5081"/>
          <cell r="G5081"/>
          <cell r="H5081"/>
          <cell r="J5081"/>
          <cell r="L5081"/>
          <cell r="M5081"/>
        </row>
        <row r="5082">
          <cell r="B5082"/>
          <cell r="C5082"/>
          <cell r="E5082"/>
          <cell r="F5082"/>
          <cell r="G5082"/>
          <cell r="H5082"/>
          <cell r="J5082"/>
          <cell r="L5082"/>
          <cell r="M5082"/>
        </row>
        <row r="5083">
          <cell r="B5083"/>
          <cell r="C5083"/>
          <cell r="E5083"/>
          <cell r="F5083"/>
          <cell r="G5083"/>
          <cell r="H5083"/>
          <cell r="J5083"/>
          <cell r="L5083"/>
          <cell r="M5083"/>
        </row>
        <row r="5084">
          <cell r="B5084"/>
          <cell r="C5084"/>
          <cell r="E5084"/>
          <cell r="F5084"/>
          <cell r="G5084"/>
          <cell r="H5084"/>
          <cell r="J5084"/>
          <cell r="L5084"/>
          <cell r="M5084"/>
        </row>
        <row r="5085">
          <cell r="B5085"/>
          <cell r="C5085"/>
          <cell r="E5085"/>
          <cell r="F5085"/>
          <cell r="G5085"/>
          <cell r="H5085"/>
          <cell r="J5085"/>
          <cell r="L5085"/>
          <cell r="M5085"/>
        </row>
        <row r="5086">
          <cell r="B5086"/>
          <cell r="C5086"/>
          <cell r="E5086"/>
          <cell r="F5086"/>
          <cell r="G5086"/>
          <cell r="H5086"/>
          <cell r="J5086"/>
          <cell r="L5086"/>
          <cell r="M5086"/>
        </row>
        <row r="5087">
          <cell r="B5087"/>
          <cell r="C5087"/>
          <cell r="E5087"/>
          <cell r="F5087"/>
          <cell r="G5087"/>
          <cell r="H5087"/>
          <cell r="J5087"/>
          <cell r="L5087"/>
          <cell r="M5087"/>
        </row>
        <row r="5088">
          <cell r="B5088"/>
          <cell r="C5088"/>
          <cell r="E5088"/>
          <cell r="F5088"/>
          <cell r="G5088"/>
          <cell r="H5088"/>
          <cell r="J5088"/>
          <cell r="L5088"/>
          <cell r="M5088"/>
        </row>
        <row r="5089">
          <cell r="B5089"/>
          <cell r="C5089"/>
          <cell r="E5089"/>
          <cell r="F5089"/>
          <cell r="G5089"/>
          <cell r="H5089"/>
          <cell r="J5089"/>
          <cell r="L5089"/>
          <cell r="M5089"/>
        </row>
        <row r="5090">
          <cell r="B5090"/>
          <cell r="C5090"/>
          <cell r="E5090"/>
          <cell r="F5090"/>
          <cell r="G5090"/>
          <cell r="H5090"/>
          <cell r="J5090"/>
          <cell r="L5090"/>
          <cell r="M5090"/>
        </row>
        <row r="5091">
          <cell r="B5091"/>
          <cell r="C5091"/>
          <cell r="E5091"/>
          <cell r="F5091"/>
          <cell r="G5091"/>
          <cell r="H5091"/>
          <cell r="J5091"/>
          <cell r="L5091"/>
          <cell r="M5091"/>
        </row>
        <row r="5092">
          <cell r="B5092"/>
          <cell r="C5092"/>
          <cell r="E5092"/>
          <cell r="F5092"/>
          <cell r="G5092"/>
          <cell r="H5092"/>
          <cell r="J5092"/>
          <cell r="L5092"/>
          <cell r="M5092"/>
        </row>
        <row r="5093">
          <cell r="B5093"/>
          <cell r="C5093"/>
          <cell r="E5093"/>
          <cell r="F5093"/>
          <cell r="G5093"/>
          <cell r="H5093"/>
          <cell r="J5093"/>
          <cell r="L5093"/>
          <cell r="M5093"/>
        </row>
        <row r="5094">
          <cell r="B5094"/>
          <cell r="C5094"/>
          <cell r="E5094"/>
          <cell r="F5094"/>
          <cell r="G5094"/>
          <cell r="H5094"/>
          <cell r="J5094"/>
          <cell r="L5094"/>
          <cell r="M5094"/>
        </row>
        <row r="5095">
          <cell r="B5095"/>
          <cell r="C5095"/>
          <cell r="E5095"/>
          <cell r="F5095"/>
          <cell r="G5095"/>
          <cell r="H5095"/>
          <cell r="J5095"/>
          <cell r="L5095"/>
          <cell r="M5095"/>
        </row>
        <row r="5096">
          <cell r="B5096"/>
          <cell r="C5096"/>
          <cell r="E5096"/>
          <cell r="F5096"/>
          <cell r="G5096"/>
          <cell r="H5096"/>
          <cell r="J5096"/>
          <cell r="L5096"/>
          <cell r="M5096"/>
        </row>
        <row r="5097">
          <cell r="B5097"/>
          <cell r="C5097"/>
          <cell r="E5097"/>
          <cell r="F5097"/>
          <cell r="G5097"/>
          <cell r="H5097"/>
          <cell r="J5097"/>
          <cell r="L5097"/>
          <cell r="M5097"/>
        </row>
        <row r="5098">
          <cell r="B5098"/>
          <cell r="C5098"/>
          <cell r="E5098"/>
          <cell r="F5098"/>
          <cell r="G5098"/>
          <cell r="H5098"/>
          <cell r="J5098"/>
          <cell r="L5098"/>
          <cell r="M5098"/>
        </row>
        <row r="5099">
          <cell r="B5099"/>
          <cell r="C5099"/>
          <cell r="E5099"/>
          <cell r="F5099"/>
          <cell r="G5099"/>
          <cell r="H5099"/>
          <cell r="J5099"/>
          <cell r="L5099"/>
          <cell r="M5099"/>
        </row>
        <row r="5100">
          <cell r="B5100"/>
          <cell r="C5100"/>
          <cell r="E5100"/>
          <cell r="F5100"/>
          <cell r="G5100"/>
          <cell r="H5100"/>
          <cell r="J5100"/>
          <cell r="L5100"/>
          <cell r="M5100"/>
        </row>
        <row r="5101">
          <cell r="B5101"/>
          <cell r="C5101"/>
          <cell r="E5101"/>
          <cell r="F5101"/>
          <cell r="G5101"/>
          <cell r="H5101"/>
          <cell r="J5101"/>
          <cell r="L5101"/>
          <cell r="M5101"/>
        </row>
        <row r="5102">
          <cell r="B5102"/>
          <cell r="C5102"/>
          <cell r="E5102"/>
          <cell r="F5102"/>
          <cell r="G5102"/>
          <cell r="H5102"/>
          <cell r="J5102"/>
          <cell r="L5102"/>
          <cell r="M5102"/>
        </row>
        <row r="5103">
          <cell r="B5103"/>
          <cell r="C5103"/>
          <cell r="E5103"/>
          <cell r="F5103"/>
          <cell r="G5103"/>
          <cell r="H5103"/>
          <cell r="J5103"/>
          <cell r="L5103"/>
          <cell r="M5103"/>
        </row>
        <row r="5104">
          <cell r="B5104"/>
          <cell r="C5104"/>
          <cell r="E5104"/>
          <cell r="F5104"/>
          <cell r="G5104"/>
          <cell r="H5104"/>
          <cell r="J5104"/>
          <cell r="L5104"/>
          <cell r="M5104"/>
        </row>
        <row r="5105">
          <cell r="B5105"/>
          <cell r="C5105"/>
          <cell r="E5105"/>
          <cell r="F5105"/>
          <cell r="G5105"/>
          <cell r="H5105"/>
          <cell r="J5105"/>
          <cell r="L5105"/>
          <cell r="M5105"/>
        </row>
        <row r="5106">
          <cell r="B5106"/>
          <cell r="C5106"/>
          <cell r="E5106"/>
          <cell r="F5106"/>
          <cell r="G5106"/>
          <cell r="H5106"/>
          <cell r="J5106"/>
          <cell r="L5106"/>
          <cell r="M5106"/>
        </row>
        <row r="5107">
          <cell r="B5107"/>
          <cell r="C5107"/>
          <cell r="E5107"/>
          <cell r="F5107"/>
          <cell r="G5107"/>
          <cell r="H5107"/>
          <cell r="J5107"/>
          <cell r="L5107"/>
          <cell r="M5107"/>
        </row>
        <row r="5108">
          <cell r="B5108"/>
          <cell r="C5108"/>
          <cell r="E5108"/>
          <cell r="F5108"/>
          <cell r="G5108"/>
          <cell r="H5108"/>
          <cell r="J5108"/>
          <cell r="L5108"/>
          <cell r="M5108"/>
        </row>
        <row r="5109">
          <cell r="B5109"/>
          <cell r="C5109"/>
          <cell r="E5109"/>
          <cell r="F5109"/>
          <cell r="G5109"/>
          <cell r="H5109"/>
          <cell r="J5109"/>
          <cell r="L5109"/>
          <cell r="M5109"/>
        </row>
        <row r="5110">
          <cell r="B5110"/>
          <cell r="C5110"/>
          <cell r="E5110"/>
          <cell r="F5110"/>
          <cell r="G5110"/>
          <cell r="H5110"/>
          <cell r="J5110"/>
          <cell r="L5110"/>
          <cell r="M5110"/>
        </row>
        <row r="5111">
          <cell r="B5111"/>
          <cell r="C5111"/>
          <cell r="E5111"/>
          <cell r="F5111"/>
          <cell r="G5111"/>
          <cell r="H5111"/>
          <cell r="J5111"/>
          <cell r="L5111"/>
          <cell r="M5111"/>
        </row>
        <row r="5112">
          <cell r="B5112"/>
          <cell r="C5112"/>
          <cell r="E5112"/>
          <cell r="F5112"/>
          <cell r="G5112"/>
          <cell r="H5112"/>
          <cell r="J5112"/>
          <cell r="L5112"/>
          <cell r="M5112"/>
        </row>
        <row r="5113">
          <cell r="B5113"/>
          <cell r="C5113"/>
          <cell r="E5113"/>
          <cell r="F5113"/>
          <cell r="G5113"/>
          <cell r="H5113"/>
          <cell r="J5113"/>
          <cell r="L5113"/>
          <cell r="M5113"/>
        </row>
        <row r="5114">
          <cell r="B5114"/>
          <cell r="C5114"/>
          <cell r="E5114"/>
          <cell r="F5114"/>
          <cell r="G5114"/>
          <cell r="H5114"/>
          <cell r="J5114"/>
          <cell r="L5114"/>
          <cell r="M5114"/>
        </row>
        <row r="5115">
          <cell r="B5115"/>
          <cell r="C5115"/>
          <cell r="E5115"/>
          <cell r="F5115"/>
          <cell r="G5115"/>
          <cell r="H5115"/>
          <cell r="J5115"/>
          <cell r="L5115"/>
          <cell r="M5115"/>
        </row>
        <row r="5116">
          <cell r="B5116"/>
          <cell r="C5116"/>
          <cell r="E5116"/>
          <cell r="F5116"/>
          <cell r="G5116"/>
          <cell r="H5116"/>
          <cell r="J5116"/>
          <cell r="L5116"/>
          <cell r="M5116"/>
        </row>
        <row r="5117">
          <cell r="B5117"/>
          <cell r="C5117"/>
          <cell r="E5117"/>
          <cell r="F5117"/>
          <cell r="G5117"/>
          <cell r="H5117"/>
          <cell r="J5117"/>
          <cell r="L5117"/>
          <cell r="M5117"/>
        </row>
        <row r="5118">
          <cell r="B5118"/>
          <cell r="C5118"/>
          <cell r="E5118"/>
          <cell r="F5118"/>
          <cell r="G5118"/>
          <cell r="H5118"/>
          <cell r="J5118"/>
          <cell r="L5118"/>
          <cell r="M5118"/>
        </row>
        <row r="5119">
          <cell r="B5119"/>
          <cell r="C5119"/>
          <cell r="E5119"/>
          <cell r="F5119"/>
          <cell r="G5119"/>
          <cell r="H5119"/>
          <cell r="J5119"/>
          <cell r="L5119"/>
          <cell r="M5119"/>
        </row>
        <row r="5120">
          <cell r="B5120"/>
          <cell r="C5120"/>
          <cell r="E5120"/>
          <cell r="F5120"/>
          <cell r="G5120"/>
          <cell r="H5120"/>
          <cell r="J5120"/>
          <cell r="L5120"/>
          <cell r="M5120"/>
        </row>
        <row r="5121">
          <cell r="B5121"/>
          <cell r="C5121"/>
          <cell r="E5121"/>
          <cell r="F5121"/>
          <cell r="G5121"/>
          <cell r="H5121"/>
          <cell r="J5121"/>
          <cell r="L5121"/>
          <cell r="M5121"/>
        </row>
        <row r="5122">
          <cell r="B5122"/>
          <cell r="C5122"/>
          <cell r="E5122"/>
          <cell r="F5122"/>
          <cell r="G5122"/>
          <cell r="H5122"/>
          <cell r="J5122"/>
          <cell r="L5122"/>
          <cell r="M5122"/>
        </row>
        <row r="5123">
          <cell r="B5123"/>
          <cell r="C5123"/>
          <cell r="E5123"/>
          <cell r="F5123"/>
          <cell r="G5123"/>
          <cell r="H5123"/>
          <cell r="J5123"/>
          <cell r="L5123"/>
          <cell r="M5123"/>
        </row>
        <row r="5124">
          <cell r="B5124"/>
          <cell r="C5124"/>
          <cell r="E5124"/>
          <cell r="F5124"/>
          <cell r="G5124"/>
          <cell r="H5124"/>
          <cell r="J5124"/>
          <cell r="L5124"/>
          <cell r="M5124"/>
        </row>
        <row r="5125">
          <cell r="B5125"/>
          <cell r="C5125"/>
          <cell r="E5125"/>
          <cell r="F5125"/>
          <cell r="G5125"/>
          <cell r="H5125"/>
          <cell r="J5125"/>
          <cell r="L5125"/>
          <cell r="M5125"/>
        </row>
        <row r="5126">
          <cell r="B5126"/>
          <cell r="C5126"/>
          <cell r="E5126"/>
          <cell r="F5126"/>
          <cell r="G5126"/>
          <cell r="H5126"/>
          <cell r="J5126"/>
          <cell r="L5126"/>
          <cell r="M5126"/>
        </row>
        <row r="5127">
          <cell r="B5127"/>
          <cell r="C5127"/>
          <cell r="E5127"/>
          <cell r="F5127"/>
          <cell r="G5127"/>
          <cell r="H5127"/>
          <cell r="J5127"/>
          <cell r="L5127"/>
          <cell r="M5127"/>
        </row>
        <row r="5128">
          <cell r="B5128"/>
          <cell r="C5128"/>
          <cell r="E5128"/>
          <cell r="F5128"/>
          <cell r="G5128"/>
          <cell r="H5128"/>
          <cell r="J5128"/>
          <cell r="L5128"/>
          <cell r="M5128"/>
        </row>
        <row r="5129">
          <cell r="B5129"/>
          <cell r="C5129"/>
          <cell r="E5129"/>
          <cell r="F5129"/>
          <cell r="G5129"/>
          <cell r="H5129"/>
          <cell r="J5129"/>
          <cell r="L5129"/>
          <cell r="M5129"/>
        </row>
        <row r="5130">
          <cell r="B5130"/>
          <cell r="C5130"/>
          <cell r="E5130"/>
          <cell r="F5130"/>
          <cell r="G5130"/>
          <cell r="H5130"/>
          <cell r="J5130"/>
          <cell r="L5130"/>
          <cell r="M5130"/>
        </row>
        <row r="5131">
          <cell r="B5131"/>
          <cell r="C5131"/>
          <cell r="E5131"/>
          <cell r="F5131"/>
          <cell r="G5131"/>
          <cell r="H5131"/>
          <cell r="J5131"/>
          <cell r="L5131"/>
          <cell r="M5131"/>
        </row>
        <row r="5132">
          <cell r="B5132"/>
          <cell r="C5132"/>
          <cell r="E5132"/>
          <cell r="F5132"/>
          <cell r="G5132"/>
          <cell r="H5132"/>
          <cell r="J5132"/>
          <cell r="L5132"/>
          <cell r="M5132"/>
        </row>
        <row r="5133">
          <cell r="B5133"/>
          <cell r="C5133"/>
          <cell r="E5133"/>
          <cell r="F5133"/>
          <cell r="G5133"/>
          <cell r="H5133"/>
          <cell r="J5133"/>
          <cell r="L5133"/>
          <cell r="M5133"/>
        </row>
        <row r="5134">
          <cell r="B5134"/>
          <cell r="C5134"/>
          <cell r="E5134"/>
          <cell r="F5134"/>
          <cell r="G5134"/>
          <cell r="H5134"/>
          <cell r="J5134"/>
          <cell r="L5134"/>
          <cell r="M5134"/>
        </row>
        <row r="5135">
          <cell r="B5135"/>
          <cell r="C5135"/>
          <cell r="E5135"/>
          <cell r="F5135"/>
          <cell r="G5135"/>
          <cell r="H5135"/>
          <cell r="J5135"/>
          <cell r="L5135"/>
          <cell r="M5135"/>
        </row>
        <row r="5136">
          <cell r="B5136"/>
          <cell r="C5136"/>
          <cell r="E5136"/>
          <cell r="F5136"/>
          <cell r="G5136"/>
          <cell r="H5136"/>
          <cell r="J5136"/>
          <cell r="L5136"/>
          <cell r="M5136"/>
        </row>
        <row r="5137">
          <cell r="B5137"/>
          <cell r="C5137"/>
          <cell r="E5137"/>
          <cell r="F5137"/>
          <cell r="G5137"/>
          <cell r="H5137"/>
          <cell r="J5137"/>
          <cell r="L5137"/>
          <cell r="M5137"/>
        </row>
        <row r="5138">
          <cell r="B5138"/>
          <cell r="C5138"/>
          <cell r="E5138"/>
          <cell r="F5138"/>
          <cell r="G5138"/>
          <cell r="H5138"/>
          <cell r="J5138"/>
          <cell r="L5138"/>
          <cell r="M5138"/>
        </row>
        <row r="5139">
          <cell r="B5139"/>
          <cell r="C5139"/>
          <cell r="E5139"/>
          <cell r="F5139"/>
          <cell r="G5139"/>
          <cell r="H5139"/>
          <cell r="J5139"/>
          <cell r="L5139"/>
          <cell r="M5139"/>
        </row>
        <row r="5140">
          <cell r="B5140"/>
          <cell r="C5140"/>
          <cell r="E5140"/>
          <cell r="F5140"/>
          <cell r="G5140"/>
          <cell r="H5140"/>
          <cell r="J5140"/>
          <cell r="L5140"/>
          <cell r="M5140"/>
        </row>
        <row r="5141">
          <cell r="B5141"/>
          <cell r="C5141"/>
          <cell r="E5141"/>
          <cell r="F5141"/>
          <cell r="G5141"/>
          <cell r="H5141"/>
          <cell r="J5141"/>
          <cell r="L5141"/>
          <cell r="M5141"/>
        </row>
        <row r="5142">
          <cell r="B5142"/>
          <cell r="C5142"/>
          <cell r="E5142"/>
          <cell r="F5142"/>
          <cell r="G5142"/>
          <cell r="H5142"/>
          <cell r="J5142"/>
          <cell r="L5142"/>
          <cell r="M5142"/>
        </row>
        <row r="5143">
          <cell r="B5143"/>
          <cell r="C5143"/>
          <cell r="E5143"/>
          <cell r="F5143"/>
          <cell r="G5143"/>
          <cell r="H5143"/>
          <cell r="J5143"/>
          <cell r="L5143"/>
          <cell r="M5143"/>
        </row>
        <row r="5144">
          <cell r="B5144"/>
          <cell r="C5144"/>
          <cell r="E5144"/>
          <cell r="F5144"/>
          <cell r="G5144"/>
          <cell r="H5144"/>
          <cell r="J5144"/>
          <cell r="L5144"/>
          <cell r="M5144"/>
        </row>
        <row r="5145">
          <cell r="B5145"/>
          <cell r="C5145"/>
          <cell r="E5145"/>
          <cell r="F5145"/>
          <cell r="G5145"/>
          <cell r="H5145"/>
          <cell r="J5145"/>
          <cell r="L5145"/>
          <cell r="M5145"/>
        </row>
        <row r="5146">
          <cell r="B5146"/>
          <cell r="C5146"/>
          <cell r="E5146"/>
          <cell r="F5146"/>
          <cell r="G5146"/>
          <cell r="H5146"/>
          <cell r="J5146"/>
          <cell r="L5146"/>
          <cell r="M5146"/>
        </row>
        <row r="5147">
          <cell r="B5147"/>
          <cell r="C5147"/>
          <cell r="E5147"/>
          <cell r="F5147"/>
          <cell r="G5147"/>
          <cell r="H5147"/>
          <cell r="J5147"/>
          <cell r="L5147"/>
          <cell r="M5147"/>
        </row>
        <row r="5148">
          <cell r="B5148"/>
          <cell r="C5148"/>
          <cell r="E5148"/>
          <cell r="F5148"/>
          <cell r="G5148"/>
          <cell r="H5148"/>
          <cell r="J5148"/>
          <cell r="L5148"/>
          <cell r="M5148"/>
        </row>
        <row r="5149">
          <cell r="B5149"/>
          <cell r="C5149"/>
          <cell r="E5149"/>
          <cell r="F5149"/>
          <cell r="G5149"/>
          <cell r="H5149"/>
          <cell r="J5149"/>
          <cell r="L5149"/>
          <cell r="M5149"/>
        </row>
        <row r="5150">
          <cell r="B5150"/>
          <cell r="C5150"/>
          <cell r="E5150"/>
          <cell r="F5150"/>
          <cell r="G5150"/>
          <cell r="H5150"/>
          <cell r="J5150"/>
          <cell r="L5150"/>
          <cell r="M5150"/>
        </row>
        <row r="5151">
          <cell r="B5151"/>
          <cell r="C5151"/>
          <cell r="E5151"/>
          <cell r="F5151"/>
          <cell r="G5151"/>
          <cell r="H5151"/>
          <cell r="J5151"/>
          <cell r="L5151"/>
          <cell r="M5151"/>
        </row>
        <row r="5152">
          <cell r="B5152"/>
          <cell r="C5152"/>
          <cell r="E5152"/>
          <cell r="F5152"/>
          <cell r="G5152"/>
          <cell r="H5152"/>
          <cell r="J5152"/>
          <cell r="L5152"/>
          <cell r="M5152"/>
        </row>
        <row r="5153">
          <cell r="B5153"/>
          <cell r="C5153"/>
          <cell r="E5153"/>
          <cell r="F5153"/>
          <cell r="G5153"/>
          <cell r="H5153"/>
          <cell r="J5153"/>
          <cell r="L5153"/>
          <cell r="M5153"/>
        </row>
        <row r="5154">
          <cell r="B5154"/>
          <cell r="C5154"/>
          <cell r="E5154"/>
          <cell r="F5154"/>
          <cell r="G5154"/>
          <cell r="H5154"/>
          <cell r="J5154"/>
          <cell r="L5154"/>
          <cell r="M5154"/>
        </row>
        <row r="5155">
          <cell r="B5155"/>
          <cell r="C5155"/>
          <cell r="E5155"/>
          <cell r="F5155"/>
          <cell r="G5155"/>
          <cell r="H5155"/>
          <cell r="J5155"/>
          <cell r="L5155"/>
          <cell r="M5155"/>
        </row>
        <row r="5156">
          <cell r="B5156"/>
          <cell r="C5156"/>
          <cell r="E5156"/>
          <cell r="F5156"/>
          <cell r="G5156"/>
          <cell r="H5156"/>
          <cell r="J5156"/>
          <cell r="L5156"/>
          <cell r="M5156"/>
        </row>
        <row r="5157">
          <cell r="B5157"/>
          <cell r="C5157"/>
          <cell r="E5157"/>
          <cell r="F5157"/>
          <cell r="G5157"/>
          <cell r="H5157"/>
          <cell r="J5157"/>
          <cell r="L5157"/>
          <cell r="M5157"/>
        </row>
        <row r="5158">
          <cell r="B5158"/>
          <cell r="C5158"/>
          <cell r="E5158"/>
          <cell r="F5158"/>
          <cell r="G5158"/>
          <cell r="H5158"/>
          <cell r="J5158"/>
          <cell r="L5158"/>
          <cell r="M5158"/>
        </row>
        <row r="5159">
          <cell r="B5159"/>
          <cell r="C5159"/>
          <cell r="E5159"/>
          <cell r="F5159"/>
          <cell r="G5159"/>
          <cell r="H5159"/>
          <cell r="J5159"/>
          <cell r="L5159"/>
          <cell r="M5159"/>
        </row>
        <row r="5160">
          <cell r="B5160"/>
          <cell r="C5160"/>
          <cell r="E5160"/>
          <cell r="F5160"/>
          <cell r="G5160"/>
          <cell r="H5160"/>
          <cell r="J5160"/>
          <cell r="L5160"/>
          <cell r="M5160"/>
        </row>
        <row r="5161">
          <cell r="B5161"/>
          <cell r="C5161"/>
          <cell r="E5161"/>
          <cell r="F5161"/>
          <cell r="G5161"/>
          <cell r="H5161"/>
          <cell r="J5161"/>
          <cell r="L5161"/>
          <cell r="M5161"/>
        </row>
        <row r="5162">
          <cell r="B5162"/>
          <cell r="C5162"/>
          <cell r="E5162"/>
          <cell r="F5162"/>
          <cell r="G5162"/>
          <cell r="H5162"/>
          <cell r="J5162"/>
          <cell r="L5162"/>
          <cell r="M5162"/>
        </row>
        <row r="5163">
          <cell r="B5163"/>
          <cell r="C5163"/>
          <cell r="E5163"/>
          <cell r="F5163"/>
          <cell r="G5163"/>
          <cell r="H5163"/>
          <cell r="J5163"/>
          <cell r="L5163"/>
          <cell r="M5163"/>
        </row>
        <row r="5164">
          <cell r="B5164"/>
          <cell r="C5164"/>
          <cell r="E5164"/>
          <cell r="F5164"/>
          <cell r="G5164"/>
          <cell r="H5164"/>
          <cell r="J5164"/>
          <cell r="L5164"/>
          <cell r="M5164"/>
        </row>
        <row r="5165">
          <cell r="B5165"/>
          <cell r="C5165"/>
          <cell r="E5165"/>
          <cell r="F5165"/>
          <cell r="G5165"/>
          <cell r="H5165"/>
          <cell r="J5165"/>
          <cell r="L5165"/>
          <cell r="M5165"/>
        </row>
        <row r="5166">
          <cell r="B5166"/>
          <cell r="C5166"/>
          <cell r="E5166"/>
          <cell r="F5166"/>
          <cell r="G5166"/>
          <cell r="H5166"/>
          <cell r="J5166"/>
          <cell r="L5166"/>
          <cell r="M5166"/>
        </row>
        <row r="5167">
          <cell r="B5167"/>
          <cell r="C5167"/>
          <cell r="E5167"/>
          <cell r="F5167"/>
          <cell r="G5167"/>
          <cell r="H5167"/>
          <cell r="J5167"/>
          <cell r="L5167"/>
          <cell r="M5167"/>
        </row>
        <row r="5168">
          <cell r="B5168"/>
          <cell r="C5168"/>
          <cell r="E5168"/>
          <cell r="F5168"/>
          <cell r="G5168"/>
          <cell r="H5168"/>
          <cell r="J5168"/>
          <cell r="L5168"/>
          <cell r="M5168"/>
        </row>
        <row r="5169">
          <cell r="B5169"/>
          <cell r="C5169"/>
          <cell r="E5169"/>
          <cell r="F5169"/>
          <cell r="G5169"/>
          <cell r="H5169"/>
          <cell r="J5169"/>
          <cell r="L5169"/>
          <cell r="M5169"/>
        </row>
        <row r="5170">
          <cell r="B5170"/>
          <cell r="C5170"/>
          <cell r="E5170"/>
          <cell r="F5170"/>
          <cell r="G5170"/>
          <cell r="H5170"/>
          <cell r="J5170"/>
          <cell r="L5170"/>
          <cell r="M5170"/>
        </row>
        <row r="5171">
          <cell r="B5171"/>
          <cell r="C5171"/>
          <cell r="E5171"/>
          <cell r="F5171"/>
          <cell r="G5171"/>
          <cell r="H5171"/>
          <cell r="J5171"/>
          <cell r="L5171"/>
          <cell r="M5171"/>
        </row>
        <row r="5172">
          <cell r="B5172"/>
          <cell r="C5172"/>
          <cell r="E5172"/>
          <cell r="F5172"/>
          <cell r="G5172"/>
          <cell r="H5172"/>
          <cell r="J5172"/>
          <cell r="L5172"/>
          <cell r="M5172"/>
        </row>
        <row r="5173">
          <cell r="B5173"/>
          <cell r="C5173"/>
          <cell r="E5173"/>
          <cell r="F5173"/>
          <cell r="G5173"/>
          <cell r="H5173"/>
          <cell r="J5173"/>
          <cell r="L5173"/>
          <cell r="M5173"/>
        </row>
        <row r="5174">
          <cell r="B5174"/>
          <cell r="C5174"/>
          <cell r="E5174"/>
          <cell r="F5174"/>
          <cell r="G5174"/>
          <cell r="H5174"/>
          <cell r="J5174"/>
          <cell r="L5174"/>
          <cell r="M5174"/>
        </row>
        <row r="5175">
          <cell r="B5175"/>
          <cell r="C5175"/>
          <cell r="E5175"/>
          <cell r="F5175"/>
          <cell r="G5175"/>
          <cell r="H5175"/>
          <cell r="J5175"/>
          <cell r="L5175"/>
          <cell r="M5175"/>
        </row>
        <row r="5176">
          <cell r="B5176"/>
          <cell r="C5176"/>
          <cell r="E5176"/>
          <cell r="F5176"/>
          <cell r="G5176"/>
          <cell r="H5176"/>
          <cell r="J5176"/>
          <cell r="L5176"/>
          <cell r="M5176"/>
        </row>
        <row r="5177">
          <cell r="B5177"/>
          <cell r="C5177"/>
          <cell r="E5177"/>
          <cell r="F5177"/>
          <cell r="G5177"/>
          <cell r="H5177"/>
          <cell r="J5177"/>
          <cell r="L5177"/>
          <cell r="M5177"/>
        </row>
        <row r="5178">
          <cell r="B5178"/>
          <cell r="C5178"/>
          <cell r="E5178"/>
          <cell r="F5178"/>
          <cell r="G5178"/>
          <cell r="H5178"/>
          <cell r="J5178"/>
          <cell r="L5178"/>
          <cell r="M5178"/>
        </row>
        <row r="5179">
          <cell r="B5179"/>
          <cell r="C5179"/>
          <cell r="E5179"/>
          <cell r="F5179"/>
          <cell r="G5179"/>
          <cell r="H5179"/>
          <cell r="J5179"/>
          <cell r="L5179"/>
          <cell r="M5179"/>
        </row>
        <row r="5180">
          <cell r="B5180"/>
          <cell r="C5180"/>
          <cell r="E5180"/>
          <cell r="F5180"/>
          <cell r="G5180"/>
          <cell r="H5180"/>
          <cell r="J5180"/>
          <cell r="L5180"/>
          <cell r="M5180"/>
        </row>
        <row r="5181">
          <cell r="B5181"/>
          <cell r="C5181"/>
          <cell r="E5181"/>
          <cell r="F5181"/>
          <cell r="G5181"/>
          <cell r="H5181"/>
          <cell r="J5181"/>
          <cell r="L5181"/>
          <cell r="M5181"/>
        </row>
        <row r="5182">
          <cell r="B5182"/>
          <cell r="C5182"/>
          <cell r="E5182"/>
          <cell r="F5182"/>
          <cell r="G5182"/>
          <cell r="H5182"/>
          <cell r="J5182"/>
          <cell r="L5182"/>
          <cell r="M5182"/>
        </row>
        <row r="5183">
          <cell r="B5183"/>
          <cell r="C5183"/>
          <cell r="E5183"/>
          <cell r="F5183"/>
          <cell r="G5183"/>
          <cell r="H5183"/>
          <cell r="J5183"/>
          <cell r="L5183"/>
          <cell r="M5183"/>
        </row>
        <row r="5184">
          <cell r="B5184"/>
          <cell r="C5184"/>
          <cell r="E5184"/>
          <cell r="F5184"/>
          <cell r="G5184"/>
          <cell r="H5184"/>
          <cell r="J5184"/>
          <cell r="L5184"/>
          <cell r="M5184"/>
        </row>
        <row r="5185">
          <cell r="B5185"/>
          <cell r="C5185"/>
          <cell r="E5185"/>
          <cell r="F5185"/>
          <cell r="G5185"/>
          <cell r="H5185"/>
          <cell r="J5185"/>
          <cell r="L5185"/>
          <cell r="M5185"/>
        </row>
        <row r="5186">
          <cell r="B5186"/>
          <cell r="C5186"/>
          <cell r="E5186"/>
          <cell r="F5186"/>
          <cell r="G5186"/>
          <cell r="H5186"/>
          <cell r="J5186"/>
          <cell r="L5186"/>
          <cell r="M5186"/>
        </row>
        <row r="5187">
          <cell r="B5187"/>
          <cell r="C5187"/>
          <cell r="E5187"/>
          <cell r="F5187"/>
          <cell r="G5187"/>
          <cell r="H5187"/>
          <cell r="J5187"/>
          <cell r="L5187"/>
          <cell r="M5187"/>
        </row>
        <row r="5188">
          <cell r="B5188"/>
          <cell r="C5188"/>
          <cell r="E5188"/>
          <cell r="F5188"/>
          <cell r="G5188"/>
          <cell r="H5188"/>
          <cell r="J5188"/>
          <cell r="L5188"/>
          <cell r="M5188"/>
        </row>
        <row r="5189">
          <cell r="B5189"/>
          <cell r="C5189"/>
          <cell r="E5189"/>
          <cell r="F5189"/>
          <cell r="G5189"/>
          <cell r="H5189"/>
          <cell r="J5189"/>
          <cell r="L5189"/>
          <cell r="M5189"/>
        </row>
        <row r="5190">
          <cell r="B5190"/>
          <cell r="C5190"/>
          <cell r="E5190"/>
          <cell r="F5190"/>
          <cell r="G5190"/>
          <cell r="H5190"/>
          <cell r="J5190"/>
          <cell r="L5190"/>
          <cell r="M5190"/>
        </row>
        <row r="5191">
          <cell r="B5191"/>
          <cell r="C5191"/>
          <cell r="E5191"/>
          <cell r="F5191"/>
          <cell r="G5191"/>
          <cell r="H5191"/>
          <cell r="J5191"/>
          <cell r="L5191"/>
          <cell r="M5191"/>
        </row>
        <row r="5192">
          <cell r="B5192"/>
          <cell r="C5192"/>
          <cell r="E5192"/>
          <cell r="F5192"/>
          <cell r="G5192"/>
          <cell r="H5192"/>
          <cell r="J5192"/>
          <cell r="L5192"/>
          <cell r="M5192"/>
        </row>
        <row r="5193">
          <cell r="B5193"/>
          <cell r="C5193"/>
          <cell r="E5193"/>
          <cell r="F5193"/>
          <cell r="G5193"/>
          <cell r="H5193"/>
          <cell r="J5193"/>
          <cell r="L5193"/>
          <cell r="M5193"/>
        </row>
        <row r="5194">
          <cell r="B5194"/>
          <cell r="C5194"/>
          <cell r="E5194"/>
          <cell r="F5194"/>
          <cell r="G5194"/>
          <cell r="H5194"/>
          <cell r="J5194"/>
          <cell r="L5194"/>
          <cell r="M5194"/>
        </row>
        <row r="5195">
          <cell r="B5195"/>
          <cell r="C5195"/>
          <cell r="E5195"/>
          <cell r="F5195"/>
          <cell r="G5195"/>
          <cell r="H5195"/>
          <cell r="J5195"/>
          <cell r="L5195"/>
          <cell r="M5195"/>
        </row>
        <row r="5196">
          <cell r="B5196"/>
          <cell r="C5196"/>
          <cell r="E5196"/>
          <cell r="F5196"/>
          <cell r="G5196"/>
          <cell r="H5196"/>
          <cell r="J5196"/>
          <cell r="L5196"/>
          <cell r="M5196"/>
        </row>
        <row r="5197">
          <cell r="B5197"/>
          <cell r="C5197"/>
          <cell r="E5197"/>
          <cell r="F5197"/>
          <cell r="G5197"/>
          <cell r="H5197"/>
          <cell r="J5197"/>
          <cell r="L5197"/>
          <cell r="M5197"/>
        </row>
        <row r="5198">
          <cell r="B5198"/>
          <cell r="C5198"/>
          <cell r="E5198"/>
          <cell r="F5198"/>
          <cell r="G5198"/>
          <cell r="H5198"/>
          <cell r="J5198"/>
          <cell r="L5198"/>
          <cell r="M5198"/>
        </row>
        <row r="5199">
          <cell r="B5199"/>
          <cell r="C5199"/>
          <cell r="E5199"/>
          <cell r="F5199"/>
          <cell r="G5199"/>
          <cell r="H5199"/>
          <cell r="J5199"/>
          <cell r="L5199"/>
          <cell r="M5199"/>
        </row>
        <row r="5200">
          <cell r="B5200"/>
          <cell r="C5200"/>
          <cell r="E5200"/>
          <cell r="F5200"/>
          <cell r="G5200"/>
          <cell r="H5200"/>
          <cell r="J5200"/>
          <cell r="L5200"/>
          <cell r="M5200"/>
        </row>
        <row r="5201">
          <cell r="B5201"/>
          <cell r="C5201"/>
          <cell r="E5201"/>
          <cell r="F5201"/>
          <cell r="G5201"/>
          <cell r="H5201"/>
          <cell r="J5201"/>
          <cell r="L5201"/>
          <cell r="M5201"/>
        </row>
        <row r="5202">
          <cell r="B5202"/>
          <cell r="C5202"/>
          <cell r="E5202"/>
          <cell r="F5202"/>
          <cell r="G5202"/>
          <cell r="H5202"/>
          <cell r="J5202"/>
          <cell r="L5202"/>
          <cell r="M5202"/>
        </row>
        <row r="5203">
          <cell r="B5203"/>
          <cell r="C5203"/>
          <cell r="E5203"/>
          <cell r="F5203"/>
          <cell r="G5203"/>
          <cell r="H5203"/>
          <cell r="J5203"/>
          <cell r="L5203"/>
          <cell r="M5203"/>
        </row>
        <row r="5204">
          <cell r="B5204"/>
          <cell r="C5204"/>
          <cell r="E5204"/>
          <cell r="F5204"/>
          <cell r="G5204"/>
          <cell r="H5204"/>
          <cell r="J5204"/>
          <cell r="L5204"/>
          <cell r="M5204"/>
        </row>
        <row r="5205">
          <cell r="B5205"/>
          <cell r="C5205"/>
          <cell r="E5205"/>
          <cell r="F5205"/>
          <cell r="G5205"/>
          <cell r="H5205"/>
          <cell r="J5205"/>
          <cell r="L5205"/>
          <cell r="M5205"/>
        </row>
        <row r="5206">
          <cell r="B5206"/>
          <cell r="C5206"/>
          <cell r="E5206"/>
          <cell r="F5206"/>
          <cell r="G5206"/>
          <cell r="H5206"/>
          <cell r="J5206"/>
          <cell r="L5206"/>
          <cell r="M5206"/>
        </row>
        <row r="5207">
          <cell r="B5207"/>
          <cell r="C5207"/>
          <cell r="E5207"/>
          <cell r="F5207"/>
          <cell r="G5207"/>
          <cell r="H5207"/>
          <cell r="J5207"/>
          <cell r="L5207"/>
          <cell r="M5207"/>
        </row>
        <row r="5208">
          <cell r="B5208"/>
          <cell r="C5208"/>
          <cell r="E5208"/>
          <cell r="F5208"/>
          <cell r="G5208"/>
          <cell r="H5208"/>
          <cell r="J5208"/>
          <cell r="L5208"/>
          <cell r="M5208"/>
        </row>
        <row r="5209">
          <cell r="B5209"/>
          <cell r="C5209"/>
          <cell r="E5209"/>
          <cell r="F5209"/>
          <cell r="G5209"/>
          <cell r="H5209"/>
          <cell r="J5209"/>
          <cell r="L5209"/>
          <cell r="M5209"/>
        </row>
        <row r="5210">
          <cell r="B5210"/>
          <cell r="C5210"/>
          <cell r="E5210"/>
          <cell r="F5210"/>
          <cell r="G5210"/>
          <cell r="H5210"/>
          <cell r="J5210"/>
          <cell r="L5210"/>
          <cell r="M5210"/>
        </row>
        <row r="5211">
          <cell r="B5211"/>
          <cell r="C5211"/>
          <cell r="E5211"/>
          <cell r="F5211"/>
          <cell r="G5211"/>
          <cell r="H5211"/>
          <cell r="J5211"/>
          <cell r="L5211"/>
          <cell r="M5211"/>
        </row>
        <row r="5212">
          <cell r="B5212"/>
          <cell r="C5212"/>
          <cell r="E5212"/>
          <cell r="F5212"/>
          <cell r="G5212"/>
          <cell r="H5212"/>
          <cell r="J5212"/>
          <cell r="L5212"/>
          <cell r="M5212"/>
        </row>
        <row r="5213">
          <cell r="B5213"/>
          <cell r="C5213"/>
          <cell r="E5213"/>
          <cell r="F5213"/>
          <cell r="G5213"/>
          <cell r="H5213"/>
          <cell r="J5213"/>
          <cell r="L5213"/>
          <cell r="M5213"/>
        </row>
        <row r="5214">
          <cell r="B5214"/>
          <cell r="C5214"/>
          <cell r="E5214"/>
          <cell r="F5214"/>
          <cell r="G5214"/>
          <cell r="H5214"/>
          <cell r="J5214"/>
          <cell r="L5214"/>
          <cell r="M5214"/>
        </row>
        <row r="5215">
          <cell r="B5215"/>
          <cell r="C5215"/>
          <cell r="E5215"/>
          <cell r="F5215"/>
          <cell r="G5215"/>
          <cell r="H5215"/>
          <cell r="J5215"/>
          <cell r="L5215"/>
          <cell r="M5215"/>
        </row>
        <row r="5216">
          <cell r="B5216"/>
          <cell r="C5216"/>
          <cell r="E5216"/>
          <cell r="F5216"/>
          <cell r="G5216"/>
          <cell r="H5216"/>
          <cell r="J5216"/>
          <cell r="L5216"/>
          <cell r="M5216"/>
        </row>
        <row r="5217">
          <cell r="B5217"/>
          <cell r="C5217"/>
          <cell r="E5217"/>
          <cell r="F5217"/>
          <cell r="G5217"/>
          <cell r="H5217"/>
          <cell r="J5217"/>
          <cell r="L5217"/>
          <cell r="M5217"/>
        </row>
        <row r="5218">
          <cell r="B5218"/>
          <cell r="C5218"/>
          <cell r="E5218"/>
          <cell r="F5218"/>
          <cell r="G5218"/>
          <cell r="H5218"/>
          <cell r="J5218"/>
          <cell r="L5218"/>
          <cell r="M5218"/>
        </row>
        <row r="5219">
          <cell r="B5219"/>
          <cell r="C5219"/>
          <cell r="E5219"/>
          <cell r="F5219"/>
          <cell r="G5219"/>
          <cell r="H5219"/>
          <cell r="J5219"/>
          <cell r="L5219"/>
          <cell r="M5219"/>
        </row>
        <row r="5220">
          <cell r="B5220"/>
          <cell r="C5220"/>
          <cell r="E5220"/>
          <cell r="F5220"/>
          <cell r="G5220"/>
          <cell r="H5220"/>
          <cell r="J5220"/>
          <cell r="L5220"/>
          <cell r="M5220"/>
        </row>
        <row r="5221">
          <cell r="B5221"/>
          <cell r="C5221"/>
          <cell r="E5221"/>
          <cell r="F5221"/>
          <cell r="G5221"/>
          <cell r="H5221"/>
          <cell r="J5221"/>
          <cell r="L5221"/>
          <cell r="M5221"/>
        </row>
        <row r="5222">
          <cell r="B5222"/>
          <cell r="C5222"/>
          <cell r="E5222"/>
          <cell r="F5222"/>
          <cell r="G5222"/>
          <cell r="H5222"/>
          <cell r="J5222"/>
          <cell r="L5222"/>
          <cell r="M5222"/>
        </row>
        <row r="5223">
          <cell r="B5223"/>
          <cell r="C5223"/>
          <cell r="E5223"/>
          <cell r="F5223"/>
          <cell r="G5223"/>
          <cell r="H5223"/>
          <cell r="J5223"/>
          <cell r="L5223"/>
          <cell r="M5223"/>
        </row>
        <row r="5224">
          <cell r="B5224"/>
          <cell r="C5224"/>
          <cell r="E5224"/>
          <cell r="F5224"/>
          <cell r="G5224"/>
          <cell r="H5224"/>
          <cell r="J5224"/>
          <cell r="L5224"/>
          <cell r="M5224"/>
        </row>
        <row r="5225">
          <cell r="B5225"/>
          <cell r="C5225"/>
          <cell r="E5225"/>
          <cell r="F5225"/>
          <cell r="G5225"/>
          <cell r="H5225"/>
          <cell r="J5225"/>
          <cell r="L5225"/>
          <cell r="M5225"/>
        </row>
        <row r="5226">
          <cell r="B5226"/>
          <cell r="C5226"/>
          <cell r="E5226"/>
          <cell r="F5226"/>
          <cell r="G5226"/>
          <cell r="H5226"/>
          <cell r="J5226"/>
          <cell r="L5226"/>
          <cell r="M5226"/>
        </row>
        <row r="5227">
          <cell r="B5227"/>
          <cell r="C5227"/>
          <cell r="E5227"/>
          <cell r="F5227"/>
          <cell r="G5227"/>
          <cell r="H5227"/>
          <cell r="J5227"/>
          <cell r="L5227"/>
          <cell r="M5227"/>
        </row>
        <row r="5228">
          <cell r="B5228"/>
          <cell r="C5228"/>
          <cell r="E5228"/>
          <cell r="F5228"/>
          <cell r="G5228"/>
          <cell r="H5228"/>
          <cell r="J5228"/>
          <cell r="L5228"/>
          <cell r="M5228"/>
        </row>
        <row r="5229">
          <cell r="B5229"/>
          <cell r="C5229"/>
          <cell r="E5229"/>
          <cell r="F5229"/>
          <cell r="G5229"/>
          <cell r="H5229"/>
          <cell r="J5229"/>
          <cell r="L5229"/>
          <cell r="M5229"/>
        </row>
        <row r="5230">
          <cell r="B5230"/>
          <cell r="C5230"/>
          <cell r="E5230"/>
          <cell r="F5230"/>
          <cell r="G5230"/>
          <cell r="H5230"/>
          <cell r="J5230"/>
          <cell r="L5230"/>
          <cell r="M5230"/>
        </row>
        <row r="5231">
          <cell r="B5231"/>
          <cell r="C5231"/>
          <cell r="E5231"/>
          <cell r="F5231"/>
          <cell r="G5231"/>
          <cell r="H5231"/>
          <cell r="J5231"/>
          <cell r="L5231"/>
          <cell r="M5231"/>
        </row>
        <row r="5232">
          <cell r="B5232"/>
          <cell r="C5232"/>
          <cell r="E5232"/>
          <cell r="F5232"/>
          <cell r="G5232"/>
          <cell r="H5232"/>
          <cell r="J5232"/>
          <cell r="L5232"/>
          <cell r="M5232"/>
        </row>
        <row r="5233">
          <cell r="B5233"/>
          <cell r="C5233"/>
          <cell r="E5233"/>
          <cell r="F5233"/>
          <cell r="G5233"/>
          <cell r="H5233"/>
          <cell r="J5233"/>
          <cell r="L5233"/>
          <cell r="M5233"/>
        </row>
        <row r="5234">
          <cell r="B5234"/>
          <cell r="C5234"/>
          <cell r="E5234"/>
          <cell r="F5234"/>
          <cell r="G5234"/>
          <cell r="H5234"/>
          <cell r="J5234"/>
          <cell r="L5234"/>
          <cell r="M5234"/>
        </row>
        <row r="5235">
          <cell r="B5235"/>
          <cell r="C5235"/>
          <cell r="E5235"/>
          <cell r="F5235"/>
          <cell r="G5235"/>
          <cell r="H5235"/>
          <cell r="J5235"/>
          <cell r="L5235"/>
          <cell r="M5235"/>
        </row>
        <row r="5236">
          <cell r="B5236"/>
          <cell r="C5236"/>
          <cell r="E5236"/>
          <cell r="F5236"/>
          <cell r="G5236"/>
          <cell r="H5236"/>
          <cell r="J5236"/>
          <cell r="L5236"/>
          <cell r="M5236"/>
        </row>
        <row r="5237">
          <cell r="B5237"/>
          <cell r="C5237"/>
          <cell r="E5237"/>
          <cell r="F5237"/>
          <cell r="G5237"/>
          <cell r="H5237"/>
          <cell r="J5237"/>
          <cell r="L5237"/>
          <cell r="M5237"/>
        </row>
        <row r="5238">
          <cell r="B5238"/>
          <cell r="C5238"/>
          <cell r="E5238"/>
          <cell r="F5238"/>
          <cell r="G5238"/>
          <cell r="H5238"/>
          <cell r="J5238"/>
          <cell r="L5238"/>
          <cell r="M5238"/>
        </row>
        <row r="5239">
          <cell r="B5239"/>
          <cell r="C5239"/>
          <cell r="E5239"/>
          <cell r="F5239"/>
          <cell r="G5239"/>
          <cell r="H5239"/>
          <cell r="J5239"/>
          <cell r="L5239"/>
          <cell r="M5239"/>
        </row>
        <row r="5240">
          <cell r="B5240"/>
          <cell r="C5240"/>
          <cell r="E5240"/>
          <cell r="F5240"/>
          <cell r="G5240"/>
          <cell r="H5240"/>
          <cell r="J5240"/>
          <cell r="L5240"/>
          <cell r="M5240"/>
        </row>
        <row r="5241">
          <cell r="B5241"/>
          <cell r="C5241"/>
          <cell r="E5241"/>
          <cell r="F5241"/>
          <cell r="G5241"/>
          <cell r="H5241"/>
          <cell r="J5241"/>
          <cell r="L5241"/>
          <cell r="M5241"/>
        </row>
        <row r="5242">
          <cell r="B5242"/>
          <cell r="C5242"/>
          <cell r="E5242"/>
          <cell r="F5242"/>
          <cell r="G5242"/>
          <cell r="H5242"/>
          <cell r="J5242"/>
          <cell r="L5242"/>
          <cell r="M5242"/>
        </row>
        <row r="5243">
          <cell r="B5243"/>
          <cell r="C5243"/>
          <cell r="E5243"/>
          <cell r="F5243"/>
          <cell r="G5243"/>
          <cell r="H5243"/>
          <cell r="J5243"/>
          <cell r="L5243"/>
          <cell r="M5243"/>
        </row>
        <row r="5244">
          <cell r="B5244"/>
          <cell r="C5244"/>
          <cell r="E5244"/>
          <cell r="F5244"/>
          <cell r="G5244"/>
          <cell r="H5244"/>
          <cell r="J5244"/>
          <cell r="L5244"/>
          <cell r="M5244"/>
        </row>
        <row r="5245">
          <cell r="B5245"/>
          <cell r="C5245"/>
          <cell r="E5245"/>
          <cell r="F5245"/>
          <cell r="G5245"/>
          <cell r="H5245"/>
          <cell r="J5245"/>
          <cell r="L5245"/>
          <cell r="M5245"/>
        </row>
        <row r="5246">
          <cell r="B5246"/>
          <cell r="C5246"/>
          <cell r="E5246"/>
          <cell r="F5246"/>
          <cell r="G5246"/>
          <cell r="H5246"/>
          <cell r="J5246"/>
          <cell r="L5246"/>
          <cell r="M5246"/>
        </row>
        <row r="5247">
          <cell r="B5247"/>
          <cell r="C5247"/>
          <cell r="E5247"/>
          <cell r="F5247"/>
          <cell r="G5247"/>
          <cell r="H5247"/>
          <cell r="J5247"/>
          <cell r="L5247"/>
          <cell r="M5247"/>
        </row>
        <row r="5248">
          <cell r="B5248"/>
          <cell r="C5248"/>
          <cell r="E5248"/>
          <cell r="F5248"/>
          <cell r="G5248"/>
          <cell r="H5248"/>
          <cell r="J5248"/>
          <cell r="L5248"/>
          <cell r="M5248"/>
        </row>
        <row r="5249">
          <cell r="B5249"/>
          <cell r="C5249"/>
          <cell r="E5249"/>
          <cell r="F5249"/>
          <cell r="G5249"/>
          <cell r="H5249"/>
          <cell r="J5249"/>
          <cell r="L5249"/>
          <cell r="M5249"/>
        </row>
        <row r="5250">
          <cell r="B5250"/>
          <cell r="C5250"/>
          <cell r="E5250"/>
          <cell r="F5250"/>
          <cell r="G5250"/>
          <cell r="H5250"/>
          <cell r="J5250"/>
          <cell r="L5250"/>
          <cell r="M5250"/>
        </row>
        <row r="5251">
          <cell r="B5251"/>
          <cell r="C5251"/>
          <cell r="E5251"/>
          <cell r="F5251"/>
          <cell r="G5251"/>
          <cell r="H5251"/>
          <cell r="J5251"/>
          <cell r="L5251"/>
          <cell r="M5251"/>
        </row>
        <row r="5252">
          <cell r="B5252"/>
          <cell r="C5252"/>
          <cell r="E5252"/>
          <cell r="F5252"/>
          <cell r="G5252"/>
          <cell r="H5252"/>
          <cell r="J5252"/>
          <cell r="L5252"/>
          <cell r="M5252"/>
        </row>
        <row r="5253">
          <cell r="B5253"/>
          <cell r="C5253"/>
          <cell r="E5253"/>
          <cell r="F5253"/>
          <cell r="G5253"/>
          <cell r="H5253"/>
          <cell r="J5253"/>
          <cell r="L5253"/>
          <cell r="M5253"/>
        </row>
        <row r="5254">
          <cell r="B5254"/>
          <cell r="C5254"/>
          <cell r="E5254"/>
          <cell r="F5254"/>
          <cell r="G5254"/>
          <cell r="H5254"/>
          <cell r="J5254"/>
          <cell r="L5254"/>
          <cell r="M5254"/>
        </row>
        <row r="5255">
          <cell r="B5255"/>
          <cell r="C5255"/>
          <cell r="E5255"/>
          <cell r="F5255"/>
          <cell r="G5255"/>
          <cell r="H5255"/>
          <cell r="J5255"/>
          <cell r="L5255"/>
          <cell r="M5255"/>
        </row>
        <row r="5256">
          <cell r="B5256"/>
          <cell r="C5256"/>
          <cell r="E5256"/>
          <cell r="F5256"/>
          <cell r="G5256"/>
          <cell r="H5256"/>
          <cell r="J5256"/>
          <cell r="L5256"/>
          <cell r="M5256"/>
        </row>
        <row r="5257">
          <cell r="B5257"/>
          <cell r="C5257"/>
          <cell r="E5257"/>
          <cell r="F5257"/>
          <cell r="G5257"/>
          <cell r="H5257"/>
          <cell r="J5257"/>
          <cell r="L5257"/>
          <cell r="M5257"/>
        </row>
        <row r="5258">
          <cell r="B5258"/>
          <cell r="C5258"/>
          <cell r="E5258"/>
          <cell r="F5258"/>
          <cell r="G5258"/>
          <cell r="H5258"/>
          <cell r="J5258"/>
          <cell r="L5258"/>
          <cell r="M5258"/>
        </row>
        <row r="5259">
          <cell r="B5259"/>
          <cell r="C5259"/>
          <cell r="E5259"/>
          <cell r="F5259"/>
          <cell r="G5259"/>
          <cell r="H5259"/>
          <cell r="J5259"/>
          <cell r="L5259"/>
          <cell r="M5259"/>
        </row>
        <row r="5260">
          <cell r="B5260"/>
          <cell r="C5260"/>
          <cell r="E5260"/>
          <cell r="F5260"/>
          <cell r="G5260"/>
          <cell r="H5260"/>
          <cell r="J5260"/>
          <cell r="L5260"/>
          <cell r="M5260"/>
        </row>
        <row r="5261">
          <cell r="B5261"/>
          <cell r="C5261"/>
          <cell r="E5261"/>
          <cell r="F5261"/>
          <cell r="G5261"/>
          <cell r="H5261"/>
          <cell r="J5261"/>
          <cell r="L5261"/>
          <cell r="M5261"/>
        </row>
        <row r="5262">
          <cell r="B5262"/>
          <cell r="C5262"/>
          <cell r="E5262"/>
          <cell r="F5262"/>
          <cell r="G5262"/>
          <cell r="H5262"/>
          <cell r="J5262"/>
          <cell r="L5262"/>
          <cell r="M5262"/>
        </row>
        <row r="5263">
          <cell r="B5263"/>
          <cell r="C5263"/>
          <cell r="E5263"/>
          <cell r="F5263"/>
          <cell r="G5263"/>
          <cell r="H5263"/>
          <cell r="J5263"/>
          <cell r="L5263"/>
          <cell r="M5263"/>
        </row>
        <row r="5264">
          <cell r="B5264"/>
          <cell r="C5264"/>
          <cell r="E5264"/>
          <cell r="F5264"/>
          <cell r="G5264"/>
          <cell r="H5264"/>
          <cell r="J5264"/>
          <cell r="L5264"/>
          <cell r="M5264"/>
        </row>
        <row r="5265">
          <cell r="B5265"/>
          <cell r="C5265"/>
          <cell r="E5265"/>
          <cell r="F5265"/>
          <cell r="G5265"/>
          <cell r="H5265"/>
          <cell r="J5265"/>
          <cell r="L5265"/>
          <cell r="M5265"/>
        </row>
        <row r="5266">
          <cell r="B5266"/>
          <cell r="C5266"/>
          <cell r="E5266"/>
          <cell r="F5266"/>
          <cell r="G5266"/>
          <cell r="H5266"/>
          <cell r="J5266"/>
          <cell r="L5266"/>
          <cell r="M5266"/>
        </row>
        <row r="5267">
          <cell r="B5267"/>
          <cell r="C5267"/>
          <cell r="E5267"/>
          <cell r="F5267"/>
          <cell r="G5267"/>
          <cell r="H5267"/>
          <cell r="J5267"/>
          <cell r="L5267"/>
          <cell r="M5267"/>
        </row>
        <row r="5268">
          <cell r="B5268"/>
          <cell r="C5268"/>
          <cell r="E5268"/>
          <cell r="F5268"/>
          <cell r="G5268"/>
          <cell r="H5268"/>
          <cell r="J5268"/>
          <cell r="L5268"/>
          <cell r="M5268"/>
        </row>
        <row r="5269">
          <cell r="B5269"/>
          <cell r="C5269"/>
          <cell r="E5269"/>
          <cell r="F5269"/>
          <cell r="G5269"/>
          <cell r="H5269"/>
          <cell r="J5269"/>
          <cell r="L5269"/>
          <cell r="M5269"/>
        </row>
        <row r="5270">
          <cell r="B5270"/>
          <cell r="C5270"/>
          <cell r="E5270"/>
          <cell r="F5270"/>
          <cell r="G5270"/>
          <cell r="H5270"/>
          <cell r="J5270"/>
          <cell r="L5270"/>
          <cell r="M5270"/>
        </row>
        <row r="5271">
          <cell r="B5271"/>
          <cell r="C5271"/>
          <cell r="E5271"/>
          <cell r="F5271"/>
          <cell r="G5271"/>
          <cell r="H5271"/>
          <cell r="J5271"/>
          <cell r="L5271"/>
          <cell r="M5271"/>
        </row>
        <row r="5272">
          <cell r="B5272"/>
          <cell r="C5272"/>
          <cell r="E5272"/>
          <cell r="F5272"/>
          <cell r="G5272"/>
          <cell r="H5272"/>
          <cell r="J5272"/>
          <cell r="L5272"/>
          <cell r="M5272"/>
        </row>
        <row r="5273">
          <cell r="B5273"/>
          <cell r="C5273"/>
          <cell r="E5273"/>
          <cell r="F5273"/>
          <cell r="G5273"/>
          <cell r="H5273"/>
          <cell r="J5273"/>
          <cell r="L5273"/>
          <cell r="M5273"/>
        </row>
        <row r="5274">
          <cell r="B5274"/>
          <cell r="C5274"/>
          <cell r="E5274"/>
          <cell r="F5274"/>
          <cell r="G5274"/>
          <cell r="H5274"/>
          <cell r="J5274"/>
          <cell r="L5274"/>
          <cell r="M5274"/>
        </row>
        <row r="5275">
          <cell r="B5275"/>
          <cell r="C5275"/>
          <cell r="E5275"/>
          <cell r="F5275"/>
          <cell r="G5275"/>
          <cell r="H5275"/>
          <cell r="J5275"/>
          <cell r="L5275"/>
          <cell r="M5275"/>
        </row>
        <row r="5276">
          <cell r="B5276"/>
          <cell r="C5276"/>
          <cell r="E5276"/>
          <cell r="F5276"/>
          <cell r="G5276"/>
          <cell r="H5276"/>
          <cell r="J5276"/>
          <cell r="L5276"/>
          <cell r="M5276"/>
        </row>
        <row r="5277">
          <cell r="B5277"/>
          <cell r="C5277"/>
          <cell r="E5277"/>
          <cell r="F5277"/>
          <cell r="G5277"/>
          <cell r="H5277"/>
          <cell r="J5277"/>
          <cell r="L5277"/>
          <cell r="M5277"/>
        </row>
        <row r="5278">
          <cell r="B5278"/>
          <cell r="C5278"/>
          <cell r="E5278"/>
          <cell r="F5278"/>
          <cell r="G5278"/>
          <cell r="H5278"/>
          <cell r="J5278"/>
          <cell r="L5278"/>
          <cell r="M5278"/>
        </row>
        <row r="5279">
          <cell r="B5279"/>
          <cell r="C5279"/>
          <cell r="E5279"/>
          <cell r="F5279"/>
          <cell r="G5279"/>
          <cell r="H5279"/>
          <cell r="J5279"/>
          <cell r="L5279"/>
          <cell r="M5279"/>
        </row>
        <row r="5280">
          <cell r="B5280"/>
          <cell r="C5280"/>
          <cell r="E5280"/>
          <cell r="F5280"/>
          <cell r="G5280"/>
          <cell r="H5280"/>
          <cell r="J5280"/>
          <cell r="L5280"/>
          <cell r="M5280"/>
        </row>
        <row r="5281">
          <cell r="B5281"/>
          <cell r="C5281"/>
          <cell r="E5281"/>
          <cell r="F5281"/>
          <cell r="G5281"/>
          <cell r="H5281"/>
          <cell r="J5281"/>
          <cell r="L5281"/>
          <cell r="M5281"/>
        </row>
        <row r="5282">
          <cell r="B5282"/>
          <cell r="C5282"/>
          <cell r="E5282"/>
          <cell r="F5282"/>
          <cell r="G5282"/>
          <cell r="H5282"/>
          <cell r="J5282"/>
          <cell r="L5282"/>
          <cell r="M5282"/>
        </row>
        <row r="5283">
          <cell r="B5283"/>
          <cell r="C5283"/>
          <cell r="E5283"/>
          <cell r="F5283"/>
          <cell r="G5283"/>
          <cell r="H5283"/>
          <cell r="J5283"/>
          <cell r="L5283"/>
          <cell r="M5283"/>
        </row>
        <row r="5284">
          <cell r="B5284"/>
          <cell r="C5284"/>
          <cell r="E5284"/>
          <cell r="F5284"/>
          <cell r="G5284"/>
          <cell r="H5284"/>
          <cell r="J5284"/>
          <cell r="L5284"/>
          <cell r="M5284"/>
        </row>
        <row r="5285">
          <cell r="B5285"/>
          <cell r="C5285"/>
          <cell r="E5285"/>
          <cell r="F5285"/>
          <cell r="G5285"/>
          <cell r="H5285"/>
          <cell r="J5285"/>
          <cell r="L5285"/>
          <cell r="M5285"/>
        </row>
        <row r="5286">
          <cell r="B5286"/>
          <cell r="C5286"/>
          <cell r="E5286"/>
          <cell r="F5286"/>
          <cell r="G5286"/>
          <cell r="H5286"/>
          <cell r="J5286"/>
          <cell r="L5286"/>
          <cell r="M5286"/>
        </row>
        <row r="5287">
          <cell r="B5287"/>
          <cell r="C5287"/>
          <cell r="E5287"/>
          <cell r="F5287"/>
          <cell r="G5287"/>
          <cell r="H5287"/>
          <cell r="J5287"/>
          <cell r="L5287"/>
          <cell r="M5287"/>
        </row>
        <row r="5288">
          <cell r="B5288"/>
          <cell r="C5288"/>
          <cell r="E5288"/>
          <cell r="F5288"/>
          <cell r="G5288"/>
          <cell r="H5288"/>
          <cell r="J5288"/>
          <cell r="L5288"/>
          <cell r="M5288"/>
        </row>
        <row r="5289">
          <cell r="B5289"/>
          <cell r="C5289"/>
          <cell r="E5289"/>
          <cell r="F5289"/>
          <cell r="G5289"/>
          <cell r="H5289"/>
          <cell r="J5289"/>
          <cell r="L5289"/>
          <cell r="M5289"/>
        </row>
        <row r="5290">
          <cell r="B5290"/>
          <cell r="C5290"/>
          <cell r="E5290"/>
          <cell r="F5290"/>
          <cell r="G5290"/>
          <cell r="H5290"/>
          <cell r="J5290"/>
          <cell r="L5290"/>
          <cell r="M5290"/>
        </row>
        <row r="5291">
          <cell r="B5291"/>
          <cell r="C5291"/>
          <cell r="E5291"/>
          <cell r="F5291"/>
          <cell r="G5291"/>
          <cell r="H5291"/>
          <cell r="J5291"/>
          <cell r="L5291"/>
          <cell r="M5291"/>
        </row>
        <row r="5292">
          <cell r="B5292"/>
          <cell r="C5292"/>
          <cell r="E5292"/>
          <cell r="F5292"/>
          <cell r="G5292"/>
          <cell r="H5292"/>
          <cell r="J5292"/>
          <cell r="L5292"/>
          <cell r="M5292"/>
        </row>
        <row r="5293">
          <cell r="B5293"/>
          <cell r="C5293"/>
          <cell r="E5293"/>
          <cell r="F5293"/>
          <cell r="G5293"/>
          <cell r="H5293"/>
          <cell r="J5293"/>
          <cell r="L5293"/>
          <cell r="M5293"/>
        </row>
        <row r="5294">
          <cell r="B5294"/>
          <cell r="C5294"/>
          <cell r="E5294"/>
          <cell r="F5294"/>
          <cell r="G5294"/>
          <cell r="H5294"/>
          <cell r="J5294"/>
          <cell r="L5294"/>
          <cell r="M5294"/>
        </row>
        <row r="5295">
          <cell r="B5295"/>
          <cell r="C5295"/>
          <cell r="E5295"/>
          <cell r="F5295"/>
          <cell r="G5295"/>
          <cell r="H5295"/>
          <cell r="J5295"/>
          <cell r="L5295"/>
          <cell r="M5295"/>
        </row>
        <row r="5296">
          <cell r="B5296"/>
          <cell r="C5296"/>
          <cell r="E5296"/>
          <cell r="F5296"/>
          <cell r="G5296"/>
          <cell r="H5296"/>
          <cell r="J5296"/>
          <cell r="L5296"/>
          <cell r="M5296"/>
        </row>
        <row r="5297">
          <cell r="B5297"/>
          <cell r="C5297"/>
          <cell r="E5297"/>
          <cell r="F5297"/>
          <cell r="G5297"/>
          <cell r="H5297"/>
          <cell r="J5297"/>
          <cell r="L5297"/>
          <cell r="M5297"/>
        </row>
        <row r="5298">
          <cell r="B5298"/>
          <cell r="C5298"/>
          <cell r="E5298"/>
          <cell r="F5298"/>
          <cell r="G5298"/>
          <cell r="H5298"/>
          <cell r="J5298"/>
          <cell r="L5298"/>
          <cell r="M5298"/>
        </row>
        <row r="5299">
          <cell r="B5299"/>
          <cell r="C5299"/>
          <cell r="E5299"/>
          <cell r="F5299"/>
          <cell r="G5299"/>
          <cell r="H5299"/>
          <cell r="J5299"/>
          <cell r="L5299"/>
          <cell r="M5299"/>
        </row>
        <row r="5300">
          <cell r="B5300"/>
          <cell r="C5300"/>
          <cell r="E5300"/>
          <cell r="F5300"/>
          <cell r="G5300"/>
          <cell r="H5300"/>
          <cell r="J5300"/>
          <cell r="L5300"/>
          <cell r="M5300"/>
        </row>
        <row r="5301">
          <cell r="B5301"/>
          <cell r="C5301"/>
          <cell r="E5301"/>
          <cell r="F5301"/>
          <cell r="G5301"/>
          <cell r="H5301"/>
          <cell r="J5301"/>
          <cell r="L5301"/>
          <cell r="M5301"/>
        </row>
        <row r="5302">
          <cell r="B5302"/>
          <cell r="C5302"/>
          <cell r="E5302"/>
          <cell r="F5302"/>
          <cell r="G5302"/>
          <cell r="H5302"/>
          <cell r="J5302"/>
          <cell r="L5302"/>
          <cell r="M5302"/>
        </row>
        <row r="5303">
          <cell r="B5303"/>
          <cell r="C5303"/>
          <cell r="E5303"/>
          <cell r="F5303"/>
          <cell r="G5303"/>
          <cell r="H5303"/>
          <cell r="J5303"/>
          <cell r="L5303"/>
          <cell r="M5303"/>
        </row>
        <row r="5304">
          <cell r="B5304"/>
          <cell r="C5304"/>
          <cell r="E5304"/>
          <cell r="F5304"/>
          <cell r="G5304"/>
          <cell r="H5304"/>
          <cell r="J5304"/>
          <cell r="L5304"/>
          <cell r="M5304"/>
        </row>
        <row r="5305">
          <cell r="B5305"/>
          <cell r="C5305"/>
          <cell r="E5305"/>
          <cell r="F5305"/>
          <cell r="G5305"/>
          <cell r="H5305"/>
          <cell r="J5305"/>
          <cell r="L5305"/>
          <cell r="M5305"/>
        </row>
        <row r="5306">
          <cell r="B5306"/>
          <cell r="C5306"/>
          <cell r="E5306"/>
          <cell r="F5306"/>
          <cell r="G5306"/>
          <cell r="H5306"/>
          <cell r="J5306"/>
          <cell r="L5306"/>
          <cell r="M5306"/>
        </row>
        <row r="5307">
          <cell r="B5307"/>
          <cell r="C5307"/>
          <cell r="E5307"/>
          <cell r="F5307"/>
          <cell r="G5307"/>
          <cell r="H5307"/>
          <cell r="J5307"/>
          <cell r="L5307"/>
          <cell r="M5307"/>
        </row>
        <row r="5308">
          <cell r="B5308"/>
          <cell r="C5308"/>
          <cell r="E5308"/>
          <cell r="F5308"/>
          <cell r="G5308"/>
          <cell r="H5308"/>
          <cell r="J5308"/>
          <cell r="L5308"/>
          <cell r="M5308"/>
        </row>
        <row r="5309">
          <cell r="B5309"/>
          <cell r="C5309"/>
          <cell r="E5309"/>
          <cell r="F5309"/>
          <cell r="G5309"/>
          <cell r="H5309"/>
          <cell r="J5309"/>
          <cell r="L5309"/>
          <cell r="M5309"/>
        </row>
        <row r="5310">
          <cell r="B5310"/>
          <cell r="C5310"/>
          <cell r="E5310"/>
          <cell r="F5310"/>
          <cell r="G5310"/>
          <cell r="H5310"/>
          <cell r="J5310"/>
          <cell r="L5310"/>
          <cell r="M5310"/>
        </row>
        <row r="5311">
          <cell r="B5311"/>
          <cell r="C5311"/>
          <cell r="E5311"/>
          <cell r="F5311"/>
          <cell r="G5311"/>
          <cell r="H5311"/>
          <cell r="J5311"/>
          <cell r="L5311"/>
          <cell r="M5311"/>
        </row>
        <row r="5312">
          <cell r="B5312"/>
          <cell r="C5312"/>
          <cell r="E5312"/>
          <cell r="F5312"/>
          <cell r="G5312"/>
          <cell r="H5312"/>
          <cell r="J5312"/>
          <cell r="L5312"/>
          <cell r="M5312"/>
        </row>
        <row r="5313">
          <cell r="B5313"/>
          <cell r="C5313"/>
          <cell r="E5313"/>
          <cell r="F5313"/>
          <cell r="G5313"/>
          <cell r="H5313"/>
          <cell r="J5313"/>
          <cell r="L5313"/>
          <cell r="M5313"/>
        </row>
        <row r="5314">
          <cell r="B5314"/>
          <cell r="C5314"/>
          <cell r="E5314"/>
          <cell r="F5314"/>
          <cell r="G5314"/>
          <cell r="H5314"/>
          <cell r="J5314"/>
          <cell r="L5314"/>
          <cell r="M5314"/>
        </row>
        <row r="5315">
          <cell r="B5315"/>
          <cell r="C5315"/>
          <cell r="E5315"/>
          <cell r="F5315"/>
          <cell r="G5315"/>
          <cell r="H5315"/>
          <cell r="J5315"/>
          <cell r="L5315"/>
          <cell r="M5315"/>
        </row>
        <row r="5316">
          <cell r="B5316"/>
          <cell r="C5316"/>
          <cell r="E5316"/>
          <cell r="F5316"/>
          <cell r="G5316"/>
          <cell r="H5316"/>
          <cell r="J5316"/>
          <cell r="L5316"/>
          <cell r="M5316"/>
        </row>
        <row r="5317">
          <cell r="B5317"/>
          <cell r="C5317"/>
          <cell r="E5317"/>
          <cell r="F5317"/>
          <cell r="G5317"/>
          <cell r="H5317"/>
          <cell r="J5317"/>
          <cell r="L5317"/>
          <cell r="M5317"/>
        </row>
        <row r="5318">
          <cell r="B5318"/>
          <cell r="C5318"/>
          <cell r="E5318"/>
          <cell r="F5318"/>
          <cell r="G5318"/>
          <cell r="H5318"/>
          <cell r="J5318"/>
          <cell r="L5318"/>
          <cell r="M5318"/>
        </row>
        <row r="5319">
          <cell r="B5319"/>
          <cell r="C5319"/>
          <cell r="E5319"/>
          <cell r="F5319"/>
          <cell r="G5319"/>
          <cell r="H5319"/>
          <cell r="J5319"/>
          <cell r="L5319"/>
          <cell r="M5319"/>
        </row>
        <row r="5320">
          <cell r="B5320"/>
          <cell r="C5320"/>
          <cell r="E5320"/>
          <cell r="F5320"/>
          <cell r="G5320"/>
          <cell r="H5320"/>
          <cell r="J5320"/>
          <cell r="L5320"/>
          <cell r="M5320"/>
        </row>
        <row r="5321">
          <cell r="B5321"/>
          <cell r="C5321"/>
          <cell r="E5321"/>
          <cell r="F5321"/>
          <cell r="G5321"/>
          <cell r="H5321"/>
          <cell r="J5321"/>
          <cell r="L5321"/>
          <cell r="M5321"/>
        </row>
        <row r="5322">
          <cell r="B5322"/>
          <cell r="C5322"/>
          <cell r="E5322"/>
          <cell r="F5322"/>
          <cell r="G5322"/>
          <cell r="H5322"/>
          <cell r="J5322"/>
          <cell r="L5322"/>
          <cell r="M5322"/>
        </row>
        <row r="5323">
          <cell r="B5323"/>
          <cell r="C5323"/>
          <cell r="E5323"/>
          <cell r="F5323"/>
          <cell r="G5323"/>
          <cell r="H5323"/>
          <cell r="J5323"/>
          <cell r="L5323"/>
          <cell r="M5323"/>
        </row>
        <row r="5324">
          <cell r="B5324"/>
          <cell r="C5324"/>
          <cell r="E5324"/>
          <cell r="F5324"/>
          <cell r="G5324"/>
          <cell r="H5324"/>
          <cell r="J5324"/>
          <cell r="L5324"/>
          <cell r="M5324"/>
        </row>
        <row r="5325">
          <cell r="B5325"/>
          <cell r="C5325"/>
          <cell r="E5325"/>
          <cell r="F5325"/>
          <cell r="G5325"/>
          <cell r="H5325"/>
          <cell r="J5325"/>
          <cell r="L5325"/>
          <cell r="M5325"/>
        </row>
        <row r="5326">
          <cell r="B5326"/>
          <cell r="C5326"/>
          <cell r="E5326"/>
          <cell r="F5326"/>
          <cell r="G5326"/>
          <cell r="H5326"/>
          <cell r="J5326"/>
          <cell r="L5326"/>
          <cell r="M5326"/>
        </row>
        <row r="5327">
          <cell r="B5327"/>
          <cell r="C5327"/>
          <cell r="E5327"/>
          <cell r="F5327"/>
          <cell r="G5327"/>
          <cell r="H5327"/>
          <cell r="J5327"/>
          <cell r="L5327"/>
          <cell r="M5327"/>
        </row>
        <row r="5328">
          <cell r="B5328"/>
          <cell r="C5328"/>
          <cell r="E5328"/>
          <cell r="F5328"/>
          <cell r="G5328"/>
          <cell r="H5328"/>
          <cell r="J5328"/>
          <cell r="L5328"/>
          <cell r="M5328"/>
        </row>
        <row r="5329">
          <cell r="B5329"/>
          <cell r="C5329"/>
          <cell r="E5329"/>
          <cell r="F5329"/>
          <cell r="G5329"/>
          <cell r="H5329"/>
          <cell r="J5329"/>
          <cell r="L5329"/>
          <cell r="M5329"/>
        </row>
        <row r="5330">
          <cell r="B5330"/>
          <cell r="C5330"/>
          <cell r="E5330"/>
          <cell r="F5330"/>
          <cell r="G5330"/>
          <cell r="H5330"/>
          <cell r="J5330"/>
          <cell r="L5330"/>
          <cell r="M5330"/>
        </row>
        <row r="5331">
          <cell r="B5331"/>
          <cell r="C5331"/>
          <cell r="E5331"/>
          <cell r="F5331"/>
          <cell r="G5331"/>
          <cell r="H5331"/>
          <cell r="J5331"/>
          <cell r="L5331"/>
          <cell r="M5331"/>
        </row>
        <row r="5332">
          <cell r="B5332"/>
          <cell r="C5332"/>
          <cell r="E5332"/>
          <cell r="F5332"/>
          <cell r="G5332"/>
          <cell r="H5332"/>
          <cell r="J5332"/>
          <cell r="L5332"/>
          <cell r="M5332"/>
        </row>
        <row r="5333">
          <cell r="B5333"/>
          <cell r="C5333"/>
          <cell r="E5333"/>
          <cell r="F5333"/>
          <cell r="G5333"/>
          <cell r="H5333"/>
          <cell r="J5333"/>
          <cell r="L5333"/>
          <cell r="M5333"/>
        </row>
        <row r="5334">
          <cell r="B5334"/>
          <cell r="C5334"/>
          <cell r="E5334"/>
          <cell r="F5334"/>
          <cell r="G5334"/>
          <cell r="H5334"/>
          <cell r="J5334"/>
          <cell r="L5334"/>
          <cell r="M5334"/>
        </row>
        <row r="5335">
          <cell r="B5335"/>
          <cell r="C5335"/>
          <cell r="E5335"/>
          <cell r="F5335"/>
          <cell r="G5335"/>
          <cell r="H5335"/>
          <cell r="J5335"/>
          <cell r="L5335"/>
          <cell r="M5335"/>
        </row>
        <row r="5336">
          <cell r="B5336"/>
          <cell r="C5336"/>
          <cell r="E5336"/>
          <cell r="F5336"/>
          <cell r="G5336"/>
          <cell r="H5336"/>
          <cell r="J5336"/>
          <cell r="L5336"/>
          <cell r="M5336"/>
        </row>
        <row r="5337">
          <cell r="B5337"/>
          <cell r="C5337"/>
          <cell r="E5337"/>
          <cell r="F5337"/>
          <cell r="G5337"/>
          <cell r="H5337"/>
          <cell r="J5337"/>
          <cell r="L5337"/>
          <cell r="M5337"/>
        </row>
        <row r="5338">
          <cell r="B5338"/>
          <cell r="C5338"/>
          <cell r="E5338"/>
          <cell r="F5338"/>
          <cell r="G5338"/>
          <cell r="H5338"/>
          <cell r="J5338"/>
          <cell r="L5338"/>
          <cell r="M5338"/>
        </row>
        <row r="5339">
          <cell r="B5339"/>
          <cell r="C5339"/>
          <cell r="E5339"/>
          <cell r="F5339"/>
          <cell r="G5339"/>
          <cell r="H5339"/>
          <cell r="J5339"/>
          <cell r="L5339"/>
          <cell r="M5339"/>
        </row>
        <row r="5340">
          <cell r="B5340"/>
          <cell r="C5340"/>
          <cell r="E5340"/>
          <cell r="F5340"/>
          <cell r="G5340"/>
          <cell r="H5340"/>
          <cell r="J5340"/>
          <cell r="L5340"/>
          <cell r="M5340"/>
        </row>
        <row r="5341">
          <cell r="B5341"/>
          <cell r="C5341"/>
          <cell r="E5341"/>
          <cell r="F5341"/>
          <cell r="G5341"/>
          <cell r="H5341"/>
          <cell r="J5341"/>
          <cell r="L5341"/>
          <cell r="M5341"/>
        </row>
        <row r="5342">
          <cell r="B5342"/>
          <cell r="C5342"/>
          <cell r="E5342"/>
          <cell r="F5342"/>
          <cell r="G5342"/>
          <cell r="H5342"/>
          <cell r="J5342"/>
          <cell r="L5342"/>
          <cell r="M5342"/>
        </row>
        <row r="5343">
          <cell r="B5343"/>
          <cell r="C5343"/>
          <cell r="E5343"/>
          <cell r="F5343"/>
          <cell r="G5343"/>
          <cell r="H5343"/>
          <cell r="J5343"/>
          <cell r="L5343"/>
          <cell r="M5343"/>
        </row>
        <row r="5344">
          <cell r="B5344"/>
          <cell r="C5344"/>
          <cell r="E5344"/>
          <cell r="F5344"/>
          <cell r="G5344"/>
          <cell r="H5344"/>
          <cell r="J5344"/>
          <cell r="L5344"/>
          <cell r="M5344"/>
        </row>
        <row r="5345">
          <cell r="B5345"/>
          <cell r="C5345"/>
          <cell r="E5345"/>
          <cell r="F5345"/>
          <cell r="G5345"/>
          <cell r="H5345"/>
          <cell r="J5345"/>
          <cell r="L5345"/>
          <cell r="M5345"/>
        </row>
        <row r="5346">
          <cell r="B5346"/>
          <cell r="C5346"/>
          <cell r="E5346"/>
          <cell r="F5346"/>
          <cell r="G5346"/>
          <cell r="H5346"/>
          <cell r="J5346"/>
          <cell r="L5346"/>
          <cell r="M5346"/>
        </row>
        <row r="5347">
          <cell r="B5347"/>
          <cell r="C5347"/>
          <cell r="E5347"/>
          <cell r="F5347"/>
          <cell r="G5347"/>
          <cell r="H5347"/>
          <cell r="J5347"/>
          <cell r="L5347"/>
          <cell r="M5347"/>
        </row>
        <row r="5348">
          <cell r="B5348"/>
          <cell r="C5348"/>
          <cell r="E5348"/>
          <cell r="F5348"/>
          <cell r="G5348"/>
          <cell r="H5348"/>
          <cell r="J5348"/>
          <cell r="L5348"/>
          <cell r="M5348"/>
        </row>
        <row r="5349">
          <cell r="B5349"/>
          <cell r="C5349"/>
          <cell r="E5349"/>
          <cell r="F5349"/>
          <cell r="G5349"/>
          <cell r="H5349"/>
          <cell r="J5349"/>
          <cell r="L5349"/>
          <cell r="M5349"/>
        </row>
        <row r="5350">
          <cell r="B5350"/>
          <cell r="C5350"/>
          <cell r="E5350"/>
          <cell r="F5350"/>
          <cell r="G5350"/>
          <cell r="H5350"/>
          <cell r="J5350"/>
          <cell r="L5350"/>
          <cell r="M5350"/>
        </row>
        <row r="5351">
          <cell r="B5351"/>
          <cell r="C5351"/>
          <cell r="E5351"/>
          <cell r="F5351"/>
          <cell r="G5351"/>
          <cell r="H5351"/>
          <cell r="J5351"/>
          <cell r="L5351"/>
          <cell r="M5351"/>
        </row>
        <row r="5352">
          <cell r="B5352"/>
          <cell r="C5352"/>
          <cell r="E5352"/>
          <cell r="F5352"/>
          <cell r="G5352"/>
          <cell r="H5352"/>
          <cell r="J5352"/>
          <cell r="L5352"/>
          <cell r="M5352"/>
        </row>
        <row r="5353">
          <cell r="B5353"/>
          <cell r="C5353"/>
          <cell r="E5353"/>
          <cell r="F5353"/>
          <cell r="G5353"/>
          <cell r="H5353"/>
          <cell r="J5353"/>
          <cell r="L5353"/>
          <cell r="M5353"/>
        </row>
        <row r="5354">
          <cell r="B5354"/>
          <cell r="C5354"/>
          <cell r="E5354"/>
          <cell r="F5354"/>
          <cell r="G5354"/>
          <cell r="H5354"/>
          <cell r="J5354"/>
          <cell r="L5354"/>
          <cell r="M5354"/>
        </row>
        <row r="5355">
          <cell r="B5355"/>
          <cell r="C5355"/>
          <cell r="E5355"/>
          <cell r="F5355"/>
          <cell r="G5355"/>
          <cell r="H5355"/>
          <cell r="J5355"/>
          <cell r="L5355"/>
          <cell r="M5355"/>
        </row>
        <row r="5356">
          <cell r="B5356"/>
          <cell r="C5356"/>
          <cell r="E5356"/>
          <cell r="F5356"/>
          <cell r="G5356"/>
          <cell r="H5356"/>
          <cell r="J5356"/>
          <cell r="L5356"/>
          <cell r="M5356"/>
        </row>
        <row r="5357">
          <cell r="B5357"/>
          <cell r="C5357"/>
          <cell r="E5357"/>
          <cell r="F5357"/>
          <cell r="G5357"/>
          <cell r="H5357"/>
          <cell r="J5357"/>
          <cell r="L5357"/>
          <cell r="M5357"/>
        </row>
        <row r="5358">
          <cell r="B5358"/>
          <cell r="C5358"/>
          <cell r="E5358"/>
          <cell r="F5358"/>
          <cell r="G5358"/>
          <cell r="H5358"/>
          <cell r="J5358"/>
          <cell r="L5358"/>
          <cell r="M5358"/>
        </row>
        <row r="5359">
          <cell r="B5359"/>
          <cell r="C5359"/>
          <cell r="E5359"/>
          <cell r="F5359"/>
          <cell r="G5359"/>
          <cell r="H5359"/>
          <cell r="J5359"/>
          <cell r="L5359"/>
          <cell r="M5359"/>
        </row>
        <row r="5360">
          <cell r="B5360"/>
          <cell r="C5360"/>
          <cell r="E5360"/>
          <cell r="F5360"/>
          <cell r="G5360"/>
          <cell r="H5360"/>
          <cell r="J5360"/>
          <cell r="L5360"/>
          <cell r="M5360"/>
        </row>
        <row r="5361">
          <cell r="B5361"/>
          <cell r="C5361"/>
          <cell r="E5361"/>
          <cell r="F5361"/>
          <cell r="G5361"/>
          <cell r="H5361"/>
          <cell r="J5361"/>
          <cell r="L5361"/>
          <cell r="M5361"/>
        </row>
        <row r="5362">
          <cell r="B5362"/>
          <cell r="C5362"/>
          <cell r="E5362"/>
          <cell r="F5362"/>
          <cell r="G5362"/>
          <cell r="H5362"/>
          <cell r="J5362"/>
          <cell r="L5362"/>
          <cell r="M5362"/>
        </row>
        <row r="5363">
          <cell r="B5363"/>
          <cell r="C5363"/>
          <cell r="E5363"/>
          <cell r="F5363"/>
          <cell r="G5363"/>
          <cell r="H5363"/>
          <cell r="J5363"/>
          <cell r="L5363"/>
          <cell r="M5363"/>
        </row>
        <row r="5364">
          <cell r="B5364"/>
          <cell r="C5364"/>
          <cell r="E5364"/>
          <cell r="F5364"/>
          <cell r="G5364"/>
          <cell r="H5364"/>
          <cell r="J5364"/>
          <cell r="L5364"/>
          <cell r="M5364"/>
        </row>
        <row r="5365">
          <cell r="B5365"/>
          <cell r="C5365"/>
          <cell r="E5365"/>
          <cell r="F5365"/>
          <cell r="G5365"/>
          <cell r="H5365"/>
          <cell r="J5365"/>
          <cell r="L5365"/>
          <cell r="M5365"/>
        </row>
        <row r="5366">
          <cell r="B5366"/>
          <cell r="C5366"/>
          <cell r="E5366"/>
          <cell r="F5366"/>
          <cell r="G5366"/>
          <cell r="H5366"/>
          <cell r="J5366"/>
          <cell r="L5366"/>
          <cell r="M5366"/>
        </row>
        <row r="5367">
          <cell r="B5367"/>
          <cell r="C5367"/>
          <cell r="E5367"/>
          <cell r="F5367"/>
          <cell r="G5367"/>
          <cell r="H5367"/>
          <cell r="J5367"/>
          <cell r="L5367"/>
          <cell r="M5367"/>
        </row>
        <row r="5368">
          <cell r="B5368"/>
          <cell r="C5368"/>
          <cell r="E5368"/>
          <cell r="F5368"/>
          <cell r="G5368"/>
          <cell r="H5368"/>
          <cell r="J5368"/>
          <cell r="L5368"/>
          <cell r="M5368"/>
        </row>
        <row r="5369">
          <cell r="B5369"/>
          <cell r="C5369"/>
          <cell r="E5369"/>
          <cell r="F5369"/>
          <cell r="G5369"/>
          <cell r="H5369"/>
          <cell r="J5369"/>
          <cell r="L5369"/>
          <cell r="M5369"/>
        </row>
        <row r="5370">
          <cell r="B5370"/>
          <cell r="C5370"/>
          <cell r="E5370"/>
          <cell r="F5370"/>
          <cell r="G5370"/>
          <cell r="H5370"/>
          <cell r="J5370"/>
          <cell r="L5370"/>
          <cell r="M5370"/>
        </row>
        <row r="5371">
          <cell r="B5371"/>
          <cell r="C5371"/>
          <cell r="E5371"/>
          <cell r="F5371"/>
          <cell r="G5371"/>
          <cell r="H5371"/>
          <cell r="J5371"/>
          <cell r="L5371"/>
          <cell r="M5371"/>
        </row>
        <row r="5372">
          <cell r="B5372"/>
          <cell r="C5372"/>
          <cell r="E5372"/>
          <cell r="F5372"/>
          <cell r="G5372"/>
          <cell r="H5372"/>
          <cell r="J5372"/>
          <cell r="L5372"/>
          <cell r="M5372"/>
        </row>
        <row r="5373">
          <cell r="B5373"/>
          <cell r="C5373"/>
          <cell r="E5373"/>
          <cell r="F5373"/>
          <cell r="G5373"/>
          <cell r="H5373"/>
          <cell r="J5373"/>
          <cell r="L5373"/>
          <cell r="M5373"/>
        </row>
        <row r="5374">
          <cell r="B5374"/>
          <cell r="C5374"/>
          <cell r="E5374"/>
          <cell r="F5374"/>
          <cell r="G5374"/>
          <cell r="H5374"/>
          <cell r="J5374"/>
          <cell r="L5374"/>
          <cell r="M5374"/>
        </row>
        <row r="5375">
          <cell r="B5375"/>
          <cell r="C5375"/>
          <cell r="E5375"/>
          <cell r="F5375"/>
          <cell r="G5375"/>
          <cell r="H5375"/>
          <cell r="J5375"/>
          <cell r="L5375"/>
          <cell r="M5375"/>
        </row>
        <row r="5376">
          <cell r="B5376"/>
          <cell r="C5376"/>
          <cell r="E5376"/>
          <cell r="F5376"/>
          <cell r="G5376"/>
          <cell r="H5376"/>
          <cell r="J5376"/>
          <cell r="L5376"/>
          <cell r="M5376"/>
        </row>
        <row r="5377">
          <cell r="B5377"/>
          <cell r="C5377"/>
          <cell r="E5377"/>
          <cell r="F5377"/>
          <cell r="G5377"/>
          <cell r="H5377"/>
          <cell r="J5377"/>
          <cell r="L5377"/>
          <cell r="M5377"/>
        </row>
        <row r="5378">
          <cell r="B5378"/>
          <cell r="C5378"/>
          <cell r="E5378"/>
          <cell r="F5378"/>
          <cell r="G5378"/>
          <cell r="H5378"/>
          <cell r="J5378"/>
          <cell r="L5378"/>
          <cell r="M5378"/>
        </row>
        <row r="5379">
          <cell r="B5379"/>
          <cell r="C5379"/>
          <cell r="E5379"/>
          <cell r="F5379"/>
          <cell r="G5379"/>
          <cell r="H5379"/>
          <cell r="J5379"/>
          <cell r="L5379"/>
          <cell r="M5379"/>
        </row>
        <row r="5380">
          <cell r="B5380"/>
          <cell r="C5380"/>
          <cell r="E5380"/>
          <cell r="F5380"/>
          <cell r="G5380"/>
          <cell r="H5380"/>
          <cell r="J5380"/>
          <cell r="L5380"/>
          <cell r="M5380"/>
        </row>
        <row r="5381">
          <cell r="B5381"/>
          <cell r="C5381"/>
          <cell r="E5381"/>
          <cell r="F5381"/>
          <cell r="G5381"/>
          <cell r="H5381"/>
          <cell r="J5381"/>
          <cell r="L5381"/>
          <cell r="M5381"/>
        </row>
        <row r="5382">
          <cell r="B5382"/>
          <cell r="C5382"/>
          <cell r="E5382"/>
          <cell r="F5382"/>
          <cell r="G5382"/>
          <cell r="H5382"/>
          <cell r="J5382"/>
          <cell r="L5382"/>
          <cell r="M5382"/>
        </row>
        <row r="5383">
          <cell r="B5383"/>
          <cell r="C5383"/>
          <cell r="E5383"/>
          <cell r="F5383"/>
          <cell r="G5383"/>
          <cell r="H5383"/>
          <cell r="J5383"/>
          <cell r="L5383"/>
          <cell r="M5383"/>
        </row>
        <row r="5384">
          <cell r="B5384"/>
          <cell r="C5384"/>
          <cell r="E5384"/>
          <cell r="F5384"/>
          <cell r="G5384"/>
          <cell r="H5384"/>
          <cell r="J5384"/>
          <cell r="L5384"/>
          <cell r="M5384"/>
        </row>
        <row r="5385">
          <cell r="B5385"/>
          <cell r="C5385"/>
          <cell r="E5385"/>
          <cell r="F5385"/>
          <cell r="G5385"/>
          <cell r="H5385"/>
          <cell r="J5385"/>
          <cell r="L5385"/>
          <cell r="M5385"/>
        </row>
        <row r="5386">
          <cell r="B5386"/>
          <cell r="C5386"/>
          <cell r="E5386"/>
          <cell r="F5386"/>
          <cell r="G5386"/>
          <cell r="H5386"/>
          <cell r="J5386"/>
          <cell r="L5386"/>
          <cell r="M5386"/>
        </row>
        <row r="5387">
          <cell r="B5387"/>
          <cell r="C5387"/>
          <cell r="E5387"/>
          <cell r="F5387"/>
          <cell r="G5387"/>
          <cell r="H5387"/>
          <cell r="J5387"/>
          <cell r="L5387"/>
          <cell r="M5387"/>
        </row>
        <row r="5388">
          <cell r="B5388"/>
          <cell r="C5388"/>
          <cell r="E5388"/>
          <cell r="F5388"/>
          <cell r="G5388"/>
          <cell r="H5388"/>
          <cell r="J5388"/>
          <cell r="L5388"/>
          <cell r="M5388"/>
        </row>
        <row r="5389">
          <cell r="B5389"/>
          <cell r="C5389"/>
          <cell r="E5389"/>
          <cell r="F5389"/>
          <cell r="G5389"/>
          <cell r="H5389"/>
          <cell r="J5389"/>
          <cell r="L5389"/>
          <cell r="M5389"/>
        </row>
        <row r="5390">
          <cell r="B5390"/>
          <cell r="C5390"/>
          <cell r="E5390"/>
          <cell r="F5390"/>
          <cell r="G5390"/>
          <cell r="H5390"/>
          <cell r="J5390"/>
          <cell r="L5390"/>
          <cell r="M5390"/>
        </row>
        <row r="5391">
          <cell r="B5391"/>
          <cell r="C5391"/>
          <cell r="E5391"/>
          <cell r="F5391"/>
          <cell r="G5391"/>
          <cell r="H5391"/>
          <cell r="J5391"/>
          <cell r="L5391"/>
          <cell r="M5391"/>
        </row>
        <row r="5392">
          <cell r="B5392"/>
          <cell r="C5392"/>
          <cell r="E5392"/>
          <cell r="F5392"/>
          <cell r="G5392"/>
          <cell r="H5392"/>
          <cell r="J5392"/>
          <cell r="L5392"/>
          <cell r="M5392"/>
        </row>
        <row r="5393">
          <cell r="B5393"/>
          <cell r="C5393"/>
          <cell r="E5393"/>
          <cell r="F5393"/>
          <cell r="G5393"/>
          <cell r="H5393"/>
          <cell r="J5393"/>
          <cell r="L5393"/>
          <cell r="M5393"/>
        </row>
        <row r="5394">
          <cell r="B5394"/>
          <cell r="C5394"/>
          <cell r="E5394"/>
          <cell r="F5394"/>
          <cell r="G5394"/>
          <cell r="H5394"/>
          <cell r="J5394"/>
          <cell r="L5394"/>
          <cell r="M5394"/>
        </row>
        <row r="5395">
          <cell r="B5395"/>
          <cell r="C5395"/>
          <cell r="E5395"/>
          <cell r="F5395"/>
          <cell r="G5395"/>
          <cell r="H5395"/>
          <cell r="J5395"/>
          <cell r="L5395"/>
          <cell r="M5395"/>
        </row>
        <row r="5396">
          <cell r="B5396"/>
          <cell r="C5396"/>
          <cell r="E5396"/>
          <cell r="F5396"/>
          <cell r="G5396"/>
          <cell r="H5396"/>
          <cell r="J5396"/>
          <cell r="L5396"/>
          <cell r="M5396"/>
        </row>
        <row r="5397">
          <cell r="B5397"/>
          <cell r="C5397"/>
          <cell r="E5397"/>
          <cell r="F5397"/>
          <cell r="G5397"/>
          <cell r="H5397"/>
          <cell r="J5397"/>
          <cell r="L5397"/>
          <cell r="M5397"/>
        </row>
        <row r="5398">
          <cell r="B5398"/>
          <cell r="C5398"/>
          <cell r="E5398"/>
          <cell r="F5398"/>
          <cell r="G5398"/>
          <cell r="H5398"/>
          <cell r="J5398"/>
          <cell r="L5398"/>
          <cell r="M5398"/>
        </row>
        <row r="5399">
          <cell r="B5399"/>
          <cell r="C5399"/>
          <cell r="E5399"/>
          <cell r="F5399"/>
          <cell r="G5399"/>
          <cell r="H5399"/>
          <cell r="J5399"/>
          <cell r="L5399"/>
          <cell r="M5399"/>
        </row>
        <row r="5400">
          <cell r="B5400"/>
          <cell r="C5400"/>
          <cell r="E5400"/>
          <cell r="F5400"/>
          <cell r="G5400"/>
          <cell r="H5400"/>
          <cell r="J5400"/>
          <cell r="L5400"/>
          <cell r="M5400"/>
        </row>
        <row r="5401">
          <cell r="B5401"/>
          <cell r="C5401"/>
          <cell r="E5401"/>
          <cell r="F5401"/>
          <cell r="G5401"/>
          <cell r="H5401"/>
          <cell r="J5401"/>
          <cell r="L5401"/>
          <cell r="M5401"/>
        </row>
        <row r="5402">
          <cell r="B5402"/>
          <cell r="C5402"/>
          <cell r="E5402"/>
          <cell r="F5402"/>
          <cell r="G5402"/>
          <cell r="H5402"/>
          <cell r="J5402"/>
          <cell r="L5402"/>
          <cell r="M5402"/>
        </row>
        <row r="5403">
          <cell r="B5403"/>
          <cell r="C5403"/>
          <cell r="E5403"/>
          <cell r="F5403"/>
          <cell r="G5403"/>
          <cell r="H5403"/>
          <cell r="J5403"/>
          <cell r="L5403"/>
          <cell r="M5403"/>
        </row>
        <row r="5404">
          <cell r="B5404"/>
          <cell r="C5404"/>
          <cell r="E5404"/>
          <cell r="F5404"/>
          <cell r="G5404"/>
          <cell r="H5404"/>
          <cell r="J5404"/>
          <cell r="L5404"/>
          <cell r="M5404"/>
        </row>
        <row r="5405">
          <cell r="B5405"/>
          <cell r="C5405"/>
          <cell r="E5405"/>
          <cell r="F5405"/>
          <cell r="G5405"/>
          <cell r="H5405"/>
          <cell r="J5405"/>
          <cell r="L5405"/>
          <cell r="M5405"/>
        </row>
        <row r="5406">
          <cell r="B5406"/>
          <cell r="C5406"/>
          <cell r="E5406"/>
          <cell r="F5406"/>
          <cell r="G5406"/>
          <cell r="H5406"/>
          <cell r="J5406"/>
          <cell r="L5406"/>
          <cell r="M5406"/>
        </row>
        <row r="5407">
          <cell r="B5407"/>
          <cell r="C5407"/>
          <cell r="E5407"/>
          <cell r="F5407"/>
          <cell r="G5407"/>
          <cell r="H5407"/>
          <cell r="J5407"/>
          <cell r="L5407"/>
          <cell r="M5407"/>
        </row>
        <row r="5408">
          <cell r="B5408"/>
          <cell r="C5408"/>
          <cell r="E5408"/>
          <cell r="F5408"/>
          <cell r="G5408"/>
          <cell r="H5408"/>
          <cell r="J5408"/>
          <cell r="L5408"/>
          <cell r="M5408"/>
        </row>
        <row r="5409">
          <cell r="B5409"/>
          <cell r="C5409"/>
          <cell r="E5409"/>
          <cell r="F5409"/>
          <cell r="G5409"/>
          <cell r="H5409"/>
          <cell r="J5409"/>
          <cell r="L5409"/>
          <cell r="M5409"/>
        </row>
        <row r="5410">
          <cell r="B5410"/>
          <cell r="C5410"/>
          <cell r="E5410"/>
          <cell r="F5410"/>
          <cell r="G5410"/>
          <cell r="H5410"/>
          <cell r="J5410"/>
          <cell r="L5410"/>
          <cell r="M5410"/>
        </row>
        <row r="5411">
          <cell r="B5411"/>
          <cell r="C5411"/>
          <cell r="E5411"/>
          <cell r="F5411"/>
          <cell r="G5411"/>
          <cell r="H5411"/>
          <cell r="J5411"/>
          <cell r="L5411"/>
          <cell r="M5411"/>
        </row>
        <row r="5412">
          <cell r="B5412"/>
          <cell r="C5412"/>
          <cell r="E5412"/>
          <cell r="F5412"/>
          <cell r="G5412"/>
          <cell r="H5412"/>
          <cell r="J5412"/>
          <cell r="L5412"/>
          <cell r="M5412"/>
        </row>
        <row r="5413">
          <cell r="B5413"/>
          <cell r="C5413"/>
          <cell r="E5413"/>
          <cell r="F5413"/>
          <cell r="G5413"/>
          <cell r="H5413"/>
          <cell r="J5413"/>
          <cell r="L5413"/>
          <cell r="M5413"/>
        </row>
        <row r="5414">
          <cell r="B5414"/>
          <cell r="C5414"/>
          <cell r="E5414"/>
          <cell r="F5414"/>
          <cell r="G5414"/>
          <cell r="H5414"/>
          <cell r="J5414"/>
          <cell r="L5414"/>
          <cell r="M5414"/>
        </row>
        <row r="5415">
          <cell r="B5415"/>
          <cell r="C5415"/>
          <cell r="E5415"/>
          <cell r="F5415"/>
          <cell r="G5415"/>
          <cell r="H5415"/>
          <cell r="J5415"/>
          <cell r="L5415"/>
          <cell r="M5415"/>
        </row>
        <row r="5416">
          <cell r="B5416"/>
          <cell r="C5416"/>
          <cell r="E5416"/>
          <cell r="F5416"/>
          <cell r="G5416"/>
          <cell r="H5416"/>
          <cell r="J5416"/>
          <cell r="L5416"/>
          <cell r="M5416"/>
        </row>
        <row r="5417">
          <cell r="B5417"/>
          <cell r="C5417"/>
          <cell r="E5417"/>
          <cell r="F5417"/>
          <cell r="G5417"/>
          <cell r="H5417"/>
          <cell r="J5417"/>
          <cell r="L5417"/>
          <cell r="M5417"/>
        </row>
        <row r="5418">
          <cell r="B5418"/>
          <cell r="C5418"/>
          <cell r="E5418"/>
          <cell r="F5418"/>
          <cell r="G5418"/>
          <cell r="H5418"/>
          <cell r="J5418"/>
          <cell r="L5418"/>
          <cell r="M5418"/>
        </row>
        <row r="5419">
          <cell r="B5419"/>
          <cell r="C5419"/>
          <cell r="E5419"/>
          <cell r="F5419"/>
          <cell r="G5419"/>
          <cell r="H5419"/>
          <cell r="J5419"/>
          <cell r="L5419"/>
          <cell r="M5419"/>
        </row>
        <row r="5420">
          <cell r="B5420"/>
          <cell r="C5420"/>
          <cell r="E5420"/>
          <cell r="F5420"/>
          <cell r="G5420"/>
          <cell r="H5420"/>
          <cell r="J5420"/>
          <cell r="L5420"/>
          <cell r="M5420"/>
        </row>
        <row r="5421">
          <cell r="B5421"/>
          <cell r="C5421"/>
          <cell r="E5421"/>
          <cell r="F5421"/>
          <cell r="G5421"/>
          <cell r="H5421"/>
          <cell r="J5421"/>
          <cell r="L5421"/>
          <cell r="M5421"/>
        </row>
        <row r="5422">
          <cell r="B5422"/>
          <cell r="C5422"/>
          <cell r="E5422"/>
          <cell r="F5422"/>
          <cell r="G5422"/>
          <cell r="H5422"/>
          <cell r="J5422"/>
          <cell r="L5422"/>
          <cell r="M5422"/>
        </row>
        <row r="5423">
          <cell r="B5423"/>
          <cell r="C5423"/>
          <cell r="E5423"/>
          <cell r="F5423"/>
          <cell r="G5423"/>
          <cell r="H5423"/>
          <cell r="J5423"/>
          <cell r="L5423"/>
          <cell r="M5423"/>
        </row>
        <row r="5424">
          <cell r="B5424"/>
          <cell r="C5424"/>
          <cell r="E5424"/>
          <cell r="F5424"/>
          <cell r="G5424"/>
          <cell r="H5424"/>
          <cell r="J5424"/>
          <cell r="L5424"/>
          <cell r="M5424"/>
        </row>
        <row r="5425">
          <cell r="B5425"/>
          <cell r="C5425"/>
          <cell r="E5425"/>
          <cell r="F5425"/>
          <cell r="G5425"/>
          <cell r="H5425"/>
          <cell r="J5425"/>
          <cell r="L5425"/>
          <cell r="M5425"/>
        </row>
        <row r="5426">
          <cell r="B5426"/>
          <cell r="C5426"/>
          <cell r="E5426"/>
          <cell r="F5426"/>
          <cell r="G5426"/>
          <cell r="H5426"/>
          <cell r="J5426"/>
          <cell r="L5426"/>
          <cell r="M5426"/>
        </row>
        <row r="5427">
          <cell r="B5427"/>
          <cell r="C5427"/>
          <cell r="E5427"/>
          <cell r="F5427"/>
          <cell r="G5427"/>
          <cell r="H5427"/>
          <cell r="J5427"/>
          <cell r="L5427"/>
          <cell r="M5427"/>
        </row>
        <row r="5428">
          <cell r="B5428"/>
          <cell r="C5428"/>
          <cell r="E5428"/>
          <cell r="F5428"/>
          <cell r="G5428"/>
          <cell r="H5428"/>
          <cell r="J5428"/>
          <cell r="L5428"/>
          <cell r="M5428"/>
        </row>
        <row r="5429">
          <cell r="B5429"/>
          <cell r="C5429"/>
          <cell r="E5429"/>
          <cell r="F5429"/>
          <cell r="G5429"/>
          <cell r="H5429"/>
          <cell r="J5429"/>
          <cell r="L5429"/>
          <cell r="M5429"/>
        </row>
        <row r="5430">
          <cell r="B5430"/>
          <cell r="C5430"/>
          <cell r="E5430"/>
          <cell r="F5430"/>
          <cell r="G5430"/>
          <cell r="H5430"/>
          <cell r="J5430"/>
          <cell r="L5430"/>
          <cell r="M5430"/>
        </row>
        <row r="5431">
          <cell r="B5431"/>
          <cell r="C5431"/>
          <cell r="E5431"/>
          <cell r="F5431"/>
          <cell r="G5431"/>
          <cell r="H5431"/>
          <cell r="J5431"/>
          <cell r="L5431"/>
          <cell r="M5431"/>
        </row>
        <row r="5432">
          <cell r="B5432"/>
          <cell r="C5432"/>
          <cell r="E5432"/>
          <cell r="F5432"/>
          <cell r="G5432"/>
          <cell r="H5432"/>
          <cell r="J5432"/>
          <cell r="L5432"/>
          <cell r="M5432"/>
        </row>
        <row r="5433">
          <cell r="B5433"/>
          <cell r="C5433"/>
          <cell r="E5433"/>
          <cell r="F5433"/>
          <cell r="G5433"/>
          <cell r="H5433"/>
          <cell r="J5433"/>
          <cell r="L5433"/>
          <cell r="M5433"/>
        </row>
        <row r="5434">
          <cell r="B5434"/>
          <cell r="C5434"/>
          <cell r="E5434"/>
          <cell r="F5434"/>
          <cell r="G5434"/>
          <cell r="H5434"/>
          <cell r="J5434"/>
          <cell r="L5434"/>
          <cell r="M5434"/>
        </row>
        <row r="5435">
          <cell r="B5435"/>
          <cell r="C5435"/>
          <cell r="E5435"/>
          <cell r="F5435"/>
          <cell r="G5435"/>
          <cell r="H5435"/>
          <cell r="J5435"/>
          <cell r="L5435"/>
          <cell r="M5435"/>
        </row>
        <row r="5436">
          <cell r="B5436"/>
          <cell r="C5436"/>
          <cell r="E5436"/>
          <cell r="F5436"/>
          <cell r="G5436"/>
          <cell r="H5436"/>
          <cell r="J5436"/>
          <cell r="L5436"/>
          <cell r="M5436"/>
        </row>
        <row r="5437">
          <cell r="B5437"/>
          <cell r="C5437"/>
          <cell r="E5437"/>
          <cell r="F5437"/>
          <cell r="G5437"/>
          <cell r="H5437"/>
          <cell r="J5437"/>
          <cell r="L5437"/>
          <cell r="M5437"/>
        </row>
        <row r="5438">
          <cell r="B5438"/>
          <cell r="C5438"/>
          <cell r="E5438"/>
          <cell r="F5438"/>
          <cell r="G5438"/>
          <cell r="H5438"/>
          <cell r="J5438"/>
          <cell r="L5438"/>
          <cell r="M5438"/>
        </row>
        <row r="5439">
          <cell r="B5439"/>
          <cell r="C5439"/>
          <cell r="E5439"/>
          <cell r="F5439"/>
          <cell r="G5439"/>
          <cell r="H5439"/>
          <cell r="J5439"/>
          <cell r="L5439"/>
          <cell r="M5439"/>
        </row>
        <row r="5440">
          <cell r="B5440"/>
          <cell r="C5440"/>
          <cell r="E5440"/>
          <cell r="F5440"/>
          <cell r="G5440"/>
          <cell r="H5440"/>
          <cell r="J5440"/>
          <cell r="L5440"/>
          <cell r="M5440"/>
        </row>
        <row r="5441">
          <cell r="B5441"/>
          <cell r="C5441"/>
          <cell r="E5441"/>
          <cell r="F5441"/>
          <cell r="G5441"/>
          <cell r="H5441"/>
          <cell r="J5441"/>
          <cell r="L5441"/>
          <cell r="M5441"/>
        </row>
        <row r="5442">
          <cell r="B5442"/>
          <cell r="C5442"/>
          <cell r="E5442"/>
          <cell r="F5442"/>
          <cell r="G5442"/>
          <cell r="H5442"/>
          <cell r="J5442"/>
          <cell r="L5442"/>
          <cell r="M5442"/>
        </row>
        <row r="5443">
          <cell r="B5443"/>
          <cell r="C5443"/>
          <cell r="E5443"/>
          <cell r="F5443"/>
          <cell r="G5443"/>
          <cell r="H5443"/>
          <cell r="J5443"/>
          <cell r="L5443"/>
          <cell r="M5443"/>
        </row>
        <row r="5444">
          <cell r="B5444"/>
          <cell r="C5444"/>
          <cell r="E5444"/>
          <cell r="F5444"/>
          <cell r="G5444"/>
          <cell r="H5444"/>
          <cell r="J5444"/>
          <cell r="L5444"/>
          <cell r="M5444"/>
        </row>
        <row r="5445">
          <cell r="B5445"/>
          <cell r="C5445"/>
          <cell r="E5445"/>
          <cell r="F5445"/>
          <cell r="G5445"/>
          <cell r="H5445"/>
          <cell r="J5445"/>
          <cell r="L5445"/>
          <cell r="M5445"/>
        </row>
        <row r="5446">
          <cell r="B5446"/>
          <cell r="C5446"/>
          <cell r="E5446"/>
          <cell r="F5446"/>
          <cell r="G5446"/>
          <cell r="H5446"/>
          <cell r="J5446"/>
          <cell r="L5446"/>
          <cell r="M5446"/>
        </row>
        <row r="5447">
          <cell r="B5447"/>
          <cell r="C5447"/>
          <cell r="E5447"/>
          <cell r="F5447"/>
          <cell r="G5447"/>
          <cell r="H5447"/>
          <cell r="J5447"/>
          <cell r="L5447"/>
          <cell r="M5447"/>
        </row>
        <row r="5448">
          <cell r="B5448"/>
          <cell r="C5448"/>
          <cell r="E5448"/>
          <cell r="F5448"/>
          <cell r="G5448"/>
          <cell r="H5448"/>
          <cell r="J5448"/>
          <cell r="L5448"/>
          <cell r="M5448"/>
        </row>
        <row r="5449">
          <cell r="B5449"/>
          <cell r="C5449"/>
          <cell r="E5449"/>
          <cell r="F5449"/>
          <cell r="G5449"/>
          <cell r="H5449"/>
          <cell r="J5449"/>
          <cell r="L5449"/>
          <cell r="M5449"/>
        </row>
        <row r="5450">
          <cell r="B5450"/>
          <cell r="C5450"/>
          <cell r="E5450"/>
          <cell r="F5450"/>
          <cell r="G5450"/>
          <cell r="H5450"/>
          <cell r="J5450"/>
          <cell r="L5450"/>
          <cell r="M5450"/>
        </row>
        <row r="5451">
          <cell r="B5451"/>
          <cell r="C5451"/>
          <cell r="E5451"/>
          <cell r="F5451"/>
          <cell r="G5451"/>
          <cell r="H5451"/>
          <cell r="J5451"/>
          <cell r="L5451"/>
          <cell r="M5451"/>
        </row>
        <row r="5452">
          <cell r="B5452"/>
          <cell r="C5452"/>
          <cell r="E5452"/>
          <cell r="F5452"/>
          <cell r="G5452"/>
          <cell r="H5452"/>
          <cell r="J5452"/>
          <cell r="L5452"/>
          <cell r="M5452"/>
        </row>
        <row r="5453">
          <cell r="B5453"/>
          <cell r="C5453"/>
          <cell r="E5453"/>
          <cell r="F5453"/>
          <cell r="G5453"/>
          <cell r="H5453"/>
          <cell r="J5453"/>
          <cell r="L5453"/>
          <cell r="M5453"/>
        </row>
        <row r="5454">
          <cell r="B5454"/>
          <cell r="C5454"/>
          <cell r="E5454"/>
          <cell r="F5454"/>
          <cell r="G5454"/>
          <cell r="H5454"/>
          <cell r="J5454"/>
          <cell r="L5454"/>
          <cell r="M5454"/>
        </row>
        <row r="5455">
          <cell r="B5455"/>
          <cell r="C5455"/>
          <cell r="E5455"/>
          <cell r="F5455"/>
          <cell r="G5455"/>
          <cell r="H5455"/>
          <cell r="J5455"/>
          <cell r="L5455"/>
          <cell r="M5455"/>
        </row>
        <row r="5456">
          <cell r="B5456"/>
          <cell r="C5456"/>
          <cell r="E5456"/>
          <cell r="F5456"/>
          <cell r="G5456"/>
          <cell r="H5456"/>
          <cell r="J5456"/>
          <cell r="L5456"/>
          <cell r="M5456"/>
        </row>
        <row r="5457">
          <cell r="B5457"/>
          <cell r="C5457"/>
          <cell r="E5457"/>
          <cell r="F5457"/>
          <cell r="G5457"/>
          <cell r="H5457"/>
          <cell r="J5457"/>
          <cell r="L5457"/>
          <cell r="M5457"/>
        </row>
        <row r="5458">
          <cell r="B5458"/>
          <cell r="C5458"/>
          <cell r="E5458"/>
          <cell r="F5458"/>
          <cell r="G5458"/>
          <cell r="H5458"/>
          <cell r="J5458"/>
          <cell r="L5458"/>
          <cell r="M5458"/>
        </row>
        <row r="5459">
          <cell r="B5459"/>
          <cell r="C5459"/>
          <cell r="E5459"/>
          <cell r="F5459"/>
          <cell r="G5459"/>
          <cell r="H5459"/>
          <cell r="J5459"/>
          <cell r="L5459"/>
          <cell r="M5459"/>
        </row>
        <row r="5460">
          <cell r="B5460"/>
          <cell r="C5460"/>
          <cell r="E5460"/>
          <cell r="F5460"/>
          <cell r="G5460"/>
          <cell r="H5460"/>
          <cell r="J5460"/>
          <cell r="L5460"/>
          <cell r="M5460"/>
        </row>
        <row r="5461">
          <cell r="B5461"/>
          <cell r="C5461"/>
          <cell r="E5461"/>
          <cell r="F5461"/>
          <cell r="G5461"/>
          <cell r="H5461"/>
          <cell r="J5461"/>
          <cell r="L5461"/>
          <cell r="M5461"/>
        </row>
        <row r="5462">
          <cell r="B5462"/>
          <cell r="C5462"/>
          <cell r="E5462"/>
          <cell r="F5462"/>
          <cell r="G5462"/>
          <cell r="H5462"/>
          <cell r="J5462"/>
          <cell r="L5462"/>
          <cell r="M5462"/>
        </row>
        <row r="5463">
          <cell r="B5463"/>
          <cell r="C5463"/>
          <cell r="E5463"/>
          <cell r="F5463"/>
          <cell r="G5463"/>
          <cell r="H5463"/>
          <cell r="J5463"/>
          <cell r="L5463"/>
          <cell r="M5463"/>
        </row>
        <row r="5464">
          <cell r="B5464"/>
          <cell r="C5464"/>
          <cell r="E5464"/>
          <cell r="F5464"/>
          <cell r="G5464"/>
          <cell r="H5464"/>
          <cell r="J5464"/>
          <cell r="L5464"/>
          <cell r="M5464"/>
        </row>
        <row r="5465">
          <cell r="B5465"/>
          <cell r="C5465"/>
          <cell r="E5465"/>
          <cell r="F5465"/>
          <cell r="G5465"/>
          <cell r="H5465"/>
          <cell r="J5465"/>
          <cell r="L5465"/>
          <cell r="M5465"/>
        </row>
        <row r="5466">
          <cell r="B5466"/>
          <cell r="C5466"/>
          <cell r="E5466"/>
          <cell r="F5466"/>
          <cell r="G5466"/>
          <cell r="H5466"/>
          <cell r="J5466"/>
          <cell r="L5466"/>
          <cell r="M5466"/>
        </row>
        <row r="5467">
          <cell r="B5467"/>
          <cell r="C5467"/>
          <cell r="E5467"/>
          <cell r="F5467"/>
          <cell r="G5467"/>
          <cell r="H5467"/>
          <cell r="J5467"/>
          <cell r="L5467"/>
          <cell r="M5467"/>
        </row>
        <row r="5468">
          <cell r="B5468"/>
          <cell r="C5468"/>
          <cell r="E5468"/>
          <cell r="F5468"/>
          <cell r="G5468"/>
          <cell r="H5468"/>
          <cell r="J5468"/>
          <cell r="L5468"/>
          <cell r="M5468"/>
        </row>
        <row r="5469">
          <cell r="B5469"/>
          <cell r="C5469"/>
          <cell r="E5469"/>
          <cell r="F5469"/>
          <cell r="G5469"/>
          <cell r="H5469"/>
          <cell r="J5469"/>
          <cell r="L5469"/>
          <cell r="M5469"/>
        </row>
        <row r="5470">
          <cell r="B5470"/>
          <cell r="C5470"/>
          <cell r="E5470"/>
          <cell r="F5470"/>
          <cell r="G5470"/>
          <cell r="H5470"/>
          <cell r="J5470"/>
          <cell r="L5470"/>
          <cell r="M5470"/>
        </row>
        <row r="5471">
          <cell r="B5471"/>
          <cell r="C5471"/>
          <cell r="E5471"/>
          <cell r="F5471"/>
          <cell r="G5471"/>
          <cell r="H5471"/>
          <cell r="J5471"/>
          <cell r="L5471"/>
          <cell r="M5471"/>
        </row>
        <row r="5472">
          <cell r="B5472"/>
          <cell r="C5472"/>
          <cell r="E5472"/>
          <cell r="F5472"/>
          <cell r="G5472"/>
          <cell r="H5472"/>
          <cell r="J5472"/>
          <cell r="L5472"/>
          <cell r="M5472"/>
        </row>
        <row r="5473">
          <cell r="B5473"/>
          <cell r="C5473"/>
          <cell r="E5473"/>
          <cell r="F5473"/>
          <cell r="G5473"/>
          <cell r="H5473"/>
          <cell r="J5473"/>
          <cell r="L5473"/>
          <cell r="M5473"/>
        </row>
        <row r="5474">
          <cell r="B5474"/>
          <cell r="C5474"/>
          <cell r="E5474"/>
          <cell r="F5474"/>
          <cell r="G5474"/>
          <cell r="H5474"/>
          <cell r="J5474"/>
          <cell r="L5474"/>
          <cell r="M5474"/>
        </row>
        <row r="5475">
          <cell r="B5475"/>
          <cell r="C5475"/>
          <cell r="E5475"/>
          <cell r="F5475"/>
          <cell r="G5475"/>
          <cell r="H5475"/>
          <cell r="J5475"/>
          <cell r="L5475"/>
          <cell r="M5475"/>
        </row>
        <row r="5476">
          <cell r="B5476"/>
          <cell r="C5476"/>
          <cell r="E5476"/>
          <cell r="F5476"/>
          <cell r="G5476"/>
          <cell r="H5476"/>
          <cell r="J5476"/>
          <cell r="L5476"/>
          <cell r="M5476"/>
        </row>
        <row r="5477">
          <cell r="B5477"/>
          <cell r="C5477"/>
          <cell r="E5477"/>
          <cell r="F5477"/>
          <cell r="G5477"/>
          <cell r="H5477"/>
          <cell r="J5477"/>
          <cell r="L5477"/>
          <cell r="M5477"/>
        </row>
        <row r="5478">
          <cell r="B5478"/>
          <cell r="C5478"/>
          <cell r="E5478"/>
          <cell r="F5478"/>
          <cell r="G5478"/>
          <cell r="H5478"/>
          <cell r="J5478"/>
          <cell r="L5478"/>
          <cell r="M5478"/>
        </row>
        <row r="5479">
          <cell r="B5479"/>
          <cell r="C5479"/>
          <cell r="E5479"/>
          <cell r="F5479"/>
          <cell r="G5479"/>
          <cell r="H5479"/>
          <cell r="J5479"/>
          <cell r="L5479"/>
          <cell r="M5479"/>
        </row>
        <row r="5480">
          <cell r="B5480"/>
          <cell r="C5480"/>
          <cell r="E5480"/>
          <cell r="F5480"/>
          <cell r="G5480"/>
          <cell r="H5480"/>
          <cell r="J5480"/>
          <cell r="L5480"/>
          <cell r="M5480"/>
        </row>
        <row r="5481">
          <cell r="B5481"/>
          <cell r="C5481"/>
          <cell r="E5481"/>
          <cell r="F5481"/>
          <cell r="G5481"/>
          <cell r="H5481"/>
          <cell r="J5481"/>
          <cell r="L5481"/>
          <cell r="M5481"/>
        </row>
        <row r="5482">
          <cell r="B5482"/>
          <cell r="C5482"/>
          <cell r="E5482"/>
          <cell r="F5482"/>
          <cell r="G5482"/>
          <cell r="H5482"/>
          <cell r="J5482"/>
          <cell r="L5482"/>
          <cell r="M5482"/>
        </row>
        <row r="5483">
          <cell r="B5483"/>
          <cell r="C5483"/>
          <cell r="E5483"/>
          <cell r="F5483"/>
          <cell r="G5483"/>
          <cell r="H5483"/>
          <cell r="J5483"/>
          <cell r="L5483"/>
          <cell r="M5483"/>
        </row>
        <row r="5484">
          <cell r="B5484"/>
          <cell r="C5484"/>
          <cell r="E5484"/>
          <cell r="F5484"/>
          <cell r="G5484"/>
          <cell r="H5484"/>
          <cell r="J5484"/>
          <cell r="L5484"/>
          <cell r="M5484"/>
        </row>
        <row r="5485">
          <cell r="B5485"/>
          <cell r="C5485"/>
          <cell r="E5485"/>
          <cell r="F5485"/>
          <cell r="G5485"/>
          <cell r="H5485"/>
          <cell r="J5485"/>
          <cell r="L5485"/>
          <cell r="M5485"/>
        </row>
        <row r="5486">
          <cell r="B5486"/>
          <cell r="C5486"/>
          <cell r="E5486"/>
          <cell r="F5486"/>
          <cell r="G5486"/>
          <cell r="H5486"/>
          <cell r="J5486"/>
          <cell r="L5486"/>
          <cell r="M5486"/>
        </row>
        <row r="5487">
          <cell r="B5487"/>
          <cell r="C5487"/>
          <cell r="E5487"/>
          <cell r="F5487"/>
          <cell r="G5487"/>
          <cell r="H5487"/>
          <cell r="J5487"/>
          <cell r="L5487"/>
          <cell r="M5487"/>
        </row>
        <row r="5488">
          <cell r="B5488"/>
          <cell r="C5488"/>
          <cell r="E5488"/>
          <cell r="F5488"/>
          <cell r="G5488"/>
          <cell r="H5488"/>
          <cell r="J5488"/>
          <cell r="L5488"/>
          <cell r="M5488"/>
        </row>
        <row r="5489">
          <cell r="B5489"/>
          <cell r="C5489"/>
          <cell r="E5489"/>
          <cell r="F5489"/>
          <cell r="G5489"/>
          <cell r="H5489"/>
          <cell r="J5489"/>
          <cell r="L5489"/>
          <cell r="M5489"/>
        </row>
        <row r="5490">
          <cell r="B5490"/>
          <cell r="C5490"/>
          <cell r="E5490"/>
          <cell r="F5490"/>
          <cell r="G5490"/>
          <cell r="H5490"/>
          <cell r="J5490"/>
          <cell r="L5490"/>
          <cell r="M5490"/>
        </row>
        <row r="5491">
          <cell r="B5491"/>
          <cell r="C5491"/>
          <cell r="E5491"/>
          <cell r="F5491"/>
          <cell r="G5491"/>
          <cell r="H5491"/>
          <cell r="J5491"/>
          <cell r="L5491"/>
          <cell r="M5491"/>
        </row>
        <row r="5492">
          <cell r="B5492"/>
          <cell r="C5492"/>
          <cell r="E5492"/>
          <cell r="F5492"/>
          <cell r="G5492"/>
          <cell r="H5492"/>
          <cell r="J5492"/>
          <cell r="L5492"/>
          <cell r="M5492"/>
        </row>
        <row r="5493">
          <cell r="B5493"/>
          <cell r="C5493"/>
          <cell r="E5493"/>
          <cell r="F5493"/>
          <cell r="G5493"/>
          <cell r="H5493"/>
          <cell r="J5493"/>
          <cell r="L5493"/>
          <cell r="M5493"/>
        </row>
        <row r="5494">
          <cell r="B5494"/>
          <cell r="C5494"/>
          <cell r="E5494"/>
          <cell r="F5494"/>
          <cell r="G5494"/>
          <cell r="H5494"/>
          <cell r="J5494"/>
          <cell r="L5494"/>
          <cell r="M5494"/>
        </row>
        <row r="5495">
          <cell r="B5495"/>
          <cell r="C5495"/>
          <cell r="E5495"/>
          <cell r="F5495"/>
          <cell r="G5495"/>
          <cell r="H5495"/>
          <cell r="J5495"/>
          <cell r="L5495"/>
          <cell r="M5495"/>
        </row>
        <row r="5496">
          <cell r="B5496"/>
          <cell r="C5496"/>
          <cell r="E5496"/>
          <cell r="F5496"/>
          <cell r="G5496"/>
          <cell r="H5496"/>
          <cell r="J5496"/>
          <cell r="L5496"/>
          <cell r="M5496"/>
        </row>
        <row r="5497">
          <cell r="B5497"/>
          <cell r="C5497"/>
          <cell r="E5497"/>
          <cell r="F5497"/>
          <cell r="G5497"/>
          <cell r="H5497"/>
          <cell r="J5497"/>
          <cell r="L5497"/>
          <cell r="M5497"/>
        </row>
        <row r="5498">
          <cell r="B5498"/>
          <cell r="C5498"/>
          <cell r="E5498"/>
          <cell r="F5498"/>
          <cell r="G5498"/>
          <cell r="H5498"/>
          <cell r="J5498"/>
          <cell r="L5498"/>
          <cell r="M5498"/>
        </row>
        <row r="5499">
          <cell r="B5499"/>
          <cell r="C5499"/>
          <cell r="E5499"/>
          <cell r="F5499"/>
          <cell r="G5499"/>
          <cell r="H5499"/>
          <cell r="J5499"/>
          <cell r="L5499"/>
          <cell r="M5499"/>
        </row>
        <row r="5500">
          <cell r="B5500"/>
          <cell r="C5500"/>
          <cell r="E5500"/>
          <cell r="F5500"/>
          <cell r="G5500"/>
          <cell r="H5500"/>
          <cell r="J5500"/>
          <cell r="L5500"/>
          <cell r="M5500"/>
        </row>
        <row r="5501">
          <cell r="B5501"/>
          <cell r="C5501"/>
          <cell r="E5501"/>
          <cell r="F5501"/>
          <cell r="G5501"/>
          <cell r="H5501"/>
          <cell r="J5501"/>
          <cell r="L5501"/>
          <cell r="M5501"/>
        </row>
        <row r="5502">
          <cell r="B5502"/>
          <cell r="C5502"/>
          <cell r="E5502"/>
          <cell r="F5502"/>
          <cell r="G5502"/>
          <cell r="H5502"/>
          <cell r="J5502"/>
          <cell r="L5502"/>
          <cell r="M5502"/>
        </row>
        <row r="5503">
          <cell r="B5503"/>
          <cell r="C5503"/>
          <cell r="E5503"/>
          <cell r="F5503"/>
          <cell r="G5503"/>
          <cell r="H5503"/>
          <cell r="J5503"/>
          <cell r="L5503"/>
          <cell r="M5503"/>
        </row>
        <row r="5504">
          <cell r="B5504"/>
          <cell r="C5504"/>
          <cell r="E5504"/>
          <cell r="F5504"/>
          <cell r="G5504"/>
          <cell r="H5504"/>
          <cell r="J5504"/>
          <cell r="L5504"/>
          <cell r="M5504"/>
        </row>
        <row r="5505">
          <cell r="B5505"/>
          <cell r="C5505"/>
          <cell r="E5505"/>
          <cell r="F5505"/>
          <cell r="G5505"/>
          <cell r="H5505"/>
          <cell r="J5505"/>
          <cell r="L5505"/>
          <cell r="M5505"/>
        </row>
        <row r="5506">
          <cell r="B5506"/>
          <cell r="C5506"/>
          <cell r="E5506"/>
          <cell r="F5506"/>
          <cell r="G5506"/>
          <cell r="H5506"/>
          <cell r="J5506"/>
          <cell r="L5506"/>
          <cell r="M5506"/>
        </row>
        <row r="5507">
          <cell r="B5507"/>
          <cell r="C5507"/>
          <cell r="E5507"/>
          <cell r="F5507"/>
          <cell r="G5507"/>
          <cell r="H5507"/>
          <cell r="J5507"/>
          <cell r="L5507"/>
          <cell r="M5507"/>
        </row>
        <row r="5508">
          <cell r="B5508"/>
          <cell r="C5508"/>
          <cell r="E5508"/>
          <cell r="F5508"/>
          <cell r="G5508"/>
          <cell r="H5508"/>
          <cell r="J5508"/>
          <cell r="L5508"/>
          <cell r="M5508"/>
        </row>
        <row r="5509">
          <cell r="B5509"/>
          <cell r="C5509"/>
          <cell r="E5509"/>
          <cell r="F5509"/>
          <cell r="G5509"/>
          <cell r="H5509"/>
          <cell r="J5509"/>
          <cell r="L5509"/>
          <cell r="M5509"/>
        </row>
        <row r="5510">
          <cell r="B5510"/>
          <cell r="C5510"/>
          <cell r="E5510"/>
          <cell r="F5510"/>
          <cell r="G5510"/>
          <cell r="H5510"/>
          <cell r="J5510"/>
          <cell r="L5510"/>
          <cell r="M5510"/>
        </row>
        <row r="5511">
          <cell r="B5511"/>
          <cell r="C5511"/>
          <cell r="E5511"/>
          <cell r="F5511"/>
          <cell r="G5511"/>
          <cell r="H5511"/>
          <cell r="J5511"/>
          <cell r="L5511"/>
          <cell r="M5511"/>
        </row>
        <row r="5512">
          <cell r="B5512"/>
          <cell r="C5512"/>
          <cell r="E5512"/>
          <cell r="F5512"/>
          <cell r="G5512"/>
          <cell r="H5512"/>
          <cell r="J5512"/>
          <cell r="L5512"/>
          <cell r="M5512"/>
        </row>
        <row r="5513">
          <cell r="B5513"/>
          <cell r="C5513"/>
          <cell r="E5513"/>
          <cell r="F5513"/>
          <cell r="G5513"/>
          <cell r="H5513"/>
          <cell r="J5513"/>
          <cell r="L5513"/>
          <cell r="M5513"/>
        </row>
        <row r="5514">
          <cell r="B5514"/>
          <cell r="C5514"/>
          <cell r="E5514"/>
          <cell r="F5514"/>
          <cell r="G5514"/>
          <cell r="H5514"/>
          <cell r="J5514"/>
          <cell r="L5514"/>
          <cell r="M5514"/>
        </row>
        <row r="5515">
          <cell r="B5515"/>
          <cell r="C5515"/>
          <cell r="E5515"/>
          <cell r="F5515"/>
          <cell r="G5515"/>
          <cell r="H5515"/>
          <cell r="J5515"/>
          <cell r="L5515"/>
          <cell r="M5515"/>
        </row>
        <row r="5516">
          <cell r="B5516"/>
          <cell r="C5516"/>
          <cell r="E5516"/>
          <cell r="F5516"/>
          <cell r="G5516"/>
          <cell r="H5516"/>
          <cell r="J5516"/>
          <cell r="L5516"/>
          <cell r="M5516"/>
        </row>
        <row r="5517">
          <cell r="B5517"/>
          <cell r="C5517"/>
          <cell r="E5517"/>
          <cell r="F5517"/>
          <cell r="G5517"/>
          <cell r="H5517"/>
          <cell r="J5517"/>
          <cell r="L5517"/>
          <cell r="M5517"/>
        </row>
        <row r="5518">
          <cell r="B5518"/>
          <cell r="C5518"/>
          <cell r="E5518"/>
          <cell r="F5518"/>
          <cell r="G5518"/>
          <cell r="H5518"/>
          <cell r="J5518"/>
          <cell r="L5518"/>
          <cell r="M5518"/>
        </row>
        <row r="5519">
          <cell r="B5519"/>
          <cell r="C5519"/>
          <cell r="E5519"/>
          <cell r="F5519"/>
          <cell r="G5519"/>
          <cell r="H5519"/>
          <cell r="J5519"/>
          <cell r="L5519"/>
          <cell r="M5519"/>
        </row>
        <row r="5520">
          <cell r="B5520"/>
          <cell r="C5520"/>
          <cell r="E5520"/>
          <cell r="F5520"/>
          <cell r="G5520"/>
          <cell r="H5520"/>
          <cell r="J5520"/>
          <cell r="L5520"/>
          <cell r="M5520"/>
        </row>
        <row r="5521">
          <cell r="B5521"/>
          <cell r="C5521"/>
          <cell r="E5521"/>
          <cell r="F5521"/>
          <cell r="G5521"/>
          <cell r="H5521"/>
          <cell r="J5521"/>
          <cell r="L5521"/>
          <cell r="M5521"/>
        </row>
        <row r="5522">
          <cell r="B5522"/>
          <cell r="C5522"/>
          <cell r="E5522"/>
          <cell r="F5522"/>
          <cell r="G5522"/>
          <cell r="H5522"/>
          <cell r="J5522"/>
          <cell r="L5522"/>
          <cell r="M5522"/>
        </row>
        <row r="5523">
          <cell r="B5523"/>
          <cell r="C5523"/>
          <cell r="E5523"/>
          <cell r="F5523"/>
          <cell r="G5523"/>
          <cell r="H5523"/>
          <cell r="J5523"/>
          <cell r="L5523"/>
          <cell r="M5523"/>
        </row>
        <row r="5524">
          <cell r="B5524"/>
          <cell r="C5524"/>
          <cell r="E5524"/>
          <cell r="F5524"/>
          <cell r="G5524"/>
          <cell r="H5524"/>
          <cell r="J5524"/>
          <cell r="L5524"/>
          <cell r="M5524"/>
        </row>
        <row r="5525">
          <cell r="B5525"/>
          <cell r="C5525"/>
          <cell r="E5525"/>
          <cell r="F5525"/>
          <cell r="G5525"/>
          <cell r="H5525"/>
          <cell r="J5525"/>
          <cell r="L5525"/>
          <cell r="M5525"/>
        </row>
        <row r="5526">
          <cell r="B5526"/>
          <cell r="C5526"/>
          <cell r="E5526"/>
          <cell r="F5526"/>
          <cell r="G5526"/>
          <cell r="H5526"/>
          <cell r="J5526"/>
          <cell r="L5526"/>
          <cell r="M5526"/>
        </row>
        <row r="5527">
          <cell r="B5527"/>
          <cell r="C5527"/>
          <cell r="E5527"/>
          <cell r="F5527"/>
          <cell r="G5527"/>
          <cell r="H5527"/>
          <cell r="J5527"/>
          <cell r="L5527"/>
          <cell r="M5527"/>
        </row>
        <row r="5528">
          <cell r="B5528"/>
          <cell r="C5528"/>
          <cell r="E5528"/>
          <cell r="F5528"/>
          <cell r="G5528"/>
          <cell r="H5528"/>
          <cell r="J5528"/>
          <cell r="L5528"/>
          <cell r="M5528"/>
        </row>
        <row r="5529">
          <cell r="B5529"/>
          <cell r="C5529"/>
          <cell r="E5529"/>
          <cell r="F5529"/>
          <cell r="G5529"/>
          <cell r="H5529"/>
          <cell r="J5529"/>
          <cell r="L5529"/>
          <cell r="M5529"/>
        </row>
        <row r="5530">
          <cell r="B5530"/>
          <cell r="C5530"/>
          <cell r="E5530"/>
          <cell r="F5530"/>
          <cell r="G5530"/>
          <cell r="H5530"/>
          <cell r="J5530"/>
          <cell r="L5530"/>
          <cell r="M5530"/>
        </row>
        <row r="5531">
          <cell r="B5531"/>
          <cell r="C5531"/>
          <cell r="E5531"/>
          <cell r="F5531"/>
          <cell r="G5531"/>
          <cell r="H5531"/>
          <cell r="J5531"/>
          <cell r="L5531"/>
          <cell r="M5531"/>
        </row>
        <row r="5532">
          <cell r="B5532"/>
          <cell r="C5532"/>
          <cell r="E5532"/>
          <cell r="F5532"/>
          <cell r="G5532"/>
          <cell r="H5532"/>
          <cell r="J5532"/>
          <cell r="L5532"/>
          <cell r="M5532"/>
        </row>
        <row r="5533">
          <cell r="B5533"/>
          <cell r="C5533"/>
          <cell r="E5533"/>
          <cell r="F5533"/>
          <cell r="G5533"/>
          <cell r="H5533"/>
          <cell r="J5533"/>
          <cell r="L5533"/>
          <cell r="M5533"/>
        </row>
        <row r="5534">
          <cell r="B5534"/>
          <cell r="C5534"/>
          <cell r="E5534"/>
          <cell r="F5534"/>
          <cell r="G5534"/>
          <cell r="H5534"/>
          <cell r="J5534"/>
          <cell r="L5534"/>
          <cell r="M5534"/>
        </row>
        <row r="5535">
          <cell r="B5535"/>
          <cell r="C5535"/>
          <cell r="E5535"/>
          <cell r="F5535"/>
          <cell r="G5535"/>
          <cell r="H5535"/>
          <cell r="J5535"/>
          <cell r="L5535"/>
          <cell r="M5535"/>
        </row>
        <row r="5536">
          <cell r="B5536"/>
          <cell r="C5536"/>
          <cell r="E5536"/>
          <cell r="F5536"/>
          <cell r="G5536"/>
          <cell r="H5536"/>
          <cell r="J5536"/>
          <cell r="L5536"/>
          <cell r="M5536"/>
        </row>
        <row r="5537">
          <cell r="B5537"/>
          <cell r="C5537"/>
          <cell r="E5537"/>
          <cell r="F5537"/>
          <cell r="G5537"/>
          <cell r="H5537"/>
          <cell r="J5537"/>
          <cell r="L5537"/>
          <cell r="M5537"/>
        </row>
        <row r="5538">
          <cell r="B5538"/>
          <cell r="C5538"/>
          <cell r="E5538"/>
          <cell r="F5538"/>
          <cell r="G5538"/>
          <cell r="H5538"/>
          <cell r="J5538"/>
          <cell r="L5538"/>
          <cell r="M5538"/>
        </row>
        <row r="5539">
          <cell r="B5539"/>
          <cell r="C5539"/>
          <cell r="E5539"/>
          <cell r="F5539"/>
          <cell r="G5539"/>
          <cell r="H5539"/>
          <cell r="J5539"/>
          <cell r="L5539"/>
          <cell r="M5539"/>
        </row>
        <row r="5540">
          <cell r="B5540"/>
          <cell r="C5540"/>
          <cell r="E5540"/>
          <cell r="F5540"/>
          <cell r="G5540"/>
          <cell r="H5540"/>
          <cell r="J5540"/>
          <cell r="L5540"/>
          <cell r="M5540"/>
        </row>
        <row r="5541">
          <cell r="B5541"/>
          <cell r="C5541"/>
          <cell r="E5541"/>
          <cell r="F5541"/>
          <cell r="G5541"/>
          <cell r="H5541"/>
          <cell r="J5541"/>
          <cell r="L5541"/>
          <cell r="M5541"/>
        </row>
        <row r="5542">
          <cell r="B5542"/>
          <cell r="C5542"/>
          <cell r="E5542"/>
          <cell r="F5542"/>
          <cell r="G5542"/>
          <cell r="H5542"/>
          <cell r="J5542"/>
          <cell r="L5542"/>
          <cell r="M5542"/>
        </row>
        <row r="5543">
          <cell r="B5543"/>
          <cell r="C5543"/>
          <cell r="E5543"/>
          <cell r="F5543"/>
          <cell r="G5543"/>
          <cell r="H5543"/>
          <cell r="J5543"/>
          <cell r="L5543"/>
          <cell r="M5543"/>
        </row>
        <row r="5544">
          <cell r="B5544"/>
          <cell r="C5544"/>
          <cell r="E5544"/>
          <cell r="F5544"/>
          <cell r="G5544"/>
          <cell r="H5544"/>
          <cell r="J5544"/>
          <cell r="L5544"/>
          <cell r="M5544"/>
        </row>
        <row r="5545">
          <cell r="B5545"/>
          <cell r="C5545"/>
          <cell r="E5545"/>
          <cell r="F5545"/>
          <cell r="G5545"/>
          <cell r="H5545"/>
          <cell r="J5545"/>
          <cell r="L5545"/>
          <cell r="M5545"/>
        </row>
        <row r="5546">
          <cell r="B5546"/>
          <cell r="C5546"/>
          <cell r="E5546"/>
          <cell r="F5546"/>
          <cell r="G5546"/>
          <cell r="H5546"/>
          <cell r="J5546"/>
          <cell r="L5546"/>
          <cell r="M5546"/>
        </row>
        <row r="5547">
          <cell r="B5547"/>
          <cell r="C5547"/>
          <cell r="E5547"/>
          <cell r="F5547"/>
          <cell r="G5547"/>
          <cell r="H5547"/>
          <cell r="J5547"/>
          <cell r="L5547"/>
          <cell r="M5547"/>
        </row>
        <row r="5548">
          <cell r="B5548"/>
          <cell r="C5548"/>
          <cell r="E5548"/>
          <cell r="F5548"/>
          <cell r="G5548"/>
          <cell r="H5548"/>
          <cell r="J5548"/>
          <cell r="L5548"/>
          <cell r="M5548"/>
        </row>
        <row r="5549">
          <cell r="B5549"/>
          <cell r="C5549"/>
          <cell r="E5549"/>
          <cell r="F5549"/>
          <cell r="G5549"/>
          <cell r="H5549"/>
          <cell r="J5549"/>
          <cell r="L5549"/>
          <cell r="M5549"/>
        </row>
        <row r="5550">
          <cell r="B5550"/>
          <cell r="C5550"/>
          <cell r="E5550"/>
          <cell r="F5550"/>
          <cell r="G5550"/>
          <cell r="H5550"/>
          <cell r="J5550"/>
          <cell r="L5550"/>
          <cell r="M5550"/>
        </row>
        <row r="5551">
          <cell r="B5551"/>
          <cell r="C5551"/>
          <cell r="E5551"/>
          <cell r="F5551"/>
          <cell r="G5551"/>
          <cell r="H5551"/>
          <cell r="J5551"/>
          <cell r="L5551"/>
          <cell r="M5551"/>
        </row>
        <row r="5552">
          <cell r="B5552"/>
          <cell r="C5552"/>
          <cell r="E5552"/>
          <cell r="F5552"/>
          <cell r="G5552"/>
          <cell r="H5552"/>
          <cell r="J5552"/>
          <cell r="L5552"/>
          <cell r="M5552"/>
        </row>
        <row r="5553">
          <cell r="B5553"/>
          <cell r="C5553"/>
          <cell r="E5553"/>
          <cell r="F5553"/>
          <cell r="G5553"/>
          <cell r="H5553"/>
          <cell r="J5553"/>
          <cell r="L5553"/>
          <cell r="M5553"/>
        </row>
        <row r="5554">
          <cell r="B5554"/>
          <cell r="C5554"/>
          <cell r="E5554"/>
          <cell r="F5554"/>
          <cell r="G5554"/>
          <cell r="H5554"/>
          <cell r="J5554"/>
          <cell r="L5554"/>
          <cell r="M5554"/>
        </row>
        <row r="5555">
          <cell r="B5555"/>
          <cell r="C5555"/>
          <cell r="E5555"/>
          <cell r="F5555"/>
          <cell r="G5555"/>
          <cell r="H5555"/>
          <cell r="J5555"/>
          <cell r="L5555"/>
          <cell r="M5555"/>
        </row>
        <row r="5556">
          <cell r="B5556"/>
          <cell r="C5556"/>
          <cell r="E5556"/>
          <cell r="F5556"/>
          <cell r="G5556"/>
          <cell r="H5556"/>
          <cell r="J5556"/>
          <cell r="L5556"/>
          <cell r="M5556"/>
        </row>
        <row r="5557">
          <cell r="B5557"/>
          <cell r="C5557"/>
          <cell r="E5557"/>
          <cell r="F5557"/>
          <cell r="G5557"/>
          <cell r="H5557"/>
          <cell r="J5557"/>
          <cell r="L5557"/>
          <cell r="M5557"/>
        </row>
        <row r="5558">
          <cell r="B5558"/>
          <cell r="C5558"/>
          <cell r="E5558"/>
          <cell r="F5558"/>
          <cell r="G5558"/>
          <cell r="H5558"/>
          <cell r="J5558"/>
          <cell r="L5558"/>
          <cell r="M5558"/>
        </row>
        <row r="5559">
          <cell r="B5559"/>
          <cell r="C5559"/>
          <cell r="E5559"/>
          <cell r="F5559"/>
          <cell r="G5559"/>
          <cell r="H5559"/>
          <cell r="J5559"/>
          <cell r="L5559"/>
          <cell r="M5559"/>
        </row>
        <row r="5560">
          <cell r="B5560"/>
          <cell r="C5560"/>
          <cell r="E5560"/>
          <cell r="F5560"/>
          <cell r="G5560"/>
          <cell r="H5560"/>
          <cell r="J5560"/>
          <cell r="L5560"/>
          <cell r="M5560"/>
        </row>
        <row r="5561">
          <cell r="B5561"/>
          <cell r="C5561"/>
          <cell r="E5561"/>
          <cell r="F5561"/>
          <cell r="G5561"/>
          <cell r="H5561"/>
          <cell r="J5561"/>
          <cell r="L5561"/>
          <cell r="M5561"/>
        </row>
        <row r="5562">
          <cell r="B5562"/>
          <cell r="C5562"/>
          <cell r="E5562"/>
          <cell r="F5562"/>
          <cell r="G5562"/>
          <cell r="H5562"/>
          <cell r="J5562"/>
          <cell r="L5562"/>
          <cell r="M5562"/>
        </row>
        <row r="5563">
          <cell r="B5563"/>
          <cell r="C5563"/>
          <cell r="E5563"/>
          <cell r="F5563"/>
          <cell r="G5563"/>
          <cell r="H5563"/>
          <cell r="J5563"/>
          <cell r="L5563"/>
          <cell r="M5563"/>
        </row>
        <row r="5564">
          <cell r="B5564"/>
          <cell r="C5564"/>
          <cell r="E5564"/>
          <cell r="F5564"/>
          <cell r="G5564"/>
          <cell r="H5564"/>
          <cell r="J5564"/>
          <cell r="L5564"/>
          <cell r="M5564"/>
        </row>
        <row r="5565">
          <cell r="B5565"/>
          <cell r="C5565"/>
          <cell r="E5565"/>
          <cell r="F5565"/>
          <cell r="G5565"/>
          <cell r="H5565"/>
          <cell r="J5565"/>
          <cell r="L5565"/>
          <cell r="M5565"/>
        </row>
        <row r="5566">
          <cell r="B5566"/>
          <cell r="C5566"/>
          <cell r="E5566"/>
          <cell r="F5566"/>
          <cell r="G5566"/>
          <cell r="H5566"/>
          <cell r="J5566"/>
          <cell r="L5566"/>
          <cell r="M5566"/>
        </row>
        <row r="5567">
          <cell r="B5567"/>
          <cell r="C5567"/>
          <cell r="E5567"/>
          <cell r="F5567"/>
          <cell r="G5567"/>
          <cell r="H5567"/>
          <cell r="J5567"/>
          <cell r="L5567"/>
          <cell r="M5567"/>
        </row>
        <row r="5568">
          <cell r="B5568"/>
          <cell r="C5568"/>
          <cell r="E5568"/>
          <cell r="F5568"/>
          <cell r="G5568"/>
          <cell r="H5568"/>
          <cell r="J5568"/>
          <cell r="L5568"/>
          <cell r="M5568"/>
        </row>
        <row r="5569">
          <cell r="B5569"/>
          <cell r="C5569"/>
          <cell r="E5569"/>
          <cell r="F5569"/>
          <cell r="G5569"/>
          <cell r="H5569"/>
          <cell r="J5569"/>
          <cell r="L5569"/>
          <cell r="M5569"/>
        </row>
        <row r="5570">
          <cell r="B5570"/>
          <cell r="C5570"/>
          <cell r="E5570"/>
          <cell r="F5570"/>
          <cell r="G5570"/>
          <cell r="H5570"/>
          <cell r="J5570"/>
          <cell r="L5570"/>
          <cell r="M5570"/>
        </row>
        <row r="5571">
          <cell r="B5571"/>
          <cell r="C5571"/>
          <cell r="E5571"/>
          <cell r="F5571"/>
          <cell r="G5571"/>
          <cell r="H5571"/>
          <cell r="J5571"/>
          <cell r="L5571"/>
          <cell r="M5571"/>
        </row>
        <row r="5572">
          <cell r="B5572"/>
          <cell r="C5572"/>
          <cell r="E5572"/>
          <cell r="F5572"/>
          <cell r="G5572"/>
          <cell r="H5572"/>
          <cell r="J5572"/>
          <cell r="L5572"/>
          <cell r="M5572"/>
        </row>
        <row r="5573">
          <cell r="B5573"/>
          <cell r="C5573"/>
          <cell r="E5573"/>
          <cell r="F5573"/>
          <cell r="G5573"/>
          <cell r="H5573"/>
          <cell r="J5573"/>
          <cell r="L5573"/>
          <cell r="M5573"/>
        </row>
        <row r="5574">
          <cell r="B5574"/>
          <cell r="C5574"/>
          <cell r="E5574"/>
          <cell r="F5574"/>
          <cell r="G5574"/>
          <cell r="H5574"/>
          <cell r="J5574"/>
          <cell r="L5574"/>
          <cell r="M5574"/>
        </row>
        <row r="5575">
          <cell r="B5575"/>
          <cell r="C5575"/>
          <cell r="E5575"/>
          <cell r="F5575"/>
          <cell r="G5575"/>
          <cell r="H5575"/>
          <cell r="J5575"/>
          <cell r="L5575"/>
          <cell r="M5575"/>
        </row>
        <row r="5576">
          <cell r="B5576"/>
          <cell r="C5576"/>
          <cell r="E5576"/>
          <cell r="F5576"/>
          <cell r="G5576"/>
          <cell r="H5576"/>
          <cell r="J5576"/>
          <cell r="L5576"/>
          <cell r="M5576"/>
        </row>
        <row r="5577">
          <cell r="B5577"/>
          <cell r="C5577"/>
          <cell r="E5577"/>
          <cell r="F5577"/>
          <cell r="G5577"/>
          <cell r="H5577"/>
          <cell r="J5577"/>
          <cell r="L5577"/>
          <cell r="M5577"/>
        </row>
        <row r="5578">
          <cell r="B5578"/>
          <cell r="C5578"/>
          <cell r="E5578"/>
          <cell r="F5578"/>
          <cell r="G5578"/>
          <cell r="H5578"/>
          <cell r="J5578"/>
          <cell r="L5578"/>
          <cell r="M5578"/>
        </row>
        <row r="5579">
          <cell r="B5579"/>
          <cell r="C5579"/>
          <cell r="E5579"/>
          <cell r="F5579"/>
          <cell r="G5579"/>
          <cell r="H5579"/>
          <cell r="J5579"/>
          <cell r="L5579"/>
          <cell r="M5579"/>
        </row>
        <row r="5580">
          <cell r="B5580"/>
          <cell r="C5580"/>
          <cell r="E5580"/>
          <cell r="F5580"/>
          <cell r="G5580"/>
          <cell r="H5580"/>
          <cell r="J5580"/>
          <cell r="L5580"/>
          <cell r="M5580"/>
        </row>
        <row r="5581">
          <cell r="B5581"/>
          <cell r="C5581"/>
          <cell r="E5581"/>
          <cell r="F5581"/>
          <cell r="G5581"/>
          <cell r="H5581"/>
          <cell r="J5581"/>
          <cell r="L5581"/>
          <cell r="M5581"/>
        </row>
        <row r="5582">
          <cell r="B5582"/>
          <cell r="C5582"/>
          <cell r="E5582"/>
          <cell r="F5582"/>
          <cell r="G5582"/>
          <cell r="H5582"/>
          <cell r="J5582"/>
          <cell r="L5582"/>
          <cell r="M5582"/>
        </row>
        <row r="5583">
          <cell r="B5583"/>
          <cell r="C5583"/>
          <cell r="E5583"/>
          <cell r="F5583"/>
          <cell r="G5583"/>
          <cell r="H5583"/>
          <cell r="J5583"/>
          <cell r="L5583"/>
          <cell r="M5583"/>
        </row>
        <row r="5584">
          <cell r="B5584"/>
          <cell r="C5584"/>
          <cell r="E5584"/>
          <cell r="F5584"/>
          <cell r="G5584"/>
          <cell r="H5584"/>
          <cell r="J5584"/>
          <cell r="L5584"/>
          <cell r="M5584"/>
        </row>
        <row r="5585">
          <cell r="B5585"/>
          <cell r="C5585"/>
          <cell r="E5585"/>
          <cell r="F5585"/>
          <cell r="G5585"/>
          <cell r="H5585"/>
          <cell r="J5585"/>
          <cell r="L5585"/>
          <cell r="M5585"/>
        </row>
        <row r="5586">
          <cell r="B5586"/>
          <cell r="C5586"/>
          <cell r="E5586"/>
          <cell r="F5586"/>
          <cell r="G5586"/>
          <cell r="H5586"/>
          <cell r="J5586"/>
          <cell r="L5586"/>
          <cell r="M5586"/>
        </row>
        <row r="5587">
          <cell r="B5587"/>
          <cell r="C5587"/>
          <cell r="E5587"/>
          <cell r="F5587"/>
          <cell r="G5587"/>
          <cell r="H5587"/>
          <cell r="J5587"/>
          <cell r="L5587"/>
          <cell r="M5587"/>
        </row>
        <row r="5588">
          <cell r="B5588"/>
          <cell r="C5588"/>
          <cell r="E5588"/>
          <cell r="F5588"/>
          <cell r="G5588"/>
          <cell r="H5588"/>
          <cell r="J5588"/>
          <cell r="L5588"/>
          <cell r="M5588"/>
        </row>
        <row r="5589">
          <cell r="B5589"/>
          <cell r="C5589"/>
          <cell r="E5589"/>
          <cell r="F5589"/>
          <cell r="G5589"/>
          <cell r="H5589"/>
          <cell r="J5589"/>
          <cell r="L5589"/>
          <cell r="M5589"/>
        </row>
        <row r="5590">
          <cell r="B5590"/>
          <cell r="C5590"/>
          <cell r="E5590"/>
          <cell r="F5590"/>
          <cell r="G5590"/>
          <cell r="H5590"/>
          <cell r="J5590"/>
          <cell r="L5590"/>
          <cell r="M5590"/>
        </row>
        <row r="5591">
          <cell r="B5591"/>
          <cell r="C5591"/>
          <cell r="E5591"/>
          <cell r="F5591"/>
          <cell r="G5591"/>
          <cell r="H5591"/>
          <cell r="J5591"/>
          <cell r="L5591"/>
          <cell r="M5591"/>
        </row>
        <row r="5592">
          <cell r="B5592"/>
          <cell r="C5592"/>
          <cell r="E5592"/>
          <cell r="F5592"/>
          <cell r="G5592"/>
          <cell r="H5592"/>
          <cell r="J5592"/>
          <cell r="L5592"/>
          <cell r="M5592"/>
        </row>
        <row r="5593">
          <cell r="B5593"/>
          <cell r="C5593"/>
          <cell r="E5593"/>
          <cell r="F5593"/>
          <cell r="G5593"/>
          <cell r="H5593"/>
          <cell r="J5593"/>
          <cell r="L5593"/>
          <cell r="M5593"/>
        </row>
        <row r="5594">
          <cell r="B5594"/>
          <cell r="C5594"/>
          <cell r="E5594"/>
          <cell r="F5594"/>
          <cell r="G5594"/>
          <cell r="H5594"/>
          <cell r="J5594"/>
          <cell r="L5594"/>
          <cell r="M5594"/>
        </row>
        <row r="5595">
          <cell r="B5595"/>
          <cell r="C5595"/>
          <cell r="E5595"/>
          <cell r="F5595"/>
          <cell r="G5595"/>
          <cell r="H5595"/>
          <cell r="J5595"/>
          <cell r="L5595"/>
          <cell r="M5595"/>
        </row>
        <row r="5596">
          <cell r="B5596"/>
          <cell r="C5596"/>
          <cell r="E5596"/>
          <cell r="F5596"/>
          <cell r="G5596"/>
          <cell r="H5596"/>
          <cell r="J5596"/>
          <cell r="L5596"/>
          <cell r="M5596"/>
        </row>
        <row r="5597">
          <cell r="B5597"/>
          <cell r="C5597"/>
          <cell r="E5597"/>
          <cell r="F5597"/>
          <cell r="G5597"/>
          <cell r="H5597"/>
          <cell r="J5597"/>
          <cell r="L5597"/>
          <cell r="M5597"/>
        </row>
        <row r="5598">
          <cell r="B5598"/>
          <cell r="C5598"/>
          <cell r="E5598"/>
          <cell r="F5598"/>
          <cell r="G5598"/>
          <cell r="H5598"/>
          <cell r="J5598"/>
          <cell r="L5598"/>
          <cell r="M5598"/>
        </row>
        <row r="5599">
          <cell r="B5599"/>
          <cell r="C5599"/>
          <cell r="E5599"/>
          <cell r="F5599"/>
          <cell r="G5599"/>
          <cell r="H5599"/>
          <cell r="J5599"/>
          <cell r="L5599"/>
          <cell r="M5599"/>
        </row>
        <row r="5600">
          <cell r="B5600"/>
          <cell r="C5600"/>
          <cell r="E5600"/>
          <cell r="F5600"/>
          <cell r="G5600"/>
          <cell r="H5600"/>
          <cell r="J5600"/>
          <cell r="L5600"/>
          <cell r="M5600"/>
        </row>
        <row r="5601">
          <cell r="B5601"/>
          <cell r="C5601"/>
          <cell r="E5601"/>
          <cell r="F5601"/>
          <cell r="G5601"/>
          <cell r="H5601"/>
          <cell r="J5601"/>
          <cell r="L5601"/>
          <cell r="M5601"/>
        </row>
        <row r="5602">
          <cell r="B5602"/>
          <cell r="C5602"/>
          <cell r="E5602"/>
          <cell r="F5602"/>
          <cell r="G5602"/>
          <cell r="H5602"/>
          <cell r="J5602"/>
          <cell r="L5602"/>
          <cell r="M5602"/>
        </row>
        <row r="5603">
          <cell r="B5603"/>
          <cell r="C5603"/>
          <cell r="E5603"/>
          <cell r="F5603"/>
          <cell r="G5603"/>
          <cell r="H5603"/>
          <cell r="J5603"/>
          <cell r="L5603"/>
          <cell r="M5603"/>
        </row>
        <row r="5604">
          <cell r="B5604"/>
          <cell r="C5604"/>
          <cell r="E5604"/>
          <cell r="F5604"/>
          <cell r="G5604"/>
          <cell r="H5604"/>
          <cell r="J5604"/>
          <cell r="L5604"/>
          <cell r="M5604"/>
        </row>
        <row r="5605">
          <cell r="B5605"/>
          <cell r="C5605"/>
          <cell r="E5605"/>
          <cell r="F5605"/>
          <cell r="G5605"/>
          <cell r="H5605"/>
          <cell r="J5605"/>
          <cell r="L5605"/>
          <cell r="M5605"/>
        </row>
        <row r="5606">
          <cell r="B5606"/>
          <cell r="C5606"/>
          <cell r="E5606"/>
          <cell r="F5606"/>
          <cell r="G5606"/>
          <cell r="H5606"/>
          <cell r="J5606"/>
          <cell r="L5606"/>
          <cell r="M5606"/>
        </row>
        <row r="5607">
          <cell r="B5607"/>
          <cell r="C5607"/>
          <cell r="E5607"/>
          <cell r="F5607"/>
          <cell r="G5607"/>
          <cell r="H5607"/>
          <cell r="J5607"/>
          <cell r="L5607"/>
          <cell r="M5607"/>
        </row>
        <row r="5608">
          <cell r="B5608"/>
          <cell r="C5608"/>
          <cell r="E5608"/>
          <cell r="F5608"/>
          <cell r="G5608"/>
          <cell r="H5608"/>
          <cell r="J5608"/>
          <cell r="L5608"/>
          <cell r="M5608"/>
        </row>
        <row r="5609">
          <cell r="B5609"/>
          <cell r="C5609"/>
          <cell r="E5609"/>
          <cell r="F5609"/>
          <cell r="G5609"/>
          <cell r="H5609"/>
          <cell r="J5609"/>
          <cell r="L5609"/>
          <cell r="M5609"/>
        </row>
        <row r="5610">
          <cell r="B5610"/>
          <cell r="C5610"/>
          <cell r="E5610"/>
          <cell r="F5610"/>
          <cell r="G5610"/>
          <cell r="H5610"/>
          <cell r="J5610"/>
          <cell r="L5610"/>
          <cell r="M5610"/>
        </row>
        <row r="5611">
          <cell r="B5611"/>
          <cell r="C5611"/>
          <cell r="E5611"/>
          <cell r="F5611"/>
          <cell r="G5611"/>
          <cell r="H5611"/>
          <cell r="J5611"/>
          <cell r="L5611"/>
          <cell r="M5611"/>
        </row>
        <row r="5612">
          <cell r="B5612"/>
          <cell r="C5612"/>
          <cell r="E5612"/>
          <cell r="F5612"/>
          <cell r="G5612"/>
          <cell r="H5612"/>
          <cell r="J5612"/>
          <cell r="L5612"/>
          <cell r="M5612"/>
        </row>
        <row r="5613">
          <cell r="B5613"/>
          <cell r="C5613"/>
          <cell r="E5613"/>
          <cell r="F5613"/>
          <cell r="G5613"/>
          <cell r="H5613"/>
          <cell r="J5613"/>
          <cell r="L5613"/>
          <cell r="M5613"/>
        </row>
        <row r="5614">
          <cell r="B5614"/>
          <cell r="C5614"/>
          <cell r="E5614"/>
          <cell r="F5614"/>
          <cell r="G5614"/>
          <cell r="H5614"/>
          <cell r="J5614"/>
          <cell r="L5614"/>
          <cell r="M5614"/>
        </row>
        <row r="5615">
          <cell r="B5615"/>
          <cell r="C5615"/>
          <cell r="E5615"/>
          <cell r="F5615"/>
          <cell r="G5615"/>
          <cell r="H5615"/>
          <cell r="J5615"/>
          <cell r="L5615"/>
          <cell r="M5615"/>
        </row>
        <row r="5616">
          <cell r="B5616"/>
          <cell r="C5616"/>
          <cell r="E5616"/>
          <cell r="F5616"/>
          <cell r="G5616"/>
          <cell r="H5616"/>
          <cell r="J5616"/>
          <cell r="L5616"/>
          <cell r="M5616"/>
        </row>
        <row r="5617">
          <cell r="B5617"/>
          <cell r="C5617"/>
          <cell r="E5617"/>
          <cell r="F5617"/>
          <cell r="G5617"/>
          <cell r="H5617"/>
          <cell r="J5617"/>
          <cell r="L5617"/>
          <cell r="M5617"/>
        </row>
        <row r="5618">
          <cell r="B5618"/>
          <cell r="C5618"/>
          <cell r="E5618"/>
          <cell r="F5618"/>
          <cell r="G5618"/>
          <cell r="H5618"/>
          <cell r="J5618"/>
          <cell r="L5618"/>
          <cell r="M5618"/>
        </row>
        <row r="5619">
          <cell r="B5619"/>
          <cell r="C5619"/>
          <cell r="E5619"/>
          <cell r="F5619"/>
          <cell r="G5619"/>
          <cell r="H5619"/>
          <cell r="J5619"/>
          <cell r="L5619"/>
          <cell r="M5619"/>
        </row>
        <row r="5620">
          <cell r="B5620"/>
          <cell r="C5620"/>
          <cell r="E5620"/>
          <cell r="F5620"/>
          <cell r="G5620"/>
          <cell r="H5620"/>
          <cell r="J5620"/>
          <cell r="L5620"/>
          <cell r="M5620"/>
        </row>
        <row r="5621">
          <cell r="B5621"/>
          <cell r="C5621"/>
          <cell r="E5621"/>
          <cell r="F5621"/>
          <cell r="G5621"/>
          <cell r="H5621"/>
          <cell r="J5621"/>
          <cell r="L5621"/>
          <cell r="M5621"/>
        </row>
        <row r="5622">
          <cell r="B5622"/>
          <cell r="C5622"/>
          <cell r="E5622"/>
          <cell r="F5622"/>
          <cell r="G5622"/>
          <cell r="H5622"/>
          <cell r="J5622"/>
          <cell r="L5622"/>
          <cell r="M5622"/>
        </row>
        <row r="5623">
          <cell r="B5623"/>
          <cell r="C5623"/>
          <cell r="E5623"/>
          <cell r="F5623"/>
          <cell r="G5623"/>
          <cell r="H5623"/>
          <cell r="J5623"/>
          <cell r="L5623"/>
          <cell r="M5623"/>
        </row>
        <row r="5624">
          <cell r="B5624"/>
          <cell r="C5624"/>
          <cell r="E5624"/>
          <cell r="F5624"/>
          <cell r="G5624"/>
          <cell r="H5624"/>
          <cell r="J5624"/>
          <cell r="L5624"/>
          <cell r="M5624"/>
        </row>
        <row r="5625">
          <cell r="B5625"/>
          <cell r="C5625"/>
          <cell r="E5625"/>
          <cell r="F5625"/>
          <cell r="G5625"/>
          <cell r="H5625"/>
          <cell r="J5625"/>
          <cell r="L5625"/>
          <cell r="M5625"/>
        </row>
        <row r="5626">
          <cell r="B5626"/>
          <cell r="C5626"/>
          <cell r="E5626"/>
          <cell r="F5626"/>
          <cell r="G5626"/>
          <cell r="H5626"/>
          <cell r="J5626"/>
          <cell r="L5626"/>
          <cell r="M5626"/>
        </row>
        <row r="5627">
          <cell r="B5627"/>
          <cell r="C5627"/>
          <cell r="E5627"/>
          <cell r="F5627"/>
          <cell r="G5627"/>
          <cell r="H5627"/>
          <cell r="J5627"/>
          <cell r="L5627"/>
          <cell r="M5627"/>
        </row>
        <row r="5628">
          <cell r="B5628"/>
          <cell r="C5628"/>
          <cell r="E5628"/>
          <cell r="F5628"/>
          <cell r="G5628"/>
          <cell r="H5628"/>
          <cell r="J5628"/>
          <cell r="L5628"/>
          <cell r="M5628"/>
        </row>
        <row r="5629">
          <cell r="B5629"/>
          <cell r="C5629"/>
          <cell r="E5629"/>
          <cell r="F5629"/>
          <cell r="G5629"/>
          <cell r="H5629"/>
          <cell r="J5629"/>
          <cell r="L5629"/>
          <cell r="M5629"/>
        </row>
        <row r="5630">
          <cell r="B5630"/>
          <cell r="C5630"/>
          <cell r="E5630"/>
          <cell r="F5630"/>
          <cell r="G5630"/>
          <cell r="H5630"/>
          <cell r="J5630"/>
          <cell r="L5630"/>
          <cell r="M5630"/>
        </row>
        <row r="5631">
          <cell r="B5631"/>
          <cell r="C5631"/>
          <cell r="E5631"/>
          <cell r="F5631"/>
          <cell r="G5631"/>
          <cell r="H5631"/>
          <cell r="J5631"/>
          <cell r="L5631"/>
          <cell r="M5631"/>
        </row>
        <row r="5632">
          <cell r="B5632"/>
          <cell r="C5632"/>
          <cell r="E5632"/>
          <cell r="F5632"/>
          <cell r="G5632"/>
          <cell r="H5632"/>
          <cell r="J5632"/>
          <cell r="L5632"/>
          <cell r="M5632"/>
        </row>
        <row r="5633">
          <cell r="B5633"/>
          <cell r="C5633"/>
          <cell r="E5633"/>
          <cell r="F5633"/>
          <cell r="G5633"/>
          <cell r="H5633"/>
          <cell r="J5633"/>
          <cell r="L5633"/>
          <cell r="M5633"/>
        </row>
        <row r="5634">
          <cell r="B5634"/>
          <cell r="C5634"/>
          <cell r="E5634"/>
          <cell r="F5634"/>
          <cell r="G5634"/>
          <cell r="H5634"/>
          <cell r="J5634"/>
          <cell r="L5634"/>
          <cell r="M5634"/>
        </row>
        <row r="5635">
          <cell r="B5635"/>
          <cell r="C5635"/>
          <cell r="E5635"/>
          <cell r="F5635"/>
          <cell r="G5635"/>
          <cell r="H5635"/>
          <cell r="J5635"/>
          <cell r="L5635"/>
          <cell r="M5635"/>
        </row>
        <row r="5636">
          <cell r="B5636"/>
          <cell r="C5636"/>
          <cell r="E5636"/>
          <cell r="F5636"/>
          <cell r="G5636"/>
          <cell r="H5636"/>
          <cell r="J5636"/>
          <cell r="L5636"/>
          <cell r="M5636"/>
        </row>
        <row r="5637">
          <cell r="B5637"/>
          <cell r="C5637"/>
          <cell r="E5637"/>
          <cell r="F5637"/>
          <cell r="G5637"/>
          <cell r="H5637"/>
          <cell r="J5637"/>
          <cell r="L5637"/>
          <cell r="M5637"/>
        </row>
        <row r="5638">
          <cell r="B5638"/>
          <cell r="C5638"/>
          <cell r="E5638"/>
          <cell r="F5638"/>
          <cell r="G5638"/>
          <cell r="H5638"/>
          <cell r="J5638"/>
          <cell r="L5638"/>
          <cell r="M5638"/>
        </row>
        <row r="5639">
          <cell r="B5639"/>
          <cell r="C5639"/>
          <cell r="E5639"/>
          <cell r="F5639"/>
          <cell r="G5639"/>
          <cell r="H5639"/>
          <cell r="J5639"/>
          <cell r="L5639"/>
          <cell r="M5639"/>
        </row>
        <row r="5640">
          <cell r="B5640"/>
          <cell r="C5640"/>
          <cell r="E5640"/>
          <cell r="F5640"/>
          <cell r="G5640"/>
          <cell r="H5640"/>
          <cell r="J5640"/>
          <cell r="L5640"/>
          <cell r="M5640"/>
        </row>
        <row r="5641">
          <cell r="B5641"/>
          <cell r="C5641"/>
          <cell r="E5641"/>
          <cell r="F5641"/>
          <cell r="G5641"/>
          <cell r="H5641"/>
          <cell r="J5641"/>
          <cell r="L5641"/>
          <cell r="M5641"/>
        </row>
        <row r="5642">
          <cell r="B5642"/>
          <cell r="C5642"/>
          <cell r="E5642"/>
          <cell r="F5642"/>
          <cell r="G5642"/>
          <cell r="H5642"/>
          <cell r="J5642"/>
          <cell r="L5642"/>
          <cell r="M5642"/>
        </row>
        <row r="5643">
          <cell r="B5643"/>
          <cell r="C5643"/>
          <cell r="E5643"/>
          <cell r="F5643"/>
          <cell r="G5643"/>
          <cell r="H5643"/>
          <cell r="J5643"/>
          <cell r="L5643"/>
          <cell r="M5643"/>
        </row>
        <row r="5644">
          <cell r="B5644"/>
          <cell r="C5644"/>
          <cell r="E5644"/>
          <cell r="F5644"/>
          <cell r="G5644"/>
          <cell r="H5644"/>
          <cell r="J5644"/>
          <cell r="L5644"/>
          <cell r="M5644"/>
        </row>
        <row r="5645">
          <cell r="B5645"/>
          <cell r="C5645"/>
          <cell r="E5645"/>
          <cell r="F5645"/>
          <cell r="G5645"/>
          <cell r="H5645"/>
          <cell r="J5645"/>
          <cell r="L5645"/>
          <cell r="M5645"/>
        </row>
        <row r="5646">
          <cell r="B5646"/>
          <cell r="C5646"/>
          <cell r="E5646"/>
          <cell r="F5646"/>
          <cell r="G5646"/>
          <cell r="H5646"/>
          <cell r="J5646"/>
          <cell r="L5646"/>
          <cell r="M5646"/>
        </row>
        <row r="5647">
          <cell r="B5647"/>
          <cell r="C5647"/>
          <cell r="E5647"/>
          <cell r="F5647"/>
          <cell r="G5647"/>
          <cell r="H5647"/>
          <cell r="J5647"/>
          <cell r="L5647"/>
          <cell r="M5647"/>
        </row>
        <row r="5648">
          <cell r="B5648"/>
          <cell r="C5648"/>
          <cell r="E5648"/>
          <cell r="F5648"/>
          <cell r="G5648"/>
          <cell r="H5648"/>
          <cell r="J5648"/>
          <cell r="L5648"/>
          <cell r="M5648"/>
        </row>
        <row r="5649">
          <cell r="B5649"/>
          <cell r="C5649"/>
          <cell r="E5649"/>
          <cell r="F5649"/>
          <cell r="G5649"/>
          <cell r="H5649"/>
          <cell r="J5649"/>
          <cell r="L5649"/>
          <cell r="M5649"/>
        </row>
        <row r="5650">
          <cell r="B5650"/>
          <cell r="C5650"/>
          <cell r="E5650"/>
          <cell r="F5650"/>
          <cell r="G5650"/>
          <cell r="H5650"/>
          <cell r="J5650"/>
          <cell r="L5650"/>
          <cell r="M5650"/>
        </row>
        <row r="5651">
          <cell r="B5651"/>
          <cell r="C5651"/>
          <cell r="E5651"/>
          <cell r="F5651"/>
          <cell r="G5651"/>
          <cell r="H5651"/>
          <cell r="J5651"/>
          <cell r="L5651"/>
          <cell r="M5651"/>
        </row>
        <row r="5652">
          <cell r="B5652"/>
          <cell r="C5652"/>
          <cell r="E5652"/>
          <cell r="F5652"/>
          <cell r="G5652"/>
          <cell r="H5652"/>
          <cell r="J5652"/>
          <cell r="L5652"/>
          <cell r="M5652"/>
        </row>
        <row r="5653">
          <cell r="B5653"/>
          <cell r="C5653"/>
          <cell r="E5653"/>
          <cell r="F5653"/>
          <cell r="G5653"/>
          <cell r="H5653"/>
          <cell r="J5653"/>
          <cell r="L5653"/>
          <cell r="M5653"/>
        </row>
        <row r="5654">
          <cell r="B5654"/>
          <cell r="C5654"/>
          <cell r="E5654"/>
          <cell r="F5654"/>
          <cell r="G5654"/>
          <cell r="H5654"/>
          <cell r="J5654"/>
          <cell r="L5654"/>
          <cell r="M5654"/>
        </row>
        <row r="5655">
          <cell r="B5655"/>
          <cell r="C5655"/>
          <cell r="E5655"/>
          <cell r="F5655"/>
          <cell r="G5655"/>
          <cell r="H5655"/>
          <cell r="J5655"/>
          <cell r="L5655"/>
          <cell r="M5655"/>
        </row>
        <row r="5656">
          <cell r="B5656"/>
          <cell r="C5656"/>
          <cell r="E5656"/>
          <cell r="F5656"/>
          <cell r="G5656"/>
          <cell r="H5656"/>
          <cell r="J5656"/>
          <cell r="L5656"/>
          <cell r="M5656"/>
        </row>
        <row r="5657">
          <cell r="B5657"/>
          <cell r="C5657"/>
          <cell r="E5657"/>
          <cell r="F5657"/>
          <cell r="G5657"/>
          <cell r="H5657"/>
          <cell r="J5657"/>
          <cell r="L5657"/>
          <cell r="M5657"/>
        </row>
        <row r="5658">
          <cell r="B5658"/>
          <cell r="C5658"/>
          <cell r="E5658"/>
          <cell r="F5658"/>
          <cell r="G5658"/>
          <cell r="H5658"/>
          <cell r="J5658"/>
          <cell r="L5658"/>
          <cell r="M5658"/>
        </row>
        <row r="5659">
          <cell r="B5659"/>
          <cell r="C5659"/>
          <cell r="E5659"/>
          <cell r="F5659"/>
          <cell r="G5659"/>
          <cell r="H5659"/>
          <cell r="J5659"/>
          <cell r="L5659"/>
          <cell r="M5659"/>
        </row>
        <row r="5660">
          <cell r="B5660"/>
          <cell r="C5660"/>
          <cell r="E5660"/>
          <cell r="F5660"/>
          <cell r="G5660"/>
          <cell r="H5660"/>
          <cell r="J5660"/>
          <cell r="L5660"/>
          <cell r="M5660"/>
        </row>
        <row r="5661">
          <cell r="B5661"/>
          <cell r="C5661"/>
          <cell r="E5661"/>
          <cell r="F5661"/>
          <cell r="G5661"/>
          <cell r="H5661"/>
          <cell r="J5661"/>
          <cell r="L5661"/>
          <cell r="M5661"/>
        </row>
        <row r="5662">
          <cell r="B5662"/>
          <cell r="C5662"/>
          <cell r="E5662"/>
          <cell r="F5662"/>
          <cell r="G5662"/>
          <cell r="H5662"/>
          <cell r="J5662"/>
          <cell r="L5662"/>
          <cell r="M5662"/>
        </row>
        <row r="5663">
          <cell r="B5663"/>
          <cell r="C5663"/>
          <cell r="E5663"/>
          <cell r="F5663"/>
          <cell r="G5663"/>
          <cell r="H5663"/>
          <cell r="J5663"/>
          <cell r="L5663"/>
          <cell r="M5663"/>
        </row>
        <row r="5664">
          <cell r="B5664"/>
          <cell r="C5664"/>
          <cell r="E5664"/>
          <cell r="F5664"/>
          <cell r="G5664"/>
          <cell r="H5664"/>
          <cell r="J5664"/>
          <cell r="L5664"/>
          <cell r="M5664"/>
        </row>
        <row r="5665">
          <cell r="B5665"/>
          <cell r="C5665"/>
          <cell r="E5665"/>
          <cell r="F5665"/>
          <cell r="G5665"/>
          <cell r="H5665"/>
          <cell r="J5665"/>
          <cell r="L5665"/>
          <cell r="M5665"/>
        </row>
        <row r="5666">
          <cell r="B5666"/>
          <cell r="C5666"/>
          <cell r="E5666"/>
          <cell r="F5666"/>
          <cell r="G5666"/>
          <cell r="H5666"/>
          <cell r="J5666"/>
          <cell r="L5666"/>
          <cell r="M5666"/>
        </row>
        <row r="5667">
          <cell r="B5667"/>
          <cell r="C5667"/>
          <cell r="E5667"/>
          <cell r="F5667"/>
          <cell r="G5667"/>
          <cell r="H5667"/>
          <cell r="J5667"/>
          <cell r="L5667"/>
          <cell r="M5667"/>
        </row>
        <row r="5668">
          <cell r="B5668"/>
          <cell r="C5668"/>
          <cell r="E5668"/>
          <cell r="F5668"/>
          <cell r="G5668"/>
          <cell r="H5668"/>
          <cell r="J5668"/>
          <cell r="L5668"/>
          <cell r="M5668"/>
        </row>
        <row r="5669">
          <cell r="B5669"/>
          <cell r="C5669"/>
          <cell r="E5669"/>
          <cell r="F5669"/>
          <cell r="G5669"/>
          <cell r="H5669"/>
          <cell r="J5669"/>
          <cell r="L5669"/>
          <cell r="M5669"/>
        </row>
        <row r="5670">
          <cell r="B5670"/>
          <cell r="C5670"/>
          <cell r="E5670"/>
          <cell r="F5670"/>
          <cell r="G5670"/>
          <cell r="H5670"/>
          <cell r="J5670"/>
          <cell r="L5670"/>
          <cell r="M5670"/>
        </row>
        <row r="5671">
          <cell r="B5671"/>
          <cell r="C5671"/>
          <cell r="E5671"/>
          <cell r="F5671"/>
          <cell r="G5671"/>
          <cell r="H5671"/>
          <cell r="J5671"/>
          <cell r="L5671"/>
          <cell r="M5671"/>
        </row>
        <row r="5672">
          <cell r="B5672"/>
          <cell r="C5672"/>
          <cell r="E5672"/>
          <cell r="F5672"/>
          <cell r="G5672"/>
          <cell r="H5672"/>
          <cell r="J5672"/>
          <cell r="L5672"/>
          <cell r="M5672"/>
        </row>
        <row r="5673">
          <cell r="B5673"/>
          <cell r="C5673"/>
          <cell r="E5673"/>
          <cell r="F5673"/>
          <cell r="G5673"/>
          <cell r="H5673"/>
          <cell r="J5673"/>
          <cell r="L5673"/>
          <cell r="M5673"/>
        </row>
        <row r="5674">
          <cell r="B5674"/>
          <cell r="C5674"/>
          <cell r="E5674"/>
          <cell r="F5674"/>
          <cell r="G5674"/>
          <cell r="H5674"/>
          <cell r="J5674"/>
          <cell r="L5674"/>
          <cell r="M5674"/>
        </row>
        <row r="5675">
          <cell r="B5675"/>
          <cell r="C5675"/>
          <cell r="E5675"/>
          <cell r="F5675"/>
          <cell r="G5675"/>
          <cell r="H5675"/>
          <cell r="J5675"/>
          <cell r="L5675"/>
          <cell r="M5675"/>
        </row>
        <row r="5676">
          <cell r="B5676"/>
          <cell r="C5676"/>
          <cell r="E5676"/>
          <cell r="F5676"/>
          <cell r="G5676"/>
          <cell r="H5676"/>
          <cell r="J5676"/>
          <cell r="L5676"/>
          <cell r="M5676"/>
        </row>
        <row r="5677">
          <cell r="B5677"/>
          <cell r="C5677"/>
          <cell r="E5677"/>
          <cell r="F5677"/>
          <cell r="G5677"/>
          <cell r="H5677"/>
          <cell r="J5677"/>
          <cell r="L5677"/>
          <cell r="M5677"/>
        </row>
        <row r="5678">
          <cell r="B5678"/>
          <cell r="C5678"/>
          <cell r="E5678"/>
          <cell r="F5678"/>
          <cell r="G5678"/>
          <cell r="H5678"/>
          <cell r="J5678"/>
          <cell r="L5678"/>
          <cell r="M5678"/>
        </row>
        <row r="5679">
          <cell r="B5679"/>
          <cell r="C5679"/>
          <cell r="E5679"/>
          <cell r="F5679"/>
          <cell r="G5679"/>
          <cell r="H5679"/>
          <cell r="J5679"/>
          <cell r="L5679"/>
          <cell r="M5679"/>
        </row>
        <row r="5680">
          <cell r="B5680"/>
          <cell r="C5680"/>
          <cell r="E5680"/>
          <cell r="F5680"/>
          <cell r="G5680"/>
          <cell r="H5680"/>
          <cell r="J5680"/>
          <cell r="L5680"/>
          <cell r="M5680"/>
        </row>
        <row r="5681">
          <cell r="B5681"/>
          <cell r="C5681"/>
          <cell r="E5681"/>
          <cell r="F5681"/>
          <cell r="G5681"/>
          <cell r="H5681"/>
          <cell r="J5681"/>
          <cell r="L5681"/>
          <cell r="M5681"/>
        </row>
        <row r="5682">
          <cell r="B5682"/>
          <cell r="C5682"/>
          <cell r="E5682"/>
          <cell r="F5682"/>
          <cell r="G5682"/>
          <cell r="H5682"/>
          <cell r="J5682"/>
          <cell r="L5682"/>
          <cell r="M5682"/>
        </row>
        <row r="5683">
          <cell r="B5683"/>
          <cell r="C5683"/>
          <cell r="E5683"/>
          <cell r="F5683"/>
          <cell r="G5683"/>
          <cell r="H5683"/>
          <cell r="J5683"/>
          <cell r="L5683"/>
          <cell r="M5683"/>
        </row>
        <row r="5684">
          <cell r="B5684"/>
          <cell r="C5684"/>
          <cell r="E5684"/>
          <cell r="F5684"/>
          <cell r="G5684"/>
          <cell r="H5684"/>
          <cell r="J5684"/>
          <cell r="L5684"/>
          <cell r="M5684"/>
        </row>
        <row r="5685">
          <cell r="B5685"/>
          <cell r="C5685"/>
          <cell r="E5685"/>
          <cell r="F5685"/>
          <cell r="G5685"/>
          <cell r="H5685"/>
          <cell r="J5685"/>
          <cell r="L5685"/>
          <cell r="M5685"/>
        </row>
        <row r="5686">
          <cell r="B5686"/>
          <cell r="C5686"/>
          <cell r="E5686"/>
          <cell r="F5686"/>
          <cell r="G5686"/>
          <cell r="H5686"/>
          <cell r="J5686"/>
          <cell r="L5686"/>
          <cell r="M5686"/>
        </row>
        <row r="5687">
          <cell r="B5687"/>
          <cell r="C5687"/>
          <cell r="E5687"/>
          <cell r="F5687"/>
          <cell r="G5687"/>
          <cell r="H5687"/>
          <cell r="J5687"/>
          <cell r="L5687"/>
          <cell r="M5687"/>
        </row>
        <row r="5688">
          <cell r="B5688"/>
          <cell r="C5688"/>
          <cell r="E5688"/>
          <cell r="F5688"/>
          <cell r="G5688"/>
          <cell r="H5688"/>
          <cell r="J5688"/>
          <cell r="L5688"/>
          <cell r="M5688"/>
        </row>
        <row r="5689">
          <cell r="B5689"/>
          <cell r="C5689"/>
          <cell r="E5689"/>
          <cell r="F5689"/>
          <cell r="G5689"/>
          <cell r="H5689"/>
          <cell r="J5689"/>
          <cell r="L5689"/>
          <cell r="M5689"/>
        </row>
        <row r="5690">
          <cell r="B5690"/>
          <cell r="C5690"/>
          <cell r="E5690"/>
          <cell r="F5690"/>
          <cell r="G5690"/>
          <cell r="H5690"/>
          <cell r="J5690"/>
          <cell r="L5690"/>
          <cell r="M5690"/>
        </row>
        <row r="5691">
          <cell r="B5691"/>
          <cell r="C5691"/>
          <cell r="E5691"/>
          <cell r="F5691"/>
          <cell r="G5691"/>
          <cell r="H5691"/>
          <cell r="J5691"/>
          <cell r="L5691"/>
          <cell r="M5691"/>
        </row>
        <row r="5692">
          <cell r="B5692"/>
          <cell r="C5692"/>
          <cell r="E5692"/>
          <cell r="F5692"/>
          <cell r="G5692"/>
          <cell r="H5692"/>
          <cell r="J5692"/>
          <cell r="L5692"/>
          <cell r="M5692"/>
        </row>
        <row r="5693">
          <cell r="B5693"/>
          <cell r="C5693"/>
          <cell r="E5693"/>
          <cell r="F5693"/>
          <cell r="G5693"/>
          <cell r="H5693"/>
          <cell r="J5693"/>
          <cell r="L5693"/>
          <cell r="M5693"/>
        </row>
        <row r="5694">
          <cell r="B5694"/>
          <cell r="C5694"/>
          <cell r="E5694"/>
          <cell r="F5694"/>
          <cell r="G5694"/>
          <cell r="H5694"/>
          <cell r="J5694"/>
          <cell r="L5694"/>
          <cell r="M5694"/>
        </row>
        <row r="5695">
          <cell r="B5695"/>
          <cell r="C5695"/>
          <cell r="E5695"/>
          <cell r="F5695"/>
          <cell r="G5695"/>
          <cell r="H5695"/>
          <cell r="J5695"/>
          <cell r="L5695"/>
          <cell r="M5695"/>
        </row>
        <row r="5696">
          <cell r="B5696"/>
          <cell r="C5696"/>
          <cell r="E5696"/>
          <cell r="F5696"/>
          <cell r="G5696"/>
          <cell r="H5696"/>
          <cell r="J5696"/>
          <cell r="L5696"/>
          <cell r="M5696"/>
        </row>
        <row r="5697">
          <cell r="B5697"/>
          <cell r="C5697"/>
          <cell r="E5697"/>
          <cell r="F5697"/>
          <cell r="G5697"/>
          <cell r="H5697"/>
          <cell r="J5697"/>
          <cell r="L5697"/>
          <cell r="M5697"/>
        </row>
        <row r="5698">
          <cell r="B5698"/>
          <cell r="C5698"/>
          <cell r="E5698"/>
          <cell r="F5698"/>
          <cell r="G5698"/>
          <cell r="H5698"/>
          <cell r="J5698"/>
          <cell r="L5698"/>
          <cell r="M5698"/>
        </row>
        <row r="5699">
          <cell r="B5699"/>
          <cell r="C5699"/>
          <cell r="E5699"/>
          <cell r="F5699"/>
          <cell r="G5699"/>
          <cell r="H5699"/>
          <cell r="J5699"/>
          <cell r="L5699"/>
          <cell r="M5699"/>
        </row>
        <row r="5700">
          <cell r="B5700"/>
          <cell r="C5700"/>
          <cell r="E5700"/>
          <cell r="F5700"/>
          <cell r="G5700"/>
          <cell r="H5700"/>
          <cell r="J5700"/>
          <cell r="L5700"/>
          <cell r="M5700"/>
        </row>
        <row r="5701">
          <cell r="B5701"/>
          <cell r="C5701"/>
          <cell r="E5701"/>
          <cell r="F5701"/>
          <cell r="G5701"/>
          <cell r="H5701"/>
          <cell r="J5701"/>
          <cell r="L5701"/>
          <cell r="M5701"/>
        </row>
        <row r="5702">
          <cell r="B5702"/>
          <cell r="C5702"/>
          <cell r="E5702"/>
          <cell r="F5702"/>
          <cell r="G5702"/>
          <cell r="H5702"/>
          <cell r="J5702"/>
          <cell r="L5702"/>
          <cell r="M5702"/>
        </row>
        <row r="5703">
          <cell r="B5703"/>
          <cell r="C5703"/>
          <cell r="E5703"/>
          <cell r="F5703"/>
          <cell r="G5703"/>
          <cell r="H5703"/>
          <cell r="J5703"/>
          <cell r="L5703"/>
          <cell r="M5703"/>
        </row>
        <row r="5704">
          <cell r="B5704"/>
          <cell r="C5704"/>
          <cell r="E5704"/>
          <cell r="F5704"/>
          <cell r="G5704"/>
          <cell r="H5704"/>
          <cell r="J5704"/>
          <cell r="L5704"/>
          <cell r="M5704"/>
        </row>
        <row r="5705">
          <cell r="B5705"/>
          <cell r="C5705"/>
          <cell r="E5705"/>
          <cell r="F5705"/>
          <cell r="G5705"/>
          <cell r="H5705"/>
          <cell r="J5705"/>
          <cell r="L5705"/>
          <cell r="M5705"/>
        </row>
        <row r="5706">
          <cell r="B5706"/>
          <cell r="C5706"/>
          <cell r="E5706"/>
          <cell r="F5706"/>
          <cell r="G5706"/>
          <cell r="H5706"/>
          <cell r="J5706"/>
          <cell r="L5706"/>
          <cell r="M5706"/>
        </row>
        <row r="5707">
          <cell r="B5707"/>
          <cell r="C5707"/>
          <cell r="E5707"/>
          <cell r="F5707"/>
          <cell r="G5707"/>
          <cell r="H5707"/>
          <cell r="J5707"/>
          <cell r="L5707"/>
          <cell r="M5707"/>
        </row>
        <row r="5708">
          <cell r="B5708"/>
          <cell r="C5708"/>
          <cell r="E5708"/>
          <cell r="F5708"/>
          <cell r="G5708"/>
          <cell r="H5708"/>
          <cell r="J5708"/>
          <cell r="L5708"/>
          <cell r="M5708"/>
        </row>
        <row r="5709">
          <cell r="B5709"/>
          <cell r="C5709"/>
          <cell r="E5709"/>
          <cell r="F5709"/>
          <cell r="G5709"/>
          <cell r="H5709"/>
          <cell r="J5709"/>
          <cell r="L5709"/>
          <cell r="M5709"/>
        </row>
        <row r="5710">
          <cell r="B5710"/>
          <cell r="C5710"/>
          <cell r="E5710"/>
          <cell r="F5710"/>
          <cell r="G5710"/>
          <cell r="H5710"/>
          <cell r="J5710"/>
          <cell r="L5710"/>
          <cell r="M5710"/>
        </row>
        <row r="5711">
          <cell r="B5711"/>
          <cell r="C5711"/>
          <cell r="E5711"/>
          <cell r="F5711"/>
          <cell r="G5711"/>
          <cell r="H5711"/>
          <cell r="J5711"/>
          <cell r="L5711"/>
          <cell r="M5711"/>
        </row>
        <row r="5712">
          <cell r="B5712"/>
          <cell r="C5712"/>
          <cell r="E5712"/>
          <cell r="F5712"/>
          <cell r="G5712"/>
          <cell r="H5712"/>
          <cell r="J5712"/>
          <cell r="L5712"/>
          <cell r="M5712"/>
        </row>
        <row r="5713">
          <cell r="B5713"/>
          <cell r="C5713"/>
          <cell r="E5713"/>
          <cell r="F5713"/>
          <cell r="G5713"/>
          <cell r="H5713"/>
          <cell r="J5713"/>
          <cell r="L5713"/>
          <cell r="M5713"/>
        </row>
        <row r="5714">
          <cell r="B5714"/>
          <cell r="C5714"/>
          <cell r="E5714"/>
          <cell r="F5714"/>
          <cell r="G5714"/>
          <cell r="H5714"/>
          <cell r="J5714"/>
          <cell r="L5714"/>
          <cell r="M5714"/>
        </row>
        <row r="5715">
          <cell r="B5715"/>
          <cell r="C5715"/>
          <cell r="E5715"/>
          <cell r="F5715"/>
          <cell r="G5715"/>
          <cell r="H5715"/>
          <cell r="J5715"/>
          <cell r="L5715"/>
          <cell r="M5715"/>
        </row>
        <row r="5716">
          <cell r="B5716"/>
          <cell r="C5716"/>
          <cell r="E5716"/>
          <cell r="F5716"/>
          <cell r="G5716"/>
          <cell r="H5716"/>
          <cell r="J5716"/>
          <cell r="L5716"/>
          <cell r="M5716"/>
        </row>
        <row r="5717">
          <cell r="B5717"/>
          <cell r="C5717"/>
          <cell r="E5717"/>
          <cell r="F5717"/>
          <cell r="G5717"/>
          <cell r="H5717"/>
          <cell r="J5717"/>
          <cell r="L5717"/>
          <cell r="M5717"/>
        </row>
        <row r="5718">
          <cell r="B5718"/>
          <cell r="C5718"/>
          <cell r="E5718"/>
          <cell r="F5718"/>
          <cell r="G5718"/>
          <cell r="H5718"/>
          <cell r="J5718"/>
          <cell r="L5718"/>
          <cell r="M5718"/>
        </row>
        <row r="5719">
          <cell r="B5719"/>
          <cell r="C5719"/>
          <cell r="E5719"/>
          <cell r="F5719"/>
          <cell r="G5719"/>
          <cell r="H5719"/>
          <cell r="J5719"/>
          <cell r="L5719"/>
          <cell r="M5719"/>
        </row>
        <row r="5720">
          <cell r="B5720"/>
          <cell r="C5720"/>
          <cell r="E5720"/>
          <cell r="F5720"/>
          <cell r="G5720"/>
          <cell r="H5720"/>
          <cell r="J5720"/>
          <cell r="L5720"/>
          <cell r="M5720"/>
        </row>
        <row r="5721">
          <cell r="B5721"/>
          <cell r="C5721"/>
          <cell r="E5721"/>
          <cell r="F5721"/>
          <cell r="G5721"/>
          <cell r="H5721"/>
          <cell r="J5721"/>
          <cell r="L5721"/>
          <cell r="M5721"/>
        </row>
        <row r="5722">
          <cell r="B5722"/>
          <cell r="C5722"/>
          <cell r="E5722"/>
          <cell r="F5722"/>
          <cell r="G5722"/>
          <cell r="H5722"/>
          <cell r="J5722"/>
          <cell r="L5722"/>
          <cell r="M5722"/>
        </row>
        <row r="5723">
          <cell r="B5723"/>
          <cell r="C5723"/>
          <cell r="E5723"/>
          <cell r="F5723"/>
          <cell r="G5723"/>
          <cell r="H5723"/>
          <cell r="J5723"/>
          <cell r="L5723"/>
          <cell r="M5723"/>
        </row>
        <row r="5724">
          <cell r="B5724"/>
          <cell r="C5724"/>
          <cell r="E5724"/>
          <cell r="F5724"/>
          <cell r="G5724"/>
          <cell r="H5724"/>
          <cell r="J5724"/>
          <cell r="L5724"/>
          <cell r="M5724"/>
        </row>
        <row r="5725">
          <cell r="B5725"/>
          <cell r="C5725"/>
          <cell r="E5725"/>
          <cell r="F5725"/>
          <cell r="G5725"/>
          <cell r="H5725"/>
          <cell r="J5725"/>
          <cell r="L5725"/>
          <cell r="M5725"/>
        </row>
        <row r="5726">
          <cell r="B5726"/>
          <cell r="C5726"/>
          <cell r="E5726"/>
          <cell r="F5726"/>
          <cell r="G5726"/>
          <cell r="H5726"/>
          <cell r="J5726"/>
          <cell r="L5726"/>
          <cell r="M5726"/>
        </row>
        <row r="5727">
          <cell r="B5727"/>
          <cell r="C5727"/>
          <cell r="E5727"/>
          <cell r="F5727"/>
          <cell r="G5727"/>
          <cell r="H5727"/>
          <cell r="J5727"/>
          <cell r="L5727"/>
          <cell r="M5727"/>
        </row>
        <row r="5728">
          <cell r="B5728"/>
          <cell r="C5728"/>
          <cell r="E5728"/>
          <cell r="F5728"/>
          <cell r="G5728"/>
          <cell r="H5728"/>
          <cell r="J5728"/>
          <cell r="L5728"/>
          <cell r="M5728"/>
        </row>
        <row r="5729">
          <cell r="B5729"/>
          <cell r="C5729"/>
          <cell r="E5729"/>
          <cell r="F5729"/>
          <cell r="G5729"/>
          <cell r="H5729"/>
          <cell r="J5729"/>
          <cell r="L5729"/>
          <cell r="M5729"/>
        </row>
        <row r="5730">
          <cell r="B5730"/>
          <cell r="C5730"/>
          <cell r="E5730"/>
          <cell r="F5730"/>
          <cell r="G5730"/>
          <cell r="H5730"/>
          <cell r="J5730"/>
          <cell r="L5730"/>
          <cell r="M5730"/>
        </row>
        <row r="5731">
          <cell r="B5731"/>
          <cell r="C5731"/>
          <cell r="E5731"/>
          <cell r="F5731"/>
          <cell r="G5731"/>
          <cell r="H5731"/>
          <cell r="J5731"/>
          <cell r="L5731"/>
          <cell r="M5731"/>
        </row>
        <row r="5732">
          <cell r="B5732"/>
          <cell r="C5732"/>
          <cell r="E5732"/>
          <cell r="F5732"/>
          <cell r="G5732"/>
          <cell r="H5732"/>
          <cell r="J5732"/>
          <cell r="L5732"/>
          <cell r="M5732"/>
        </row>
        <row r="5733">
          <cell r="B5733"/>
          <cell r="C5733"/>
          <cell r="E5733"/>
          <cell r="F5733"/>
          <cell r="G5733"/>
          <cell r="H5733"/>
          <cell r="J5733"/>
          <cell r="L5733"/>
          <cell r="M5733"/>
        </row>
        <row r="5734">
          <cell r="B5734"/>
          <cell r="C5734"/>
          <cell r="E5734"/>
          <cell r="F5734"/>
          <cell r="G5734"/>
          <cell r="H5734"/>
          <cell r="J5734"/>
          <cell r="L5734"/>
          <cell r="M5734"/>
        </row>
        <row r="5735">
          <cell r="B5735"/>
          <cell r="C5735"/>
          <cell r="E5735"/>
          <cell r="F5735"/>
          <cell r="G5735"/>
          <cell r="H5735"/>
          <cell r="J5735"/>
          <cell r="L5735"/>
          <cell r="M5735"/>
        </row>
        <row r="5736">
          <cell r="B5736"/>
          <cell r="C5736"/>
          <cell r="E5736"/>
          <cell r="F5736"/>
          <cell r="G5736"/>
          <cell r="H5736"/>
          <cell r="J5736"/>
          <cell r="L5736"/>
          <cell r="M5736"/>
        </row>
        <row r="5737">
          <cell r="B5737"/>
          <cell r="C5737"/>
          <cell r="E5737"/>
          <cell r="F5737"/>
          <cell r="G5737"/>
          <cell r="H5737"/>
          <cell r="J5737"/>
          <cell r="L5737"/>
          <cell r="M5737"/>
        </row>
        <row r="5738">
          <cell r="B5738"/>
          <cell r="C5738"/>
          <cell r="E5738"/>
          <cell r="F5738"/>
          <cell r="G5738"/>
          <cell r="H5738"/>
          <cell r="J5738"/>
          <cell r="L5738"/>
          <cell r="M5738"/>
        </row>
        <row r="5739">
          <cell r="B5739"/>
          <cell r="C5739"/>
          <cell r="E5739"/>
          <cell r="F5739"/>
          <cell r="G5739"/>
          <cell r="H5739"/>
          <cell r="J5739"/>
          <cell r="L5739"/>
          <cell r="M5739"/>
        </row>
        <row r="5740">
          <cell r="B5740"/>
          <cell r="C5740"/>
          <cell r="E5740"/>
          <cell r="F5740"/>
          <cell r="G5740"/>
          <cell r="H5740"/>
          <cell r="J5740"/>
          <cell r="L5740"/>
          <cell r="M5740"/>
        </row>
        <row r="5741">
          <cell r="B5741"/>
          <cell r="C5741"/>
          <cell r="E5741"/>
          <cell r="F5741"/>
          <cell r="G5741"/>
          <cell r="H5741"/>
          <cell r="J5741"/>
          <cell r="L5741"/>
          <cell r="M5741"/>
        </row>
        <row r="5742">
          <cell r="B5742"/>
          <cell r="C5742"/>
          <cell r="E5742"/>
          <cell r="F5742"/>
          <cell r="G5742"/>
          <cell r="H5742"/>
          <cell r="J5742"/>
          <cell r="L5742"/>
          <cell r="M5742"/>
        </row>
        <row r="5743">
          <cell r="B5743"/>
          <cell r="C5743"/>
          <cell r="E5743"/>
          <cell r="F5743"/>
          <cell r="G5743"/>
          <cell r="H5743"/>
          <cell r="J5743"/>
          <cell r="L5743"/>
          <cell r="M5743"/>
        </row>
        <row r="5744">
          <cell r="B5744"/>
          <cell r="C5744"/>
          <cell r="E5744"/>
          <cell r="F5744"/>
          <cell r="G5744"/>
          <cell r="H5744"/>
          <cell r="J5744"/>
          <cell r="L5744"/>
          <cell r="M5744"/>
        </row>
        <row r="5745">
          <cell r="B5745"/>
          <cell r="C5745"/>
          <cell r="E5745"/>
          <cell r="F5745"/>
          <cell r="G5745"/>
          <cell r="H5745"/>
          <cell r="J5745"/>
          <cell r="L5745"/>
          <cell r="M5745"/>
        </row>
        <row r="5746">
          <cell r="B5746"/>
          <cell r="C5746"/>
          <cell r="E5746"/>
          <cell r="F5746"/>
          <cell r="G5746"/>
          <cell r="H5746"/>
          <cell r="J5746"/>
          <cell r="L5746"/>
          <cell r="M5746"/>
        </row>
        <row r="5747">
          <cell r="B5747"/>
          <cell r="C5747"/>
          <cell r="E5747"/>
          <cell r="F5747"/>
          <cell r="G5747"/>
          <cell r="H5747"/>
          <cell r="J5747"/>
          <cell r="L5747"/>
          <cell r="M5747"/>
        </row>
        <row r="5748">
          <cell r="B5748"/>
          <cell r="C5748"/>
          <cell r="E5748"/>
          <cell r="F5748"/>
          <cell r="G5748"/>
          <cell r="H5748"/>
          <cell r="J5748"/>
          <cell r="L5748"/>
          <cell r="M5748"/>
        </row>
        <row r="5749">
          <cell r="B5749"/>
          <cell r="C5749"/>
          <cell r="E5749"/>
          <cell r="F5749"/>
          <cell r="G5749"/>
          <cell r="H5749"/>
          <cell r="J5749"/>
          <cell r="L5749"/>
          <cell r="M5749"/>
        </row>
        <row r="5750">
          <cell r="B5750"/>
          <cell r="C5750"/>
          <cell r="E5750"/>
          <cell r="F5750"/>
          <cell r="G5750"/>
          <cell r="H5750"/>
          <cell r="J5750"/>
          <cell r="L5750"/>
          <cell r="M5750"/>
        </row>
        <row r="5751">
          <cell r="B5751"/>
          <cell r="C5751"/>
          <cell r="E5751"/>
          <cell r="F5751"/>
          <cell r="G5751"/>
          <cell r="H5751"/>
          <cell r="J5751"/>
          <cell r="L5751"/>
          <cell r="M5751"/>
        </row>
        <row r="5752">
          <cell r="B5752"/>
          <cell r="C5752"/>
          <cell r="E5752"/>
          <cell r="F5752"/>
          <cell r="G5752"/>
          <cell r="H5752"/>
          <cell r="J5752"/>
          <cell r="L5752"/>
          <cell r="M5752"/>
        </row>
        <row r="5753">
          <cell r="B5753"/>
          <cell r="C5753"/>
          <cell r="E5753"/>
          <cell r="F5753"/>
          <cell r="G5753"/>
          <cell r="H5753"/>
          <cell r="J5753"/>
          <cell r="L5753"/>
          <cell r="M5753"/>
        </row>
        <row r="5754">
          <cell r="B5754"/>
          <cell r="C5754"/>
          <cell r="E5754"/>
          <cell r="F5754"/>
          <cell r="G5754"/>
          <cell r="H5754"/>
          <cell r="J5754"/>
          <cell r="L5754"/>
          <cell r="M5754"/>
        </row>
        <row r="5755">
          <cell r="B5755"/>
          <cell r="C5755"/>
          <cell r="E5755"/>
          <cell r="F5755"/>
          <cell r="G5755"/>
          <cell r="H5755"/>
          <cell r="J5755"/>
          <cell r="L5755"/>
          <cell r="M5755"/>
        </row>
        <row r="5756">
          <cell r="B5756"/>
          <cell r="C5756"/>
          <cell r="E5756"/>
          <cell r="F5756"/>
          <cell r="G5756"/>
          <cell r="H5756"/>
          <cell r="J5756"/>
          <cell r="L5756"/>
          <cell r="M5756"/>
        </row>
        <row r="5757">
          <cell r="B5757"/>
          <cell r="C5757"/>
          <cell r="E5757"/>
          <cell r="F5757"/>
          <cell r="G5757"/>
          <cell r="H5757"/>
          <cell r="J5757"/>
          <cell r="L5757"/>
          <cell r="M5757"/>
        </row>
        <row r="5758">
          <cell r="B5758"/>
          <cell r="C5758"/>
          <cell r="E5758"/>
          <cell r="F5758"/>
          <cell r="G5758"/>
          <cell r="H5758"/>
          <cell r="J5758"/>
          <cell r="L5758"/>
          <cell r="M5758"/>
        </row>
        <row r="5759">
          <cell r="B5759"/>
          <cell r="C5759"/>
          <cell r="E5759"/>
          <cell r="F5759"/>
          <cell r="G5759"/>
          <cell r="H5759"/>
          <cell r="J5759"/>
          <cell r="L5759"/>
          <cell r="M5759"/>
        </row>
        <row r="5760">
          <cell r="B5760"/>
          <cell r="C5760"/>
          <cell r="E5760"/>
          <cell r="F5760"/>
          <cell r="G5760"/>
          <cell r="H5760"/>
          <cell r="J5760"/>
          <cell r="L5760"/>
          <cell r="M5760"/>
        </row>
        <row r="5761">
          <cell r="B5761"/>
          <cell r="C5761"/>
          <cell r="E5761"/>
          <cell r="F5761"/>
          <cell r="G5761"/>
          <cell r="H5761"/>
          <cell r="J5761"/>
          <cell r="L5761"/>
          <cell r="M5761"/>
        </row>
        <row r="5762">
          <cell r="B5762"/>
          <cell r="C5762"/>
          <cell r="E5762"/>
          <cell r="F5762"/>
          <cell r="G5762"/>
          <cell r="H5762"/>
          <cell r="J5762"/>
          <cell r="L5762"/>
          <cell r="M5762"/>
        </row>
        <row r="5763">
          <cell r="B5763"/>
          <cell r="C5763"/>
          <cell r="E5763"/>
          <cell r="F5763"/>
          <cell r="G5763"/>
          <cell r="H5763"/>
          <cell r="J5763"/>
          <cell r="L5763"/>
          <cell r="M5763"/>
        </row>
        <row r="5764">
          <cell r="B5764"/>
          <cell r="C5764"/>
          <cell r="E5764"/>
          <cell r="F5764"/>
          <cell r="G5764"/>
          <cell r="H5764"/>
          <cell r="J5764"/>
          <cell r="L5764"/>
          <cell r="M5764"/>
        </row>
        <row r="5765">
          <cell r="B5765"/>
          <cell r="C5765"/>
          <cell r="E5765"/>
          <cell r="F5765"/>
          <cell r="G5765"/>
          <cell r="H5765"/>
          <cell r="J5765"/>
          <cell r="L5765"/>
          <cell r="M5765"/>
        </row>
        <row r="5766">
          <cell r="B5766"/>
          <cell r="C5766"/>
          <cell r="E5766"/>
          <cell r="F5766"/>
          <cell r="G5766"/>
          <cell r="H5766"/>
          <cell r="J5766"/>
          <cell r="L5766"/>
          <cell r="M5766"/>
        </row>
        <row r="5767">
          <cell r="B5767"/>
          <cell r="C5767"/>
          <cell r="E5767"/>
          <cell r="F5767"/>
          <cell r="G5767"/>
          <cell r="H5767"/>
          <cell r="J5767"/>
          <cell r="L5767"/>
          <cell r="M5767"/>
        </row>
        <row r="5768">
          <cell r="B5768"/>
          <cell r="C5768"/>
          <cell r="E5768"/>
          <cell r="F5768"/>
          <cell r="G5768"/>
          <cell r="H5768"/>
          <cell r="J5768"/>
          <cell r="L5768"/>
          <cell r="M5768"/>
        </row>
        <row r="5769">
          <cell r="B5769"/>
          <cell r="C5769"/>
          <cell r="E5769"/>
          <cell r="F5769"/>
          <cell r="G5769"/>
          <cell r="H5769"/>
          <cell r="J5769"/>
          <cell r="L5769"/>
          <cell r="M5769"/>
        </row>
        <row r="5770">
          <cell r="B5770"/>
          <cell r="C5770"/>
          <cell r="E5770"/>
          <cell r="F5770"/>
          <cell r="G5770"/>
          <cell r="H5770"/>
          <cell r="J5770"/>
          <cell r="L5770"/>
          <cell r="M5770"/>
        </row>
        <row r="5771">
          <cell r="B5771"/>
          <cell r="C5771"/>
          <cell r="E5771"/>
          <cell r="F5771"/>
          <cell r="G5771"/>
          <cell r="H5771"/>
          <cell r="J5771"/>
          <cell r="L5771"/>
          <cell r="M5771"/>
        </row>
        <row r="5772">
          <cell r="B5772"/>
          <cell r="C5772"/>
          <cell r="E5772"/>
          <cell r="F5772"/>
          <cell r="G5772"/>
          <cell r="H5772"/>
          <cell r="J5772"/>
          <cell r="L5772"/>
          <cell r="M5772"/>
        </row>
        <row r="5773">
          <cell r="B5773"/>
          <cell r="C5773"/>
          <cell r="E5773"/>
          <cell r="F5773"/>
          <cell r="G5773"/>
          <cell r="H5773"/>
          <cell r="J5773"/>
          <cell r="L5773"/>
          <cell r="M5773"/>
        </row>
        <row r="5774">
          <cell r="B5774"/>
          <cell r="C5774"/>
          <cell r="E5774"/>
          <cell r="F5774"/>
          <cell r="G5774"/>
          <cell r="H5774"/>
          <cell r="J5774"/>
          <cell r="L5774"/>
          <cell r="M5774"/>
        </row>
        <row r="5775">
          <cell r="B5775"/>
          <cell r="C5775"/>
          <cell r="E5775"/>
          <cell r="F5775"/>
          <cell r="G5775"/>
          <cell r="H5775"/>
          <cell r="J5775"/>
          <cell r="L5775"/>
          <cell r="M5775"/>
        </row>
        <row r="5776">
          <cell r="B5776"/>
          <cell r="C5776"/>
          <cell r="E5776"/>
          <cell r="F5776"/>
          <cell r="G5776"/>
          <cell r="H5776"/>
          <cell r="J5776"/>
          <cell r="L5776"/>
          <cell r="M5776"/>
        </row>
        <row r="5777">
          <cell r="B5777"/>
          <cell r="C5777"/>
          <cell r="E5777"/>
          <cell r="F5777"/>
          <cell r="G5777"/>
          <cell r="H5777"/>
          <cell r="J5777"/>
          <cell r="L5777"/>
          <cell r="M5777"/>
        </row>
        <row r="5778">
          <cell r="B5778"/>
          <cell r="C5778"/>
          <cell r="E5778"/>
          <cell r="F5778"/>
          <cell r="G5778"/>
          <cell r="H5778"/>
          <cell r="J5778"/>
          <cell r="L5778"/>
          <cell r="M5778"/>
        </row>
        <row r="5779">
          <cell r="B5779"/>
          <cell r="C5779"/>
          <cell r="E5779"/>
          <cell r="F5779"/>
          <cell r="G5779"/>
          <cell r="H5779"/>
          <cell r="J5779"/>
          <cell r="L5779"/>
          <cell r="M5779"/>
        </row>
        <row r="5780">
          <cell r="B5780"/>
          <cell r="C5780"/>
          <cell r="E5780"/>
          <cell r="F5780"/>
          <cell r="G5780"/>
          <cell r="H5780"/>
          <cell r="J5780"/>
          <cell r="L5780"/>
          <cell r="M5780"/>
        </row>
        <row r="5781">
          <cell r="B5781"/>
          <cell r="C5781"/>
          <cell r="E5781"/>
          <cell r="F5781"/>
          <cell r="G5781"/>
          <cell r="H5781"/>
          <cell r="J5781"/>
          <cell r="L5781"/>
          <cell r="M5781"/>
        </row>
        <row r="5782">
          <cell r="B5782"/>
          <cell r="C5782"/>
          <cell r="E5782"/>
          <cell r="F5782"/>
          <cell r="G5782"/>
          <cell r="H5782"/>
          <cell r="J5782"/>
          <cell r="L5782"/>
          <cell r="M5782"/>
        </row>
        <row r="5783">
          <cell r="B5783"/>
          <cell r="C5783"/>
          <cell r="E5783"/>
          <cell r="F5783"/>
          <cell r="G5783"/>
          <cell r="H5783"/>
          <cell r="J5783"/>
          <cell r="L5783"/>
          <cell r="M5783"/>
        </row>
        <row r="5784">
          <cell r="B5784"/>
          <cell r="C5784"/>
          <cell r="E5784"/>
          <cell r="F5784"/>
          <cell r="G5784"/>
          <cell r="H5784"/>
          <cell r="J5784"/>
          <cell r="L5784"/>
          <cell r="M5784"/>
        </row>
        <row r="5785">
          <cell r="B5785"/>
          <cell r="C5785"/>
          <cell r="E5785"/>
          <cell r="F5785"/>
          <cell r="G5785"/>
          <cell r="H5785"/>
          <cell r="J5785"/>
          <cell r="L5785"/>
          <cell r="M5785"/>
        </row>
        <row r="5786">
          <cell r="B5786"/>
          <cell r="C5786"/>
          <cell r="E5786"/>
          <cell r="F5786"/>
          <cell r="G5786"/>
          <cell r="H5786"/>
          <cell r="J5786"/>
          <cell r="L5786"/>
          <cell r="M5786"/>
        </row>
        <row r="5787">
          <cell r="B5787"/>
          <cell r="C5787"/>
          <cell r="E5787"/>
          <cell r="F5787"/>
          <cell r="G5787"/>
          <cell r="H5787"/>
          <cell r="J5787"/>
          <cell r="L5787"/>
          <cell r="M5787"/>
        </row>
        <row r="5788">
          <cell r="B5788"/>
          <cell r="C5788"/>
          <cell r="E5788"/>
          <cell r="F5788"/>
          <cell r="G5788"/>
          <cell r="H5788"/>
          <cell r="J5788"/>
          <cell r="L5788"/>
          <cell r="M5788"/>
        </row>
        <row r="5789">
          <cell r="B5789"/>
          <cell r="C5789"/>
          <cell r="E5789"/>
          <cell r="F5789"/>
          <cell r="G5789"/>
          <cell r="H5789"/>
          <cell r="J5789"/>
          <cell r="L5789"/>
          <cell r="M5789"/>
        </row>
        <row r="5790">
          <cell r="B5790"/>
          <cell r="C5790"/>
          <cell r="E5790"/>
          <cell r="F5790"/>
          <cell r="G5790"/>
          <cell r="H5790"/>
          <cell r="J5790"/>
          <cell r="L5790"/>
          <cell r="M5790"/>
        </row>
        <row r="5791">
          <cell r="B5791"/>
          <cell r="C5791"/>
          <cell r="E5791"/>
          <cell r="F5791"/>
          <cell r="G5791"/>
          <cell r="H5791"/>
          <cell r="J5791"/>
          <cell r="L5791"/>
          <cell r="M5791"/>
        </row>
        <row r="5792">
          <cell r="B5792"/>
          <cell r="C5792"/>
          <cell r="E5792"/>
          <cell r="F5792"/>
          <cell r="G5792"/>
          <cell r="H5792"/>
          <cell r="J5792"/>
          <cell r="L5792"/>
          <cell r="M5792"/>
        </row>
        <row r="5793">
          <cell r="B5793"/>
          <cell r="C5793"/>
          <cell r="E5793"/>
          <cell r="F5793"/>
          <cell r="G5793"/>
          <cell r="H5793"/>
          <cell r="J5793"/>
          <cell r="L5793"/>
          <cell r="M5793"/>
        </row>
        <row r="5794">
          <cell r="B5794"/>
          <cell r="C5794"/>
          <cell r="E5794"/>
          <cell r="F5794"/>
          <cell r="G5794"/>
          <cell r="H5794"/>
          <cell r="J5794"/>
          <cell r="L5794"/>
          <cell r="M5794"/>
        </row>
        <row r="5795">
          <cell r="B5795"/>
          <cell r="C5795"/>
          <cell r="E5795"/>
          <cell r="F5795"/>
          <cell r="G5795"/>
          <cell r="H5795"/>
          <cell r="J5795"/>
          <cell r="L5795"/>
          <cell r="M5795"/>
        </row>
        <row r="5796">
          <cell r="B5796"/>
          <cell r="C5796"/>
          <cell r="E5796"/>
          <cell r="F5796"/>
          <cell r="G5796"/>
          <cell r="H5796"/>
          <cell r="J5796"/>
          <cell r="L5796"/>
          <cell r="M5796"/>
        </row>
        <row r="5797">
          <cell r="B5797"/>
          <cell r="C5797"/>
          <cell r="E5797"/>
          <cell r="F5797"/>
          <cell r="G5797"/>
          <cell r="H5797"/>
          <cell r="J5797"/>
          <cell r="L5797"/>
          <cell r="M5797"/>
        </row>
        <row r="5798">
          <cell r="B5798"/>
          <cell r="C5798"/>
          <cell r="E5798"/>
          <cell r="F5798"/>
          <cell r="G5798"/>
          <cell r="H5798"/>
          <cell r="J5798"/>
          <cell r="L5798"/>
          <cell r="M5798"/>
        </row>
        <row r="5799">
          <cell r="B5799"/>
          <cell r="C5799"/>
          <cell r="E5799"/>
          <cell r="F5799"/>
          <cell r="G5799"/>
          <cell r="H5799"/>
          <cell r="J5799"/>
          <cell r="L5799"/>
          <cell r="M5799"/>
        </row>
        <row r="5800">
          <cell r="B5800"/>
          <cell r="C5800"/>
          <cell r="E5800"/>
          <cell r="F5800"/>
          <cell r="G5800"/>
          <cell r="H5800"/>
          <cell r="J5800"/>
          <cell r="L5800"/>
          <cell r="M5800"/>
        </row>
        <row r="5801">
          <cell r="B5801"/>
          <cell r="C5801"/>
          <cell r="E5801"/>
          <cell r="F5801"/>
          <cell r="G5801"/>
          <cell r="H5801"/>
          <cell r="J5801"/>
          <cell r="L5801"/>
          <cell r="M5801"/>
        </row>
        <row r="5802">
          <cell r="B5802"/>
          <cell r="C5802"/>
          <cell r="E5802"/>
          <cell r="F5802"/>
          <cell r="G5802"/>
          <cell r="H5802"/>
          <cell r="J5802"/>
          <cell r="L5802"/>
          <cell r="M5802"/>
        </row>
        <row r="5803">
          <cell r="B5803"/>
          <cell r="C5803"/>
          <cell r="E5803"/>
          <cell r="F5803"/>
          <cell r="G5803"/>
          <cell r="H5803"/>
          <cell r="J5803"/>
          <cell r="L5803"/>
          <cell r="M5803"/>
        </row>
        <row r="5804">
          <cell r="B5804"/>
          <cell r="C5804"/>
          <cell r="E5804"/>
          <cell r="F5804"/>
          <cell r="G5804"/>
          <cell r="H5804"/>
          <cell r="J5804"/>
          <cell r="L5804"/>
          <cell r="M5804"/>
        </row>
        <row r="5805">
          <cell r="B5805"/>
          <cell r="C5805"/>
          <cell r="E5805"/>
          <cell r="F5805"/>
          <cell r="G5805"/>
          <cell r="H5805"/>
          <cell r="J5805"/>
          <cell r="L5805"/>
          <cell r="M5805"/>
        </row>
        <row r="5806">
          <cell r="B5806"/>
          <cell r="C5806"/>
          <cell r="E5806"/>
          <cell r="F5806"/>
          <cell r="G5806"/>
          <cell r="H5806"/>
          <cell r="J5806"/>
          <cell r="L5806"/>
          <cell r="M5806"/>
        </row>
        <row r="5807">
          <cell r="B5807"/>
          <cell r="C5807"/>
          <cell r="E5807"/>
          <cell r="F5807"/>
          <cell r="G5807"/>
          <cell r="H5807"/>
          <cell r="J5807"/>
          <cell r="L5807"/>
          <cell r="M5807"/>
        </row>
        <row r="5808">
          <cell r="B5808"/>
          <cell r="C5808"/>
          <cell r="E5808"/>
          <cell r="F5808"/>
          <cell r="G5808"/>
          <cell r="H5808"/>
          <cell r="J5808"/>
          <cell r="L5808"/>
          <cell r="M5808"/>
        </row>
        <row r="5809">
          <cell r="B5809"/>
          <cell r="C5809"/>
          <cell r="E5809"/>
          <cell r="F5809"/>
          <cell r="G5809"/>
          <cell r="H5809"/>
          <cell r="J5809"/>
          <cell r="L5809"/>
          <cell r="M5809"/>
        </row>
        <row r="5810">
          <cell r="B5810"/>
          <cell r="C5810"/>
          <cell r="E5810"/>
          <cell r="F5810"/>
          <cell r="G5810"/>
          <cell r="H5810"/>
          <cell r="J5810"/>
          <cell r="L5810"/>
          <cell r="M5810"/>
        </row>
        <row r="5811">
          <cell r="B5811"/>
          <cell r="C5811"/>
          <cell r="E5811"/>
          <cell r="F5811"/>
          <cell r="G5811"/>
          <cell r="H5811"/>
          <cell r="J5811"/>
          <cell r="L5811"/>
          <cell r="M5811"/>
        </row>
        <row r="5812">
          <cell r="B5812"/>
          <cell r="C5812"/>
          <cell r="E5812"/>
          <cell r="F5812"/>
          <cell r="G5812"/>
          <cell r="H5812"/>
          <cell r="J5812"/>
          <cell r="L5812"/>
          <cell r="M5812"/>
        </row>
        <row r="5813">
          <cell r="B5813"/>
          <cell r="C5813"/>
          <cell r="E5813"/>
          <cell r="F5813"/>
          <cell r="G5813"/>
          <cell r="H5813"/>
          <cell r="J5813"/>
          <cell r="L5813"/>
          <cell r="M5813"/>
        </row>
        <row r="5814">
          <cell r="B5814"/>
          <cell r="C5814"/>
          <cell r="E5814"/>
          <cell r="F5814"/>
          <cell r="G5814"/>
          <cell r="H5814"/>
          <cell r="J5814"/>
          <cell r="L5814"/>
          <cell r="M5814"/>
        </row>
        <row r="5815">
          <cell r="B5815"/>
          <cell r="C5815"/>
          <cell r="E5815"/>
          <cell r="F5815"/>
          <cell r="G5815"/>
          <cell r="H5815"/>
          <cell r="J5815"/>
          <cell r="L5815"/>
          <cell r="M5815"/>
        </row>
        <row r="5816">
          <cell r="B5816"/>
          <cell r="C5816"/>
          <cell r="E5816"/>
          <cell r="F5816"/>
          <cell r="G5816"/>
          <cell r="H5816"/>
          <cell r="J5816"/>
          <cell r="L5816"/>
          <cell r="M5816"/>
        </row>
        <row r="5817">
          <cell r="B5817"/>
          <cell r="C5817"/>
          <cell r="E5817"/>
          <cell r="F5817"/>
          <cell r="G5817"/>
          <cell r="H5817"/>
          <cell r="J5817"/>
          <cell r="L5817"/>
          <cell r="M5817"/>
        </row>
        <row r="5818">
          <cell r="B5818"/>
          <cell r="C5818"/>
          <cell r="E5818"/>
          <cell r="F5818"/>
          <cell r="G5818"/>
          <cell r="H5818"/>
          <cell r="J5818"/>
          <cell r="L5818"/>
          <cell r="M5818"/>
        </row>
        <row r="5819">
          <cell r="B5819"/>
          <cell r="C5819"/>
          <cell r="E5819"/>
          <cell r="F5819"/>
          <cell r="G5819"/>
          <cell r="H5819"/>
          <cell r="J5819"/>
          <cell r="L5819"/>
          <cell r="M5819"/>
        </row>
        <row r="5820">
          <cell r="B5820"/>
          <cell r="C5820"/>
          <cell r="E5820"/>
          <cell r="F5820"/>
          <cell r="G5820"/>
          <cell r="H5820"/>
          <cell r="J5820"/>
          <cell r="L5820"/>
          <cell r="M5820"/>
        </row>
        <row r="5821">
          <cell r="B5821"/>
          <cell r="C5821"/>
          <cell r="E5821"/>
          <cell r="F5821"/>
          <cell r="G5821"/>
          <cell r="H5821"/>
          <cell r="J5821"/>
          <cell r="L5821"/>
          <cell r="M5821"/>
        </row>
        <row r="5822">
          <cell r="B5822"/>
          <cell r="C5822"/>
          <cell r="E5822"/>
          <cell r="F5822"/>
          <cell r="G5822"/>
          <cell r="H5822"/>
          <cell r="J5822"/>
          <cell r="L5822"/>
          <cell r="M5822"/>
        </row>
        <row r="5823">
          <cell r="B5823"/>
          <cell r="C5823"/>
          <cell r="E5823"/>
          <cell r="F5823"/>
          <cell r="G5823"/>
          <cell r="H5823"/>
          <cell r="J5823"/>
          <cell r="L5823"/>
          <cell r="M5823"/>
        </row>
        <row r="5824">
          <cell r="B5824"/>
          <cell r="C5824"/>
          <cell r="E5824"/>
          <cell r="F5824"/>
          <cell r="G5824"/>
          <cell r="H5824"/>
          <cell r="J5824"/>
          <cell r="L5824"/>
          <cell r="M5824"/>
        </row>
        <row r="5825">
          <cell r="B5825"/>
          <cell r="C5825"/>
          <cell r="E5825"/>
          <cell r="F5825"/>
          <cell r="G5825"/>
          <cell r="H5825"/>
          <cell r="J5825"/>
          <cell r="L5825"/>
          <cell r="M5825"/>
        </row>
        <row r="5826">
          <cell r="B5826"/>
          <cell r="C5826"/>
          <cell r="E5826"/>
          <cell r="F5826"/>
          <cell r="G5826"/>
          <cell r="H5826"/>
          <cell r="J5826"/>
          <cell r="L5826"/>
          <cell r="M5826"/>
        </row>
        <row r="5827">
          <cell r="B5827"/>
          <cell r="C5827"/>
          <cell r="E5827"/>
          <cell r="F5827"/>
          <cell r="G5827"/>
          <cell r="H5827"/>
          <cell r="J5827"/>
          <cell r="L5827"/>
          <cell r="M5827"/>
        </row>
        <row r="5828">
          <cell r="B5828"/>
          <cell r="C5828"/>
          <cell r="E5828"/>
          <cell r="F5828"/>
          <cell r="G5828"/>
          <cell r="H5828"/>
          <cell r="J5828"/>
          <cell r="L5828"/>
          <cell r="M5828"/>
        </row>
        <row r="5829">
          <cell r="B5829"/>
          <cell r="C5829"/>
          <cell r="E5829"/>
          <cell r="F5829"/>
          <cell r="G5829"/>
          <cell r="H5829"/>
          <cell r="J5829"/>
          <cell r="L5829"/>
          <cell r="M5829"/>
        </row>
        <row r="5830">
          <cell r="B5830"/>
          <cell r="C5830"/>
          <cell r="E5830"/>
          <cell r="F5830"/>
          <cell r="G5830"/>
          <cell r="H5830"/>
          <cell r="J5830"/>
          <cell r="L5830"/>
          <cell r="M5830"/>
        </row>
        <row r="5831">
          <cell r="B5831"/>
          <cell r="C5831"/>
          <cell r="E5831"/>
          <cell r="F5831"/>
          <cell r="G5831"/>
          <cell r="H5831"/>
          <cell r="J5831"/>
          <cell r="L5831"/>
          <cell r="M5831"/>
        </row>
        <row r="5832">
          <cell r="B5832"/>
          <cell r="C5832"/>
          <cell r="E5832"/>
          <cell r="F5832"/>
          <cell r="G5832"/>
          <cell r="H5832"/>
          <cell r="J5832"/>
          <cell r="L5832"/>
          <cell r="M5832"/>
        </row>
        <row r="5833">
          <cell r="B5833"/>
          <cell r="C5833"/>
          <cell r="E5833"/>
          <cell r="F5833"/>
          <cell r="G5833"/>
          <cell r="H5833"/>
          <cell r="J5833"/>
          <cell r="L5833"/>
          <cell r="M5833"/>
        </row>
        <row r="5834">
          <cell r="B5834"/>
          <cell r="C5834"/>
          <cell r="E5834"/>
          <cell r="F5834"/>
          <cell r="G5834"/>
          <cell r="H5834"/>
          <cell r="J5834"/>
          <cell r="L5834"/>
          <cell r="M5834"/>
        </row>
        <row r="5835">
          <cell r="B5835"/>
          <cell r="C5835"/>
          <cell r="E5835"/>
          <cell r="F5835"/>
          <cell r="G5835"/>
          <cell r="H5835"/>
          <cell r="J5835"/>
          <cell r="L5835"/>
          <cell r="M5835"/>
        </row>
        <row r="5836">
          <cell r="B5836"/>
          <cell r="C5836"/>
          <cell r="E5836"/>
          <cell r="F5836"/>
          <cell r="G5836"/>
          <cell r="H5836"/>
          <cell r="J5836"/>
          <cell r="L5836"/>
          <cell r="M5836"/>
        </row>
        <row r="5837">
          <cell r="B5837"/>
          <cell r="C5837"/>
          <cell r="E5837"/>
          <cell r="F5837"/>
          <cell r="G5837"/>
          <cell r="H5837"/>
          <cell r="J5837"/>
          <cell r="L5837"/>
          <cell r="M5837"/>
        </row>
        <row r="5838">
          <cell r="B5838"/>
          <cell r="C5838"/>
          <cell r="E5838"/>
          <cell r="F5838"/>
          <cell r="G5838"/>
          <cell r="H5838"/>
          <cell r="J5838"/>
          <cell r="L5838"/>
          <cell r="M5838"/>
        </row>
        <row r="5839">
          <cell r="B5839"/>
          <cell r="C5839"/>
          <cell r="E5839"/>
          <cell r="F5839"/>
          <cell r="G5839"/>
          <cell r="H5839"/>
          <cell r="J5839"/>
          <cell r="L5839"/>
          <cell r="M5839"/>
        </row>
        <row r="5840">
          <cell r="B5840"/>
          <cell r="C5840"/>
          <cell r="E5840"/>
          <cell r="F5840"/>
          <cell r="G5840"/>
          <cell r="H5840"/>
          <cell r="J5840"/>
          <cell r="L5840"/>
          <cell r="M5840"/>
        </row>
        <row r="5841">
          <cell r="B5841"/>
          <cell r="C5841"/>
          <cell r="E5841"/>
          <cell r="F5841"/>
          <cell r="G5841"/>
          <cell r="H5841"/>
          <cell r="J5841"/>
          <cell r="L5841"/>
          <cell r="M5841"/>
        </row>
        <row r="5842">
          <cell r="B5842"/>
          <cell r="C5842"/>
          <cell r="E5842"/>
          <cell r="F5842"/>
          <cell r="G5842"/>
          <cell r="H5842"/>
          <cell r="J5842"/>
          <cell r="L5842"/>
          <cell r="M5842"/>
        </row>
        <row r="5843">
          <cell r="B5843"/>
          <cell r="C5843"/>
          <cell r="E5843"/>
          <cell r="F5843"/>
          <cell r="G5843"/>
          <cell r="H5843"/>
          <cell r="J5843"/>
          <cell r="L5843"/>
          <cell r="M5843"/>
        </row>
        <row r="5844">
          <cell r="B5844"/>
          <cell r="C5844"/>
          <cell r="E5844"/>
          <cell r="F5844"/>
          <cell r="G5844"/>
          <cell r="H5844"/>
          <cell r="J5844"/>
          <cell r="L5844"/>
          <cell r="M5844"/>
        </row>
        <row r="5845">
          <cell r="B5845"/>
          <cell r="C5845"/>
          <cell r="E5845"/>
          <cell r="F5845"/>
          <cell r="G5845"/>
          <cell r="H5845"/>
          <cell r="J5845"/>
          <cell r="L5845"/>
          <cell r="M5845"/>
        </row>
        <row r="5846">
          <cell r="B5846"/>
          <cell r="C5846"/>
          <cell r="E5846"/>
          <cell r="F5846"/>
          <cell r="G5846"/>
          <cell r="H5846"/>
          <cell r="J5846"/>
          <cell r="L5846"/>
          <cell r="M5846"/>
        </row>
        <row r="5847">
          <cell r="B5847"/>
          <cell r="C5847"/>
          <cell r="E5847"/>
          <cell r="F5847"/>
          <cell r="G5847"/>
          <cell r="H5847"/>
          <cell r="J5847"/>
          <cell r="L5847"/>
          <cell r="M5847"/>
        </row>
        <row r="5848">
          <cell r="B5848"/>
          <cell r="C5848"/>
          <cell r="E5848"/>
          <cell r="F5848"/>
          <cell r="G5848"/>
          <cell r="H5848"/>
          <cell r="J5848"/>
          <cell r="L5848"/>
          <cell r="M5848"/>
        </row>
        <row r="5849">
          <cell r="B5849"/>
          <cell r="C5849"/>
          <cell r="E5849"/>
          <cell r="F5849"/>
          <cell r="G5849"/>
          <cell r="H5849"/>
          <cell r="J5849"/>
          <cell r="L5849"/>
          <cell r="M5849"/>
        </row>
        <row r="5850">
          <cell r="B5850"/>
          <cell r="C5850"/>
          <cell r="E5850"/>
          <cell r="F5850"/>
          <cell r="G5850"/>
          <cell r="H5850"/>
          <cell r="J5850"/>
          <cell r="L5850"/>
          <cell r="M5850"/>
        </row>
        <row r="5851">
          <cell r="B5851"/>
          <cell r="C5851"/>
          <cell r="E5851"/>
          <cell r="F5851"/>
          <cell r="G5851"/>
          <cell r="H5851"/>
          <cell r="J5851"/>
          <cell r="L5851"/>
          <cell r="M5851"/>
        </row>
        <row r="5852">
          <cell r="B5852"/>
          <cell r="C5852"/>
          <cell r="E5852"/>
          <cell r="F5852"/>
          <cell r="G5852"/>
          <cell r="H5852"/>
          <cell r="J5852"/>
          <cell r="L5852"/>
          <cell r="M5852"/>
        </row>
        <row r="5853">
          <cell r="B5853"/>
          <cell r="C5853"/>
          <cell r="E5853"/>
          <cell r="F5853"/>
          <cell r="G5853"/>
          <cell r="H5853"/>
          <cell r="J5853"/>
          <cell r="L5853"/>
          <cell r="M5853"/>
        </row>
        <row r="5854">
          <cell r="B5854"/>
          <cell r="C5854"/>
          <cell r="E5854"/>
          <cell r="F5854"/>
          <cell r="G5854"/>
          <cell r="H5854"/>
          <cell r="J5854"/>
          <cell r="L5854"/>
          <cell r="M5854"/>
        </row>
        <row r="5855">
          <cell r="B5855"/>
          <cell r="C5855"/>
          <cell r="E5855"/>
          <cell r="F5855"/>
          <cell r="G5855"/>
          <cell r="H5855"/>
          <cell r="J5855"/>
          <cell r="L5855"/>
          <cell r="M5855"/>
        </row>
        <row r="5856">
          <cell r="B5856"/>
          <cell r="C5856"/>
          <cell r="E5856"/>
          <cell r="F5856"/>
          <cell r="G5856"/>
          <cell r="H5856"/>
          <cell r="J5856"/>
          <cell r="L5856"/>
          <cell r="M5856"/>
        </row>
        <row r="5857">
          <cell r="B5857"/>
          <cell r="C5857"/>
          <cell r="E5857"/>
          <cell r="F5857"/>
          <cell r="G5857"/>
          <cell r="H5857"/>
          <cell r="J5857"/>
          <cell r="L5857"/>
          <cell r="M5857"/>
        </row>
        <row r="5858">
          <cell r="B5858"/>
          <cell r="C5858"/>
          <cell r="E5858"/>
          <cell r="F5858"/>
          <cell r="G5858"/>
          <cell r="H5858"/>
          <cell r="J5858"/>
          <cell r="L5858"/>
          <cell r="M5858"/>
        </row>
        <row r="5859">
          <cell r="B5859"/>
          <cell r="C5859"/>
          <cell r="E5859"/>
          <cell r="F5859"/>
          <cell r="G5859"/>
          <cell r="H5859"/>
          <cell r="J5859"/>
          <cell r="L5859"/>
          <cell r="M5859"/>
        </row>
        <row r="5860">
          <cell r="B5860"/>
          <cell r="C5860"/>
          <cell r="E5860"/>
          <cell r="F5860"/>
          <cell r="G5860"/>
          <cell r="H5860"/>
          <cell r="J5860"/>
          <cell r="L5860"/>
          <cell r="M5860"/>
        </row>
        <row r="5861">
          <cell r="B5861"/>
          <cell r="C5861"/>
          <cell r="E5861"/>
          <cell r="F5861"/>
          <cell r="G5861"/>
          <cell r="H5861"/>
          <cell r="J5861"/>
          <cell r="L5861"/>
          <cell r="M5861"/>
        </row>
        <row r="5862">
          <cell r="B5862"/>
          <cell r="C5862"/>
          <cell r="E5862"/>
          <cell r="F5862"/>
          <cell r="G5862"/>
          <cell r="H5862"/>
          <cell r="J5862"/>
          <cell r="L5862"/>
          <cell r="M5862"/>
        </row>
        <row r="5863">
          <cell r="B5863"/>
          <cell r="C5863"/>
          <cell r="E5863"/>
          <cell r="F5863"/>
          <cell r="G5863"/>
          <cell r="H5863"/>
          <cell r="J5863"/>
          <cell r="L5863"/>
          <cell r="M5863"/>
        </row>
        <row r="5864">
          <cell r="B5864"/>
          <cell r="C5864"/>
          <cell r="E5864"/>
          <cell r="F5864"/>
          <cell r="G5864"/>
          <cell r="H5864"/>
          <cell r="J5864"/>
          <cell r="L5864"/>
          <cell r="M5864"/>
        </row>
        <row r="5865">
          <cell r="B5865"/>
          <cell r="C5865"/>
          <cell r="E5865"/>
          <cell r="F5865"/>
          <cell r="G5865"/>
          <cell r="H5865"/>
          <cell r="J5865"/>
          <cell r="L5865"/>
          <cell r="M5865"/>
        </row>
        <row r="5866">
          <cell r="B5866"/>
          <cell r="C5866"/>
          <cell r="E5866"/>
          <cell r="F5866"/>
          <cell r="G5866"/>
          <cell r="H5866"/>
          <cell r="J5866"/>
          <cell r="L5866"/>
          <cell r="M5866"/>
        </row>
        <row r="5867">
          <cell r="B5867"/>
          <cell r="C5867"/>
          <cell r="E5867"/>
          <cell r="F5867"/>
          <cell r="G5867"/>
          <cell r="H5867"/>
          <cell r="J5867"/>
          <cell r="L5867"/>
          <cell r="M5867"/>
        </row>
        <row r="5868">
          <cell r="B5868"/>
          <cell r="C5868"/>
          <cell r="E5868"/>
          <cell r="F5868"/>
          <cell r="G5868"/>
          <cell r="H5868"/>
          <cell r="J5868"/>
          <cell r="L5868"/>
          <cell r="M5868"/>
        </row>
        <row r="5869">
          <cell r="B5869"/>
          <cell r="C5869"/>
          <cell r="E5869"/>
          <cell r="F5869"/>
          <cell r="G5869"/>
          <cell r="H5869"/>
          <cell r="J5869"/>
          <cell r="L5869"/>
          <cell r="M5869"/>
        </row>
        <row r="5870">
          <cell r="B5870"/>
          <cell r="C5870"/>
          <cell r="E5870"/>
          <cell r="F5870"/>
          <cell r="G5870"/>
          <cell r="H5870"/>
          <cell r="J5870"/>
          <cell r="L5870"/>
          <cell r="M5870"/>
        </row>
        <row r="5871">
          <cell r="B5871"/>
          <cell r="C5871"/>
          <cell r="E5871"/>
          <cell r="F5871"/>
          <cell r="G5871"/>
          <cell r="H5871"/>
          <cell r="J5871"/>
          <cell r="L5871"/>
          <cell r="M5871"/>
        </row>
        <row r="5872">
          <cell r="B5872"/>
          <cell r="C5872"/>
          <cell r="E5872"/>
          <cell r="F5872"/>
          <cell r="G5872"/>
          <cell r="H5872"/>
          <cell r="J5872"/>
          <cell r="L5872"/>
          <cell r="M5872"/>
        </row>
        <row r="5873">
          <cell r="B5873"/>
          <cell r="C5873"/>
          <cell r="E5873"/>
          <cell r="F5873"/>
          <cell r="G5873"/>
          <cell r="H5873"/>
          <cell r="J5873"/>
          <cell r="L5873"/>
          <cell r="M5873"/>
        </row>
        <row r="5874">
          <cell r="B5874"/>
          <cell r="C5874"/>
          <cell r="E5874"/>
          <cell r="F5874"/>
          <cell r="G5874"/>
          <cell r="H5874"/>
          <cell r="J5874"/>
          <cell r="L5874"/>
          <cell r="M5874"/>
        </row>
        <row r="5875">
          <cell r="B5875"/>
          <cell r="C5875"/>
          <cell r="E5875"/>
          <cell r="F5875"/>
          <cell r="G5875"/>
          <cell r="H5875"/>
          <cell r="J5875"/>
          <cell r="L5875"/>
          <cell r="M5875"/>
        </row>
        <row r="5876">
          <cell r="B5876"/>
          <cell r="C5876"/>
          <cell r="E5876"/>
          <cell r="F5876"/>
          <cell r="G5876"/>
          <cell r="H5876"/>
          <cell r="J5876"/>
          <cell r="L5876"/>
          <cell r="M5876"/>
        </row>
        <row r="5877">
          <cell r="B5877"/>
          <cell r="C5877"/>
          <cell r="E5877"/>
          <cell r="F5877"/>
          <cell r="G5877"/>
          <cell r="H5877"/>
          <cell r="J5877"/>
          <cell r="L5877"/>
          <cell r="M5877"/>
        </row>
        <row r="5878">
          <cell r="B5878"/>
          <cell r="C5878"/>
          <cell r="E5878"/>
          <cell r="F5878"/>
          <cell r="G5878"/>
          <cell r="H5878"/>
          <cell r="J5878"/>
          <cell r="L5878"/>
          <cell r="M5878"/>
        </row>
        <row r="5879">
          <cell r="B5879"/>
          <cell r="C5879"/>
          <cell r="E5879"/>
          <cell r="F5879"/>
          <cell r="G5879"/>
          <cell r="H5879"/>
          <cell r="J5879"/>
          <cell r="L5879"/>
          <cell r="M5879"/>
        </row>
        <row r="5880">
          <cell r="B5880"/>
          <cell r="C5880"/>
          <cell r="E5880"/>
          <cell r="F5880"/>
          <cell r="G5880"/>
          <cell r="H5880"/>
          <cell r="J5880"/>
          <cell r="L5880"/>
          <cell r="M5880"/>
        </row>
        <row r="5881">
          <cell r="B5881"/>
          <cell r="C5881"/>
          <cell r="E5881"/>
          <cell r="F5881"/>
          <cell r="G5881"/>
          <cell r="H5881"/>
          <cell r="J5881"/>
          <cell r="L5881"/>
          <cell r="M5881"/>
        </row>
        <row r="5882">
          <cell r="B5882"/>
          <cell r="C5882"/>
          <cell r="E5882"/>
          <cell r="F5882"/>
          <cell r="G5882"/>
          <cell r="H5882"/>
          <cell r="J5882"/>
          <cell r="L5882"/>
          <cell r="M5882"/>
        </row>
        <row r="5883">
          <cell r="B5883"/>
          <cell r="C5883"/>
          <cell r="E5883"/>
          <cell r="F5883"/>
          <cell r="G5883"/>
          <cell r="H5883"/>
          <cell r="J5883"/>
          <cell r="L5883"/>
          <cell r="M5883"/>
        </row>
        <row r="5884">
          <cell r="B5884"/>
          <cell r="C5884"/>
          <cell r="E5884"/>
          <cell r="F5884"/>
          <cell r="G5884"/>
          <cell r="H5884"/>
          <cell r="J5884"/>
          <cell r="L5884"/>
          <cell r="M5884"/>
        </row>
        <row r="5885">
          <cell r="B5885"/>
          <cell r="C5885"/>
          <cell r="E5885"/>
          <cell r="F5885"/>
          <cell r="G5885"/>
          <cell r="H5885"/>
          <cell r="J5885"/>
          <cell r="L5885"/>
          <cell r="M5885"/>
        </row>
        <row r="5886">
          <cell r="B5886"/>
          <cell r="C5886"/>
          <cell r="E5886"/>
          <cell r="F5886"/>
          <cell r="G5886"/>
          <cell r="H5886"/>
          <cell r="J5886"/>
          <cell r="L5886"/>
          <cell r="M5886"/>
        </row>
        <row r="5887">
          <cell r="B5887"/>
          <cell r="C5887"/>
          <cell r="E5887"/>
          <cell r="F5887"/>
          <cell r="G5887"/>
          <cell r="H5887"/>
          <cell r="J5887"/>
          <cell r="L5887"/>
          <cell r="M5887"/>
        </row>
        <row r="5888">
          <cell r="B5888"/>
          <cell r="C5888"/>
          <cell r="E5888"/>
          <cell r="F5888"/>
          <cell r="G5888"/>
          <cell r="H5888"/>
          <cell r="J5888"/>
          <cell r="L5888"/>
          <cell r="M5888"/>
        </row>
        <row r="5889">
          <cell r="B5889"/>
          <cell r="C5889"/>
          <cell r="E5889"/>
          <cell r="F5889"/>
          <cell r="G5889"/>
          <cell r="H5889"/>
          <cell r="J5889"/>
          <cell r="L5889"/>
          <cell r="M5889"/>
        </row>
        <row r="5890">
          <cell r="B5890"/>
          <cell r="C5890"/>
          <cell r="E5890"/>
          <cell r="F5890"/>
          <cell r="G5890"/>
          <cell r="H5890"/>
          <cell r="J5890"/>
          <cell r="L5890"/>
          <cell r="M5890"/>
        </row>
        <row r="5891">
          <cell r="B5891"/>
          <cell r="C5891"/>
          <cell r="E5891"/>
          <cell r="F5891"/>
          <cell r="G5891"/>
          <cell r="H5891"/>
          <cell r="J5891"/>
          <cell r="L5891"/>
          <cell r="M5891"/>
        </row>
        <row r="5892">
          <cell r="B5892"/>
          <cell r="C5892"/>
          <cell r="E5892"/>
          <cell r="F5892"/>
          <cell r="G5892"/>
          <cell r="H5892"/>
          <cell r="J5892"/>
          <cell r="L5892"/>
          <cell r="M5892"/>
        </row>
        <row r="5893">
          <cell r="B5893"/>
          <cell r="C5893"/>
          <cell r="E5893"/>
          <cell r="F5893"/>
          <cell r="G5893"/>
          <cell r="H5893"/>
          <cell r="J5893"/>
          <cell r="L5893"/>
          <cell r="M5893"/>
        </row>
        <row r="5894">
          <cell r="B5894"/>
          <cell r="C5894"/>
          <cell r="E5894"/>
          <cell r="F5894"/>
          <cell r="G5894"/>
          <cell r="H5894"/>
          <cell r="J5894"/>
          <cell r="L5894"/>
          <cell r="M5894"/>
        </row>
        <row r="5895">
          <cell r="B5895"/>
          <cell r="C5895"/>
          <cell r="E5895"/>
          <cell r="F5895"/>
          <cell r="G5895"/>
          <cell r="H5895"/>
          <cell r="J5895"/>
          <cell r="L5895"/>
          <cell r="M5895"/>
        </row>
        <row r="5896">
          <cell r="B5896"/>
          <cell r="C5896"/>
          <cell r="E5896"/>
          <cell r="F5896"/>
          <cell r="G5896"/>
          <cell r="H5896"/>
          <cell r="J5896"/>
          <cell r="L5896"/>
          <cell r="M5896"/>
        </row>
        <row r="5897">
          <cell r="B5897"/>
          <cell r="C5897"/>
          <cell r="E5897"/>
          <cell r="F5897"/>
          <cell r="G5897"/>
          <cell r="H5897"/>
          <cell r="J5897"/>
          <cell r="L5897"/>
          <cell r="M5897"/>
        </row>
        <row r="5898">
          <cell r="B5898"/>
          <cell r="C5898"/>
          <cell r="E5898"/>
          <cell r="F5898"/>
          <cell r="G5898"/>
          <cell r="H5898"/>
          <cell r="J5898"/>
          <cell r="L5898"/>
          <cell r="M5898"/>
        </row>
        <row r="5899">
          <cell r="B5899"/>
          <cell r="C5899"/>
          <cell r="E5899"/>
          <cell r="F5899"/>
          <cell r="G5899"/>
          <cell r="H5899"/>
          <cell r="J5899"/>
          <cell r="L5899"/>
          <cell r="M5899"/>
        </row>
        <row r="5900">
          <cell r="B5900"/>
          <cell r="C5900"/>
          <cell r="E5900"/>
          <cell r="F5900"/>
          <cell r="G5900"/>
          <cell r="H5900"/>
          <cell r="J5900"/>
          <cell r="L5900"/>
          <cell r="M5900"/>
        </row>
        <row r="5901">
          <cell r="B5901"/>
          <cell r="C5901"/>
          <cell r="E5901"/>
          <cell r="F5901"/>
          <cell r="G5901"/>
          <cell r="H5901"/>
          <cell r="J5901"/>
          <cell r="L5901"/>
          <cell r="M5901"/>
        </row>
        <row r="5902">
          <cell r="B5902"/>
          <cell r="C5902"/>
          <cell r="E5902"/>
          <cell r="F5902"/>
          <cell r="G5902"/>
          <cell r="H5902"/>
          <cell r="J5902"/>
          <cell r="L5902"/>
          <cell r="M5902"/>
        </row>
        <row r="5903">
          <cell r="B5903"/>
          <cell r="C5903"/>
          <cell r="E5903"/>
          <cell r="F5903"/>
          <cell r="G5903"/>
          <cell r="H5903"/>
          <cell r="J5903"/>
          <cell r="L5903"/>
          <cell r="M5903"/>
        </row>
        <row r="5904">
          <cell r="B5904"/>
          <cell r="C5904"/>
          <cell r="E5904"/>
          <cell r="F5904"/>
          <cell r="G5904"/>
          <cell r="H5904"/>
          <cell r="J5904"/>
          <cell r="L5904"/>
          <cell r="M5904"/>
        </row>
        <row r="5905">
          <cell r="B5905"/>
          <cell r="C5905"/>
          <cell r="E5905"/>
          <cell r="F5905"/>
          <cell r="G5905"/>
          <cell r="H5905"/>
          <cell r="J5905"/>
          <cell r="L5905"/>
          <cell r="M5905"/>
        </row>
        <row r="5906">
          <cell r="B5906"/>
          <cell r="C5906"/>
          <cell r="E5906"/>
          <cell r="F5906"/>
          <cell r="G5906"/>
          <cell r="H5906"/>
          <cell r="J5906"/>
          <cell r="L5906"/>
          <cell r="M5906"/>
        </row>
        <row r="5907">
          <cell r="B5907"/>
          <cell r="C5907"/>
          <cell r="E5907"/>
          <cell r="F5907"/>
          <cell r="G5907"/>
          <cell r="H5907"/>
          <cell r="J5907"/>
          <cell r="L5907"/>
          <cell r="M5907"/>
        </row>
        <row r="5908">
          <cell r="B5908"/>
          <cell r="C5908"/>
          <cell r="E5908"/>
          <cell r="F5908"/>
          <cell r="G5908"/>
          <cell r="H5908"/>
          <cell r="J5908"/>
          <cell r="L5908"/>
          <cell r="M5908"/>
        </row>
        <row r="5909">
          <cell r="B5909"/>
          <cell r="C5909"/>
          <cell r="E5909"/>
          <cell r="F5909"/>
          <cell r="G5909"/>
          <cell r="H5909"/>
          <cell r="J5909"/>
          <cell r="L5909"/>
          <cell r="M5909"/>
        </row>
        <row r="5910">
          <cell r="B5910"/>
          <cell r="C5910"/>
          <cell r="E5910"/>
          <cell r="F5910"/>
          <cell r="G5910"/>
          <cell r="H5910"/>
          <cell r="J5910"/>
          <cell r="L5910"/>
          <cell r="M5910"/>
        </row>
        <row r="5911">
          <cell r="B5911"/>
          <cell r="C5911"/>
          <cell r="E5911"/>
          <cell r="F5911"/>
          <cell r="G5911"/>
          <cell r="H5911"/>
          <cell r="J5911"/>
          <cell r="L5911"/>
          <cell r="M5911"/>
        </row>
        <row r="5912">
          <cell r="B5912"/>
          <cell r="C5912"/>
          <cell r="E5912"/>
          <cell r="F5912"/>
          <cell r="G5912"/>
          <cell r="H5912"/>
          <cell r="J5912"/>
          <cell r="L5912"/>
          <cell r="M5912"/>
        </row>
        <row r="5913">
          <cell r="B5913"/>
          <cell r="C5913"/>
          <cell r="E5913"/>
          <cell r="F5913"/>
          <cell r="G5913"/>
          <cell r="H5913"/>
          <cell r="J5913"/>
          <cell r="L5913"/>
          <cell r="M5913"/>
        </row>
        <row r="5914">
          <cell r="B5914"/>
          <cell r="C5914"/>
          <cell r="E5914"/>
          <cell r="F5914"/>
          <cell r="G5914"/>
          <cell r="H5914"/>
          <cell r="J5914"/>
          <cell r="L5914"/>
          <cell r="M5914"/>
        </row>
        <row r="5915">
          <cell r="B5915"/>
          <cell r="C5915"/>
          <cell r="E5915"/>
          <cell r="F5915"/>
          <cell r="G5915"/>
          <cell r="H5915"/>
          <cell r="J5915"/>
          <cell r="L5915"/>
          <cell r="M5915"/>
        </row>
        <row r="5916">
          <cell r="B5916"/>
          <cell r="C5916"/>
          <cell r="E5916"/>
          <cell r="F5916"/>
          <cell r="G5916"/>
          <cell r="H5916"/>
          <cell r="J5916"/>
          <cell r="L5916"/>
          <cell r="M5916"/>
        </row>
        <row r="5917">
          <cell r="B5917"/>
          <cell r="C5917"/>
          <cell r="E5917"/>
          <cell r="F5917"/>
          <cell r="G5917"/>
          <cell r="H5917"/>
          <cell r="J5917"/>
          <cell r="L5917"/>
          <cell r="M5917"/>
        </row>
        <row r="5918">
          <cell r="B5918"/>
          <cell r="C5918"/>
          <cell r="E5918"/>
          <cell r="F5918"/>
          <cell r="G5918"/>
          <cell r="H5918"/>
          <cell r="J5918"/>
          <cell r="L5918"/>
          <cell r="M5918"/>
        </row>
        <row r="5919">
          <cell r="B5919"/>
          <cell r="C5919"/>
          <cell r="E5919"/>
          <cell r="F5919"/>
          <cell r="G5919"/>
          <cell r="H5919"/>
          <cell r="J5919"/>
          <cell r="L5919"/>
          <cell r="M5919"/>
        </row>
        <row r="5920">
          <cell r="B5920"/>
          <cell r="C5920"/>
          <cell r="E5920"/>
          <cell r="F5920"/>
          <cell r="G5920"/>
          <cell r="H5920"/>
          <cell r="J5920"/>
          <cell r="L5920"/>
          <cell r="M5920"/>
        </row>
        <row r="5921">
          <cell r="B5921"/>
          <cell r="C5921"/>
          <cell r="E5921"/>
          <cell r="F5921"/>
          <cell r="G5921"/>
          <cell r="H5921"/>
          <cell r="J5921"/>
          <cell r="L5921"/>
          <cell r="M5921"/>
        </row>
        <row r="5922">
          <cell r="B5922"/>
          <cell r="C5922"/>
          <cell r="E5922"/>
          <cell r="F5922"/>
          <cell r="G5922"/>
          <cell r="H5922"/>
          <cell r="J5922"/>
          <cell r="L5922"/>
          <cell r="M5922"/>
        </row>
        <row r="5923">
          <cell r="B5923"/>
          <cell r="C5923"/>
          <cell r="E5923"/>
          <cell r="F5923"/>
          <cell r="G5923"/>
          <cell r="H5923"/>
          <cell r="J5923"/>
          <cell r="L5923"/>
          <cell r="M5923"/>
        </row>
        <row r="5924">
          <cell r="B5924"/>
          <cell r="C5924"/>
          <cell r="E5924"/>
          <cell r="F5924"/>
          <cell r="G5924"/>
          <cell r="H5924"/>
          <cell r="J5924"/>
          <cell r="L5924"/>
          <cell r="M5924"/>
        </row>
        <row r="5925">
          <cell r="B5925"/>
          <cell r="C5925"/>
          <cell r="E5925"/>
          <cell r="F5925"/>
          <cell r="G5925"/>
          <cell r="H5925"/>
          <cell r="J5925"/>
          <cell r="L5925"/>
          <cell r="M5925"/>
        </row>
        <row r="5926">
          <cell r="B5926"/>
          <cell r="C5926"/>
          <cell r="E5926"/>
          <cell r="F5926"/>
          <cell r="G5926"/>
          <cell r="H5926"/>
          <cell r="J5926"/>
          <cell r="L5926"/>
          <cell r="M5926"/>
        </row>
        <row r="5927">
          <cell r="B5927"/>
          <cell r="C5927"/>
          <cell r="E5927"/>
          <cell r="F5927"/>
          <cell r="G5927"/>
          <cell r="H5927"/>
          <cell r="J5927"/>
          <cell r="L5927"/>
          <cell r="M5927"/>
        </row>
        <row r="5928">
          <cell r="B5928"/>
          <cell r="C5928"/>
          <cell r="E5928"/>
          <cell r="F5928"/>
          <cell r="G5928"/>
          <cell r="H5928"/>
          <cell r="J5928"/>
          <cell r="L5928"/>
          <cell r="M5928"/>
        </row>
        <row r="5929">
          <cell r="B5929"/>
          <cell r="C5929"/>
          <cell r="E5929"/>
          <cell r="F5929"/>
          <cell r="G5929"/>
          <cell r="H5929"/>
          <cell r="J5929"/>
          <cell r="L5929"/>
          <cell r="M5929"/>
        </row>
        <row r="5930">
          <cell r="B5930"/>
          <cell r="C5930"/>
          <cell r="E5930"/>
          <cell r="F5930"/>
          <cell r="G5930"/>
          <cell r="H5930"/>
          <cell r="J5930"/>
          <cell r="L5930"/>
          <cell r="M5930"/>
        </row>
        <row r="5931">
          <cell r="B5931"/>
          <cell r="C5931"/>
          <cell r="E5931"/>
          <cell r="F5931"/>
          <cell r="G5931"/>
          <cell r="H5931"/>
          <cell r="J5931"/>
          <cell r="L5931"/>
          <cell r="M5931"/>
        </row>
        <row r="5932">
          <cell r="B5932"/>
          <cell r="C5932"/>
          <cell r="E5932"/>
          <cell r="F5932"/>
          <cell r="G5932"/>
          <cell r="H5932"/>
          <cell r="J5932"/>
          <cell r="L5932"/>
          <cell r="M5932"/>
        </row>
        <row r="5933">
          <cell r="B5933"/>
          <cell r="C5933"/>
          <cell r="E5933"/>
          <cell r="F5933"/>
          <cell r="G5933"/>
          <cell r="H5933"/>
          <cell r="J5933"/>
          <cell r="L5933"/>
          <cell r="M5933"/>
        </row>
        <row r="5934">
          <cell r="B5934"/>
          <cell r="C5934"/>
          <cell r="E5934"/>
          <cell r="F5934"/>
          <cell r="G5934"/>
          <cell r="H5934"/>
          <cell r="J5934"/>
          <cell r="L5934"/>
          <cell r="M5934"/>
        </row>
        <row r="5935">
          <cell r="B5935"/>
          <cell r="C5935"/>
          <cell r="E5935"/>
          <cell r="F5935"/>
          <cell r="G5935"/>
          <cell r="H5935"/>
          <cell r="J5935"/>
          <cell r="L5935"/>
          <cell r="M5935"/>
        </row>
        <row r="5936">
          <cell r="B5936"/>
          <cell r="C5936"/>
          <cell r="E5936"/>
          <cell r="F5936"/>
          <cell r="G5936"/>
          <cell r="H5936"/>
          <cell r="J5936"/>
          <cell r="L5936"/>
          <cell r="M5936"/>
        </row>
        <row r="5937">
          <cell r="B5937"/>
          <cell r="C5937"/>
          <cell r="E5937"/>
          <cell r="F5937"/>
          <cell r="G5937"/>
          <cell r="H5937"/>
          <cell r="J5937"/>
          <cell r="L5937"/>
          <cell r="M5937"/>
        </row>
        <row r="5938">
          <cell r="B5938"/>
          <cell r="C5938"/>
          <cell r="E5938"/>
          <cell r="F5938"/>
          <cell r="G5938"/>
          <cell r="H5938"/>
          <cell r="J5938"/>
          <cell r="L5938"/>
          <cell r="M5938"/>
        </row>
        <row r="5939">
          <cell r="B5939"/>
          <cell r="C5939"/>
          <cell r="E5939"/>
          <cell r="F5939"/>
          <cell r="G5939"/>
          <cell r="H5939"/>
          <cell r="J5939"/>
          <cell r="L5939"/>
          <cell r="M5939"/>
        </row>
        <row r="5940">
          <cell r="B5940"/>
          <cell r="C5940"/>
          <cell r="E5940"/>
          <cell r="F5940"/>
          <cell r="G5940"/>
          <cell r="H5940"/>
          <cell r="J5940"/>
          <cell r="L5940"/>
          <cell r="M5940"/>
        </row>
        <row r="5941">
          <cell r="B5941"/>
          <cell r="C5941"/>
          <cell r="E5941"/>
          <cell r="F5941"/>
          <cell r="G5941"/>
          <cell r="H5941"/>
          <cell r="J5941"/>
          <cell r="L5941"/>
          <cell r="M5941"/>
        </row>
        <row r="5942">
          <cell r="B5942"/>
          <cell r="C5942"/>
          <cell r="E5942"/>
          <cell r="F5942"/>
          <cell r="G5942"/>
          <cell r="H5942"/>
          <cell r="J5942"/>
          <cell r="L5942"/>
          <cell r="M5942"/>
        </row>
        <row r="5943">
          <cell r="B5943"/>
          <cell r="C5943"/>
          <cell r="E5943"/>
          <cell r="F5943"/>
          <cell r="G5943"/>
          <cell r="H5943"/>
          <cell r="J5943"/>
          <cell r="L5943"/>
          <cell r="M5943"/>
        </row>
        <row r="5944">
          <cell r="B5944"/>
          <cell r="C5944"/>
          <cell r="E5944"/>
          <cell r="F5944"/>
          <cell r="G5944"/>
          <cell r="H5944"/>
          <cell r="J5944"/>
          <cell r="L5944"/>
          <cell r="M5944"/>
        </row>
        <row r="5945">
          <cell r="B5945"/>
          <cell r="C5945"/>
          <cell r="E5945"/>
          <cell r="F5945"/>
          <cell r="G5945"/>
          <cell r="H5945"/>
          <cell r="J5945"/>
          <cell r="L5945"/>
          <cell r="M5945"/>
        </row>
        <row r="5946">
          <cell r="B5946"/>
          <cell r="C5946"/>
          <cell r="E5946"/>
          <cell r="F5946"/>
          <cell r="G5946"/>
          <cell r="H5946"/>
          <cell r="J5946"/>
          <cell r="L5946"/>
          <cell r="M5946"/>
        </row>
        <row r="5947">
          <cell r="B5947"/>
          <cell r="C5947"/>
          <cell r="E5947"/>
          <cell r="F5947"/>
          <cell r="G5947"/>
          <cell r="H5947"/>
          <cell r="J5947"/>
          <cell r="L5947"/>
          <cell r="M5947"/>
        </row>
        <row r="5948">
          <cell r="B5948"/>
          <cell r="C5948"/>
          <cell r="E5948"/>
          <cell r="F5948"/>
          <cell r="G5948"/>
          <cell r="H5948"/>
          <cell r="J5948"/>
          <cell r="L5948"/>
          <cell r="M5948"/>
        </row>
        <row r="5949">
          <cell r="B5949"/>
          <cell r="C5949"/>
          <cell r="E5949"/>
          <cell r="F5949"/>
          <cell r="G5949"/>
          <cell r="H5949"/>
          <cell r="J5949"/>
          <cell r="L5949"/>
          <cell r="M5949"/>
        </row>
        <row r="5950">
          <cell r="B5950"/>
          <cell r="C5950"/>
          <cell r="E5950"/>
          <cell r="F5950"/>
          <cell r="G5950"/>
          <cell r="H5950"/>
          <cell r="J5950"/>
          <cell r="L5950"/>
          <cell r="M5950"/>
        </row>
        <row r="5951">
          <cell r="B5951"/>
          <cell r="C5951"/>
          <cell r="E5951"/>
          <cell r="F5951"/>
          <cell r="G5951"/>
          <cell r="H5951"/>
          <cell r="J5951"/>
          <cell r="L5951"/>
          <cell r="M5951"/>
        </row>
        <row r="5952">
          <cell r="B5952"/>
          <cell r="C5952"/>
          <cell r="E5952"/>
          <cell r="F5952"/>
          <cell r="G5952"/>
          <cell r="H5952"/>
          <cell r="J5952"/>
          <cell r="L5952"/>
          <cell r="M5952"/>
        </row>
        <row r="5953">
          <cell r="B5953"/>
          <cell r="C5953"/>
          <cell r="E5953"/>
          <cell r="F5953"/>
          <cell r="G5953"/>
          <cell r="H5953"/>
          <cell r="J5953"/>
          <cell r="L5953"/>
          <cell r="M5953"/>
        </row>
        <row r="5954">
          <cell r="B5954"/>
          <cell r="C5954"/>
          <cell r="E5954"/>
          <cell r="F5954"/>
          <cell r="G5954"/>
          <cell r="H5954"/>
          <cell r="J5954"/>
          <cell r="L5954"/>
          <cell r="M5954"/>
        </row>
        <row r="5955">
          <cell r="B5955"/>
          <cell r="C5955"/>
          <cell r="E5955"/>
          <cell r="F5955"/>
          <cell r="G5955"/>
          <cell r="H5955"/>
          <cell r="J5955"/>
          <cell r="L5955"/>
          <cell r="M5955"/>
        </row>
        <row r="5956">
          <cell r="B5956"/>
          <cell r="C5956"/>
          <cell r="E5956"/>
          <cell r="F5956"/>
          <cell r="G5956"/>
          <cell r="H5956"/>
          <cell r="J5956"/>
          <cell r="L5956"/>
          <cell r="M5956"/>
        </row>
        <row r="5957">
          <cell r="B5957"/>
          <cell r="C5957"/>
          <cell r="E5957"/>
          <cell r="F5957"/>
          <cell r="G5957"/>
          <cell r="H5957"/>
          <cell r="J5957"/>
          <cell r="L5957"/>
          <cell r="M5957"/>
        </row>
        <row r="5958">
          <cell r="B5958"/>
          <cell r="C5958"/>
          <cell r="E5958"/>
          <cell r="F5958"/>
          <cell r="G5958"/>
          <cell r="H5958"/>
          <cell r="J5958"/>
          <cell r="L5958"/>
          <cell r="M5958"/>
        </row>
        <row r="5959">
          <cell r="B5959"/>
          <cell r="C5959"/>
          <cell r="E5959"/>
          <cell r="F5959"/>
          <cell r="G5959"/>
          <cell r="H5959"/>
          <cell r="J5959"/>
          <cell r="L5959"/>
          <cell r="M5959"/>
        </row>
        <row r="5960">
          <cell r="B5960"/>
          <cell r="C5960"/>
          <cell r="E5960"/>
          <cell r="F5960"/>
          <cell r="G5960"/>
          <cell r="H5960"/>
          <cell r="J5960"/>
          <cell r="L5960"/>
          <cell r="M5960"/>
        </row>
        <row r="5961">
          <cell r="B5961"/>
          <cell r="C5961"/>
          <cell r="E5961"/>
          <cell r="F5961"/>
          <cell r="G5961"/>
          <cell r="H5961"/>
          <cell r="J5961"/>
          <cell r="L5961"/>
          <cell r="M5961"/>
        </row>
        <row r="5962">
          <cell r="B5962"/>
          <cell r="C5962"/>
          <cell r="E5962"/>
          <cell r="F5962"/>
          <cell r="G5962"/>
          <cell r="H5962"/>
          <cell r="J5962"/>
          <cell r="L5962"/>
          <cell r="M5962"/>
        </row>
        <row r="5963">
          <cell r="B5963"/>
          <cell r="C5963"/>
          <cell r="E5963"/>
          <cell r="F5963"/>
          <cell r="G5963"/>
          <cell r="H5963"/>
          <cell r="J5963"/>
          <cell r="L5963"/>
          <cell r="M5963"/>
        </row>
        <row r="5964">
          <cell r="B5964"/>
          <cell r="C5964"/>
          <cell r="E5964"/>
          <cell r="F5964"/>
          <cell r="G5964"/>
          <cell r="H5964"/>
          <cell r="J5964"/>
          <cell r="L5964"/>
          <cell r="M5964"/>
        </row>
        <row r="5965">
          <cell r="B5965"/>
          <cell r="C5965"/>
          <cell r="E5965"/>
          <cell r="F5965"/>
          <cell r="G5965"/>
          <cell r="H5965"/>
          <cell r="J5965"/>
          <cell r="L5965"/>
          <cell r="M5965"/>
        </row>
        <row r="5966">
          <cell r="B5966"/>
          <cell r="C5966"/>
          <cell r="E5966"/>
          <cell r="F5966"/>
          <cell r="G5966"/>
          <cell r="H5966"/>
          <cell r="J5966"/>
          <cell r="L5966"/>
          <cell r="M5966"/>
        </row>
        <row r="5967">
          <cell r="B5967"/>
          <cell r="C5967"/>
          <cell r="E5967"/>
          <cell r="F5967"/>
          <cell r="G5967"/>
          <cell r="H5967"/>
          <cell r="J5967"/>
          <cell r="L5967"/>
          <cell r="M5967"/>
        </row>
        <row r="5968">
          <cell r="B5968"/>
          <cell r="C5968"/>
          <cell r="E5968"/>
          <cell r="F5968"/>
          <cell r="G5968"/>
          <cell r="H5968"/>
          <cell r="J5968"/>
          <cell r="L5968"/>
          <cell r="M5968"/>
        </row>
        <row r="5969">
          <cell r="B5969"/>
          <cell r="C5969"/>
          <cell r="E5969"/>
          <cell r="F5969"/>
          <cell r="G5969"/>
          <cell r="H5969"/>
          <cell r="J5969"/>
          <cell r="L5969"/>
          <cell r="M5969"/>
        </row>
        <row r="5970">
          <cell r="B5970"/>
          <cell r="C5970"/>
          <cell r="E5970"/>
          <cell r="F5970"/>
          <cell r="G5970"/>
          <cell r="H5970"/>
          <cell r="J5970"/>
          <cell r="L5970"/>
          <cell r="M5970"/>
        </row>
        <row r="5971">
          <cell r="B5971"/>
          <cell r="C5971"/>
          <cell r="E5971"/>
          <cell r="F5971"/>
          <cell r="G5971"/>
          <cell r="H5971"/>
          <cell r="J5971"/>
          <cell r="L5971"/>
          <cell r="M5971"/>
        </row>
        <row r="5972">
          <cell r="B5972"/>
          <cell r="C5972"/>
          <cell r="E5972"/>
          <cell r="F5972"/>
          <cell r="G5972"/>
          <cell r="H5972"/>
          <cell r="J5972"/>
          <cell r="L5972"/>
          <cell r="M5972"/>
        </row>
        <row r="5973">
          <cell r="B5973"/>
          <cell r="C5973"/>
          <cell r="E5973"/>
          <cell r="F5973"/>
          <cell r="G5973"/>
          <cell r="H5973"/>
          <cell r="J5973"/>
          <cell r="L5973"/>
          <cell r="M5973"/>
        </row>
        <row r="5974">
          <cell r="B5974"/>
          <cell r="C5974"/>
          <cell r="E5974"/>
          <cell r="F5974"/>
          <cell r="G5974"/>
          <cell r="H5974"/>
          <cell r="J5974"/>
          <cell r="L5974"/>
          <cell r="M5974"/>
        </row>
        <row r="5975">
          <cell r="B5975"/>
          <cell r="C5975"/>
          <cell r="E5975"/>
          <cell r="F5975"/>
          <cell r="G5975"/>
          <cell r="H5975"/>
          <cell r="J5975"/>
          <cell r="L5975"/>
          <cell r="M5975"/>
        </row>
        <row r="5976">
          <cell r="B5976"/>
          <cell r="C5976"/>
          <cell r="E5976"/>
          <cell r="F5976"/>
          <cell r="G5976"/>
          <cell r="H5976"/>
          <cell r="J5976"/>
          <cell r="L5976"/>
          <cell r="M5976"/>
        </row>
        <row r="5977">
          <cell r="B5977"/>
          <cell r="C5977"/>
          <cell r="E5977"/>
          <cell r="F5977"/>
          <cell r="G5977"/>
          <cell r="H5977"/>
          <cell r="J5977"/>
          <cell r="L5977"/>
          <cell r="M5977"/>
        </row>
        <row r="5978">
          <cell r="B5978"/>
          <cell r="C5978"/>
          <cell r="E5978"/>
          <cell r="F5978"/>
          <cell r="G5978"/>
          <cell r="H5978"/>
          <cell r="J5978"/>
          <cell r="L5978"/>
          <cell r="M5978"/>
        </row>
        <row r="5979">
          <cell r="B5979"/>
          <cell r="C5979"/>
          <cell r="E5979"/>
          <cell r="F5979"/>
          <cell r="G5979"/>
          <cell r="H5979"/>
          <cell r="J5979"/>
          <cell r="L5979"/>
          <cell r="M5979"/>
        </row>
        <row r="5980">
          <cell r="B5980"/>
          <cell r="C5980"/>
          <cell r="E5980"/>
          <cell r="F5980"/>
          <cell r="G5980"/>
          <cell r="H5980"/>
          <cell r="J5980"/>
          <cell r="L5980"/>
          <cell r="M5980"/>
        </row>
        <row r="5981">
          <cell r="B5981"/>
          <cell r="C5981"/>
          <cell r="E5981"/>
          <cell r="F5981"/>
          <cell r="G5981"/>
          <cell r="H5981"/>
          <cell r="J5981"/>
          <cell r="L5981"/>
          <cell r="M5981"/>
        </row>
        <row r="5982">
          <cell r="B5982"/>
          <cell r="C5982"/>
          <cell r="E5982"/>
          <cell r="F5982"/>
          <cell r="G5982"/>
          <cell r="H5982"/>
          <cell r="J5982"/>
          <cell r="L5982"/>
          <cell r="M5982"/>
        </row>
        <row r="5983">
          <cell r="B5983"/>
          <cell r="C5983"/>
          <cell r="E5983"/>
          <cell r="F5983"/>
          <cell r="G5983"/>
          <cell r="H5983"/>
          <cell r="J5983"/>
          <cell r="L5983"/>
          <cell r="M5983"/>
        </row>
        <row r="5984">
          <cell r="B5984"/>
          <cell r="C5984"/>
          <cell r="E5984"/>
          <cell r="F5984"/>
          <cell r="G5984"/>
          <cell r="H5984"/>
          <cell r="J5984"/>
          <cell r="L5984"/>
          <cell r="M5984"/>
        </row>
        <row r="5985">
          <cell r="B5985"/>
          <cell r="C5985"/>
          <cell r="E5985"/>
          <cell r="F5985"/>
          <cell r="G5985"/>
          <cell r="H5985"/>
          <cell r="J5985"/>
          <cell r="L5985"/>
          <cell r="M5985"/>
        </row>
        <row r="5986">
          <cell r="B5986"/>
          <cell r="C5986"/>
          <cell r="E5986"/>
          <cell r="F5986"/>
          <cell r="G5986"/>
          <cell r="H5986"/>
          <cell r="J5986"/>
          <cell r="L5986"/>
          <cell r="M5986"/>
        </row>
        <row r="5987">
          <cell r="B5987"/>
          <cell r="C5987"/>
          <cell r="E5987"/>
          <cell r="F5987"/>
          <cell r="G5987"/>
          <cell r="H5987"/>
          <cell r="J5987"/>
          <cell r="L5987"/>
          <cell r="M5987"/>
        </row>
        <row r="5988">
          <cell r="B5988"/>
          <cell r="C5988"/>
          <cell r="E5988"/>
          <cell r="F5988"/>
          <cell r="G5988"/>
          <cell r="H5988"/>
          <cell r="J5988"/>
          <cell r="L5988"/>
          <cell r="M5988"/>
        </row>
        <row r="5989">
          <cell r="B5989"/>
          <cell r="C5989"/>
          <cell r="E5989"/>
          <cell r="F5989"/>
          <cell r="G5989"/>
          <cell r="H5989"/>
          <cell r="J5989"/>
          <cell r="L5989"/>
          <cell r="M5989"/>
        </row>
        <row r="5990">
          <cell r="B5990"/>
          <cell r="C5990"/>
          <cell r="E5990"/>
          <cell r="F5990"/>
          <cell r="G5990"/>
          <cell r="H5990"/>
          <cell r="J5990"/>
          <cell r="L5990"/>
          <cell r="M5990"/>
        </row>
        <row r="5991">
          <cell r="B5991"/>
          <cell r="C5991"/>
          <cell r="E5991"/>
          <cell r="F5991"/>
          <cell r="G5991"/>
          <cell r="H5991"/>
          <cell r="J5991"/>
          <cell r="L5991"/>
          <cell r="M5991"/>
        </row>
        <row r="5992">
          <cell r="B5992"/>
          <cell r="C5992"/>
          <cell r="E5992"/>
          <cell r="F5992"/>
          <cell r="G5992"/>
          <cell r="H5992"/>
          <cell r="J5992"/>
          <cell r="L5992"/>
          <cell r="M5992"/>
        </row>
        <row r="5993">
          <cell r="B5993"/>
          <cell r="C5993"/>
          <cell r="E5993"/>
          <cell r="F5993"/>
          <cell r="G5993"/>
          <cell r="H5993"/>
          <cell r="J5993"/>
          <cell r="L5993"/>
          <cell r="M5993"/>
        </row>
        <row r="5994">
          <cell r="B5994"/>
          <cell r="C5994"/>
          <cell r="E5994"/>
          <cell r="F5994"/>
          <cell r="G5994"/>
          <cell r="H5994"/>
          <cell r="J5994"/>
          <cell r="L5994"/>
          <cell r="M5994"/>
        </row>
        <row r="5995">
          <cell r="B5995"/>
          <cell r="C5995"/>
          <cell r="E5995"/>
          <cell r="F5995"/>
          <cell r="G5995"/>
          <cell r="H5995"/>
          <cell r="J5995"/>
          <cell r="L5995"/>
          <cell r="M5995"/>
        </row>
        <row r="5996">
          <cell r="B5996"/>
          <cell r="C5996"/>
          <cell r="E5996"/>
          <cell r="F5996"/>
          <cell r="G5996"/>
          <cell r="H5996"/>
          <cell r="J5996"/>
          <cell r="L5996"/>
          <cell r="M5996"/>
        </row>
        <row r="5997">
          <cell r="B5997"/>
          <cell r="C5997"/>
          <cell r="E5997"/>
          <cell r="F5997"/>
          <cell r="G5997"/>
          <cell r="H5997"/>
          <cell r="J5997"/>
          <cell r="L5997"/>
          <cell r="M5997"/>
        </row>
        <row r="5998">
          <cell r="B5998"/>
          <cell r="C5998"/>
          <cell r="E5998"/>
          <cell r="F5998"/>
          <cell r="G5998"/>
          <cell r="H5998"/>
          <cell r="J5998"/>
          <cell r="L5998"/>
          <cell r="M5998"/>
        </row>
        <row r="5999">
          <cell r="B5999"/>
          <cell r="C5999"/>
          <cell r="E5999"/>
          <cell r="F5999"/>
          <cell r="G5999"/>
          <cell r="H5999"/>
          <cell r="J5999"/>
          <cell r="L5999"/>
          <cell r="M5999"/>
        </row>
        <row r="6000">
          <cell r="B6000"/>
          <cell r="C6000"/>
          <cell r="E6000"/>
          <cell r="F6000"/>
          <cell r="G6000"/>
          <cell r="H6000"/>
          <cell r="J6000"/>
          <cell r="L6000"/>
          <cell r="M6000"/>
        </row>
        <row r="6001">
          <cell r="B6001"/>
          <cell r="C6001"/>
          <cell r="E6001"/>
          <cell r="F6001"/>
          <cell r="G6001"/>
          <cell r="H6001"/>
          <cell r="J6001"/>
          <cell r="L6001"/>
          <cell r="M6001"/>
        </row>
        <row r="6002">
          <cell r="B6002"/>
          <cell r="C6002"/>
          <cell r="E6002"/>
          <cell r="F6002"/>
          <cell r="G6002"/>
          <cell r="H6002"/>
          <cell r="J6002"/>
          <cell r="L6002"/>
          <cell r="M6002"/>
        </row>
        <row r="6003">
          <cell r="B6003"/>
          <cell r="C6003"/>
          <cell r="E6003"/>
          <cell r="F6003"/>
          <cell r="G6003"/>
          <cell r="H6003"/>
          <cell r="J6003"/>
          <cell r="L6003"/>
          <cell r="M6003"/>
        </row>
        <row r="6004">
          <cell r="B6004"/>
          <cell r="C6004"/>
          <cell r="E6004"/>
          <cell r="F6004"/>
          <cell r="G6004"/>
          <cell r="H6004"/>
          <cell r="J6004"/>
          <cell r="L6004"/>
          <cell r="M6004"/>
        </row>
        <row r="6005">
          <cell r="B6005"/>
          <cell r="C6005"/>
          <cell r="E6005"/>
          <cell r="F6005"/>
          <cell r="G6005"/>
          <cell r="H6005"/>
          <cell r="J6005"/>
          <cell r="L6005"/>
          <cell r="M6005"/>
        </row>
        <row r="6006">
          <cell r="B6006"/>
          <cell r="C6006"/>
          <cell r="E6006"/>
          <cell r="F6006"/>
          <cell r="G6006"/>
          <cell r="H6006"/>
          <cell r="J6006"/>
          <cell r="L6006"/>
          <cell r="M6006"/>
        </row>
        <row r="6007">
          <cell r="B6007"/>
          <cell r="C6007"/>
          <cell r="E6007"/>
          <cell r="F6007"/>
          <cell r="G6007"/>
          <cell r="H6007"/>
          <cell r="J6007"/>
          <cell r="L6007"/>
          <cell r="M6007"/>
        </row>
        <row r="6008">
          <cell r="B6008"/>
          <cell r="C6008"/>
          <cell r="E6008"/>
          <cell r="F6008"/>
          <cell r="G6008"/>
          <cell r="H6008"/>
          <cell r="J6008"/>
          <cell r="L6008"/>
          <cell r="M6008"/>
        </row>
        <row r="6009">
          <cell r="B6009"/>
          <cell r="C6009"/>
          <cell r="E6009"/>
          <cell r="F6009"/>
          <cell r="G6009"/>
          <cell r="H6009"/>
          <cell r="J6009"/>
          <cell r="L6009"/>
          <cell r="M6009"/>
        </row>
        <row r="6010">
          <cell r="B6010"/>
          <cell r="C6010"/>
          <cell r="E6010"/>
          <cell r="F6010"/>
          <cell r="G6010"/>
          <cell r="H6010"/>
          <cell r="J6010"/>
          <cell r="L6010"/>
          <cell r="M6010"/>
        </row>
        <row r="6011">
          <cell r="B6011"/>
          <cell r="C6011"/>
          <cell r="E6011"/>
          <cell r="F6011"/>
          <cell r="G6011"/>
          <cell r="H6011"/>
          <cell r="J6011"/>
          <cell r="L6011"/>
          <cell r="M6011"/>
        </row>
        <row r="6012">
          <cell r="B6012"/>
          <cell r="C6012"/>
          <cell r="E6012"/>
          <cell r="F6012"/>
          <cell r="G6012"/>
          <cell r="H6012"/>
          <cell r="J6012"/>
          <cell r="L6012"/>
          <cell r="M6012"/>
        </row>
        <row r="6013">
          <cell r="B6013"/>
          <cell r="C6013"/>
          <cell r="E6013"/>
          <cell r="F6013"/>
          <cell r="G6013"/>
          <cell r="H6013"/>
          <cell r="J6013"/>
          <cell r="L6013"/>
          <cell r="M6013"/>
        </row>
        <row r="6014">
          <cell r="B6014"/>
          <cell r="C6014"/>
          <cell r="E6014"/>
          <cell r="F6014"/>
          <cell r="G6014"/>
          <cell r="H6014"/>
          <cell r="J6014"/>
          <cell r="L6014"/>
          <cell r="M6014"/>
        </row>
        <row r="6015">
          <cell r="B6015"/>
          <cell r="C6015"/>
          <cell r="E6015"/>
          <cell r="F6015"/>
          <cell r="G6015"/>
          <cell r="H6015"/>
          <cell r="J6015"/>
          <cell r="L6015"/>
          <cell r="M6015"/>
        </row>
        <row r="6016">
          <cell r="B6016"/>
          <cell r="C6016"/>
          <cell r="E6016"/>
          <cell r="F6016"/>
          <cell r="G6016"/>
          <cell r="H6016"/>
          <cell r="J6016"/>
          <cell r="L6016"/>
          <cell r="M6016"/>
        </row>
        <row r="6017">
          <cell r="B6017"/>
          <cell r="C6017"/>
          <cell r="E6017"/>
          <cell r="F6017"/>
          <cell r="G6017"/>
          <cell r="H6017"/>
          <cell r="J6017"/>
          <cell r="L6017"/>
          <cell r="M6017"/>
        </row>
        <row r="6018">
          <cell r="B6018"/>
          <cell r="C6018"/>
          <cell r="E6018"/>
          <cell r="F6018"/>
          <cell r="G6018"/>
          <cell r="H6018"/>
          <cell r="J6018"/>
          <cell r="L6018"/>
          <cell r="M6018"/>
        </row>
        <row r="6019">
          <cell r="B6019"/>
          <cell r="C6019"/>
          <cell r="E6019"/>
          <cell r="F6019"/>
          <cell r="G6019"/>
          <cell r="H6019"/>
          <cell r="J6019"/>
          <cell r="L6019"/>
          <cell r="M6019"/>
        </row>
        <row r="6020">
          <cell r="B6020"/>
          <cell r="C6020"/>
          <cell r="E6020"/>
          <cell r="F6020"/>
          <cell r="G6020"/>
          <cell r="H6020"/>
          <cell r="J6020"/>
          <cell r="L6020"/>
          <cell r="M6020"/>
        </row>
        <row r="6021">
          <cell r="B6021"/>
          <cell r="C6021"/>
          <cell r="E6021"/>
          <cell r="F6021"/>
          <cell r="G6021"/>
          <cell r="H6021"/>
          <cell r="J6021"/>
          <cell r="L6021"/>
          <cell r="M6021"/>
        </row>
        <row r="6022">
          <cell r="B6022"/>
          <cell r="C6022"/>
          <cell r="E6022"/>
          <cell r="F6022"/>
          <cell r="G6022"/>
          <cell r="H6022"/>
          <cell r="J6022"/>
          <cell r="L6022"/>
          <cell r="M6022"/>
        </row>
        <row r="6023">
          <cell r="B6023"/>
          <cell r="C6023"/>
          <cell r="E6023"/>
          <cell r="F6023"/>
          <cell r="G6023"/>
          <cell r="H6023"/>
          <cell r="J6023"/>
          <cell r="L6023"/>
          <cell r="M6023"/>
        </row>
        <row r="6024">
          <cell r="B6024"/>
          <cell r="C6024"/>
          <cell r="E6024"/>
          <cell r="F6024"/>
          <cell r="G6024"/>
          <cell r="H6024"/>
          <cell r="J6024"/>
          <cell r="L6024"/>
          <cell r="M6024"/>
        </row>
        <row r="6025">
          <cell r="B6025"/>
          <cell r="C6025"/>
          <cell r="E6025"/>
          <cell r="F6025"/>
          <cell r="G6025"/>
          <cell r="H6025"/>
          <cell r="J6025"/>
          <cell r="L6025"/>
          <cell r="M6025"/>
        </row>
        <row r="6026">
          <cell r="B6026"/>
          <cell r="C6026"/>
          <cell r="E6026"/>
          <cell r="F6026"/>
          <cell r="G6026"/>
          <cell r="H6026"/>
          <cell r="J6026"/>
          <cell r="L6026"/>
          <cell r="M6026"/>
        </row>
        <row r="6027">
          <cell r="B6027"/>
          <cell r="C6027"/>
          <cell r="E6027"/>
          <cell r="F6027"/>
          <cell r="G6027"/>
          <cell r="H6027"/>
          <cell r="J6027"/>
          <cell r="L6027"/>
          <cell r="M6027"/>
        </row>
        <row r="6028">
          <cell r="B6028"/>
          <cell r="C6028"/>
          <cell r="E6028"/>
          <cell r="F6028"/>
          <cell r="G6028"/>
          <cell r="H6028"/>
          <cell r="J6028"/>
          <cell r="L6028"/>
          <cell r="M6028"/>
        </row>
        <row r="6029">
          <cell r="B6029"/>
          <cell r="C6029"/>
          <cell r="E6029"/>
          <cell r="F6029"/>
          <cell r="G6029"/>
          <cell r="H6029"/>
          <cell r="J6029"/>
          <cell r="L6029"/>
          <cell r="M6029"/>
        </row>
        <row r="6030">
          <cell r="B6030"/>
          <cell r="C6030"/>
          <cell r="E6030"/>
          <cell r="F6030"/>
          <cell r="G6030"/>
          <cell r="H6030"/>
          <cell r="J6030"/>
          <cell r="L6030"/>
          <cell r="M6030"/>
        </row>
        <row r="6031">
          <cell r="B6031"/>
          <cell r="C6031"/>
          <cell r="E6031"/>
          <cell r="F6031"/>
          <cell r="G6031"/>
          <cell r="H6031"/>
          <cell r="J6031"/>
          <cell r="L6031"/>
          <cell r="M6031"/>
        </row>
        <row r="6032">
          <cell r="B6032"/>
          <cell r="C6032"/>
          <cell r="E6032"/>
          <cell r="F6032"/>
          <cell r="G6032"/>
          <cell r="H6032"/>
          <cell r="J6032"/>
          <cell r="L6032"/>
          <cell r="M6032"/>
        </row>
        <row r="6033">
          <cell r="B6033"/>
          <cell r="C6033"/>
          <cell r="E6033"/>
          <cell r="F6033"/>
          <cell r="G6033"/>
          <cell r="H6033"/>
          <cell r="J6033"/>
          <cell r="L6033"/>
          <cell r="M6033"/>
        </row>
        <row r="6034">
          <cell r="B6034"/>
          <cell r="C6034"/>
          <cell r="E6034"/>
          <cell r="F6034"/>
          <cell r="G6034"/>
          <cell r="H6034"/>
          <cell r="J6034"/>
          <cell r="L6034"/>
          <cell r="M6034"/>
        </row>
        <row r="6035">
          <cell r="B6035"/>
          <cell r="C6035"/>
          <cell r="E6035"/>
          <cell r="F6035"/>
          <cell r="G6035"/>
          <cell r="H6035"/>
          <cell r="J6035"/>
          <cell r="L6035"/>
          <cell r="M6035"/>
        </row>
        <row r="6036">
          <cell r="B6036"/>
          <cell r="C6036"/>
          <cell r="E6036"/>
          <cell r="F6036"/>
          <cell r="G6036"/>
          <cell r="H6036"/>
          <cell r="J6036"/>
          <cell r="L6036"/>
          <cell r="M6036"/>
        </row>
        <row r="6037">
          <cell r="B6037"/>
          <cell r="C6037"/>
          <cell r="E6037"/>
          <cell r="F6037"/>
          <cell r="G6037"/>
          <cell r="H6037"/>
          <cell r="J6037"/>
          <cell r="L6037"/>
          <cell r="M6037"/>
        </row>
        <row r="6038">
          <cell r="B6038"/>
          <cell r="C6038"/>
          <cell r="E6038"/>
          <cell r="F6038"/>
          <cell r="G6038"/>
          <cell r="H6038"/>
          <cell r="J6038"/>
          <cell r="L6038"/>
          <cell r="M6038"/>
        </row>
        <row r="6039">
          <cell r="B6039"/>
          <cell r="C6039"/>
          <cell r="E6039"/>
          <cell r="F6039"/>
          <cell r="G6039"/>
          <cell r="H6039"/>
          <cell r="J6039"/>
          <cell r="L6039"/>
          <cell r="M6039"/>
        </row>
        <row r="6040">
          <cell r="B6040"/>
          <cell r="C6040"/>
          <cell r="E6040"/>
          <cell r="F6040"/>
          <cell r="G6040"/>
          <cell r="H6040"/>
          <cell r="J6040"/>
          <cell r="L6040"/>
          <cell r="M6040"/>
        </row>
        <row r="6041">
          <cell r="B6041"/>
          <cell r="C6041"/>
          <cell r="E6041"/>
          <cell r="F6041"/>
          <cell r="G6041"/>
          <cell r="H6041"/>
          <cell r="J6041"/>
          <cell r="L6041"/>
          <cell r="M6041"/>
        </row>
        <row r="6042">
          <cell r="B6042"/>
          <cell r="C6042"/>
          <cell r="E6042"/>
          <cell r="F6042"/>
          <cell r="G6042"/>
          <cell r="H6042"/>
          <cell r="J6042"/>
          <cell r="L6042"/>
          <cell r="M6042"/>
        </row>
        <row r="6043">
          <cell r="B6043"/>
          <cell r="C6043"/>
          <cell r="E6043"/>
          <cell r="F6043"/>
          <cell r="G6043"/>
          <cell r="H6043"/>
          <cell r="J6043"/>
          <cell r="L6043"/>
          <cell r="M6043"/>
        </row>
        <row r="6044">
          <cell r="B6044"/>
          <cell r="C6044"/>
          <cell r="E6044"/>
          <cell r="F6044"/>
          <cell r="G6044"/>
          <cell r="H6044"/>
          <cell r="J6044"/>
          <cell r="L6044"/>
          <cell r="M6044"/>
        </row>
        <row r="6045">
          <cell r="B6045"/>
          <cell r="C6045"/>
          <cell r="E6045"/>
          <cell r="F6045"/>
          <cell r="G6045"/>
          <cell r="H6045"/>
          <cell r="J6045"/>
          <cell r="L6045"/>
          <cell r="M6045"/>
        </row>
        <row r="6046">
          <cell r="B6046"/>
          <cell r="C6046"/>
          <cell r="E6046"/>
          <cell r="F6046"/>
          <cell r="G6046"/>
          <cell r="H6046"/>
          <cell r="J6046"/>
          <cell r="L6046"/>
          <cell r="M6046"/>
        </row>
        <row r="6047">
          <cell r="B6047"/>
          <cell r="C6047"/>
          <cell r="E6047"/>
          <cell r="F6047"/>
          <cell r="G6047"/>
          <cell r="H6047"/>
          <cell r="J6047"/>
          <cell r="L6047"/>
          <cell r="M6047"/>
        </row>
        <row r="6048">
          <cell r="B6048"/>
          <cell r="C6048"/>
          <cell r="E6048"/>
          <cell r="F6048"/>
          <cell r="G6048"/>
          <cell r="H6048"/>
          <cell r="J6048"/>
          <cell r="L6048"/>
          <cell r="M6048"/>
        </row>
        <row r="6049">
          <cell r="B6049"/>
          <cell r="C6049"/>
          <cell r="E6049"/>
          <cell r="F6049"/>
          <cell r="G6049"/>
          <cell r="H6049"/>
          <cell r="J6049"/>
          <cell r="L6049"/>
          <cell r="M6049"/>
        </row>
        <row r="6050">
          <cell r="B6050"/>
          <cell r="C6050"/>
          <cell r="E6050"/>
          <cell r="F6050"/>
          <cell r="G6050"/>
          <cell r="H6050"/>
          <cell r="J6050"/>
          <cell r="L6050"/>
          <cell r="M6050"/>
        </row>
        <row r="6051">
          <cell r="B6051"/>
          <cell r="C6051"/>
          <cell r="E6051"/>
          <cell r="F6051"/>
          <cell r="G6051"/>
          <cell r="H6051"/>
          <cell r="J6051"/>
          <cell r="L6051"/>
          <cell r="M6051"/>
        </row>
        <row r="6052">
          <cell r="B6052"/>
          <cell r="C6052"/>
          <cell r="E6052"/>
          <cell r="F6052"/>
          <cell r="G6052"/>
          <cell r="H6052"/>
          <cell r="J6052"/>
          <cell r="L6052"/>
          <cell r="M6052"/>
        </row>
        <row r="6053">
          <cell r="B6053"/>
          <cell r="C6053"/>
          <cell r="E6053"/>
          <cell r="F6053"/>
          <cell r="G6053"/>
          <cell r="H6053"/>
          <cell r="J6053"/>
          <cell r="L6053"/>
          <cell r="M6053"/>
        </row>
        <row r="6054">
          <cell r="B6054"/>
          <cell r="C6054"/>
          <cell r="E6054"/>
          <cell r="F6054"/>
          <cell r="G6054"/>
          <cell r="H6054"/>
          <cell r="J6054"/>
          <cell r="L6054"/>
          <cell r="M6054"/>
        </row>
        <row r="6055">
          <cell r="B6055"/>
          <cell r="C6055"/>
          <cell r="E6055"/>
          <cell r="F6055"/>
          <cell r="G6055"/>
          <cell r="H6055"/>
          <cell r="J6055"/>
          <cell r="L6055"/>
          <cell r="M6055"/>
        </row>
        <row r="6056">
          <cell r="B6056"/>
          <cell r="C6056"/>
          <cell r="E6056"/>
          <cell r="F6056"/>
          <cell r="G6056"/>
          <cell r="H6056"/>
          <cell r="J6056"/>
          <cell r="L6056"/>
          <cell r="M6056"/>
        </row>
        <row r="6057">
          <cell r="B6057"/>
          <cell r="C6057"/>
          <cell r="E6057"/>
          <cell r="F6057"/>
          <cell r="G6057"/>
          <cell r="H6057"/>
          <cell r="J6057"/>
          <cell r="L6057"/>
          <cell r="M6057"/>
        </row>
        <row r="6058">
          <cell r="B6058"/>
          <cell r="C6058"/>
          <cell r="E6058"/>
          <cell r="F6058"/>
          <cell r="G6058"/>
          <cell r="H6058"/>
          <cell r="J6058"/>
          <cell r="L6058"/>
          <cell r="M6058"/>
        </row>
        <row r="6059">
          <cell r="B6059"/>
          <cell r="C6059"/>
          <cell r="E6059"/>
          <cell r="F6059"/>
          <cell r="G6059"/>
          <cell r="H6059"/>
          <cell r="J6059"/>
          <cell r="L6059"/>
          <cell r="M6059"/>
        </row>
        <row r="6060">
          <cell r="B6060"/>
          <cell r="C6060"/>
          <cell r="E6060"/>
          <cell r="F6060"/>
          <cell r="G6060"/>
          <cell r="H6060"/>
          <cell r="J6060"/>
          <cell r="L6060"/>
          <cell r="M6060"/>
        </row>
        <row r="6061">
          <cell r="B6061"/>
          <cell r="C6061"/>
          <cell r="E6061"/>
          <cell r="F6061"/>
          <cell r="G6061"/>
          <cell r="H6061"/>
          <cell r="J6061"/>
          <cell r="L6061"/>
          <cell r="M6061"/>
        </row>
        <row r="6062">
          <cell r="B6062"/>
          <cell r="C6062"/>
          <cell r="E6062"/>
          <cell r="F6062"/>
          <cell r="G6062"/>
          <cell r="H6062"/>
          <cell r="J6062"/>
          <cell r="L6062"/>
          <cell r="M6062"/>
        </row>
        <row r="6063">
          <cell r="B6063"/>
          <cell r="C6063"/>
          <cell r="E6063"/>
          <cell r="F6063"/>
          <cell r="G6063"/>
          <cell r="H6063"/>
          <cell r="J6063"/>
          <cell r="L6063"/>
          <cell r="M6063"/>
        </row>
        <row r="6064">
          <cell r="B6064"/>
          <cell r="C6064"/>
          <cell r="E6064"/>
          <cell r="F6064"/>
          <cell r="G6064"/>
          <cell r="H6064"/>
          <cell r="J6064"/>
          <cell r="L6064"/>
          <cell r="M6064"/>
        </row>
        <row r="6065">
          <cell r="B6065"/>
          <cell r="C6065"/>
          <cell r="E6065"/>
          <cell r="F6065"/>
          <cell r="G6065"/>
          <cell r="H6065"/>
          <cell r="J6065"/>
          <cell r="L6065"/>
          <cell r="M6065"/>
        </row>
        <row r="6066">
          <cell r="B6066"/>
          <cell r="C6066"/>
          <cell r="E6066"/>
          <cell r="F6066"/>
          <cell r="G6066"/>
          <cell r="H6066"/>
          <cell r="J6066"/>
          <cell r="L6066"/>
          <cell r="M6066"/>
        </row>
        <row r="6067">
          <cell r="B6067"/>
          <cell r="C6067"/>
          <cell r="E6067"/>
          <cell r="F6067"/>
          <cell r="G6067"/>
          <cell r="H6067"/>
          <cell r="J6067"/>
          <cell r="L6067"/>
          <cell r="M6067"/>
        </row>
        <row r="6068">
          <cell r="B6068"/>
          <cell r="C6068"/>
          <cell r="E6068"/>
          <cell r="F6068"/>
          <cell r="G6068"/>
          <cell r="H6068"/>
          <cell r="J6068"/>
          <cell r="L6068"/>
          <cell r="M6068"/>
        </row>
        <row r="6069">
          <cell r="B6069"/>
          <cell r="C6069"/>
          <cell r="E6069"/>
          <cell r="F6069"/>
          <cell r="G6069"/>
          <cell r="H6069"/>
          <cell r="J6069"/>
          <cell r="L6069"/>
          <cell r="M6069"/>
        </row>
        <row r="6070">
          <cell r="B6070"/>
          <cell r="C6070"/>
          <cell r="E6070"/>
          <cell r="F6070"/>
          <cell r="G6070"/>
          <cell r="H6070"/>
          <cell r="J6070"/>
          <cell r="L6070"/>
          <cell r="M6070"/>
        </row>
        <row r="6071">
          <cell r="B6071"/>
          <cell r="C6071"/>
          <cell r="E6071"/>
          <cell r="F6071"/>
          <cell r="G6071"/>
          <cell r="H6071"/>
          <cell r="J6071"/>
          <cell r="L6071"/>
          <cell r="M6071"/>
        </row>
        <row r="6072">
          <cell r="B6072"/>
          <cell r="C6072"/>
          <cell r="E6072"/>
          <cell r="F6072"/>
          <cell r="G6072"/>
          <cell r="H6072"/>
          <cell r="J6072"/>
          <cell r="L6072"/>
          <cell r="M6072"/>
        </row>
        <row r="6073">
          <cell r="B6073"/>
          <cell r="C6073"/>
          <cell r="E6073"/>
          <cell r="F6073"/>
          <cell r="G6073"/>
          <cell r="H6073"/>
          <cell r="J6073"/>
          <cell r="L6073"/>
          <cell r="M6073"/>
        </row>
        <row r="6074">
          <cell r="B6074"/>
          <cell r="C6074"/>
          <cell r="E6074"/>
          <cell r="F6074"/>
          <cell r="G6074"/>
          <cell r="H6074"/>
          <cell r="J6074"/>
          <cell r="L6074"/>
          <cell r="M6074"/>
        </row>
        <row r="6075">
          <cell r="B6075"/>
          <cell r="C6075"/>
          <cell r="E6075"/>
          <cell r="F6075"/>
          <cell r="G6075"/>
          <cell r="H6075"/>
          <cell r="J6075"/>
          <cell r="L6075"/>
          <cell r="M6075"/>
        </row>
        <row r="6076">
          <cell r="B6076"/>
          <cell r="C6076"/>
          <cell r="E6076"/>
          <cell r="F6076"/>
          <cell r="G6076"/>
          <cell r="H6076"/>
          <cell r="J6076"/>
          <cell r="L6076"/>
          <cell r="M6076"/>
        </row>
        <row r="6077">
          <cell r="B6077"/>
          <cell r="C6077"/>
          <cell r="E6077"/>
          <cell r="F6077"/>
          <cell r="G6077"/>
          <cell r="H6077"/>
          <cell r="J6077"/>
          <cell r="L6077"/>
          <cell r="M6077"/>
        </row>
        <row r="6078">
          <cell r="B6078"/>
          <cell r="C6078"/>
          <cell r="E6078"/>
          <cell r="F6078"/>
          <cell r="G6078"/>
          <cell r="H6078"/>
          <cell r="J6078"/>
          <cell r="L6078"/>
          <cell r="M6078"/>
        </row>
        <row r="6079">
          <cell r="B6079"/>
          <cell r="C6079"/>
          <cell r="E6079"/>
          <cell r="F6079"/>
          <cell r="G6079"/>
          <cell r="H6079"/>
          <cell r="J6079"/>
          <cell r="L6079"/>
          <cell r="M6079"/>
        </row>
        <row r="6080">
          <cell r="B6080"/>
          <cell r="C6080"/>
          <cell r="E6080"/>
          <cell r="F6080"/>
          <cell r="G6080"/>
          <cell r="H6080"/>
          <cell r="J6080"/>
          <cell r="L6080"/>
          <cell r="M6080"/>
        </row>
        <row r="6081">
          <cell r="B6081"/>
          <cell r="C6081"/>
          <cell r="E6081"/>
          <cell r="F6081"/>
          <cell r="G6081"/>
          <cell r="H6081"/>
          <cell r="J6081"/>
          <cell r="L6081"/>
          <cell r="M6081"/>
        </row>
        <row r="6082">
          <cell r="B6082"/>
          <cell r="C6082"/>
          <cell r="E6082"/>
          <cell r="F6082"/>
          <cell r="G6082"/>
          <cell r="H6082"/>
          <cell r="J6082"/>
          <cell r="L6082"/>
          <cell r="M6082"/>
        </row>
        <row r="6083">
          <cell r="B6083"/>
          <cell r="C6083"/>
          <cell r="E6083"/>
          <cell r="F6083"/>
          <cell r="G6083"/>
          <cell r="H6083"/>
          <cell r="J6083"/>
          <cell r="L6083"/>
          <cell r="M6083"/>
        </row>
        <row r="6084">
          <cell r="B6084"/>
          <cell r="C6084"/>
          <cell r="E6084"/>
          <cell r="F6084"/>
          <cell r="G6084"/>
          <cell r="H6084"/>
          <cell r="J6084"/>
          <cell r="L6084"/>
          <cell r="M6084"/>
        </row>
        <row r="6085">
          <cell r="B6085"/>
          <cell r="C6085"/>
          <cell r="E6085"/>
          <cell r="F6085"/>
          <cell r="G6085"/>
          <cell r="H6085"/>
          <cell r="J6085"/>
          <cell r="L6085"/>
          <cell r="M6085"/>
        </row>
        <row r="6086">
          <cell r="B6086"/>
          <cell r="C6086"/>
          <cell r="E6086"/>
          <cell r="F6086"/>
          <cell r="G6086"/>
          <cell r="H6086"/>
          <cell r="J6086"/>
          <cell r="L6086"/>
          <cell r="M6086"/>
        </row>
        <row r="6087">
          <cell r="B6087"/>
          <cell r="C6087"/>
          <cell r="E6087"/>
          <cell r="F6087"/>
          <cell r="G6087"/>
          <cell r="H6087"/>
          <cell r="J6087"/>
          <cell r="L6087"/>
          <cell r="M6087"/>
        </row>
        <row r="6088">
          <cell r="B6088"/>
          <cell r="C6088"/>
          <cell r="E6088"/>
          <cell r="F6088"/>
          <cell r="G6088"/>
          <cell r="H6088"/>
          <cell r="J6088"/>
          <cell r="L6088"/>
          <cell r="M6088"/>
        </row>
        <row r="6089">
          <cell r="B6089"/>
          <cell r="C6089"/>
          <cell r="E6089"/>
          <cell r="F6089"/>
          <cell r="G6089"/>
          <cell r="H6089"/>
          <cell r="J6089"/>
          <cell r="L6089"/>
          <cell r="M6089"/>
        </row>
        <row r="6090">
          <cell r="B6090"/>
          <cell r="C6090"/>
          <cell r="E6090"/>
          <cell r="F6090"/>
          <cell r="G6090"/>
          <cell r="H6090"/>
          <cell r="J6090"/>
          <cell r="L6090"/>
          <cell r="M6090"/>
        </row>
        <row r="6091">
          <cell r="B6091"/>
          <cell r="C6091"/>
          <cell r="E6091"/>
          <cell r="F6091"/>
          <cell r="G6091"/>
          <cell r="H6091"/>
          <cell r="J6091"/>
          <cell r="L6091"/>
          <cell r="M6091"/>
        </row>
        <row r="6092">
          <cell r="B6092"/>
          <cell r="C6092"/>
          <cell r="E6092"/>
          <cell r="F6092"/>
          <cell r="G6092"/>
          <cell r="H6092"/>
          <cell r="J6092"/>
          <cell r="L6092"/>
          <cell r="M6092"/>
        </row>
        <row r="6093">
          <cell r="B6093"/>
          <cell r="C6093"/>
          <cell r="E6093"/>
          <cell r="F6093"/>
          <cell r="G6093"/>
          <cell r="H6093"/>
          <cell r="J6093"/>
          <cell r="L6093"/>
          <cell r="M6093"/>
        </row>
        <row r="6094">
          <cell r="B6094"/>
          <cell r="C6094"/>
          <cell r="E6094"/>
          <cell r="F6094"/>
          <cell r="G6094"/>
          <cell r="H6094"/>
          <cell r="J6094"/>
          <cell r="L6094"/>
          <cell r="M6094"/>
        </row>
        <row r="6095">
          <cell r="B6095"/>
          <cell r="C6095"/>
          <cell r="E6095"/>
          <cell r="F6095"/>
          <cell r="G6095"/>
          <cell r="H6095"/>
          <cell r="J6095"/>
          <cell r="L6095"/>
          <cell r="M6095"/>
        </row>
        <row r="6096">
          <cell r="B6096"/>
          <cell r="C6096"/>
          <cell r="E6096"/>
          <cell r="F6096"/>
          <cell r="G6096"/>
          <cell r="H6096"/>
          <cell r="J6096"/>
          <cell r="L6096"/>
          <cell r="M6096"/>
        </row>
        <row r="6097">
          <cell r="B6097"/>
          <cell r="C6097"/>
          <cell r="E6097"/>
          <cell r="F6097"/>
          <cell r="G6097"/>
          <cell r="H6097"/>
          <cell r="J6097"/>
          <cell r="L6097"/>
          <cell r="M6097"/>
        </row>
        <row r="6098">
          <cell r="B6098"/>
          <cell r="C6098"/>
          <cell r="E6098"/>
          <cell r="F6098"/>
          <cell r="G6098"/>
          <cell r="H6098"/>
          <cell r="J6098"/>
          <cell r="L6098"/>
          <cell r="M6098"/>
        </row>
        <row r="6099">
          <cell r="B6099"/>
          <cell r="C6099"/>
          <cell r="E6099"/>
          <cell r="F6099"/>
          <cell r="G6099"/>
          <cell r="H6099"/>
          <cell r="J6099"/>
          <cell r="L6099"/>
          <cell r="M6099"/>
        </row>
        <row r="6100">
          <cell r="B6100"/>
          <cell r="C6100"/>
          <cell r="E6100"/>
          <cell r="F6100"/>
          <cell r="G6100"/>
          <cell r="H6100"/>
          <cell r="J6100"/>
          <cell r="L6100"/>
          <cell r="M6100"/>
        </row>
        <row r="6101">
          <cell r="B6101"/>
          <cell r="C6101"/>
          <cell r="E6101"/>
          <cell r="F6101"/>
          <cell r="G6101"/>
          <cell r="H6101"/>
          <cell r="J6101"/>
          <cell r="L6101"/>
          <cell r="M6101"/>
        </row>
        <row r="6102">
          <cell r="B6102"/>
          <cell r="C6102"/>
          <cell r="E6102"/>
          <cell r="F6102"/>
          <cell r="G6102"/>
          <cell r="H6102"/>
          <cell r="J6102"/>
          <cell r="L6102"/>
          <cell r="M6102"/>
        </row>
        <row r="6103">
          <cell r="B6103"/>
          <cell r="C6103"/>
          <cell r="E6103"/>
          <cell r="F6103"/>
          <cell r="G6103"/>
          <cell r="H6103"/>
          <cell r="J6103"/>
          <cell r="L6103"/>
          <cell r="M6103"/>
        </row>
        <row r="6104">
          <cell r="B6104"/>
          <cell r="C6104"/>
          <cell r="E6104"/>
          <cell r="F6104"/>
          <cell r="G6104"/>
          <cell r="H6104"/>
          <cell r="J6104"/>
          <cell r="L6104"/>
          <cell r="M6104"/>
        </row>
        <row r="6105">
          <cell r="B6105"/>
          <cell r="C6105"/>
          <cell r="E6105"/>
          <cell r="F6105"/>
          <cell r="G6105"/>
          <cell r="H6105"/>
          <cell r="J6105"/>
          <cell r="L6105"/>
          <cell r="M6105"/>
        </row>
        <row r="6106">
          <cell r="B6106"/>
          <cell r="C6106"/>
          <cell r="E6106"/>
          <cell r="F6106"/>
          <cell r="G6106"/>
          <cell r="H6106"/>
          <cell r="J6106"/>
          <cell r="L6106"/>
          <cell r="M6106"/>
        </row>
        <row r="6107">
          <cell r="B6107"/>
          <cell r="C6107"/>
          <cell r="E6107"/>
          <cell r="F6107"/>
          <cell r="G6107"/>
          <cell r="H6107"/>
          <cell r="J6107"/>
          <cell r="L6107"/>
          <cell r="M6107"/>
        </row>
        <row r="6108">
          <cell r="B6108"/>
          <cell r="C6108"/>
          <cell r="E6108"/>
          <cell r="F6108"/>
          <cell r="G6108"/>
          <cell r="H6108"/>
          <cell r="J6108"/>
          <cell r="L6108"/>
          <cell r="M6108"/>
        </row>
        <row r="6109">
          <cell r="B6109"/>
          <cell r="C6109"/>
          <cell r="E6109"/>
          <cell r="F6109"/>
          <cell r="G6109"/>
          <cell r="H6109"/>
          <cell r="J6109"/>
          <cell r="L6109"/>
          <cell r="M6109"/>
        </row>
        <row r="6110">
          <cell r="B6110"/>
          <cell r="C6110"/>
          <cell r="E6110"/>
          <cell r="F6110"/>
          <cell r="G6110"/>
          <cell r="H6110"/>
          <cell r="J6110"/>
          <cell r="L6110"/>
          <cell r="M6110"/>
        </row>
        <row r="6111">
          <cell r="B6111"/>
          <cell r="C6111"/>
          <cell r="E6111"/>
          <cell r="F6111"/>
          <cell r="G6111"/>
          <cell r="H6111"/>
          <cell r="J6111"/>
          <cell r="L6111"/>
          <cell r="M6111"/>
        </row>
        <row r="6112">
          <cell r="B6112"/>
          <cell r="C6112"/>
          <cell r="E6112"/>
          <cell r="F6112"/>
          <cell r="G6112"/>
          <cell r="H6112"/>
          <cell r="J6112"/>
          <cell r="L6112"/>
          <cell r="M6112"/>
        </row>
        <row r="6113">
          <cell r="B6113"/>
          <cell r="C6113"/>
          <cell r="E6113"/>
          <cell r="F6113"/>
          <cell r="G6113"/>
          <cell r="H6113"/>
          <cell r="J6113"/>
          <cell r="L6113"/>
          <cell r="M6113"/>
        </row>
        <row r="6114">
          <cell r="B6114"/>
          <cell r="C6114"/>
          <cell r="E6114"/>
          <cell r="F6114"/>
          <cell r="G6114"/>
          <cell r="H6114"/>
          <cell r="J6114"/>
          <cell r="L6114"/>
          <cell r="M6114"/>
        </row>
        <row r="6115">
          <cell r="B6115"/>
          <cell r="C6115"/>
          <cell r="E6115"/>
          <cell r="F6115"/>
          <cell r="G6115"/>
          <cell r="H6115"/>
          <cell r="J6115"/>
          <cell r="L6115"/>
          <cell r="M6115"/>
        </row>
        <row r="6116">
          <cell r="B6116"/>
          <cell r="C6116"/>
          <cell r="E6116"/>
          <cell r="F6116"/>
          <cell r="G6116"/>
          <cell r="H6116"/>
          <cell r="J6116"/>
          <cell r="L6116"/>
          <cell r="M6116"/>
        </row>
        <row r="6117">
          <cell r="B6117"/>
          <cell r="C6117"/>
          <cell r="E6117"/>
          <cell r="F6117"/>
          <cell r="G6117"/>
          <cell r="H6117"/>
          <cell r="J6117"/>
          <cell r="L6117"/>
          <cell r="M6117"/>
        </row>
        <row r="6118">
          <cell r="B6118"/>
          <cell r="C6118"/>
          <cell r="E6118"/>
          <cell r="F6118"/>
          <cell r="G6118"/>
          <cell r="H6118"/>
          <cell r="J6118"/>
          <cell r="L6118"/>
          <cell r="M6118"/>
        </row>
        <row r="6119">
          <cell r="B6119"/>
          <cell r="C6119"/>
          <cell r="E6119"/>
          <cell r="F6119"/>
          <cell r="G6119"/>
          <cell r="H6119"/>
          <cell r="J6119"/>
          <cell r="L6119"/>
          <cell r="M6119"/>
        </row>
        <row r="6120">
          <cell r="B6120"/>
          <cell r="C6120"/>
          <cell r="E6120"/>
          <cell r="F6120"/>
          <cell r="G6120"/>
          <cell r="H6120"/>
          <cell r="J6120"/>
          <cell r="L6120"/>
          <cell r="M6120"/>
        </row>
        <row r="6121">
          <cell r="B6121"/>
          <cell r="C6121"/>
          <cell r="E6121"/>
          <cell r="F6121"/>
          <cell r="G6121"/>
          <cell r="H6121"/>
          <cell r="J6121"/>
          <cell r="L6121"/>
          <cell r="M6121"/>
        </row>
        <row r="6122">
          <cell r="B6122"/>
          <cell r="C6122"/>
          <cell r="E6122"/>
          <cell r="F6122"/>
          <cell r="G6122"/>
          <cell r="H6122"/>
          <cell r="J6122"/>
          <cell r="L6122"/>
          <cell r="M6122"/>
        </row>
        <row r="6123">
          <cell r="B6123"/>
          <cell r="C6123"/>
          <cell r="E6123"/>
          <cell r="F6123"/>
          <cell r="G6123"/>
          <cell r="H6123"/>
          <cell r="J6123"/>
          <cell r="L6123"/>
          <cell r="M6123"/>
        </row>
        <row r="6124">
          <cell r="B6124"/>
          <cell r="C6124"/>
          <cell r="E6124"/>
          <cell r="F6124"/>
          <cell r="G6124"/>
          <cell r="H6124"/>
          <cell r="J6124"/>
          <cell r="L6124"/>
          <cell r="M6124"/>
        </row>
        <row r="6125">
          <cell r="B6125"/>
          <cell r="C6125"/>
          <cell r="E6125"/>
          <cell r="F6125"/>
          <cell r="G6125"/>
          <cell r="H6125"/>
          <cell r="J6125"/>
          <cell r="L6125"/>
          <cell r="M6125"/>
        </row>
        <row r="6126">
          <cell r="B6126"/>
          <cell r="C6126"/>
          <cell r="E6126"/>
          <cell r="F6126"/>
          <cell r="G6126"/>
          <cell r="H6126"/>
          <cell r="J6126"/>
          <cell r="L6126"/>
          <cell r="M6126"/>
        </row>
        <row r="6127">
          <cell r="B6127"/>
          <cell r="C6127"/>
          <cell r="E6127"/>
          <cell r="F6127"/>
          <cell r="G6127"/>
          <cell r="H6127"/>
          <cell r="J6127"/>
          <cell r="L6127"/>
          <cell r="M6127"/>
        </row>
        <row r="6128">
          <cell r="B6128"/>
          <cell r="C6128"/>
          <cell r="E6128"/>
          <cell r="F6128"/>
          <cell r="G6128"/>
          <cell r="H6128"/>
          <cell r="J6128"/>
          <cell r="L6128"/>
          <cell r="M6128"/>
        </row>
        <row r="6129">
          <cell r="B6129"/>
          <cell r="C6129"/>
          <cell r="E6129"/>
          <cell r="F6129"/>
          <cell r="G6129"/>
          <cell r="H6129"/>
          <cell r="J6129"/>
          <cell r="L6129"/>
          <cell r="M6129"/>
        </row>
        <row r="6130">
          <cell r="B6130"/>
          <cell r="C6130"/>
          <cell r="E6130"/>
          <cell r="F6130"/>
          <cell r="G6130"/>
          <cell r="H6130"/>
          <cell r="J6130"/>
          <cell r="L6130"/>
          <cell r="M6130"/>
        </row>
        <row r="6131">
          <cell r="B6131"/>
          <cell r="C6131"/>
          <cell r="E6131"/>
          <cell r="F6131"/>
          <cell r="G6131"/>
          <cell r="H6131"/>
          <cell r="J6131"/>
          <cell r="L6131"/>
          <cell r="M6131"/>
        </row>
        <row r="6132">
          <cell r="B6132"/>
          <cell r="C6132"/>
          <cell r="E6132"/>
          <cell r="F6132"/>
          <cell r="G6132"/>
          <cell r="H6132"/>
          <cell r="J6132"/>
          <cell r="L6132"/>
          <cell r="M6132"/>
        </row>
        <row r="6133">
          <cell r="B6133"/>
          <cell r="C6133"/>
          <cell r="E6133"/>
          <cell r="F6133"/>
          <cell r="G6133"/>
          <cell r="H6133"/>
          <cell r="J6133"/>
          <cell r="L6133"/>
          <cell r="M6133"/>
        </row>
        <row r="6134">
          <cell r="B6134"/>
          <cell r="C6134"/>
          <cell r="E6134"/>
          <cell r="F6134"/>
          <cell r="G6134"/>
          <cell r="H6134"/>
          <cell r="J6134"/>
          <cell r="L6134"/>
          <cell r="M6134"/>
        </row>
        <row r="6135">
          <cell r="B6135"/>
          <cell r="C6135"/>
          <cell r="E6135"/>
          <cell r="F6135"/>
          <cell r="G6135"/>
          <cell r="H6135"/>
          <cell r="J6135"/>
          <cell r="L6135"/>
          <cell r="M6135"/>
        </row>
        <row r="6136">
          <cell r="B6136"/>
          <cell r="C6136"/>
          <cell r="E6136"/>
          <cell r="F6136"/>
          <cell r="G6136"/>
          <cell r="H6136"/>
          <cell r="J6136"/>
          <cell r="L6136"/>
          <cell r="M6136"/>
        </row>
        <row r="6137">
          <cell r="B6137"/>
          <cell r="C6137"/>
          <cell r="E6137"/>
          <cell r="F6137"/>
          <cell r="G6137"/>
          <cell r="H6137"/>
          <cell r="J6137"/>
          <cell r="L6137"/>
          <cell r="M6137"/>
        </row>
        <row r="6138">
          <cell r="B6138"/>
          <cell r="C6138"/>
          <cell r="E6138"/>
          <cell r="F6138"/>
          <cell r="G6138"/>
          <cell r="H6138"/>
          <cell r="J6138"/>
          <cell r="L6138"/>
          <cell r="M6138"/>
        </row>
        <row r="6139">
          <cell r="B6139"/>
          <cell r="C6139"/>
          <cell r="E6139"/>
          <cell r="F6139"/>
          <cell r="G6139"/>
          <cell r="H6139"/>
          <cell r="J6139"/>
          <cell r="L6139"/>
          <cell r="M6139"/>
        </row>
        <row r="6140">
          <cell r="B6140"/>
          <cell r="C6140"/>
          <cell r="E6140"/>
          <cell r="F6140"/>
          <cell r="G6140"/>
          <cell r="H6140"/>
          <cell r="J6140"/>
          <cell r="L6140"/>
          <cell r="M6140"/>
        </row>
        <row r="6141">
          <cell r="B6141"/>
          <cell r="C6141"/>
          <cell r="E6141"/>
          <cell r="F6141"/>
          <cell r="G6141"/>
          <cell r="H6141"/>
          <cell r="J6141"/>
          <cell r="L6141"/>
          <cell r="M6141"/>
        </row>
        <row r="6142">
          <cell r="B6142"/>
          <cell r="C6142"/>
          <cell r="E6142"/>
          <cell r="F6142"/>
          <cell r="G6142"/>
          <cell r="H6142"/>
          <cell r="J6142"/>
          <cell r="L6142"/>
          <cell r="M6142"/>
        </row>
        <row r="6143">
          <cell r="B6143"/>
          <cell r="C6143"/>
          <cell r="E6143"/>
          <cell r="F6143"/>
          <cell r="G6143"/>
          <cell r="H6143"/>
          <cell r="J6143"/>
          <cell r="L6143"/>
          <cell r="M6143"/>
        </row>
        <row r="6144">
          <cell r="B6144"/>
          <cell r="C6144"/>
          <cell r="E6144"/>
          <cell r="F6144"/>
          <cell r="G6144"/>
          <cell r="H6144"/>
          <cell r="J6144"/>
          <cell r="L6144"/>
          <cell r="M6144"/>
        </row>
        <row r="6145">
          <cell r="B6145"/>
          <cell r="C6145"/>
          <cell r="E6145"/>
          <cell r="F6145"/>
          <cell r="G6145"/>
          <cell r="H6145"/>
          <cell r="J6145"/>
          <cell r="L6145"/>
          <cell r="M6145"/>
        </row>
        <row r="6146">
          <cell r="B6146"/>
          <cell r="C6146"/>
          <cell r="E6146"/>
          <cell r="F6146"/>
          <cell r="G6146"/>
          <cell r="H6146"/>
          <cell r="J6146"/>
          <cell r="L6146"/>
          <cell r="M6146"/>
        </row>
        <row r="6147">
          <cell r="B6147"/>
          <cell r="C6147"/>
          <cell r="E6147"/>
          <cell r="F6147"/>
          <cell r="G6147"/>
          <cell r="H6147"/>
          <cell r="J6147"/>
          <cell r="L6147"/>
          <cell r="M6147"/>
        </row>
        <row r="6148">
          <cell r="B6148"/>
          <cell r="C6148"/>
          <cell r="E6148"/>
          <cell r="F6148"/>
          <cell r="G6148"/>
          <cell r="H6148"/>
          <cell r="J6148"/>
          <cell r="L6148"/>
          <cell r="M6148"/>
        </row>
        <row r="6149">
          <cell r="B6149"/>
          <cell r="C6149"/>
          <cell r="E6149"/>
          <cell r="F6149"/>
          <cell r="G6149"/>
          <cell r="H6149"/>
          <cell r="J6149"/>
          <cell r="L6149"/>
          <cell r="M6149"/>
        </row>
        <row r="6150">
          <cell r="B6150"/>
          <cell r="C6150"/>
          <cell r="E6150"/>
          <cell r="F6150"/>
          <cell r="G6150"/>
          <cell r="H6150"/>
          <cell r="J6150"/>
          <cell r="L6150"/>
          <cell r="M6150"/>
        </row>
        <row r="6151">
          <cell r="B6151"/>
          <cell r="C6151"/>
          <cell r="E6151"/>
          <cell r="F6151"/>
          <cell r="G6151"/>
          <cell r="H6151"/>
          <cell r="J6151"/>
          <cell r="L6151"/>
          <cell r="M6151"/>
        </row>
        <row r="6152">
          <cell r="B6152"/>
          <cell r="C6152"/>
          <cell r="E6152"/>
          <cell r="F6152"/>
          <cell r="G6152"/>
          <cell r="H6152"/>
          <cell r="J6152"/>
          <cell r="L6152"/>
          <cell r="M6152"/>
        </row>
        <row r="6153">
          <cell r="B6153"/>
          <cell r="C6153"/>
          <cell r="E6153"/>
          <cell r="F6153"/>
          <cell r="G6153"/>
          <cell r="H6153"/>
          <cell r="J6153"/>
          <cell r="L6153"/>
          <cell r="M6153"/>
        </row>
        <row r="6154">
          <cell r="B6154"/>
          <cell r="C6154"/>
          <cell r="E6154"/>
          <cell r="F6154"/>
          <cell r="G6154"/>
          <cell r="H6154"/>
          <cell r="J6154"/>
          <cell r="L6154"/>
          <cell r="M6154"/>
        </row>
        <row r="6155">
          <cell r="B6155"/>
          <cell r="C6155"/>
          <cell r="E6155"/>
          <cell r="F6155"/>
          <cell r="G6155"/>
          <cell r="H6155"/>
          <cell r="J6155"/>
          <cell r="L6155"/>
          <cell r="M6155"/>
        </row>
        <row r="6156">
          <cell r="B6156"/>
          <cell r="C6156"/>
          <cell r="E6156"/>
          <cell r="F6156"/>
          <cell r="G6156"/>
          <cell r="H6156"/>
          <cell r="J6156"/>
          <cell r="L6156"/>
          <cell r="M6156"/>
        </row>
        <row r="6157">
          <cell r="B6157"/>
          <cell r="C6157"/>
          <cell r="E6157"/>
          <cell r="F6157"/>
          <cell r="G6157"/>
          <cell r="H6157"/>
          <cell r="J6157"/>
          <cell r="L6157"/>
          <cell r="M6157"/>
        </row>
        <row r="6158">
          <cell r="B6158"/>
          <cell r="C6158"/>
          <cell r="E6158"/>
          <cell r="F6158"/>
          <cell r="G6158"/>
          <cell r="H6158"/>
          <cell r="J6158"/>
          <cell r="L6158"/>
          <cell r="M6158"/>
        </row>
        <row r="6159">
          <cell r="B6159"/>
          <cell r="C6159"/>
          <cell r="E6159"/>
          <cell r="F6159"/>
          <cell r="G6159"/>
          <cell r="H6159"/>
          <cell r="J6159"/>
          <cell r="L6159"/>
          <cell r="M6159"/>
        </row>
        <row r="6160">
          <cell r="B6160"/>
          <cell r="C6160"/>
          <cell r="E6160"/>
          <cell r="F6160"/>
          <cell r="G6160"/>
          <cell r="H6160"/>
          <cell r="J6160"/>
          <cell r="L6160"/>
          <cell r="M6160"/>
        </row>
        <row r="6161">
          <cell r="B6161"/>
          <cell r="C6161"/>
          <cell r="E6161"/>
          <cell r="F6161"/>
          <cell r="G6161"/>
          <cell r="H6161"/>
          <cell r="J6161"/>
          <cell r="L6161"/>
          <cell r="M6161"/>
        </row>
        <row r="6162">
          <cell r="B6162"/>
          <cell r="C6162"/>
          <cell r="E6162"/>
          <cell r="F6162"/>
          <cell r="G6162"/>
          <cell r="H6162"/>
          <cell r="J6162"/>
          <cell r="L6162"/>
          <cell r="M6162"/>
        </row>
        <row r="6163">
          <cell r="B6163"/>
          <cell r="C6163"/>
          <cell r="E6163"/>
          <cell r="F6163"/>
          <cell r="G6163"/>
          <cell r="H6163"/>
          <cell r="J6163"/>
          <cell r="L6163"/>
          <cell r="M6163"/>
        </row>
        <row r="6164">
          <cell r="B6164"/>
          <cell r="C6164"/>
          <cell r="E6164"/>
          <cell r="F6164"/>
          <cell r="G6164"/>
          <cell r="H6164"/>
          <cell r="J6164"/>
          <cell r="L6164"/>
          <cell r="M6164"/>
        </row>
        <row r="6165">
          <cell r="B6165"/>
          <cell r="C6165"/>
          <cell r="E6165"/>
          <cell r="F6165"/>
          <cell r="G6165"/>
          <cell r="H6165"/>
          <cell r="J6165"/>
          <cell r="L6165"/>
          <cell r="M6165"/>
        </row>
        <row r="6166">
          <cell r="B6166"/>
          <cell r="C6166"/>
          <cell r="E6166"/>
          <cell r="F6166"/>
          <cell r="G6166"/>
          <cell r="H6166"/>
          <cell r="J6166"/>
          <cell r="L6166"/>
          <cell r="M6166"/>
        </row>
        <row r="6167">
          <cell r="B6167"/>
          <cell r="C6167"/>
          <cell r="E6167"/>
          <cell r="F6167"/>
          <cell r="G6167"/>
          <cell r="H6167"/>
          <cell r="J6167"/>
          <cell r="L6167"/>
          <cell r="M6167"/>
        </row>
        <row r="6168">
          <cell r="B6168"/>
          <cell r="C6168"/>
          <cell r="E6168"/>
          <cell r="F6168"/>
          <cell r="G6168"/>
          <cell r="H6168"/>
          <cell r="J6168"/>
          <cell r="L6168"/>
          <cell r="M6168"/>
        </row>
        <row r="6169">
          <cell r="B6169"/>
          <cell r="C6169"/>
          <cell r="E6169"/>
          <cell r="F6169"/>
          <cell r="G6169"/>
          <cell r="H6169"/>
          <cell r="J6169"/>
          <cell r="L6169"/>
          <cell r="M6169"/>
        </row>
        <row r="6170">
          <cell r="B6170"/>
          <cell r="C6170"/>
          <cell r="E6170"/>
          <cell r="F6170"/>
          <cell r="G6170"/>
          <cell r="H6170"/>
          <cell r="J6170"/>
          <cell r="L6170"/>
          <cell r="M6170"/>
        </row>
        <row r="6171">
          <cell r="B6171"/>
          <cell r="C6171"/>
          <cell r="E6171"/>
          <cell r="F6171"/>
          <cell r="G6171"/>
          <cell r="H6171"/>
          <cell r="J6171"/>
          <cell r="L6171"/>
          <cell r="M6171"/>
        </row>
        <row r="6172">
          <cell r="B6172"/>
          <cell r="C6172"/>
          <cell r="E6172"/>
          <cell r="F6172"/>
          <cell r="G6172"/>
          <cell r="H6172"/>
          <cell r="J6172"/>
          <cell r="L6172"/>
          <cell r="M6172"/>
        </row>
        <row r="6173">
          <cell r="B6173"/>
          <cell r="C6173"/>
          <cell r="E6173"/>
          <cell r="F6173"/>
          <cell r="G6173"/>
          <cell r="H6173"/>
          <cell r="J6173"/>
          <cell r="L6173"/>
          <cell r="M6173"/>
        </row>
        <row r="6174">
          <cell r="B6174"/>
          <cell r="C6174"/>
          <cell r="E6174"/>
          <cell r="F6174"/>
          <cell r="G6174"/>
          <cell r="H6174"/>
          <cell r="J6174"/>
          <cell r="L6174"/>
          <cell r="M6174"/>
        </row>
        <row r="6175">
          <cell r="B6175"/>
          <cell r="C6175"/>
          <cell r="E6175"/>
          <cell r="F6175"/>
          <cell r="G6175"/>
          <cell r="H6175"/>
          <cell r="J6175"/>
          <cell r="L6175"/>
          <cell r="M6175"/>
        </row>
        <row r="6176">
          <cell r="B6176"/>
          <cell r="C6176"/>
          <cell r="E6176"/>
          <cell r="F6176"/>
          <cell r="G6176"/>
          <cell r="H6176"/>
          <cell r="J6176"/>
          <cell r="L6176"/>
          <cell r="M6176"/>
        </row>
        <row r="6177">
          <cell r="B6177"/>
          <cell r="C6177"/>
          <cell r="E6177"/>
          <cell r="F6177"/>
          <cell r="G6177"/>
          <cell r="H6177"/>
          <cell r="J6177"/>
          <cell r="L6177"/>
          <cell r="M6177"/>
        </row>
        <row r="6178">
          <cell r="B6178"/>
          <cell r="C6178"/>
          <cell r="E6178"/>
          <cell r="F6178"/>
          <cell r="G6178"/>
          <cell r="H6178"/>
          <cell r="J6178"/>
          <cell r="L6178"/>
          <cell r="M6178"/>
        </row>
        <row r="6179">
          <cell r="B6179"/>
          <cell r="C6179"/>
          <cell r="E6179"/>
          <cell r="F6179"/>
          <cell r="G6179"/>
          <cell r="H6179"/>
          <cell r="J6179"/>
          <cell r="L6179"/>
          <cell r="M6179"/>
        </row>
        <row r="6180">
          <cell r="B6180"/>
          <cell r="C6180"/>
          <cell r="E6180"/>
          <cell r="F6180"/>
          <cell r="G6180"/>
          <cell r="H6180"/>
          <cell r="J6180"/>
          <cell r="L6180"/>
          <cell r="M6180"/>
        </row>
        <row r="6181">
          <cell r="B6181"/>
          <cell r="C6181"/>
          <cell r="E6181"/>
          <cell r="F6181"/>
          <cell r="G6181"/>
          <cell r="H6181"/>
          <cell r="J6181"/>
          <cell r="L6181"/>
          <cell r="M6181"/>
        </row>
        <row r="6182">
          <cell r="B6182"/>
          <cell r="C6182"/>
          <cell r="E6182"/>
          <cell r="F6182"/>
          <cell r="G6182"/>
          <cell r="H6182"/>
          <cell r="J6182"/>
          <cell r="L6182"/>
          <cell r="M6182"/>
        </row>
        <row r="6183">
          <cell r="B6183"/>
          <cell r="C6183"/>
          <cell r="E6183"/>
          <cell r="F6183"/>
          <cell r="G6183"/>
          <cell r="H6183"/>
          <cell r="J6183"/>
          <cell r="L6183"/>
          <cell r="M6183"/>
        </row>
        <row r="6184">
          <cell r="B6184"/>
          <cell r="C6184"/>
          <cell r="E6184"/>
          <cell r="F6184"/>
          <cell r="G6184"/>
          <cell r="H6184"/>
          <cell r="J6184"/>
          <cell r="L6184"/>
          <cell r="M6184"/>
        </row>
        <row r="6185">
          <cell r="B6185"/>
          <cell r="C6185"/>
          <cell r="E6185"/>
          <cell r="F6185"/>
          <cell r="G6185"/>
          <cell r="H6185"/>
          <cell r="J6185"/>
          <cell r="L6185"/>
          <cell r="M6185"/>
        </row>
        <row r="6186">
          <cell r="B6186"/>
          <cell r="C6186"/>
          <cell r="E6186"/>
          <cell r="F6186"/>
          <cell r="G6186"/>
          <cell r="H6186"/>
          <cell r="J6186"/>
          <cell r="L6186"/>
          <cell r="M6186"/>
        </row>
        <row r="6187">
          <cell r="B6187"/>
          <cell r="C6187"/>
          <cell r="E6187"/>
          <cell r="F6187"/>
          <cell r="G6187"/>
          <cell r="H6187"/>
          <cell r="J6187"/>
          <cell r="L6187"/>
          <cell r="M6187"/>
        </row>
        <row r="6188">
          <cell r="B6188"/>
          <cell r="C6188"/>
          <cell r="E6188"/>
          <cell r="F6188"/>
          <cell r="G6188"/>
          <cell r="H6188"/>
          <cell r="J6188"/>
          <cell r="L6188"/>
          <cell r="M6188"/>
        </row>
        <row r="6189">
          <cell r="B6189"/>
          <cell r="C6189"/>
          <cell r="E6189"/>
          <cell r="F6189"/>
          <cell r="G6189"/>
          <cell r="H6189"/>
          <cell r="J6189"/>
          <cell r="L6189"/>
          <cell r="M6189"/>
        </row>
        <row r="6190">
          <cell r="B6190"/>
          <cell r="C6190"/>
          <cell r="E6190"/>
          <cell r="F6190"/>
          <cell r="G6190"/>
          <cell r="H6190"/>
          <cell r="J6190"/>
          <cell r="L6190"/>
          <cell r="M6190"/>
        </row>
        <row r="6191">
          <cell r="B6191"/>
          <cell r="C6191"/>
          <cell r="E6191"/>
          <cell r="F6191"/>
          <cell r="G6191"/>
          <cell r="H6191"/>
          <cell r="J6191"/>
          <cell r="L6191"/>
          <cell r="M6191"/>
        </row>
        <row r="6192">
          <cell r="B6192"/>
          <cell r="C6192"/>
          <cell r="E6192"/>
          <cell r="F6192"/>
          <cell r="G6192"/>
          <cell r="H6192"/>
          <cell r="J6192"/>
          <cell r="L6192"/>
          <cell r="M6192"/>
        </row>
        <row r="6193">
          <cell r="B6193"/>
          <cell r="C6193"/>
          <cell r="E6193"/>
          <cell r="F6193"/>
          <cell r="G6193"/>
          <cell r="H6193"/>
          <cell r="J6193"/>
          <cell r="L6193"/>
          <cell r="M6193"/>
        </row>
        <row r="6194">
          <cell r="B6194"/>
          <cell r="C6194"/>
          <cell r="E6194"/>
          <cell r="F6194"/>
          <cell r="G6194"/>
          <cell r="H6194"/>
          <cell r="J6194"/>
          <cell r="L6194"/>
          <cell r="M6194"/>
        </row>
        <row r="6195">
          <cell r="B6195"/>
          <cell r="C6195"/>
          <cell r="E6195"/>
          <cell r="F6195"/>
          <cell r="G6195"/>
          <cell r="H6195"/>
          <cell r="J6195"/>
          <cell r="L6195"/>
          <cell r="M6195"/>
        </row>
        <row r="6196">
          <cell r="B6196"/>
          <cell r="C6196"/>
          <cell r="E6196"/>
          <cell r="F6196"/>
          <cell r="G6196"/>
          <cell r="H6196"/>
          <cell r="J6196"/>
          <cell r="L6196"/>
          <cell r="M6196"/>
        </row>
        <row r="6197">
          <cell r="B6197"/>
          <cell r="C6197"/>
          <cell r="E6197"/>
          <cell r="F6197"/>
          <cell r="G6197"/>
          <cell r="H6197"/>
          <cell r="J6197"/>
          <cell r="L6197"/>
          <cell r="M6197"/>
        </row>
        <row r="6198">
          <cell r="B6198"/>
          <cell r="C6198"/>
          <cell r="E6198"/>
          <cell r="F6198"/>
          <cell r="G6198"/>
          <cell r="H6198"/>
          <cell r="J6198"/>
          <cell r="L6198"/>
          <cell r="M6198"/>
        </row>
        <row r="6199">
          <cell r="B6199"/>
          <cell r="C6199"/>
          <cell r="E6199"/>
          <cell r="F6199"/>
          <cell r="G6199"/>
          <cell r="H6199"/>
          <cell r="J6199"/>
          <cell r="L6199"/>
          <cell r="M6199"/>
        </row>
        <row r="6200">
          <cell r="B6200"/>
          <cell r="C6200"/>
          <cell r="E6200"/>
          <cell r="F6200"/>
          <cell r="G6200"/>
          <cell r="H6200"/>
          <cell r="J6200"/>
          <cell r="L6200"/>
          <cell r="M6200"/>
        </row>
        <row r="6201">
          <cell r="B6201"/>
          <cell r="C6201"/>
          <cell r="E6201"/>
          <cell r="F6201"/>
          <cell r="G6201"/>
          <cell r="H6201"/>
          <cell r="J6201"/>
          <cell r="L6201"/>
          <cell r="M6201"/>
        </row>
        <row r="6202">
          <cell r="B6202"/>
          <cell r="C6202"/>
          <cell r="E6202"/>
          <cell r="F6202"/>
          <cell r="G6202"/>
          <cell r="H6202"/>
          <cell r="J6202"/>
          <cell r="L6202"/>
          <cell r="M6202"/>
        </row>
        <row r="6203">
          <cell r="B6203"/>
          <cell r="C6203"/>
          <cell r="E6203"/>
          <cell r="F6203"/>
          <cell r="G6203"/>
          <cell r="H6203"/>
          <cell r="J6203"/>
          <cell r="L6203"/>
          <cell r="M6203"/>
        </row>
        <row r="6204">
          <cell r="B6204"/>
          <cell r="C6204"/>
          <cell r="E6204"/>
          <cell r="F6204"/>
          <cell r="G6204"/>
          <cell r="H6204"/>
          <cell r="J6204"/>
          <cell r="L6204"/>
          <cell r="M6204"/>
        </row>
        <row r="6205">
          <cell r="B6205"/>
          <cell r="C6205"/>
          <cell r="E6205"/>
          <cell r="F6205"/>
          <cell r="G6205"/>
          <cell r="H6205"/>
          <cell r="J6205"/>
          <cell r="L6205"/>
          <cell r="M6205"/>
        </row>
        <row r="6206">
          <cell r="B6206"/>
          <cell r="C6206"/>
          <cell r="E6206"/>
          <cell r="F6206"/>
          <cell r="G6206"/>
          <cell r="H6206"/>
          <cell r="J6206"/>
          <cell r="L6206"/>
          <cell r="M6206"/>
        </row>
        <row r="6207">
          <cell r="B6207"/>
          <cell r="C6207"/>
          <cell r="E6207"/>
          <cell r="F6207"/>
          <cell r="G6207"/>
          <cell r="H6207"/>
          <cell r="J6207"/>
          <cell r="L6207"/>
          <cell r="M6207"/>
        </row>
        <row r="6208">
          <cell r="B6208"/>
          <cell r="C6208"/>
          <cell r="E6208"/>
          <cell r="F6208"/>
          <cell r="G6208"/>
          <cell r="H6208"/>
          <cell r="J6208"/>
          <cell r="L6208"/>
          <cell r="M6208"/>
        </row>
        <row r="6209">
          <cell r="B6209"/>
          <cell r="C6209"/>
          <cell r="E6209"/>
          <cell r="F6209"/>
          <cell r="G6209"/>
          <cell r="H6209"/>
          <cell r="J6209"/>
          <cell r="L6209"/>
          <cell r="M6209"/>
        </row>
        <row r="6210">
          <cell r="B6210"/>
          <cell r="C6210"/>
          <cell r="E6210"/>
          <cell r="F6210"/>
          <cell r="G6210"/>
          <cell r="H6210"/>
          <cell r="J6210"/>
          <cell r="L6210"/>
          <cell r="M6210"/>
        </row>
        <row r="6211">
          <cell r="B6211"/>
          <cell r="C6211"/>
          <cell r="E6211"/>
          <cell r="F6211"/>
          <cell r="G6211"/>
          <cell r="H6211"/>
          <cell r="J6211"/>
          <cell r="L6211"/>
          <cell r="M6211"/>
        </row>
        <row r="6212">
          <cell r="B6212"/>
          <cell r="C6212"/>
          <cell r="E6212"/>
          <cell r="F6212"/>
          <cell r="G6212"/>
          <cell r="H6212"/>
          <cell r="J6212"/>
          <cell r="L6212"/>
          <cell r="M6212"/>
        </row>
        <row r="6213">
          <cell r="B6213"/>
          <cell r="C6213"/>
          <cell r="E6213"/>
          <cell r="F6213"/>
          <cell r="G6213"/>
          <cell r="H6213"/>
          <cell r="J6213"/>
          <cell r="L6213"/>
          <cell r="M6213"/>
        </row>
        <row r="6214">
          <cell r="B6214"/>
          <cell r="C6214"/>
          <cell r="E6214"/>
          <cell r="F6214"/>
          <cell r="G6214"/>
          <cell r="H6214"/>
          <cell r="J6214"/>
          <cell r="L6214"/>
          <cell r="M6214"/>
        </row>
        <row r="6215">
          <cell r="B6215"/>
          <cell r="C6215"/>
          <cell r="E6215"/>
          <cell r="F6215"/>
          <cell r="G6215"/>
          <cell r="H6215"/>
          <cell r="J6215"/>
          <cell r="L6215"/>
          <cell r="M6215"/>
        </row>
        <row r="6216">
          <cell r="B6216"/>
          <cell r="C6216"/>
          <cell r="E6216"/>
          <cell r="F6216"/>
          <cell r="G6216"/>
          <cell r="H6216"/>
          <cell r="J6216"/>
          <cell r="L6216"/>
          <cell r="M6216"/>
        </row>
        <row r="6217">
          <cell r="B6217"/>
          <cell r="C6217"/>
          <cell r="E6217"/>
          <cell r="F6217"/>
          <cell r="G6217"/>
          <cell r="H6217"/>
          <cell r="J6217"/>
          <cell r="L6217"/>
          <cell r="M6217"/>
        </row>
        <row r="6218">
          <cell r="B6218"/>
          <cell r="C6218"/>
          <cell r="E6218"/>
          <cell r="F6218"/>
          <cell r="G6218"/>
          <cell r="H6218"/>
          <cell r="J6218"/>
          <cell r="L6218"/>
          <cell r="M6218"/>
        </row>
        <row r="6219">
          <cell r="B6219"/>
          <cell r="C6219"/>
          <cell r="E6219"/>
          <cell r="F6219"/>
          <cell r="G6219"/>
          <cell r="H6219"/>
          <cell r="J6219"/>
          <cell r="L6219"/>
          <cell r="M6219"/>
        </row>
        <row r="6220">
          <cell r="B6220"/>
          <cell r="C6220"/>
          <cell r="E6220"/>
          <cell r="F6220"/>
          <cell r="G6220"/>
          <cell r="H6220"/>
          <cell r="J6220"/>
          <cell r="L6220"/>
          <cell r="M6220"/>
        </row>
        <row r="6221">
          <cell r="B6221"/>
          <cell r="C6221"/>
          <cell r="E6221"/>
          <cell r="F6221"/>
          <cell r="G6221"/>
          <cell r="H6221"/>
          <cell r="J6221"/>
          <cell r="L6221"/>
          <cell r="M6221"/>
        </row>
        <row r="6222">
          <cell r="B6222"/>
          <cell r="C6222"/>
          <cell r="E6222"/>
          <cell r="F6222"/>
          <cell r="G6222"/>
          <cell r="H6222"/>
          <cell r="J6222"/>
          <cell r="L6222"/>
          <cell r="M6222"/>
        </row>
        <row r="6223">
          <cell r="B6223"/>
          <cell r="C6223"/>
          <cell r="E6223"/>
          <cell r="F6223"/>
          <cell r="G6223"/>
          <cell r="H6223"/>
          <cell r="J6223"/>
          <cell r="L6223"/>
          <cell r="M6223"/>
        </row>
        <row r="6224">
          <cell r="B6224"/>
          <cell r="C6224"/>
          <cell r="E6224"/>
          <cell r="F6224"/>
          <cell r="G6224"/>
          <cell r="H6224"/>
          <cell r="J6224"/>
          <cell r="L6224"/>
          <cell r="M6224"/>
        </row>
        <row r="6225">
          <cell r="B6225"/>
          <cell r="C6225"/>
          <cell r="E6225"/>
          <cell r="F6225"/>
          <cell r="G6225"/>
          <cell r="H6225"/>
          <cell r="J6225"/>
          <cell r="L6225"/>
          <cell r="M6225"/>
        </row>
        <row r="6226">
          <cell r="B6226"/>
          <cell r="C6226"/>
          <cell r="E6226"/>
          <cell r="F6226"/>
          <cell r="G6226"/>
          <cell r="H6226"/>
          <cell r="J6226"/>
          <cell r="L6226"/>
          <cell r="M6226"/>
        </row>
        <row r="6227">
          <cell r="B6227"/>
          <cell r="C6227"/>
          <cell r="E6227"/>
          <cell r="F6227"/>
          <cell r="G6227"/>
          <cell r="H6227"/>
          <cell r="J6227"/>
          <cell r="L6227"/>
          <cell r="M6227"/>
        </row>
        <row r="6228">
          <cell r="B6228"/>
          <cell r="C6228"/>
          <cell r="E6228"/>
          <cell r="F6228"/>
          <cell r="G6228"/>
          <cell r="H6228"/>
          <cell r="J6228"/>
          <cell r="L6228"/>
          <cell r="M6228"/>
        </row>
        <row r="6229">
          <cell r="B6229"/>
          <cell r="C6229"/>
          <cell r="E6229"/>
          <cell r="F6229"/>
          <cell r="G6229"/>
          <cell r="H6229"/>
          <cell r="J6229"/>
          <cell r="L6229"/>
          <cell r="M6229"/>
        </row>
        <row r="6230">
          <cell r="B6230"/>
          <cell r="C6230"/>
          <cell r="E6230"/>
          <cell r="F6230"/>
          <cell r="G6230"/>
          <cell r="H6230"/>
          <cell r="J6230"/>
          <cell r="L6230"/>
          <cell r="M6230"/>
        </row>
        <row r="6231">
          <cell r="B6231"/>
          <cell r="C6231"/>
          <cell r="E6231"/>
          <cell r="F6231"/>
          <cell r="G6231"/>
          <cell r="H6231"/>
          <cell r="J6231"/>
          <cell r="L6231"/>
          <cell r="M6231"/>
        </row>
        <row r="6232">
          <cell r="B6232"/>
          <cell r="C6232"/>
          <cell r="E6232"/>
          <cell r="F6232"/>
          <cell r="G6232"/>
          <cell r="H6232"/>
          <cell r="J6232"/>
          <cell r="L6232"/>
          <cell r="M6232"/>
        </row>
        <row r="6233">
          <cell r="B6233"/>
          <cell r="C6233"/>
          <cell r="E6233"/>
          <cell r="F6233"/>
          <cell r="G6233"/>
          <cell r="H6233"/>
          <cell r="J6233"/>
          <cell r="L6233"/>
          <cell r="M6233"/>
        </row>
        <row r="6234">
          <cell r="B6234"/>
          <cell r="C6234"/>
          <cell r="E6234"/>
          <cell r="F6234"/>
          <cell r="G6234"/>
          <cell r="H6234"/>
          <cell r="J6234"/>
          <cell r="L6234"/>
          <cell r="M6234"/>
        </row>
        <row r="6235">
          <cell r="B6235"/>
          <cell r="C6235"/>
          <cell r="E6235"/>
          <cell r="F6235"/>
          <cell r="G6235"/>
          <cell r="H6235"/>
          <cell r="J6235"/>
          <cell r="L6235"/>
          <cell r="M6235"/>
        </row>
        <row r="6236">
          <cell r="B6236"/>
          <cell r="C6236"/>
          <cell r="E6236"/>
          <cell r="F6236"/>
          <cell r="G6236"/>
          <cell r="H6236"/>
          <cell r="J6236"/>
          <cell r="L6236"/>
          <cell r="M6236"/>
        </row>
        <row r="6237">
          <cell r="B6237"/>
          <cell r="C6237"/>
          <cell r="E6237"/>
          <cell r="F6237"/>
          <cell r="G6237"/>
          <cell r="H6237"/>
          <cell r="J6237"/>
          <cell r="L6237"/>
          <cell r="M6237"/>
        </row>
        <row r="6238">
          <cell r="B6238"/>
          <cell r="C6238"/>
          <cell r="E6238"/>
          <cell r="F6238"/>
          <cell r="G6238"/>
          <cell r="H6238"/>
          <cell r="J6238"/>
          <cell r="L6238"/>
          <cell r="M6238"/>
        </row>
        <row r="6239">
          <cell r="B6239"/>
          <cell r="C6239"/>
          <cell r="E6239"/>
          <cell r="F6239"/>
          <cell r="G6239"/>
          <cell r="H6239"/>
          <cell r="J6239"/>
          <cell r="L6239"/>
          <cell r="M6239"/>
        </row>
        <row r="6240">
          <cell r="B6240"/>
          <cell r="C6240"/>
          <cell r="E6240"/>
          <cell r="F6240"/>
          <cell r="G6240"/>
          <cell r="H6240"/>
          <cell r="J6240"/>
          <cell r="L6240"/>
          <cell r="M6240"/>
        </row>
        <row r="6241">
          <cell r="B6241"/>
          <cell r="C6241"/>
          <cell r="E6241"/>
          <cell r="F6241"/>
          <cell r="G6241"/>
          <cell r="H6241"/>
          <cell r="J6241"/>
          <cell r="L6241"/>
          <cell r="M6241"/>
        </row>
        <row r="6242">
          <cell r="B6242"/>
          <cell r="C6242"/>
          <cell r="E6242"/>
          <cell r="F6242"/>
          <cell r="G6242"/>
          <cell r="H6242"/>
          <cell r="J6242"/>
          <cell r="L6242"/>
          <cell r="M6242"/>
        </row>
        <row r="6243">
          <cell r="B6243"/>
          <cell r="C6243"/>
          <cell r="E6243"/>
          <cell r="F6243"/>
          <cell r="G6243"/>
          <cell r="H6243"/>
          <cell r="J6243"/>
          <cell r="L6243"/>
          <cell r="M6243"/>
        </row>
        <row r="6244">
          <cell r="B6244"/>
          <cell r="C6244"/>
          <cell r="E6244"/>
          <cell r="F6244"/>
          <cell r="G6244"/>
          <cell r="H6244"/>
          <cell r="J6244"/>
          <cell r="L6244"/>
          <cell r="M6244"/>
        </row>
        <row r="6245">
          <cell r="B6245"/>
          <cell r="C6245"/>
          <cell r="E6245"/>
          <cell r="F6245"/>
          <cell r="G6245"/>
          <cell r="H6245"/>
          <cell r="J6245"/>
          <cell r="L6245"/>
          <cell r="M6245"/>
        </row>
        <row r="6246">
          <cell r="B6246"/>
          <cell r="C6246"/>
          <cell r="E6246"/>
          <cell r="F6246"/>
          <cell r="G6246"/>
          <cell r="H6246"/>
          <cell r="J6246"/>
          <cell r="L6246"/>
          <cell r="M6246"/>
        </row>
        <row r="6247">
          <cell r="B6247"/>
          <cell r="C6247"/>
          <cell r="E6247"/>
          <cell r="F6247"/>
          <cell r="G6247"/>
          <cell r="H6247"/>
          <cell r="J6247"/>
          <cell r="L6247"/>
          <cell r="M6247"/>
        </row>
        <row r="6248">
          <cell r="B6248"/>
          <cell r="C6248"/>
          <cell r="E6248"/>
          <cell r="F6248"/>
          <cell r="G6248"/>
          <cell r="H6248"/>
          <cell r="J6248"/>
          <cell r="L6248"/>
          <cell r="M6248"/>
        </row>
        <row r="6249">
          <cell r="B6249"/>
          <cell r="C6249"/>
          <cell r="E6249"/>
          <cell r="F6249"/>
          <cell r="G6249"/>
          <cell r="H6249"/>
          <cell r="J6249"/>
          <cell r="L6249"/>
          <cell r="M6249"/>
        </row>
        <row r="6250">
          <cell r="B6250"/>
          <cell r="C6250"/>
          <cell r="E6250"/>
          <cell r="F6250"/>
          <cell r="G6250"/>
          <cell r="H6250"/>
          <cell r="J6250"/>
          <cell r="L6250"/>
          <cell r="M6250"/>
        </row>
        <row r="6251">
          <cell r="B6251"/>
          <cell r="C6251"/>
          <cell r="E6251"/>
          <cell r="F6251"/>
          <cell r="G6251"/>
          <cell r="H6251"/>
          <cell r="J6251"/>
          <cell r="L6251"/>
          <cell r="M6251"/>
        </row>
        <row r="6252">
          <cell r="B6252"/>
          <cell r="C6252"/>
          <cell r="E6252"/>
          <cell r="F6252"/>
          <cell r="G6252"/>
          <cell r="H6252"/>
          <cell r="J6252"/>
          <cell r="L6252"/>
          <cell r="M6252"/>
        </row>
        <row r="6253">
          <cell r="B6253"/>
          <cell r="C6253"/>
          <cell r="E6253"/>
          <cell r="F6253"/>
          <cell r="G6253"/>
          <cell r="H6253"/>
          <cell r="J6253"/>
          <cell r="L6253"/>
          <cell r="M6253"/>
        </row>
        <row r="6254">
          <cell r="B6254"/>
          <cell r="C6254"/>
          <cell r="E6254"/>
          <cell r="F6254"/>
          <cell r="G6254"/>
          <cell r="H6254"/>
          <cell r="J6254"/>
          <cell r="L6254"/>
          <cell r="M6254"/>
        </row>
        <row r="6255">
          <cell r="B6255"/>
          <cell r="C6255"/>
          <cell r="E6255"/>
          <cell r="F6255"/>
          <cell r="G6255"/>
          <cell r="H6255"/>
          <cell r="J6255"/>
          <cell r="L6255"/>
          <cell r="M6255"/>
        </row>
        <row r="6256">
          <cell r="B6256"/>
          <cell r="C6256"/>
          <cell r="E6256"/>
          <cell r="F6256"/>
          <cell r="G6256"/>
          <cell r="H6256"/>
          <cell r="J6256"/>
          <cell r="L6256"/>
          <cell r="M6256"/>
        </row>
        <row r="6257">
          <cell r="B6257"/>
          <cell r="C6257"/>
          <cell r="E6257"/>
          <cell r="F6257"/>
          <cell r="G6257"/>
          <cell r="H6257"/>
          <cell r="J6257"/>
          <cell r="L6257"/>
          <cell r="M6257"/>
        </row>
        <row r="6258">
          <cell r="B6258"/>
          <cell r="C6258"/>
          <cell r="E6258"/>
          <cell r="F6258"/>
          <cell r="G6258"/>
          <cell r="H6258"/>
          <cell r="J6258"/>
          <cell r="L6258"/>
          <cell r="M6258"/>
        </row>
        <row r="6259">
          <cell r="B6259"/>
          <cell r="C6259"/>
          <cell r="E6259"/>
          <cell r="F6259"/>
          <cell r="G6259"/>
          <cell r="H6259"/>
          <cell r="J6259"/>
          <cell r="L6259"/>
          <cell r="M6259"/>
        </row>
        <row r="6260">
          <cell r="B6260"/>
          <cell r="C6260"/>
          <cell r="E6260"/>
          <cell r="F6260"/>
          <cell r="G6260"/>
          <cell r="H6260"/>
          <cell r="J6260"/>
          <cell r="L6260"/>
          <cell r="M6260"/>
        </row>
        <row r="6261">
          <cell r="B6261"/>
          <cell r="C6261"/>
          <cell r="E6261"/>
          <cell r="F6261"/>
          <cell r="G6261"/>
          <cell r="H6261"/>
          <cell r="J6261"/>
          <cell r="L6261"/>
          <cell r="M6261"/>
        </row>
        <row r="6262">
          <cell r="B6262"/>
          <cell r="C6262"/>
          <cell r="E6262"/>
          <cell r="F6262"/>
          <cell r="G6262"/>
          <cell r="H6262"/>
          <cell r="J6262"/>
          <cell r="L6262"/>
          <cell r="M6262"/>
        </row>
        <row r="6263">
          <cell r="B6263"/>
          <cell r="C6263"/>
          <cell r="E6263"/>
          <cell r="F6263"/>
          <cell r="G6263"/>
          <cell r="H6263"/>
          <cell r="J6263"/>
          <cell r="L6263"/>
          <cell r="M6263"/>
        </row>
        <row r="6264">
          <cell r="B6264"/>
          <cell r="C6264"/>
          <cell r="E6264"/>
          <cell r="F6264"/>
          <cell r="G6264"/>
          <cell r="H6264"/>
          <cell r="J6264"/>
          <cell r="L6264"/>
          <cell r="M6264"/>
        </row>
        <row r="6265">
          <cell r="B6265"/>
          <cell r="C6265"/>
          <cell r="E6265"/>
          <cell r="F6265"/>
          <cell r="G6265"/>
          <cell r="H6265"/>
          <cell r="J6265"/>
          <cell r="L6265"/>
          <cell r="M6265"/>
        </row>
        <row r="6266">
          <cell r="B6266"/>
          <cell r="C6266"/>
          <cell r="E6266"/>
          <cell r="F6266"/>
          <cell r="G6266"/>
          <cell r="H6266"/>
          <cell r="J6266"/>
          <cell r="L6266"/>
          <cell r="M6266"/>
        </row>
        <row r="6267">
          <cell r="B6267"/>
          <cell r="C6267"/>
          <cell r="E6267"/>
          <cell r="F6267"/>
          <cell r="G6267"/>
          <cell r="H6267"/>
          <cell r="J6267"/>
          <cell r="L6267"/>
          <cell r="M6267"/>
        </row>
        <row r="6268">
          <cell r="B6268"/>
          <cell r="C6268"/>
          <cell r="E6268"/>
          <cell r="F6268"/>
          <cell r="G6268"/>
          <cell r="H6268"/>
          <cell r="J6268"/>
          <cell r="L6268"/>
          <cell r="M6268"/>
        </row>
        <row r="6269">
          <cell r="B6269"/>
          <cell r="C6269"/>
          <cell r="E6269"/>
          <cell r="F6269"/>
          <cell r="G6269"/>
          <cell r="H6269"/>
          <cell r="J6269"/>
          <cell r="L6269"/>
          <cell r="M6269"/>
        </row>
        <row r="6270">
          <cell r="B6270"/>
          <cell r="C6270"/>
          <cell r="E6270"/>
          <cell r="F6270"/>
          <cell r="G6270"/>
          <cell r="H6270"/>
          <cell r="J6270"/>
          <cell r="L6270"/>
          <cell r="M6270"/>
        </row>
        <row r="6271">
          <cell r="B6271"/>
          <cell r="C6271"/>
          <cell r="E6271"/>
          <cell r="F6271"/>
          <cell r="G6271"/>
          <cell r="H6271"/>
          <cell r="J6271"/>
          <cell r="L6271"/>
          <cell r="M6271"/>
        </row>
        <row r="6272">
          <cell r="B6272"/>
          <cell r="C6272"/>
          <cell r="E6272"/>
          <cell r="F6272"/>
          <cell r="G6272"/>
          <cell r="H6272"/>
          <cell r="J6272"/>
          <cell r="L6272"/>
          <cell r="M6272"/>
        </row>
        <row r="6273">
          <cell r="B6273"/>
          <cell r="C6273"/>
          <cell r="E6273"/>
          <cell r="F6273"/>
          <cell r="G6273"/>
          <cell r="H6273"/>
          <cell r="J6273"/>
          <cell r="L6273"/>
          <cell r="M6273"/>
        </row>
        <row r="6274">
          <cell r="B6274"/>
          <cell r="C6274"/>
          <cell r="E6274"/>
          <cell r="F6274"/>
          <cell r="G6274"/>
          <cell r="H6274"/>
          <cell r="J6274"/>
          <cell r="L6274"/>
          <cell r="M6274"/>
        </row>
        <row r="6275">
          <cell r="B6275"/>
          <cell r="C6275"/>
          <cell r="E6275"/>
          <cell r="F6275"/>
          <cell r="G6275"/>
          <cell r="H6275"/>
          <cell r="J6275"/>
          <cell r="L6275"/>
          <cell r="M6275"/>
        </row>
        <row r="6276">
          <cell r="B6276"/>
          <cell r="C6276"/>
          <cell r="E6276"/>
          <cell r="F6276"/>
          <cell r="G6276"/>
          <cell r="H6276"/>
          <cell r="J6276"/>
          <cell r="L6276"/>
          <cell r="M6276"/>
        </row>
        <row r="6277">
          <cell r="B6277"/>
          <cell r="C6277"/>
          <cell r="E6277"/>
          <cell r="F6277"/>
          <cell r="G6277"/>
          <cell r="H6277"/>
          <cell r="J6277"/>
          <cell r="L6277"/>
          <cell r="M6277"/>
        </row>
        <row r="6278">
          <cell r="B6278"/>
          <cell r="C6278"/>
          <cell r="E6278"/>
          <cell r="F6278"/>
          <cell r="G6278"/>
          <cell r="H6278"/>
          <cell r="J6278"/>
          <cell r="L6278"/>
          <cell r="M6278"/>
        </row>
        <row r="6279">
          <cell r="B6279"/>
          <cell r="C6279"/>
          <cell r="E6279"/>
          <cell r="F6279"/>
          <cell r="G6279"/>
          <cell r="H6279"/>
          <cell r="J6279"/>
          <cell r="L6279"/>
          <cell r="M6279"/>
        </row>
        <row r="6280">
          <cell r="B6280"/>
          <cell r="C6280"/>
          <cell r="E6280"/>
          <cell r="F6280"/>
          <cell r="G6280"/>
          <cell r="H6280"/>
          <cell r="J6280"/>
          <cell r="L6280"/>
          <cell r="M6280"/>
        </row>
        <row r="6281">
          <cell r="B6281"/>
          <cell r="C6281"/>
          <cell r="E6281"/>
          <cell r="F6281"/>
          <cell r="G6281"/>
          <cell r="H6281"/>
          <cell r="J6281"/>
          <cell r="L6281"/>
          <cell r="M6281"/>
        </row>
        <row r="6282">
          <cell r="B6282"/>
          <cell r="C6282"/>
          <cell r="E6282"/>
          <cell r="F6282"/>
          <cell r="G6282"/>
          <cell r="H6282"/>
          <cell r="J6282"/>
          <cell r="L6282"/>
          <cell r="M6282"/>
        </row>
        <row r="6283">
          <cell r="B6283"/>
          <cell r="C6283"/>
          <cell r="E6283"/>
          <cell r="F6283"/>
          <cell r="G6283"/>
          <cell r="H6283"/>
          <cell r="J6283"/>
          <cell r="L6283"/>
          <cell r="M6283"/>
        </row>
        <row r="6284">
          <cell r="B6284"/>
          <cell r="C6284"/>
          <cell r="E6284"/>
          <cell r="F6284"/>
          <cell r="G6284"/>
          <cell r="H6284"/>
          <cell r="J6284"/>
          <cell r="L6284"/>
          <cell r="M6284"/>
        </row>
        <row r="6285">
          <cell r="B6285"/>
          <cell r="C6285"/>
          <cell r="E6285"/>
          <cell r="F6285"/>
          <cell r="G6285"/>
          <cell r="H6285"/>
          <cell r="J6285"/>
          <cell r="L6285"/>
          <cell r="M6285"/>
        </row>
        <row r="6286">
          <cell r="B6286"/>
          <cell r="C6286"/>
          <cell r="E6286"/>
          <cell r="F6286"/>
          <cell r="G6286"/>
          <cell r="H6286"/>
          <cell r="J6286"/>
          <cell r="L6286"/>
          <cell r="M6286"/>
        </row>
        <row r="6287">
          <cell r="B6287"/>
          <cell r="C6287"/>
          <cell r="E6287"/>
          <cell r="F6287"/>
          <cell r="G6287"/>
          <cell r="H6287"/>
          <cell r="J6287"/>
          <cell r="L6287"/>
          <cell r="M6287"/>
        </row>
        <row r="6288">
          <cell r="B6288"/>
          <cell r="C6288"/>
          <cell r="E6288"/>
          <cell r="F6288"/>
          <cell r="G6288"/>
          <cell r="H6288"/>
          <cell r="J6288"/>
          <cell r="L6288"/>
          <cell r="M6288"/>
        </row>
        <row r="6289">
          <cell r="B6289"/>
          <cell r="C6289"/>
          <cell r="E6289"/>
          <cell r="F6289"/>
          <cell r="G6289"/>
          <cell r="H6289"/>
          <cell r="J6289"/>
          <cell r="L6289"/>
          <cell r="M6289"/>
        </row>
        <row r="6290">
          <cell r="B6290"/>
          <cell r="C6290"/>
          <cell r="E6290"/>
          <cell r="F6290"/>
          <cell r="G6290"/>
          <cell r="H6290"/>
          <cell r="J6290"/>
          <cell r="L6290"/>
          <cell r="M6290"/>
        </row>
        <row r="6291">
          <cell r="B6291"/>
          <cell r="C6291"/>
          <cell r="E6291"/>
          <cell r="F6291"/>
          <cell r="G6291"/>
          <cell r="H6291"/>
          <cell r="J6291"/>
          <cell r="L6291"/>
          <cell r="M6291"/>
        </row>
        <row r="6292">
          <cell r="B6292"/>
          <cell r="C6292"/>
          <cell r="E6292"/>
          <cell r="F6292"/>
          <cell r="G6292"/>
          <cell r="H6292"/>
          <cell r="J6292"/>
          <cell r="L6292"/>
          <cell r="M6292"/>
        </row>
        <row r="6293">
          <cell r="B6293"/>
          <cell r="C6293"/>
          <cell r="E6293"/>
          <cell r="F6293"/>
          <cell r="G6293"/>
          <cell r="H6293"/>
          <cell r="J6293"/>
          <cell r="L6293"/>
          <cell r="M6293"/>
        </row>
        <row r="6294">
          <cell r="B6294"/>
          <cell r="C6294"/>
          <cell r="E6294"/>
          <cell r="F6294"/>
          <cell r="G6294"/>
          <cell r="H6294"/>
          <cell r="J6294"/>
          <cell r="L6294"/>
          <cell r="M6294"/>
        </row>
        <row r="6295">
          <cell r="B6295"/>
          <cell r="C6295"/>
          <cell r="E6295"/>
          <cell r="F6295"/>
          <cell r="G6295"/>
          <cell r="H6295"/>
          <cell r="J6295"/>
          <cell r="L6295"/>
          <cell r="M6295"/>
        </row>
        <row r="6296">
          <cell r="B6296"/>
          <cell r="C6296"/>
          <cell r="E6296"/>
          <cell r="F6296"/>
          <cell r="G6296"/>
          <cell r="H6296"/>
          <cell r="J6296"/>
          <cell r="L6296"/>
          <cell r="M6296"/>
        </row>
        <row r="6297">
          <cell r="B6297"/>
          <cell r="C6297"/>
          <cell r="E6297"/>
          <cell r="F6297"/>
          <cell r="G6297"/>
          <cell r="H6297"/>
          <cell r="J6297"/>
          <cell r="L6297"/>
          <cell r="M6297"/>
        </row>
        <row r="6298">
          <cell r="B6298"/>
          <cell r="C6298"/>
          <cell r="E6298"/>
          <cell r="F6298"/>
          <cell r="G6298"/>
          <cell r="H6298"/>
          <cell r="J6298"/>
          <cell r="L6298"/>
          <cell r="M6298"/>
        </row>
        <row r="6299">
          <cell r="B6299"/>
          <cell r="C6299"/>
          <cell r="E6299"/>
          <cell r="F6299"/>
          <cell r="G6299"/>
          <cell r="H6299"/>
          <cell r="J6299"/>
          <cell r="L6299"/>
          <cell r="M6299"/>
        </row>
        <row r="6300">
          <cell r="B6300"/>
          <cell r="C6300"/>
          <cell r="E6300"/>
          <cell r="F6300"/>
          <cell r="G6300"/>
          <cell r="H6300"/>
          <cell r="J6300"/>
          <cell r="L6300"/>
          <cell r="M6300"/>
        </row>
        <row r="6301">
          <cell r="B6301"/>
          <cell r="C6301"/>
          <cell r="E6301"/>
          <cell r="F6301"/>
          <cell r="G6301"/>
          <cell r="H6301"/>
          <cell r="J6301"/>
          <cell r="L6301"/>
          <cell r="M6301"/>
        </row>
        <row r="6302">
          <cell r="B6302"/>
          <cell r="C6302"/>
          <cell r="E6302"/>
          <cell r="F6302"/>
          <cell r="G6302"/>
          <cell r="H6302"/>
          <cell r="J6302"/>
          <cell r="L6302"/>
          <cell r="M6302"/>
        </row>
        <row r="6303">
          <cell r="B6303"/>
          <cell r="C6303"/>
          <cell r="E6303"/>
          <cell r="F6303"/>
          <cell r="G6303"/>
          <cell r="H6303"/>
          <cell r="J6303"/>
          <cell r="L6303"/>
          <cell r="M6303"/>
        </row>
        <row r="6304">
          <cell r="B6304"/>
          <cell r="C6304"/>
          <cell r="E6304"/>
          <cell r="F6304"/>
          <cell r="G6304"/>
          <cell r="H6304"/>
          <cell r="J6304"/>
          <cell r="L6304"/>
          <cell r="M6304"/>
        </row>
        <row r="6305">
          <cell r="B6305"/>
          <cell r="C6305"/>
          <cell r="E6305"/>
          <cell r="F6305"/>
          <cell r="G6305"/>
          <cell r="H6305"/>
          <cell r="J6305"/>
          <cell r="L6305"/>
          <cell r="M6305"/>
        </row>
        <row r="6306">
          <cell r="B6306"/>
          <cell r="C6306"/>
          <cell r="E6306"/>
          <cell r="F6306"/>
          <cell r="G6306"/>
          <cell r="H6306"/>
          <cell r="J6306"/>
          <cell r="L6306"/>
          <cell r="M6306"/>
        </row>
        <row r="6307">
          <cell r="B6307"/>
          <cell r="C6307"/>
          <cell r="E6307"/>
          <cell r="F6307"/>
          <cell r="G6307"/>
          <cell r="H6307"/>
          <cell r="J6307"/>
          <cell r="L6307"/>
          <cell r="M6307"/>
        </row>
        <row r="6308">
          <cell r="B6308"/>
          <cell r="C6308"/>
          <cell r="E6308"/>
          <cell r="F6308"/>
          <cell r="G6308"/>
          <cell r="H6308"/>
          <cell r="J6308"/>
          <cell r="L6308"/>
          <cell r="M6308"/>
        </row>
        <row r="6309">
          <cell r="B6309"/>
          <cell r="C6309"/>
          <cell r="E6309"/>
          <cell r="F6309"/>
          <cell r="G6309"/>
          <cell r="H6309"/>
          <cell r="J6309"/>
          <cell r="L6309"/>
          <cell r="M6309"/>
        </row>
        <row r="6310">
          <cell r="B6310"/>
          <cell r="C6310"/>
          <cell r="E6310"/>
          <cell r="F6310"/>
          <cell r="G6310"/>
          <cell r="H6310"/>
          <cell r="J6310"/>
          <cell r="L6310"/>
          <cell r="M6310"/>
        </row>
        <row r="6311">
          <cell r="B6311"/>
          <cell r="C6311"/>
          <cell r="E6311"/>
          <cell r="F6311"/>
          <cell r="G6311"/>
          <cell r="H6311"/>
          <cell r="J6311"/>
          <cell r="L6311"/>
          <cell r="M6311"/>
        </row>
        <row r="6312">
          <cell r="B6312"/>
          <cell r="C6312"/>
          <cell r="E6312"/>
          <cell r="F6312"/>
          <cell r="G6312"/>
          <cell r="H6312"/>
          <cell r="J6312"/>
          <cell r="L6312"/>
          <cell r="M6312"/>
        </row>
        <row r="6313">
          <cell r="B6313"/>
          <cell r="C6313"/>
          <cell r="E6313"/>
          <cell r="F6313"/>
          <cell r="G6313"/>
          <cell r="H6313"/>
          <cell r="J6313"/>
          <cell r="L6313"/>
          <cell r="M6313"/>
        </row>
        <row r="6314">
          <cell r="B6314"/>
          <cell r="C6314"/>
          <cell r="E6314"/>
          <cell r="F6314"/>
          <cell r="G6314"/>
          <cell r="H6314"/>
          <cell r="J6314"/>
          <cell r="L6314"/>
          <cell r="M6314"/>
        </row>
        <row r="6315">
          <cell r="B6315"/>
          <cell r="C6315"/>
          <cell r="E6315"/>
          <cell r="F6315"/>
          <cell r="G6315"/>
          <cell r="H6315"/>
          <cell r="J6315"/>
          <cell r="L6315"/>
          <cell r="M6315"/>
        </row>
        <row r="6316">
          <cell r="B6316"/>
          <cell r="C6316"/>
          <cell r="E6316"/>
          <cell r="F6316"/>
          <cell r="G6316"/>
          <cell r="H6316"/>
          <cell r="J6316"/>
          <cell r="L6316"/>
          <cell r="M6316"/>
        </row>
        <row r="6317">
          <cell r="B6317"/>
          <cell r="C6317"/>
          <cell r="E6317"/>
          <cell r="F6317"/>
          <cell r="G6317"/>
          <cell r="H6317"/>
          <cell r="J6317"/>
          <cell r="L6317"/>
          <cell r="M6317"/>
        </row>
        <row r="6318">
          <cell r="B6318"/>
          <cell r="C6318"/>
          <cell r="E6318"/>
          <cell r="F6318"/>
          <cell r="G6318"/>
          <cell r="H6318"/>
          <cell r="J6318"/>
          <cell r="L6318"/>
          <cell r="M6318"/>
        </row>
        <row r="6319">
          <cell r="B6319"/>
          <cell r="C6319"/>
          <cell r="E6319"/>
          <cell r="F6319"/>
          <cell r="G6319"/>
          <cell r="H6319"/>
          <cell r="J6319"/>
          <cell r="L6319"/>
          <cell r="M6319"/>
        </row>
        <row r="6320">
          <cell r="B6320"/>
          <cell r="C6320"/>
          <cell r="E6320"/>
          <cell r="F6320"/>
          <cell r="G6320"/>
          <cell r="H6320"/>
          <cell r="J6320"/>
          <cell r="L6320"/>
          <cell r="M6320"/>
        </row>
        <row r="6321">
          <cell r="B6321"/>
          <cell r="C6321"/>
          <cell r="E6321"/>
          <cell r="F6321"/>
          <cell r="G6321"/>
          <cell r="H6321"/>
          <cell r="J6321"/>
          <cell r="L6321"/>
          <cell r="M6321"/>
        </row>
        <row r="6322">
          <cell r="B6322"/>
          <cell r="C6322"/>
          <cell r="E6322"/>
          <cell r="F6322"/>
          <cell r="G6322"/>
          <cell r="H6322"/>
          <cell r="J6322"/>
          <cell r="L6322"/>
          <cell r="M6322"/>
        </row>
        <row r="6323">
          <cell r="B6323"/>
          <cell r="C6323"/>
          <cell r="E6323"/>
          <cell r="F6323"/>
          <cell r="G6323"/>
          <cell r="H6323"/>
          <cell r="J6323"/>
          <cell r="L6323"/>
          <cell r="M6323"/>
        </row>
        <row r="6324">
          <cell r="B6324"/>
          <cell r="C6324"/>
          <cell r="E6324"/>
          <cell r="F6324"/>
          <cell r="G6324"/>
          <cell r="H6324"/>
          <cell r="J6324"/>
          <cell r="L6324"/>
          <cell r="M6324"/>
        </row>
        <row r="6325">
          <cell r="B6325"/>
          <cell r="C6325"/>
          <cell r="E6325"/>
          <cell r="F6325"/>
          <cell r="G6325"/>
          <cell r="H6325"/>
          <cell r="J6325"/>
          <cell r="L6325"/>
          <cell r="M6325"/>
        </row>
        <row r="6326">
          <cell r="B6326"/>
          <cell r="C6326"/>
          <cell r="E6326"/>
          <cell r="F6326"/>
          <cell r="G6326"/>
          <cell r="H6326"/>
          <cell r="J6326"/>
          <cell r="L6326"/>
          <cell r="M6326"/>
        </row>
        <row r="6327">
          <cell r="B6327"/>
          <cell r="C6327"/>
          <cell r="E6327"/>
          <cell r="F6327"/>
          <cell r="G6327"/>
          <cell r="H6327"/>
          <cell r="J6327"/>
          <cell r="L6327"/>
          <cell r="M6327"/>
        </row>
        <row r="6328">
          <cell r="B6328"/>
          <cell r="C6328"/>
          <cell r="E6328"/>
          <cell r="F6328"/>
          <cell r="G6328"/>
          <cell r="H6328"/>
          <cell r="J6328"/>
          <cell r="L6328"/>
          <cell r="M6328"/>
        </row>
        <row r="6329">
          <cell r="B6329"/>
          <cell r="C6329"/>
          <cell r="E6329"/>
          <cell r="F6329"/>
          <cell r="G6329"/>
          <cell r="H6329"/>
          <cell r="J6329"/>
          <cell r="L6329"/>
          <cell r="M6329"/>
        </row>
        <row r="6330">
          <cell r="B6330"/>
          <cell r="C6330"/>
          <cell r="E6330"/>
          <cell r="F6330"/>
          <cell r="G6330"/>
          <cell r="H6330"/>
          <cell r="J6330"/>
          <cell r="L6330"/>
          <cell r="M6330"/>
        </row>
        <row r="6331">
          <cell r="B6331"/>
          <cell r="C6331"/>
          <cell r="E6331"/>
          <cell r="F6331"/>
          <cell r="G6331"/>
          <cell r="H6331"/>
          <cell r="J6331"/>
          <cell r="L6331"/>
          <cell r="M6331"/>
        </row>
        <row r="6332">
          <cell r="B6332"/>
          <cell r="C6332"/>
          <cell r="E6332"/>
          <cell r="F6332"/>
          <cell r="G6332"/>
          <cell r="H6332"/>
          <cell r="J6332"/>
          <cell r="L6332"/>
          <cell r="M6332"/>
        </row>
        <row r="6333">
          <cell r="B6333"/>
          <cell r="C6333"/>
          <cell r="E6333"/>
          <cell r="F6333"/>
          <cell r="G6333"/>
          <cell r="H6333"/>
          <cell r="J6333"/>
          <cell r="L6333"/>
          <cell r="M6333"/>
        </row>
        <row r="6334">
          <cell r="B6334"/>
          <cell r="C6334"/>
          <cell r="E6334"/>
          <cell r="F6334"/>
          <cell r="G6334"/>
          <cell r="H6334"/>
          <cell r="J6334"/>
          <cell r="L6334"/>
          <cell r="M6334"/>
        </row>
        <row r="6335">
          <cell r="B6335"/>
          <cell r="C6335"/>
          <cell r="E6335"/>
          <cell r="F6335"/>
          <cell r="G6335"/>
          <cell r="H6335"/>
          <cell r="J6335"/>
          <cell r="L6335"/>
          <cell r="M6335"/>
        </row>
        <row r="6336">
          <cell r="B6336"/>
          <cell r="C6336"/>
          <cell r="E6336"/>
          <cell r="F6336"/>
          <cell r="G6336"/>
          <cell r="H6336"/>
          <cell r="J6336"/>
          <cell r="L6336"/>
          <cell r="M6336"/>
        </row>
        <row r="6337">
          <cell r="B6337"/>
          <cell r="C6337"/>
          <cell r="E6337"/>
          <cell r="F6337"/>
          <cell r="G6337"/>
          <cell r="H6337"/>
          <cell r="J6337"/>
          <cell r="L6337"/>
          <cell r="M6337"/>
        </row>
        <row r="6338">
          <cell r="B6338"/>
          <cell r="C6338"/>
          <cell r="E6338"/>
          <cell r="F6338"/>
          <cell r="G6338"/>
          <cell r="H6338"/>
          <cell r="J6338"/>
          <cell r="L6338"/>
          <cell r="M6338"/>
        </row>
        <row r="6339">
          <cell r="B6339"/>
          <cell r="C6339"/>
          <cell r="E6339"/>
          <cell r="F6339"/>
          <cell r="G6339"/>
          <cell r="H6339"/>
          <cell r="J6339"/>
          <cell r="L6339"/>
          <cell r="M6339"/>
        </row>
        <row r="6340">
          <cell r="B6340"/>
          <cell r="C6340"/>
          <cell r="E6340"/>
          <cell r="F6340"/>
          <cell r="G6340"/>
          <cell r="H6340"/>
          <cell r="J6340"/>
          <cell r="L6340"/>
          <cell r="M6340"/>
        </row>
        <row r="6341">
          <cell r="B6341"/>
          <cell r="C6341"/>
          <cell r="E6341"/>
          <cell r="F6341"/>
          <cell r="G6341"/>
          <cell r="H6341"/>
          <cell r="J6341"/>
          <cell r="L6341"/>
          <cell r="M6341"/>
        </row>
        <row r="6342">
          <cell r="B6342"/>
          <cell r="C6342"/>
          <cell r="E6342"/>
          <cell r="F6342"/>
          <cell r="G6342"/>
          <cell r="H6342"/>
          <cell r="J6342"/>
          <cell r="L6342"/>
          <cell r="M6342"/>
        </row>
        <row r="6343">
          <cell r="B6343"/>
          <cell r="C6343"/>
          <cell r="E6343"/>
          <cell r="F6343"/>
          <cell r="G6343"/>
          <cell r="H6343"/>
          <cell r="J6343"/>
          <cell r="L6343"/>
          <cell r="M6343"/>
        </row>
        <row r="6344">
          <cell r="B6344"/>
          <cell r="C6344"/>
          <cell r="E6344"/>
          <cell r="F6344"/>
          <cell r="G6344"/>
          <cell r="H6344"/>
          <cell r="J6344"/>
          <cell r="L6344"/>
          <cell r="M6344"/>
        </row>
        <row r="6345">
          <cell r="B6345"/>
          <cell r="C6345"/>
          <cell r="E6345"/>
          <cell r="F6345"/>
          <cell r="G6345"/>
          <cell r="H6345"/>
          <cell r="J6345"/>
          <cell r="L6345"/>
          <cell r="M6345"/>
        </row>
        <row r="6346">
          <cell r="B6346"/>
          <cell r="C6346"/>
          <cell r="E6346"/>
          <cell r="F6346"/>
          <cell r="G6346"/>
          <cell r="H6346"/>
          <cell r="J6346"/>
          <cell r="L6346"/>
          <cell r="M6346"/>
        </row>
        <row r="6347">
          <cell r="B6347"/>
          <cell r="C6347"/>
          <cell r="E6347"/>
          <cell r="F6347"/>
          <cell r="G6347"/>
          <cell r="H6347"/>
          <cell r="J6347"/>
          <cell r="L6347"/>
          <cell r="M6347"/>
        </row>
        <row r="6348">
          <cell r="B6348"/>
          <cell r="C6348"/>
          <cell r="E6348"/>
          <cell r="F6348"/>
          <cell r="G6348"/>
          <cell r="H6348"/>
          <cell r="J6348"/>
          <cell r="L6348"/>
          <cell r="M6348"/>
        </row>
        <row r="6349">
          <cell r="B6349"/>
          <cell r="C6349"/>
          <cell r="E6349"/>
          <cell r="F6349"/>
          <cell r="G6349"/>
          <cell r="H6349"/>
          <cell r="J6349"/>
          <cell r="L6349"/>
          <cell r="M6349"/>
        </row>
        <row r="6350">
          <cell r="B6350"/>
          <cell r="C6350"/>
          <cell r="E6350"/>
          <cell r="F6350"/>
          <cell r="G6350"/>
          <cell r="H6350"/>
          <cell r="J6350"/>
          <cell r="L6350"/>
          <cell r="M6350"/>
        </row>
        <row r="6351">
          <cell r="B6351"/>
          <cell r="C6351"/>
          <cell r="E6351"/>
          <cell r="F6351"/>
          <cell r="G6351"/>
          <cell r="H6351"/>
          <cell r="J6351"/>
          <cell r="L6351"/>
          <cell r="M6351"/>
        </row>
        <row r="6352">
          <cell r="B6352"/>
          <cell r="C6352"/>
          <cell r="E6352"/>
          <cell r="F6352"/>
          <cell r="G6352"/>
          <cell r="H6352"/>
          <cell r="J6352"/>
          <cell r="L6352"/>
          <cell r="M6352"/>
        </row>
        <row r="6353">
          <cell r="B6353"/>
          <cell r="C6353"/>
          <cell r="E6353"/>
          <cell r="F6353"/>
          <cell r="G6353"/>
          <cell r="H6353"/>
          <cell r="J6353"/>
          <cell r="L6353"/>
          <cell r="M6353"/>
        </row>
        <row r="6354">
          <cell r="B6354"/>
          <cell r="C6354"/>
          <cell r="E6354"/>
          <cell r="F6354"/>
          <cell r="G6354"/>
          <cell r="H6354"/>
          <cell r="J6354"/>
          <cell r="L6354"/>
          <cell r="M6354"/>
        </row>
        <row r="6355">
          <cell r="B6355"/>
          <cell r="C6355"/>
          <cell r="E6355"/>
          <cell r="F6355"/>
          <cell r="G6355"/>
          <cell r="H6355"/>
          <cell r="J6355"/>
          <cell r="L6355"/>
          <cell r="M6355"/>
        </row>
        <row r="6356">
          <cell r="B6356"/>
          <cell r="C6356"/>
          <cell r="E6356"/>
          <cell r="F6356"/>
          <cell r="G6356"/>
          <cell r="H6356"/>
          <cell r="J6356"/>
          <cell r="L6356"/>
          <cell r="M6356"/>
        </row>
        <row r="6357">
          <cell r="B6357"/>
          <cell r="C6357"/>
          <cell r="E6357"/>
          <cell r="F6357"/>
          <cell r="G6357"/>
          <cell r="H6357"/>
          <cell r="J6357"/>
          <cell r="L6357"/>
          <cell r="M6357"/>
        </row>
        <row r="6358">
          <cell r="B6358"/>
          <cell r="C6358"/>
          <cell r="E6358"/>
          <cell r="F6358"/>
          <cell r="G6358"/>
          <cell r="H6358"/>
          <cell r="J6358"/>
          <cell r="L6358"/>
          <cell r="M6358"/>
        </row>
        <row r="6359">
          <cell r="B6359"/>
          <cell r="C6359"/>
          <cell r="E6359"/>
          <cell r="F6359"/>
          <cell r="G6359"/>
          <cell r="H6359"/>
          <cell r="J6359"/>
          <cell r="L6359"/>
          <cell r="M6359"/>
        </row>
        <row r="6360">
          <cell r="B6360"/>
          <cell r="C6360"/>
          <cell r="E6360"/>
          <cell r="F6360"/>
          <cell r="G6360"/>
          <cell r="H6360"/>
          <cell r="J6360"/>
          <cell r="L6360"/>
          <cell r="M6360"/>
        </row>
        <row r="6361">
          <cell r="B6361"/>
          <cell r="C6361"/>
          <cell r="E6361"/>
          <cell r="F6361"/>
          <cell r="G6361"/>
          <cell r="H6361"/>
          <cell r="J6361"/>
          <cell r="L6361"/>
          <cell r="M6361"/>
        </row>
        <row r="6362">
          <cell r="B6362"/>
          <cell r="C6362"/>
          <cell r="E6362"/>
          <cell r="F6362"/>
          <cell r="G6362"/>
          <cell r="H6362"/>
          <cell r="J6362"/>
          <cell r="L6362"/>
          <cell r="M6362"/>
        </row>
        <row r="6363">
          <cell r="B6363"/>
          <cell r="C6363"/>
          <cell r="E6363"/>
          <cell r="F6363"/>
          <cell r="G6363"/>
          <cell r="H6363"/>
          <cell r="J6363"/>
          <cell r="L6363"/>
          <cell r="M6363"/>
        </row>
        <row r="6364">
          <cell r="B6364"/>
          <cell r="C6364"/>
          <cell r="E6364"/>
          <cell r="F6364"/>
          <cell r="G6364"/>
          <cell r="H6364"/>
          <cell r="J6364"/>
          <cell r="L6364"/>
          <cell r="M6364"/>
        </row>
        <row r="6365">
          <cell r="B6365"/>
          <cell r="C6365"/>
          <cell r="E6365"/>
          <cell r="F6365"/>
          <cell r="G6365"/>
          <cell r="H6365"/>
          <cell r="J6365"/>
          <cell r="L6365"/>
          <cell r="M6365"/>
        </row>
        <row r="6366">
          <cell r="B6366"/>
          <cell r="C6366"/>
          <cell r="E6366"/>
          <cell r="F6366"/>
          <cell r="G6366"/>
          <cell r="H6366"/>
          <cell r="J6366"/>
          <cell r="L6366"/>
          <cell r="M6366"/>
        </row>
        <row r="6367">
          <cell r="B6367"/>
          <cell r="C6367"/>
          <cell r="E6367"/>
          <cell r="F6367"/>
          <cell r="G6367"/>
          <cell r="H6367"/>
          <cell r="J6367"/>
          <cell r="L6367"/>
          <cell r="M6367"/>
        </row>
        <row r="6368">
          <cell r="B6368"/>
          <cell r="C6368"/>
          <cell r="E6368"/>
          <cell r="F6368"/>
          <cell r="G6368"/>
          <cell r="H6368"/>
          <cell r="J6368"/>
          <cell r="L6368"/>
          <cell r="M6368"/>
        </row>
        <row r="6369">
          <cell r="B6369"/>
          <cell r="C6369"/>
          <cell r="E6369"/>
          <cell r="F6369"/>
          <cell r="G6369"/>
          <cell r="H6369"/>
          <cell r="J6369"/>
          <cell r="L6369"/>
          <cell r="M6369"/>
        </row>
        <row r="6370">
          <cell r="B6370"/>
          <cell r="C6370"/>
          <cell r="E6370"/>
          <cell r="F6370"/>
          <cell r="G6370"/>
          <cell r="H6370"/>
          <cell r="J6370"/>
          <cell r="L6370"/>
          <cell r="M6370"/>
        </row>
        <row r="6371">
          <cell r="B6371"/>
          <cell r="C6371"/>
          <cell r="E6371"/>
          <cell r="F6371"/>
          <cell r="G6371"/>
          <cell r="H6371"/>
          <cell r="J6371"/>
          <cell r="L6371"/>
          <cell r="M6371"/>
        </row>
        <row r="6372">
          <cell r="B6372"/>
          <cell r="C6372"/>
          <cell r="E6372"/>
          <cell r="F6372"/>
          <cell r="G6372"/>
          <cell r="H6372"/>
          <cell r="J6372"/>
          <cell r="L6372"/>
          <cell r="M6372"/>
        </row>
        <row r="6373">
          <cell r="B6373"/>
          <cell r="C6373"/>
          <cell r="E6373"/>
          <cell r="F6373"/>
          <cell r="G6373"/>
          <cell r="H6373"/>
          <cell r="J6373"/>
          <cell r="L6373"/>
          <cell r="M6373"/>
        </row>
        <row r="6374">
          <cell r="B6374"/>
          <cell r="C6374"/>
          <cell r="E6374"/>
          <cell r="F6374"/>
          <cell r="G6374"/>
          <cell r="H6374"/>
          <cell r="J6374"/>
          <cell r="L6374"/>
          <cell r="M6374"/>
        </row>
        <row r="6375">
          <cell r="B6375"/>
          <cell r="C6375"/>
          <cell r="E6375"/>
          <cell r="F6375"/>
          <cell r="G6375"/>
          <cell r="H6375"/>
          <cell r="J6375"/>
          <cell r="L6375"/>
          <cell r="M6375"/>
        </row>
        <row r="6376">
          <cell r="B6376"/>
          <cell r="C6376"/>
          <cell r="E6376"/>
          <cell r="F6376"/>
          <cell r="G6376"/>
          <cell r="H6376"/>
          <cell r="J6376"/>
          <cell r="L6376"/>
          <cell r="M6376"/>
        </row>
        <row r="6377">
          <cell r="B6377"/>
          <cell r="C6377"/>
          <cell r="E6377"/>
          <cell r="F6377"/>
          <cell r="G6377"/>
          <cell r="H6377"/>
          <cell r="J6377"/>
          <cell r="L6377"/>
          <cell r="M6377"/>
        </row>
        <row r="6378">
          <cell r="B6378"/>
          <cell r="C6378"/>
          <cell r="E6378"/>
          <cell r="F6378"/>
          <cell r="G6378"/>
          <cell r="H6378"/>
          <cell r="J6378"/>
          <cell r="L6378"/>
          <cell r="M6378"/>
        </row>
        <row r="6379">
          <cell r="B6379"/>
          <cell r="C6379"/>
          <cell r="E6379"/>
          <cell r="F6379"/>
          <cell r="G6379"/>
          <cell r="H6379"/>
          <cell r="J6379"/>
          <cell r="L6379"/>
          <cell r="M6379"/>
        </row>
        <row r="6380">
          <cell r="B6380"/>
          <cell r="C6380"/>
          <cell r="E6380"/>
          <cell r="F6380"/>
          <cell r="G6380"/>
          <cell r="H6380"/>
          <cell r="J6380"/>
          <cell r="L6380"/>
          <cell r="M6380"/>
        </row>
        <row r="6381">
          <cell r="B6381"/>
          <cell r="C6381"/>
          <cell r="E6381"/>
          <cell r="F6381"/>
          <cell r="G6381"/>
          <cell r="H6381"/>
          <cell r="J6381"/>
          <cell r="L6381"/>
          <cell r="M6381"/>
        </row>
        <row r="6382">
          <cell r="B6382"/>
          <cell r="C6382"/>
          <cell r="E6382"/>
          <cell r="F6382"/>
          <cell r="G6382"/>
          <cell r="H6382"/>
          <cell r="J6382"/>
          <cell r="L6382"/>
          <cell r="M6382"/>
        </row>
        <row r="6383">
          <cell r="B6383"/>
          <cell r="C6383"/>
          <cell r="E6383"/>
          <cell r="F6383"/>
          <cell r="G6383"/>
          <cell r="H6383"/>
          <cell r="J6383"/>
          <cell r="L6383"/>
          <cell r="M6383"/>
        </row>
        <row r="6384">
          <cell r="B6384"/>
          <cell r="C6384"/>
          <cell r="E6384"/>
          <cell r="F6384"/>
          <cell r="G6384"/>
          <cell r="H6384"/>
          <cell r="J6384"/>
          <cell r="L6384"/>
          <cell r="M6384"/>
        </row>
        <row r="6385">
          <cell r="B6385"/>
          <cell r="C6385"/>
          <cell r="E6385"/>
          <cell r="F6385"/>
          <cell r="G6385"/>
          <cell r="H6385"/>
          <cell r="J6385"/>
          <cell r="L6385"/>
          <cell r="M6385"/>
        </row>
        <row r="6386">
          <cell r="B6386"/>
          <cell r="C6386"/>
          <cell r="E6386"/>
          <cell r="F6386"/>
          <cell r="G6386"/>
          <cell r="H6386"/>
          <cell r="J6386"/>
          <cell r="L6386"/>
          <cell r="M6386"/>
        </row>
        <row r="6387">
          <cell r="B6387"/>
          <cell r="C6387"/>
          <cell r="E6387"/>
          <cell r="F6387"/>
          <cell r="G6387"/>
          <cell r="H6387"/>
          <cell r="J6387"/>
          <cell r="L6387"/>
          <cell r="M6387"/>
        </row>
        <row r="6388">
          <cell r="B6388"/>
          <cell r="C6388"/>
          <cell r="E6388"/>
          <cell r="F6388"/>
          <cell r="G6388"/>
          <cell r="H6388"/>
          <cell r="J6388"/>
          <cell r="L6388"/>
          <cell r="M6388"/>
        </row>
        <row r="6389">
          <cell r="B6389"/>
          <cell r="C6389"/>
          <cell r="E6389"/>
          <cell r="F6389"/>
          <cell r="G6389"/>
          <cell r="H6389"/>
          <cell r="J6389"/>
          <cell r="L6389"/>
          <cell r="M6389"/>
        </row>
        <row r="6390">
          <cell r="B6390"/>
          <cell r="C6390"/>
          <cell r="E6390"/>
          <cell r="F6390"/>
          <cell r="G6390"/>
          <cell r="H6390"/>
          <cell r="J6390"/>
          <cell r="L6390"/>
          <cell r="M6390"/>
        </row>
        <row r="6391">
          <cell r="B6391"/>
          <cell r="C6391"/>
          <cell r="E6391"/>
          <cell r="F6391"/>
          <cell r="G6391"/>
          <cell r="H6391"/>
          <cell r="J6391"/>
          <cell r="L6391"/>
          <cell r="M6391"/>
        </row>
        <row r="6392">
          <cell r="B6392"/>
          <cell r="C6392"/>
          <cell r="E6392"/>
          <cell r="F6392"/>
          <cell r="G6392"/>
          <cell r="H6392"/>
          <cell r="J6392"/>
          <cell r="L6392"/>
          <cell r="M6392"/>
        </row>
        <row r="6393">
          <cell r="B6393"/>
          <cell r="C6393"/>
          <cell r="E6393"/>
          <cell r="F6393"/>
          <cell r="G6393"/>
          <cell r="H6393"/>
          <cell r="J6393"/>
          <cell r="L6393"/>
          <cell r="M6393"/>
        </row>
        <row r="6394">
          <cell r="B6394"/>
          <cell r="C6394"/>
          <cell r="E6394"/>
          <cell r="F6394"/>
          <cell r="G6394"/>
          <cell r="H6394"/>
          <cell r="J6394"/>
          <cell r="L6394"/>
          <cell r="M6394"/>
        </row>
        <row r="6395">
          <cell r="B6395"/>
          <cell r="C6395"/>
          <cell r="E6395"/>
          <cell r="F6395"/>
          <cell r="G6395"/>
          <cell r="H6395"/>
          <cell r="J6395"/>
          <cell r="L6395"/>
          <cell r="M6395"/>
        </row>
        <row r="6396">
          <cell r="B6396"/>
          <cell r="C6396"/>
          <cell r="E6396"/>
          <cell r="F6396"/>
          <cell r="G6396"/>
          <cell r="H6396"/>
          <cell r="J6396"/>
          <cell r="L6396"/>
          <cell r="M6396"/>
        </row>
        <row r="6397">
          <cell r="B6397"/>
          <cell r="C6397"/>
          <cell r="E6397"/>
          <cell r="F6397"/>
          <cell r="G6397"/>
          <cell r="H6397"/>
          <cell r="J6397"/>
          <cell r="L6397"/>
          <cell r="M6397"/>
        </row>
        <row r="6398">
          <cell r="B6398"/>
          <cell r="C6398"/>
          <cell r="E6398"/>
          <cell r="F6398"/>
          <cell r="G6398"/>
          <cell r="H6398"/>
          <cell r="J6398"/>
          <cell r="L6398"/>
          <cell r="M6398"/>
        </row>
        <row r="6399">
          <cell r="B6399"/>
          <cell r="C6399"/>
          <cell r="E6399"/>
          <cell r="F6399"/>
          <cell r="G6399"/>
          <cell r="H6399"/>
          <cell r="J6399"/>
          <cell r="L6399"/>
          <cell r="M6399"/>
        </row>
        <row r="6400">
          <cell r="B6400"/>
          <cell r="C6400"/>
          <cell r="E6400"/>
          <cell r="F6400"/>
          <cell r="G6400"/>
          <cell r="H6400"/>
          <cell r="J6400"/>
          <cell r="L6400"/>
          <cell r="M6400"/>
        </row>
        <row r="6401">
          <cell r="B6401"/>
          <cell r="C6401"/>
          <cell r="E6401"/>
          <cell r="F6401"/>
          <cell r="G6401"/>
          <cell r="H6401"/>
          <cell r="J6401"/>
          <cell r="L6401"/>
          <cell r="M6401"/>
        </row>
        <row r="6402">
          <cell r="B6402"/>
          <cell r="C6402"/>
          <cell r="E6402"/>
          <cell r="F6402"/>
          <cell r="G6402"/>
          <cell r="H6402"/>
          <cell r="J6402"/>
          <cell r="L6402"/>
          <cell r="M6402"/>
        </row>
        <row r="6403">
          <cell r="B6403"/>
          <cell r="C6403"/>
          <cell r="E6403"/>
          <cell r="F6403"/>
          <cell r="G6403"/>
          <cell r="H6403"/>
          <cell r="J6403"/>
          <cell r="L6403"/>
          <cell r="M6403"/>
        </row>
        <row r="6404">
          <cell r="B6404"/>
          <cell r="C6404"/>
          <cell r="E6404"/>
          <cell r="F6404"/>
          <cell r="G6404"/>
          <cell r="H6404"/>
          <cell r="J6404"/>
          <cell r="L6404"/>
          <cell r="M6404"/>
        </row>
        <row r="6405">
          <cell r="B6405"/>
          <cell r="C6405"/>
          <cell r="E6405"/>
          <cell r="F6405"/>
          <cell r="G6405"/>
          <cell r="H6405"/>
          <cell r="J6405"/>
          <cell r="L6405"/>
          <cell r="M6405"/>
        </row>
        <row r="6406">
          <cell r="B6406"/>
          <cell r="C6406"/>
          <cell r="E6406"/>
          <cell r="F6406"/>
          <cell r="G6406"/>
          <cell r="H6406"/>
          <cell r="J6406"/>
          <cell r="L6406"/>
          <cell r="M6406"/>
        </row>
        <row r="6407">
          <cell r="B6407"/>
          <cell r="C6407"/>
          <cell r="E6407"/>
          <cell r="F6407"/>
          <cell r="G6407"/>
          <cell r="H6407"/>
          <cell r="J6407"/>
          <cell r="L6407"/>
          <cell r="M6407"/>
        </row>
        <row r="6408">
          <cell r="B6408"/>
          <cell r="C6408"/>
          <cell r="E6408"/>
          <cell r="F6408"/>
          <cell r="G6408"/>
          <cell r="H6408"/>
          <cell r="J6408"/>
          <cell r="L6408"/>
          <cell r="M6408"/>
        </row>
        <row r="6409">
          <cell r="B6409"/>
          <cell r="C6409"/>
          <cell r="E6409"/>
          <cell r="F6409"/>
          <cell r="G6409"/>
          <cell r="H6409"/>
          <cell r="J6409"/>
          <cell r="L6409"/>
          <cell r="M6409"/>
        </row>
        <row r="6410">
          <cell r="B6410"/>
          <cell r="C6410"/>
          <cell r="E6410"/>
          <cell r="F6410"/>
          <cell r="G6410"/>
          <cell r="H6410"/>
          <cell r="J6410"/>
          <cell r="L6410"/>
          <cell r="M6410"/>
        </row>
        <row r="6411">
          <cell r="B6411"/>
          <cell r="C6411"/>
          <cell r="E6411"/>
          <cell r="F6411"/>
          <cell r="G6411"/>
          <cell r="H6411"/>
          <cell r="J6411"/>
          <cell r="L6411"/>
          <cell r="M6411"/>
        </row>
        <row r="6412">
          <cell r="B6412"/>
          <cell r="C6412"/>
          <cell r="E6412"/>
          <cell r="F6412"/>
          <cell r="G6412"/>
          <cell r="H6412"/>
          <cell r="J6412"/>
          <cell r="L6412"/>
          <cell r="M6412"/>
        </row>
        <row r="6413">
          <cell r="B6413"/>
          <cell r="C6413"/>
          <cell r="E6413"/>
          <cell r="F6413"/>
          <cell r="G6413"/>
          <cell r="H6413"/>
          <cell r="J6413"/>
          <cell r="L6413"/>
          <cell r="M6413"/>
        </row>
        <row r="6414">
          <cell r="B6414"/>
          <cell r="C6414"/>
          <cell r="E6414"/>
          <cell r="F6414"/>
          <cell r="G6414"/>
          <cell r="H6414"/>
          <cell r="J6414"/>
          <cell r="L6414"/>
          <cell r="M6414"/>
        </row>
        <row r="6415">
          <cell r="B6415"/>
          <cell r="C6415"/>
          <cell r="E6415"/>
          <cell r="F6415"/>
          <cell r="G6415"/>
          <cell r="H6415"/>
          <cell r="J6415"/>
          <cell r="L6415"/>
          <cell r="M6415"/>
        </row>
        <row r="6416">
          <cell r="B6416"/>
          <cell r="C6416"/>
          <cell r="E6416"/>
          <cell r="F6416"/>
          <cell r="G6416"/>
          <cell r="H6416"/>
          <cell r="J6416"/>
          <cell r="L6416"/>
          <cell r="M6416"/>
        </row>
        <row r="6417">
          <cell r="B6417"/>
          <cell r="C6417"/>
          <cell r="E6417"/>
          <cell r="F6417"/>
          <cell r="G6417"/>
          <cell r="H6417"/>
          <cell r="J6417"/>
          <cell r="L6417"/>
          <cell r="M6417"/>
        </row>
        <row r="6418">
          <cell r="B6418"/>
          <cell r="C6418"/>
          <cell r="E6418"/>
          <cell r="F6418"/>
          <cell r="G6418"/>
          <cell r="H6418"/>
          <cell r="J6418"/>
          <cell r="L6418"/>
          <cell r="M6418"/>
        </row>
        <row r="6419">
          <cell r="B6419"/>
          <cell r="C6419"/>
          <cell r="E6419"/>
          <cell r="F6419"/>
          <cell r="G6419"/>
          <cell r="H6419"/>
          <cell r="J6419"/>
          <cell r="L6419"/>
          <cell r="M6419"/>
        </row>
        <row r="6420">
          <cell r="B6420"/>
          <cell r="C6420"/>
          <cell r="E6420"/>
          <cell r="F6420"/>
          <cell r="G6420"/>
          <cell r="H6420"/>
          <cell r="J6420"/>
          <cell r="L6420"/>
          <cell r="M6420"/>
        </row>
        <row r="6421">
          <cell r="B6421"/>
          <cell r="C6421"/>
          <cell r="E6421"/>
          <cell r="F6421"/>
          <cell r="G6421"/>
          <cell r="H6421"/>
          <cell r="J6421"/>
          <cell r="L6421"/>
          <cell r="M6421"/>
        </row>
        <row r="6422">
          <cell r="B6422"/>
          <cell r="C6422"/>
          <cell r="E6422"/>
          <cell r="F6422"/>
          <cell r="G6422"/>
          <cell r="H6422"/>
          <cell r="J6422"/>
          <cell r="L6422"/>
          <cell r="M6422"/>
        </row>
        <row r="6423">
          <cell r="B6423"/>
          <cell r="C6423"/>
          <cell r="E6423"/>
          <cell r="F6423"/>
          <cell r="G6423"/>
          <cell r="H6423"/>
          <cell r="J6423"/>
          <cell r="L6423"/>
          <cell r="M6423"/>
        </row>
        <row r="6424">
          <cell r="B6424"/>
          <cell r="C6424"/>
          <cell r="E6424"/>
          <cell r="F6424"/>
          <cell r="G6424"/>
          <cell r="H6424"/>
          <cell r="J6424"/>
          <cell r="L6424"/>
          <cell r="M6424"/>
        </row>
        <row r="6425">
          <cell r="B6425"/>
          <cell r="C6425"/>
          <cell r="E6425"/>
          <cell r="F6425"/>
          <cell r="G6425"/>
          <cell r="H6425"/>
          <cell r="J6425"/>
          <cell r="L6425"/>
          <cell r="M6425"/>
        </row>
        <row r="6426">
          <cell r="B6426"/>
          <cell r="C6426"/>
          <cell r="E6426"/>
          <cell r="F6426"/>
          <cell r="G6426"/>
          <cell r="H6426"/>
          <cell r="J6426"/>
          <cell r="L6426"/>
          <cell r="M6426"/>
        </row>
        <row r="6427">
          <cell r="B6427"/>
          <cell r="C6427"/>
          <cell r="E6427"/>
          <cell r="F6427"/>
          <cell r="G6427"/>
          <cell r="H6427"/>
          <cell r="J6427"/>
          <cell r="L6427"/>
          <cell r="M6427"/>
        </row>
        <row r="6428">
          <cell r="B6428"/>
          <cell r="C6428"/>
          <cell r="E6428"/>
          <cell r="F6428"/>
          <cell r="G6428"/>
          <cell r="H6428"/>
          <cell r="J6428"/>
          <cell r="L6428"/>
          <cell r="M6428"/>
        </row>
        <row r="6429">
          <cell r="B6429"/>
          <cell r="C6429"/>
          <cell r="E6429"/>
          <cell r="F6429"/>
          <cell r="G6429"/>
          <cell r="H6429"/>
          <cell r="J6429"/>
          <cell r="L6429"/>
          <cell r="M6429"/>
        </row>
        <row r="6430">
          <cell r="B6430"/>
          <cell r="C6430"/>
          <cell r="E6430"/>
          <cell r="F6430"/>
          <cell r="G6430"/>
          <cell r="H6430"/>
          <cell r="J6430"/>
          <cell r="L6430"/>
          <cell r="M6430"/>
        </row>
        <row r="6431">
          <cell r="B6431"/>
          <cell r="C6431"/>
          <cell r="E6431"/>
          <cell r="F6431"/>
          <cell r="G6431"/>
          <cell r="H6431"/>
          <cell r="J6431"/>
          <cell r="L6431"/>
          <cell r="M6431"/>
        </row>
        <row r="6432">
          <cell r="B6432"/>
          <cell r="C6432"/>
          <cell r="E6432"/>
          <cell r="F6432"/>
          <cell r="G6432"/>
          <cell r="H6432"/>
          <cell r="J6432"/>
          <cell r="L6432"/>
          <cell r="M6432"/>
        </row>
        <row r="6433">
          <cell r="B6433"/>
          <cell r="C6433"/>
          <cell r="E6433"/>
          <cell r="F6433"/>
          <cell r="G6433"/>
          <cell r="H6433"/>
          <cell r="J6433"/>
          <cell r="L6433"/>
          <cell r="M6433"/>
        </row>
        <row r="6434">
          <cell r="B6434"/>
          <cell r="C6434"/>
          <cell r="E6434"/>
          <cell r="F6434"/>
          <cell r="G6434"/>
          <cell r="H6434"/>
          <cell r="J6434"/>
          <cell r="L6434"/>
          <cell r="M6434"/>
        </row>
        <row r="6435">
          <cell r="B6435"/>
          <cell r="C6435"/>
          <cell r="E6435"/>
          <cell r="F6435"/>
          <cell r="G6435"/>
          <cell r="H6435"/>
          <cell r="J6435"/>
          <cell r="L6435"/>
          <cell r="M6435"/>
        </row>
        <row r="6436">
          <cell r="B6436"/>
          <cell r="C6436"/>
          <cell r="E6436"/>
          <cell r="F6436"/>
          <cell r="G6436"/>
          <cell r="H6436"/>
          <cell r="J6436"/>
          <cell r="L6436"/>
          <cell r="M6436"/>
        </row>
        <row r="6437">
          <cell r="B6437"/>
          <cell r="C6437"/>
          <cell r="E6437"/>
          <cell r="F6437"/>
          <cell r="G6437"/>
          <cell r="H6437"/>
          <cell r="J6437"/>
          <cell r="L6437"/>
          <cell r="M6437"/>
        </row>
        <row r="6438">
          <cell r="B6438"/>
          <cell r="C6438"/>
          <cell r="E6438"/>
          <cell r="F6438"/>
          <cell r="G6438"/>
          <cell r="H6438"/>
          <cell r="J6438"/>
          <cell r="L6438"/>
          <cell r="M6438"/>
        </row>
        <row r="6439">
          <cell r="B6439"/>
          <cell r="C6439"/>
          <cell r="E6439"/>
          <cell r="F6439"/>
          <cell r="G6439"/>
          <cell r="H6439"/>
          <cell r="J6439"/>
          <cell r="L6439"/>
          <cell r="M6439"/>
        </row>
        <row r="6440">
          <cell r="B6440"/>
          <cell r="C6440"/>
          <cell r="E6440"/>
          <cell r="F6440"/>
          <cell r="G6440"/>
          <cell r="H6440"/>
          <cell r="J6440"/>
          <cell r="L6440"/>
          <cell r="M6440"/>
        </row>
        <row r="6441">
          <cell r="B6441"/>
          <cell r="C6441"/>
          <cell r="E6441"/>
          <cell r="F6441"/>
          <cell r="G6441"/>
          <cell r="H6441"/>
          <cell r="J6441"/>
          <cell r="L6441"/>
          <cell r="M6441"/>
        </row>
        <row r="6442">
          <cell r="B6442"/>
          <cell r="C6442"/>
          <cell r="E6442"/>
          <cell r="F6442"/>
          <cell r="G6442"/>
          <cell r="H6442"/>
          <cell r="J6442"/>
          <cell r="L6442"/>
          <cell r="M6442"/>
        </row>
        <row r="6443">
          <cell r="B6443"/>
          <cell r="C6443"/>
          <cell r="E6443"/>
          <cell r="F6443"/>
          <cell r="G6443"/>
          <cell r="H6443"/>
          <cell r="J6443"/>
          <cell r="L6443"/>
          <cell r="M6443"/>
        </row>
        <row r="6444">
          <cell r="B6444"/>
          <cell r="C6444"/>
          <cell r="E6444"/>
          <cell r="F6444"/>
          <cell r="G6444"/>
          <cell r="H6444"/>
          <cell r="J6444"/>
          <cell r="L6444"/>
          <cell r="M6444"/>
        </row>
        <row r="6445">
          <cell r="B6445"/>
          <cell r="C6445"/>
          <cell r="E6445"/>
          <cell r="F6445"/>
          <cell r="G6445"/>
          <cell r="H6445"/>
          <cell r="J6445"/>
          <cell r="L6445"/>
          <cell r="M6445"/>
        </row>
        <row r="6446">
          <cell r="B6446"/>
          <cell r="C6446"/>
          <cell r="E6446"/>
          <cell r="F6446"/>
          <cell r="G6446"/>
          <cell r="H6446"/>
          <cell r="J6446"/>
          <cell r="L6446"/>
          <cell r="M6446"/>
        </row>
        <row r="6447">
          <cell r="B6447"/>
          <cell r="C6447"/>
          <cell r="E6447"/>
          <cell r="F6447"/>
          <cell r="G6447"/>
          <cell r="H6447"/>
          <cell r="J6447"/>
          <cell r="L6447"/>
          <cell r="M6447"/>
        </row>
        <row r="6448">
          <cell r="B6448"/>
          <cell r="C6448"/>
          <cell r="E6448"/>
          <cell r="F6448"/>
          <cell r="G6448"/>
          <cell r="H6448"/>
          <cell r="J6448"/>
          <cell r="L6448"/>
          <cell r="M6448"/>
        </row>
        <row r="6449">
          <cell r="B6449"/>
          <cell r="C6449"/>
          <cell r="E6449"/>
          <cell r="F6449"/>
          <cell r="G6449"/>
          <cell r="H6449"/>
          <cell r="J6449"/>
          <cell r="L6449"/>
          <cell r="M6449"/>
        </row>
        <row r="6450">
          <cell r="B6450"/>
          <cell r="C6450"/>
          <cell r="E6450"/>
          <cell r="F6450"/>
          <cell r="G6450"/>
          <cell r="H6450"/>
          <cell r="J6450"/>
          <cell r="L6450"/>
          <cell r="M6450"/>
        </row>
        <row r="6451">
          <cell r="B6451"/>
          <cell r="C6451"/>
          <cell r="E6451"/>
          <cell r="F6451"/>
          <cell r="G6451"/>
          <cell r="H6451"/>
          <cell r="J6451"/>
          <cell r="L6451"/>
          <cell r="M6451"/>
        </row>
        <row r="6452">
          <cell r="B6452"/>
          <cell r="C6452"/>
          <cell r="E6452"/>
          <cell r="F6452"/>
          <cell r="G6452"/>
          <cell r="H6452"/>
          <cell r="J6452"/>
          <cell r="L6452"/>
          <cell r="M6452"/>
        </row>
        <row r="6453">
          <cell r="B6453"/>
          <cell r="C6453"/>
          <cell r="E6453"/>
          <cell r="F6453"/>
          <cell r="G6453"/>
          <cell r="H6453"/>
          <cell r="J6453"/>
          <cell r="L6453"/>
          <cell r="M6453"/>
        </row>
        <row r="6454">
          <cell r="B6454"/>
          <cell r="C6454"/>
          <cell r="E6454"/>
          <cell r="F6454"/>
          <cell r="G6454"/>
          <cell r="H6454"/>
          <cell r="J6454"/>
          <cell r="L6454"/>
          <cell r="M6454"/>
        </row>
        <row r="6455">
          <cell r="B6455"/>
          <cell r="C6455"/>
          <cell r="E6455"/>
          <cell r="F6455"/>
          <cell r="G6455"/>
          <cell r="H6455"/>
          <cell r="J6455"/>
          <cell r="L6455"/>
          <cell r="M6455"/>
        </row>
        <row r="6456">
          <cell r="B6456"/>
          <cell r="C6456"/>
          <cell r="E6456"/>
          <cell r="F6456"/>
          <cell r="G6456"/>
          <cell r="H6456"/>
          <cell r="J6456"/>
          <cell r="L6456"/>
          <cell r="M6456"/>
        </row>
        <row r="6457">
          <cell r="B6457"/>
          <cell r="C6457"/>
          <cell r="E6457"/>
          <cell r="F6457"/>
          <cell r="G6457"/>
          <cell r="H6457"/>
          <cell r="J6457"/>
          <cell r="L6457"/>
          <cell r="M6457"/>
        </row>
        <row r="6458">
          <cell r="B6458"/>
          <cell r="C6458"/>
          <cell r="E6458"/>
          <cell r="F6458"/>
          <cell r="G6458"/>
          <cell r="H6458"/>
          <cell r="J6458"/>
          <cell r="L6458"/>
          <cell r="M6458"/>
        </row>
        <row r="6459">
          <cell r="B6459"/>
          <cell r="C6459"/>
          <cell r="E6459"/>
          <cell r="F6459"/>
          <cell r="G6459"/>
          <cell r="H6459"/>
          <cell r="J6459"/>
          <cell r="L6459"/>
          <cell r="M6459"/>
        </row>
        <row r="6460">
          <cell r="B6460"/>
          <cell r="C6460"/>
          <cell r="E6460"/>
          <cell r="F6460"/>
          <cell r="G6460"/>
          <cell r="H6460"/>
          <cell r="J6460"/>
          <cell r="L6460"/>
          <cell r="M6460"/>
        </row>
        <row r="6461">
          <cell r="B6461"/>
          <cell r="C6461"/>
          <cell r="E6461"/>
          <cell r="F6461"/>
          <cell r="G6461"/>
          <cell r="H6461"/>
          <cell r="J6461"/>
          <cell r="L6461"/>
          <cell r="M6461"/>
        </row>
        <row r="6462">
          <cell r="B6462"/>
          <cell r="C6462"/>
          <cell r="E6462"/>
          <cell r="F6462"/>
          <cell r="G6462"/>
          <cell r="H6462"/>
          <cell r="J6462"/>
          <cell r="L6462"/>
          <cell r="M6462"/>
        </row>
        <row r="6463">
          <cell r="B6463"/>
          <cell r="C6463"/>
          <cell r="E6463"/>
          <cell r="F6463"/>
          <cell r="G6463"/>
          <cell r="H6463"/>
          <cell r="J6463"/>
          <cell r="L6463"/>
          <cell r="M6463"/>
        </row>
        <row r="6464">
          <cell r="B6464"/>
          <cell r="C6464"/>
          <cell r="E6464"/>
          <cell r="F6464"/>
          <cell r="G6464"/>
          <cell r="H6464"/>
          <cell r="J6464"/>
          <cell r="L6464"/>
          <cell r="M6464"/>
        </row>
        <row r="6465">
          <cell r="B6465"/>
          <cell r="C6465"/>
          <cell r="E6465"/>
          <cell r="F6465"/>
          <cell r="G6465"/>
          <cell r="H6465"/>
          <cell r="J6465"/>
          <cell r="L6465"/>
          <cell r="M6465"/>
        </row>
        <row r="6466">
          <cell r="B6466"/>
          <cell r="C6466"/>
          <cell r="E6466"/>
          <cell r="F6466"/>
          <cell r="G6466"/>
          <cell r="H6466"/>
          <cell r="J6466"/>
          <cell r="L6466"/>
          <cell r="M6466"/>
        </row>
        <row r="6467">
          <cell r="B6467"/>
          <cell r="C6467"/>
          <cell r="E6467"/>
          <cell r="F6467"/>
          <cell r="G6467"/>
          <cell r="H6467"/>
          <cell r="J6467"/>
          <cell r="L6467"/>
          <cell r="M6467"/>
        </row>
        <row r="6468">
          <cell r="B6468"/>
          <cell r="C6468"/>
          <cell r="E6468"/>
          <cell r="F6468"/>
          <cell r="G6468"/>
          <cell r="H6468"/>
          <cell r="J6468"/>
          <cell r="L6468"/>
          <cell r="M6468"/>
        </row>
        <row r="6469">
          <cell r="B6469"/>
          <cell r="C6469"/>
          <cell r="E6469"/>
          <cell r="F6469"/>
          <cell r="G6469"/>
          <cell r="H6469"/>
          <cell r="J6469"/>
          <cell r="L6469"/>
          <cell r="M6469"/>
        </row>
        <row r="6470">
          <cell r="B6470"/>
          <cell r="C6470"/>
          <cell r="E6470"/>
          <cell r="F6470"/>
          <cell r="G6470"/>
          <cell r="H6470"/>
          <cell r="J6470"/>
          <cell r="L6470"/>
          <cell r="M6470"/>
        </row>
        <row r="6471">
          <cell r="B6471"/>
          <cell r="C6471"/>
          <cell r="E6471"/>
          <cell r="F6471"/>
          <cell r="G6471"/>
          <cell r="H6471"/>
          <cell r="J6471"/>
          <cell r="L6471"/>
          <cell r="M6471"/>
        </row>
        <row r="6472">
          <cell r="B6472"/>
          <cell r="C6472"/>
          <cell r="E6472"/>
          <cell r="F6472"/>
          <cell r="G6472"/>
          <cell r="H6472"/>
          <cell r="J6472"/>
          <cell r="L6472"/>
          <cell r="M6472"/>
        </row>
        <row r="6473">
          <cell r="B6473"/>
          <cell r="C6473"/>
          <cell r="E6473"/>
          <cell r="F6473"/>
          <cell r="G6473"/>
          <cell r="H6473"/>
          <cell r="J6473"/>
          <cell r="L6473"/>
          <cell r="M6473"/>
        </row>
        <row r="6474">
          <cell r="B6474"/>
          <cell r="C6474"/>
          <cell r="E6474"/>
          <cell r="F6474"/>
          <cell r="G6474"/>
          <cell r="H6474"/>
          <cell r="J6474"/>
          <cell r="L6474"/>
          <cell r="M6474"/>
        </row>
        <row r="6475">
          <cell r="B6475"/>
          <cell r="C6475"/>
          <cell r="E6475"/>
          <cell r="F6475"/>
          <cell r="G6475"/>
          <cell r="H6475"/>
          <cell r="J6475"/>
          <cell r="L6475"/>
          <cell r="M6475"/>
        </row>
        <row r="6476">
          <cell r="B6476"/>
          <cell r="C6476"/>
          <cell r="E6476"/>
          <cell r="F6476"/>
          <cell r="G6476"/>
          <cell r="H6476"/>
          <cell r="J6476"/>
          <cell r="L6476"/>
          <cell r="M6476"/>
        </row>
        <row r="6477">
          <cell r="B6477"/>
          <cell r="C6477"/>
          <cell r="E6477"/>
          <cell r="F6477"/>
          <cell r="G6477"/>
          <cell r="H6477"/>
          <cell r="J6477"/>
          <cell r="L6477"/>
          <cell r="M6477"/>
        </row>
        <row r="6478">
          <cell r="B6478"/>
          <cell r="C6478"/>
          <cell r="E6478"/>
          <cell r="F6478"/>
          <cell r="G6478"/>
          <cell r="H6478"/>
          <cell r="J6478"/>
          <cell r="L6478"/>
          <cell r="M6478"/>
        </row>
        <row r="6479">
          <cell r="B6479"/>
          <cell r="C6479"/>
          <cell r="E6479"/>
          <cell r="F6479"/>
          <cell r="G6479"/>
          <cell r="H6479"/>
          <cell r="J6479"/>
          <cell r="L6479"/>
          <cell r="M6479"/>
        </row>
        <row r="6480">
          <cell r="B6480"/>
          <cell r="C6480"/>
          <cell r="E6480"/>
          <cell r="F6480"/>
          <cell r="G6480"/>
          <cell r="H6480"/>
          <cell r="J6480"/>
          <cell r="L6480"/>
          <cell r="M6480"/>
        </row>
        <row r="6481">
          <cell r="B6481"/>
          <cell r="C6481"/>
          <cell r="E6481"/>
          <cell r="F6481"/>
          <cell r="G6481"/>
          <cell r="H6481"/>
          <cell r="J6481"/>
          <cell r="L6481"/>
          <cell r="M6481"/>
        </row>
        <row r="6482">
          <cell r="B6482"/>
          <cell r="C6482"/>
          <cell r="E6482"/>
          <cell r="F6482"/>
          <cell r="G6482"/>
          <cell r="H6482"/>
          <cell r="J6482"/>
          <cell r="L6482"/>
          <cell r="M6482"/>
        </row>
        <row r="6483">
          <cell r="B6483"/>
          <cell r="C6483"/>
          <cell r="E6483"/>
          <cell r="F6483"/>
          <cell r="G6483"/>
          <cell r="H6483"/>
          <cell r="J6483"/>
          <cell r="L6483"/>
          <cell r="M6483"/>
        </row>
        <row r="6484">
          <cell r="B6484"/>
          <cell r="C6484"/>
          <cell r="E6484"/>
          <cell r="F6484"/>
          <cell r="G6484"/>
          <cell r="H6484"/>
          <cell r="J6484"/>
          <cell r="L6484"/>
          <cell r="M6484"/>
        </row>
        <row r="6485">
          <cell r="B6485"/>
          <cell r="C6485"/>
          <cell r="E6485"/>
          <cell r="F6485"/>
          <cell r="G6485"/>
          <cell r="H6485"/>
          <cell r="J6485"/>
          <cell r="L6485"/>
          <cell r="M6485"/>
        </row>
        <row r="6486">
          <cell r="B6486"/>
          <cell r="C6486"/>
          <cell r="E6486"/>
          <cell r="F6486"/>
          <cell r="G6486"/>
          <cell r="H6486"/>
          <cell r="J6486"/>
          <cell r="L6486"/>
          <cell r="M6486"/>
        </row>
        <row r="6487">
          <cell r="B6487"/>
          <cell r="C6487"/>
          <cell r="E6487"/>
          <cell r="F6487"/>
          <cell r="G6487"/>
          <cell r="H6487"/>
          <cell r="J6487"/>
          <cell r="L6487"/>
          <cell r="M6487"/>
        </row>
        <row r="6488">
          <cell r="B6488"/>
          <cell r="C6488"/>
          <cell r="E6488"/>
          <cell r="F6488"/>
          <cell r="G6488"/>
          <cell r="H6488"/>
          <cell r="J6488"/>
          <cell r="L6488"/>
          <cell r="M6488"/>
        </row>
        <row r="6489">
          <cell r="B6489"/>
          <cell r="C6489"/>
          <cell r="E6489"/>
          <cell r="F6489"/>
          <cell r="G6489"/>
          <cell r="H6489"/>
          <cell r="J6489"/>
          <cell r="L6489"/>
          <cell r="M6489"/>
        </row>
        <row r="6490">
          <cell r="B6490"/>
          <cell r="C6490"/>
          <cell r="E6490"/>
          <cell r="F6490"/>
          <cell r="G6490"/>
          <cell r="H6490"/>
          <cell r="J6490"/>
          <cell r="L6490"/>
          <cell r="M6490"/>
        </row>
        <row r="6491">
          <cell r="B6491"/>
          <cell r="C6491"/>
          <cell r="E6491"/>
          <cell r="F6491"/>
          <cell r="G6491"/>
          <cell r="H6491"/>
          <cell r="J6491"/>
          <cell r="L6491"/>
          <cell r="M6491"/>
        </row>
        <row r="6492">
          <cell r="B6492"/>
          <cell r="C6492"/>
          <cell r="E6492"/>
          <cell r="F6492"/>
          <cell r="G6492"/>
          <cell r="H6492"/>
          <cell r="J6492"/>
          <cell r="L6492"/>
          <cell r="M6492"/>
        </row>
        <row r="6493">
          <cell r="B6493"/>
          <cell r="C6493"/>
          <cell r="E6493"/>
          <cell r="F6493"/>
          <cell r="G6493"/>
          <cell r="H6493"/>
          <cell r="J6493"/>
          <cell r="L6493"/>
          <cell r="M6493"/>
        </row>
        <row r="6494">
          <cell r="B6494"/>
          <cell r="C6494"/>
          <cell r="E6494"/>
          <cell r="F6494"/>
          <cell r="G6494"/>
          <cell r="H6494"/>
          <cell r="J6494"/>
          <cell r="L6494"/>
          <cell r="M6494"/>
        </row>
        <row r="6495">
          <cell r="B6495"/>
          <cell r="C6495"/>
          <cell r="E6495"/>
          <cell r="F6495"/>
          <cell r="G6495"/>
          <cell r="H6495"/>
          <cell r="J6495"/>
          <cell r="L6495"/>
          <cell r="M6495"/>
        </row>
        <row r="6496">
          <cell r="B6496"/>
          <cell r="C6496"/>
          <cell r="E6496"/>
          <cell r="F6496"/>
          <cell r="G6496"/>
          <cell r="H6496"/>
          <cell r="J6496"/>
          <cell r="L6496"/>
          <cell r="M6496"/>
        </row>
        <row r="6497">
          <cell r="B6497"/>
          <cell r="C6497"/>
          <cell r="E6497"/>
          <cell r="F6497"/>
          <cell r="G6497"/>
          <cell r="H6497"/>
          <cell r="J6497"/>
          <cell r="L6497"/>
          <cell r="M6497"/>
        </row>
        <row r="6498">
          <cell r="B6498"/>
          <cell r="C6498"/>
          <cell r="E6498"/>
          <cell r="F6498"/>
          <cell r="G6498"/>
          <cell r="H6498"/>
          <cell r="J6498"/>
          <cell r="L6498"/>
          <cell r="M6498"/>
        </row>
        <row r="6499">
          <cell r="B6499"/>
          <cell r="C6499"/>
          <cell r="E6499"/>
          <cell r="F6499"/>
          <cell r="G6499"/>
          <cell r="H6499"/>
          <cell r="J6499"/>
          <cell r="L6499"/>
          <cell r="M6499"/>
        </row>
        <row r="6500">
          <cell r="B6500"/>
          <cell r="C6500"/>
          <cell r="E6500"/>
          <cell r="F6500"/>
          <cell r="G6500"/>
          <cell r="H6500"/>
          <cell r="J6500"/>
          <cell r="L6500"/>
          <cell r="M6500"/>
        </row>
        <row r="6501">
          <cell r="B6501"/>
          <cell r="C6501"/>
          <cell r="E6501"/>
          <cell r="F6501"/>
          <cell r="G6501"/>
          <cell r="H6501"/>
          <cell r="J6501"/>
          <cell r="L6501"/>
          <cell r="M6501"/>
        </row>
        <row r="6502">
          <cell r="B6502"/>
          <cell r="C6502"/>
          <cell r="E6502"/>
          <cell r="F6502"/>
          <cell r="G6502"/>
          <cell r="H6502"/>
          <cell r="J6502"/>
          <cell r="L6502"/>
          <cell r="M6502"/>
        </row>
        <row r="6503">
          <cell r="B6503"/>
          <cell r="C6503"/>
          <cell r="E6503"/>
          <cell r="F6503"/>
          <cell r="G6503"/>
          <cell r="H6503"/>
          <cell r="J6503"/>
          <cell r="L6503"/>
          <cell r="M6503"/>
        </row>
        <row r="6504">
          <cell r="B6504"/>
          <cell r="C6504"/>
          <cell r="E6504"/>
          <cell r="F6504"/>
          <cell r="G6504"/>
          <cell r="H6504"/>
          <cell r="J6504"/>
          <cell r="L6504"/>
          <cell r="M6504"/>
        </row>
        <row r="6505">
          <cell r="B6505"/>
          <cell r="C6505"/>
          <cell r="E6505"/>
          <cell r="F6505"/>
          <cell r="G6505"/>
          <cell r="H6505"/>
          <cell r="J6505"/>
          <cell r="L6505"/>
          <cell r="M6505"/>
        </row>
        <row r="6506">
          <cell r="B6506"/>
          <cell r="C6506"/>
          <cell r="E6506"/>
          <cell r="F6506"/>
          <cell r="G6506"/>
          <cell r="H6506"/>
          <cell r="J6506"/>
          <cell r="L6506"/>
          <cell r="M6506"/>
        </row>
        <row r="6507">
          <cell r="B6507"/>
          <cell r="C6507"/>
          <cell r="E6507"/>
          <cell r="F6507"/>
          <cell r="G6507"/>
          <cell r="H6507"/>
          <cell r="J6507"/>
          <cell r="L6507"/>
          <cell r="M6507"/>
        </row>
        <row r="6508">
          <cell r="B6508"/>
          <cell r="C6508"/>
          <cell r="E6508"/>
          <cell r="F6508"/>
          <cell r="G6508"/>
          <cell r="H6508"/>
          <cell r="J6508"/>
          <cell r="L6508"/>
          <cell r="M6508"/>
        </row>
        <row r="6509">
          <cell r="B6509"/>
          <cell r="C6509"/>
          <cell r="E6509"/>
          <cell r="F6509"/>
          <cell r="G6509"/>
          <cell r="H6509"/>
          <cell r="J6509"/>
          <cell r="L6509"/>
          <cell r="M6509"/>
        </row>
        <row r="6510">
          <cell r="B6510"/>
          <cell r="C6510"/>
          <cell r="E6510"/>
          <cell r="F6510"/>
          <cell r="G6510"/>
          <cell r="H6510"/>
          <cell r="J6510"/>
          <cell r="L6510"/>
          <cell r="M6510"/>
        </row>
        <row r="6511">
          <cell r="B6511"/>
          <cell r="C6511"/>
          <cell r="E6511"/>
          <cell r="F6511"/>
          <cell r="G6511"/>
          <cell r="H6511"/>
          <cell r="J6511"/>
          <cell r="L6511"/>
          <cell r="M6511"/>
        </row>
        <row r="6512">
          <cell r="B6512"/>
          <cell r="C6512"/>
          <cell r="E6512"/>
          <cell r="F6512"/>
          <cell r="G6512"/>
          <cell r="H6512"/>
          <cell r="J6512"/>
          <cell r="L6512"/>
          <cell r="M6512"/>
        </row>
        <row r="6513">
          <cell r="B6513"/>
          <cell r="C6513"/>
          <cell r="E6513"/>
          <cell r="F6513"/>
          <cell r="G6513"/>
          <cell r="H6513"/>
          <cell r="J6513"/>
          <cell r="L6513"/>
          <cell r="M6513"/>
        </row>
        <row r="6514">
          <cell r="B6514"/>
          <cell r="C6514"/>
          <cell r="E6514"/>
          <cell r="F6514"/>
          <cell r="G6514"/>
          <cell r="H6514"/>
          <cell r="J6514"/>
          <cell r="L6514"/>
          <cell r="M6514"/>
        </row>
        <row r="6515">
          <cell r="B6515"/>
          <cell r="C6515"/>
          <cell r="E6515"/>
          <cell r="F6515"/>
          <cell r="G6515"/>
          <cell r="H6515"/>
          <cell r="J6515"/>
          <cell r="L6515"/>
          <cell r="M6515"/>
        </row>
        <row r="6516">
          <cell r="B6516"/>
          <cell r="C6516"/>
          <cell r="E6516"/>
          <cell r="F6516"/>
          <cell r="G6516"/>
          <cell r="H6516"/>
          <cell r="J6516"/>
          <cell r="L6516"/>
          <cell r="M6516"/>
        </row>
        <row r="6517">
          <cell r="B6517"/>
          <cell r="C6517"/>
          <cell r="E6517"/>
          <cell r="F6517"/>
          <cell r="G6517"/>
          <cell r="H6517"/>
          <cell r="J6517"/>
          <cell r="L6517"/>
          <cell r="M6517"/>
        </row>
        <row r="6518">
          <cell r="B6518"/>
          <cell r="C6518"/>
          <cell r="E6518"/>
          <cell r="F6518"/>
          <cell r="G6518"/>
          <cell r="H6518"/>
          <cell r="J6518"/>
          <cell r="L6518"/>
          <cell r="M6518"/>
        </row>
        <row r="6519">
          <cell r="B6519"/>
          <cell r="C6519"/>
          <cell r="E6519"/>
          <cell r="F6519"/>
          <cell r="G6519"/>
          <cell r="H6519"/>
          <cell r="J6519"/>
          <cell r="L6519"/>
          <cell r="M6519"/>
        </row>
        <row r="6520">
          <cell r="B6520"/>
          <cell r="C6520"/>
          <cell r="E6520"/>
          <cell r="F6520"/>
          <cell r="G6520"/>
          <cell r="H6520"/>
          <cell r="J6520"/>
          <cell r="L6520"/>
          <cell r="M6520"/>
        </row>
        <row r="6521">
          <cell r="B6521"/>
          <cell r="C6521"/>
          <cell r="E6521"/>
          <cell r="F6521"/>
          <cell r="G6521"/>
          <cell r="H6521"/>
          <cell r="J6521"/>
          <cell r="L6521"/>
          <cell r="M6521"/>
        </row>
        <row r="6522">
          <cell r="B6522"/>
          <cell r="C6522"/>
          <cell r="E6522"/>
          <cell r="F6522"/>
          <cell r="G6522"/>
          <cell r="H6522"/>
          <cell r="J6522"/>
          <cell r="L6522"/>
          <cell r="M6522"/>
        </row>
        <row r="6523">
          <cell r="B6523"/>
          <cell r="C6523"/>
          <cell r="E6523"/>
          <cell r="F6523"/>
          <cell r="G6523"/>
          <cell r="H6523"/>
          <cell r="J6523"/>
          <cell r="L6523"/>
          <cell r="M6523"/>
        </row>
        <row r="6524">
          <cell r="B6524"/>
          <cell r="C6524"/>
          <cell r="E6524"/>
          <cell r="F6524"/>
          <cell r="G6524"/>
          <cell r="H6524"/>
          <cell r="J6524"/>
          <cell r="L6524"/>
          <cell r="M6524"/>
        </row>
        <row r="6525">
          <cell r="B6525"/>
          <cell r="C6525"/>
          <cell r="E6525"/>
          <cell r="F6525"/>
          <cell r="G6525"/>
          <cell r="H6525"/>
          <cell r="J6525"/>
          <cell r="L6525"/>
          <cell r="M6525"/>
        </row>
        <row r="6526">
          <cell r="B6526"/>
          <cell r="C6526"/>
          <cell r="E6526"/>
          <cell r="F6526"/>
          <cell r="G6526"/>
          <cell r="H6526"/>
          <cell r="J6526"/>
          <cell r="L6526"/>
          <cell r="M6526"/>
        </row>
        <row r="6527">
          <cell r="B6527"/>
          <cell r="C6527"/>
          <cell r="E6527"/>
          <cell r="F6527"/>
          <cell r="G6527"/>
          <cell r="H6527"/>
          <cell r="J6527"/>
          <cell r="L6527"/>
          <cell r="M6527"/>
        </row>
        <row r="6528">
          <cell r="B6528"/>
          <cell r="C6528"/>
          <cell r="E6528"/>
          <cell r="F6528"/>
          <cell r="G6528"/>
          <cell r="H6528"/>
          <cell r="J6528"/>
          <cell r="L6528"/>
          <cell r="M6528"/>
        </row>
        <row r="6529">
          <cell r="B6529"/>
          <cell r="C6529"/>
          <cell r="E6529"/>
          <cell r="F6529"/>
          <cell r="G6529"/>
          <cell r="H6529"/>
          <cell r="J6529"/>
          <cell r="L6529"/>
          <cell r="M6529"/>
        </row>
        <row r="6530">
          <cell r="B6530"/>
          <cell r="C6530"/>
          <cell r="E6530"/>
          <cell r="F6530"/>
          <cell r="G6530"/>
          <cell r="H6530"/>
          <cell r="J6530"/>
          <cell r="L6530"/>
          <cell r="M6530"/>
        </row>
        <row r="6531">
          <cell r="B6531"/>
          <cell r="C6531"/>
          <cell r="E6531"/>
          <cell r="F6531"/>
          <cell r="G6531"/>
          <cell r="H6531"/>
          <cell r="J6531"/>
          <cell r="L6531"/>
          <cell r="M6531"/>
        </row>
        <row r="6532">
          <cell r="B6532"/>
          <cell r="C6532"/>
          <cell r="E6532"/>
          <cell r="F6532"/>
          <cell r="G6532"/>
          <cell r="H6532"/>
          <cell r="J6532"/>
          <cell r="L6532"/>
          <cell r="M6532"/>
        </row>
        <row r="6533">
          <cell r="B6533"/>
          <cell r="C6533"/>
          <cell r="E6533"/>
          <cell r="F6533"/>
          <cell r="G6533"/>
          <cell r="H6533"/>
          <cell r="J6533"/>
          <cell r="L6533"/>
          <cell r="M6533"/>
        </row>
        <row r="6534">
          <cell r="B6534"/>
          <cell r="C6534"/>
          <cell r="E6534"/>
          <cell r="F6534"/>
          <cell r="G6534"/>
          <cell r="H6534"/>
          <cell r="J6534"/>
          <cell r="L6534"/>
          <cell r="M6534"/>
        </row>
        <row r="6535">
          <cell r="B6535"/>
          <cell r="C6535"/>
          <cell r="E6535"/>
          <cell r="F6535"/>
          <cell r="G6535"/>
          <cell r="H6535"/>
          <cell r="J6535"/>
          <cell r="L6535"/>
          <cell r="M6535"/>
        </row>
        <row r="6536">
          <cell r="B6536"/>
          <cell r="C6536"/>
          <cell r="E6536"/>
          <cell r="F6536"/>
          <cell r="G6536"/>
          <cell r="H6536"/>
          <cell r="J6536"/>
          <cell r="L6536"/>
          <cell r="M6536"/>
        </row>
        <row r="6537">
          <cell r="B6537"/>
          <cell r="C6537"/>
          <cell r="E6537"/>
          <cell r="F6537"/>
          <cell r="G6537"/>
          <cell r="H6537"/>
          <cell r="J6537"/>
          <cell r="L6537"/>
          <cell r="M6537"/>
        </row>
        <row r="6538">
          <cell r="B6538"/>
          <cell r="C6538"/>
          <cell r="E6538"/>
          <cell r="F6538"/>
          <cell r="G6538"/>
          <cell r="H6538"/>
          <cell r="J6538"/>
          <cell r="L6538"/>
          <cell r="M6538"/>
        </row>
        <row r="6539">
          <cell r="B6539"/>
          <cell r="C6539"/>
          <cell r="E6539"/>
          <cell r="F6539"/>
          <cell r="G6539"/>
          <cell r="H6539"/>
          <cell r="J6539"/>
          <cell r="L6539"/>
          <cell r="M6539"/>
        </row>
        <row r="6540">
          <cell r="B6540"/>
          <cell r="C6540"/>
          <cell r="E6540"/>
          <cell r="F6540"/>
          <cell r="G6540"/>
          <cell r="H6540"/>
          <cell r="J6540"/>
          <cell r="L6540"/>
          <cell r="M6540"/>
        </row>
        <row r="6541">
          <cell r="B6541"/>
          <cell r="C6541"/>
          <cell r="E6541"/>
          <cell r="F6541"/>
          <cell r="G6541"/>
          <cell r="H6541"/>
          <cell r="J6541"/>
          <cell r="L6541"/>
          <cell r="M6541"/>
        </row>
        <row r="6542">
          <cell r="B6542"/>
          <cell r="C6542"/>
          <cell r="E6542"/>
          <cell r="F6542"/>
          <cell r="G6542"/>
          <cell r="H6542"/>
          <cell r="J6542"/>
          <cell r="L6542"/>
          <cell r="M6542"/>
        </row>
        <row r="6543">
          <cell r="B6543"/>
          <cell r="C6543"/>
          <cell r="E6543"/>
          <cell r="F6543"/>
          <cell r="G6543"/>
          <cell r="H6543"/>
          <cell r="J6543"/>
          <cell r="L6543"/>
          <cell r="M6543"/>
        </row>
        <row r="6544">
          <cell r="B6544"/>
          <cell r="C6544"/>
          <cell r="E6544"/>
          <cell r="F6544"/>
          <cell r="G6544"/>
          <cell r="H6544"/>
          <cell r="J6544"/>
          <cell r="L6544"/>
          <cell r="M6544"/>
        </row>
        <row r="6545">
          <cell r="B6545"/>
          <cell r="C6545"/>
          <cell r="E6545"/>
          <cell r="F6545"/>
          <cell r="G6545"/>
          <cell r="H6545"/>
          <cell r="J6545"/>
          <cell r="L6545"/>
          <cell r="M6545"/>
        </row>
        <row r="6546">
          <cell r="B6546"/>
          <cell r="C6546"/>
          <cell r="E6546"/>
          <cell r="F6546"/>
          <cell r="G6546"/>
          <cell r="H6546"/>
          <cell r="J6546"/>
          <cell r="L6546"/>
          <cell r="M6546"/>
        </row>
        <row r="6547">
          <cell r="B6547"/>
          <cell r="C6547"/>
          <cell r="E6547"/>
          <cell r="F6547"/>
          <cell r="G6547"/>
          <cell r="H6547"/>
          <cell r="J6547"/>
          <cell r="L6547"/>
          <cell r="M6547"/>
        </row>
        <row r="6548">
          <cell r="B6548"/>
          <cell r="C6548"/>
          <cell r="E6548"/>
          <cell r="F6548"/>
          <cell r="G6548"/>
          <cell r="H6548"/>
          <cell r="J6548"/>
          <cell r="L6548"/>
          <cell r="M6548"/>
        </row>
        <row r="6549">
          <cell r="B6549"/>
          <cell r="C6549"/>
          <cell r="E6549"/>
          <cell r="F6549"/>
          <cell r="G6549"/>
          <cell r="H6549"/>
          <cell r="J6549"/>
          <cell r="L6549"/>
          <cell r="M6549"/>
        </row>
        <row r="6550">
          <cell r="B6550"/>
          <cell r="C6550"/>
          <cell r="E6550"/>
          <cell r="F6550"/>
          <cell r="G6550"/>
          <cell r="H6550"/>
          <cell r="J6550"/>
          <cell r="L6550"/>
          <cell r="M6550"/>
        </row>
        <row r="6551">
          <cell r="B6551"/>
          <cell r="C6551"/>
          <cell r="E6551"/>
          <cell r="F6551"/>
          <cell r="G6551"/>
          <cell r="H6551"/>
          <cell r="J6551"/>
          <cell r="L6551"/>
          <cell r="M6551"/>
        </row>
        <row r="6552">
          <cell r="B6552"/>
          <cell r="C6552"/>
          <cell r="E6552"/>
          <cell r="F6552"/>
          <cell r="G6552"/>
          <cell r="H6552"/>
          <cell r="J6552"/>
          <cell r="L6552"/>
          <cell r="M6552"/>
        </row>
        <row r="6553">
          <cell r="B6553"/>
          <cell r="C6553"/>
          <cell r="E6553"/>
          <cell r="F6553"/>
          <cell r="G6553"/>
          <cell r="H6553"/>
          <cell r="J6553"/>
          <cell r="L6553"/>
          <cell r="M6553"/>
        </row>
        <row r="6554">
          <cell r="B6554"/>
          <cell r="C6554"/>
          <cell r="E6554"/>
          <cell r="F6554"/>
          <cell r="G6554"/>
          <cell r="H6554"/>
          <cell r="J6554"/>
          <cell r="L6554"/>
          <cell r="M6554"/>
        </row>
        <row r="6555">
          <cell r="B6555"/>
          <cell r="C6555"/>
          <cell r="E6555"/>
          <cell r="F6555"/>
          <cell r="G6555"/>
          <cell r="H6555"/>
          <cell r="J6555"/>
          <cell r="L6555"/>
          <cell r="M6555"/>
        </row>
        <row r="6556">
          <cell r="B6556"/>
          <cell r="C6556"/>
          <cell r="E6556"/>
          <cell r="F6556"/>
          <cell r="G6556"/>
          <cell r="H6556"/>
          <cell r="J6556"/>
          <cell r="L6556"/>
          <cell r="M6556"/>
        </row>
        <row r="6557">
          <cell r="B6557"/>
          <cell r="C6557"/>
          <cell r="E6557"/>
          <cell r="F6557"/>
          <cell r="G6557"/>
          <cell r="H6557"/>
          <cell r="J6557"/>
          <cell r="L6557"/>
          <cell r="M6557"/>
        </row>
        <row r="6558">
          <cell r="B6558"/>
          <cell r="C6558"/>
          <cell r="E6558"/>
          <cell r="F6558"/>
          <cell r="G6558"/>
          <cell r="H6558"/>
          <cell r="J6558"/>
          <cell r="L6558"/>
          <cell r="M6558"/>
        </row>
        <row r="6559">
          <cell r="B6559"/>
          <cell r="C6559"/>
          <cell r="E6559"/>
          <cell r="F6559"/>
          <cell r="G6559"/>
          <cell r="H6559"/>
          <cell r="J6559"/>
          <cell r="L6559"/>
          <cell r="M6559"/>
        </row>
        <row r="6560">
          <cell r="B6560"/>
          <cell r="C6560"/>
          <cell r="E6560"/>
          <cell r="F6560"/>
          <cell r="G6560"/>
          <cell r="H6560"/>
          <cell r="J6560"/>
          <cell r="L6560"/>
          <cell r="M6560"/>
        </row>
        <row r="6561">
          <cell r="B6561"/>
          <cell r="C6561"/>
          <cell r="E6561"/>
          <cell r="F6561"/>
          <cell r="G6561"/>
          <cell r="H6561"/>
          <cell r="J6561"/>
          <cell r="L6561"/>
          <cell r="M6561"/>
        </row>
        <row r="6562">
          <cell r="B6562"/>
          <cell r="C6562"/>
          <cell r="E6562"/>
          <cell r="F6562"/>
          <cell r="G6562"/>
          <cell r="H6562"/>
          <cell r="J6562"/>
          <cell r="L6562"/>
          <cell r="M6562"/>
        </row>
        <row r="6563">
          <cell r="B6563"/>
          <cell r="C6563"/>
          <cell r="E6563"/>
          <cell r="F6563"/>
          <cell r="G6563"/>
          <cell r="H6563"/>
          <cell r="J6563"/>
          <cell r="L6563"/>
          <cell r="M6563"/>
        </row>
        <row r="6564">
          <cell r="B6564"/>
          <cell r="C6564"/>
          <cell r="E6564"/>
          <cell r="F6564"/>
          <cell r="G6564"/>
          <cell r="H6564"/>
          <cell r="J6564"/>
          <cell r="L6564"/>
          <cell r="M6564"/>
        </row>
        <row r="6565">
          <cell r="B6565"/>
          <cell r="C6565"/>
          <cell r="E6565"/>
          <cell r="F6565"/>
          <cell r="G6565"/>
          <cell r="H6565"/>
          <cell r="J6565"/>
          <cell r="L6565"/>
          <cell r="M6565"/>
        </row>
        <row r="6566">
          <cell r="B6566"/>
          <cell r="C6566"/>
          <cell r="E6566"/>
          <cell r="F6566"/>
          <cell r="G6566"/>
          <cell r="H6566"/>
          <cell r="J6566"/>
          <cell r="L6566"/>
          <cell r="M6566"/>
        </row>
        <row r="6567">
          <cell r="B6567"/>
          <cell r="C6567"/>
          <cell r="E6567"/>
          <cell r="F6567"/>
          <cell r="G6567"/>
          <cell r="H6567"/>
          <cell r="J6567"/>
          <cell r="L6567"/>
          <cell r="M6567"/>
        </row>
        <row r="6568">
          <cell r="B6568"/>
          <cell r="C6568"/>
          <cell r="E6568"/>
          <cell r="F6568"/>
          <cell r="G6568"/>
          <cell r="H6568"/>
          <cell r="J6568"/>
          <cell r="L6568"/>
          <cell r="M6568"/>
        </row>
        <row r="6569">
          <cell r="B6569"/>
          <cell r="C6569"/>
          <cell r="E6569"/>
          <cell r="F6569"/>
          <cell r="G6569"/>
          <cell r="H6569"/>
          <cell r="J6569"/>
          <cell r="L6569"/>
          <cell r="M6569"/>
        </row>
        <row r="6570">
          <cell r="B6570"/>
          <cell r="C6570"/>
          <cell r="E6570"/>
          <cell r="F6570"/>
          <cell r="G6570"/>
          <cell r="H6570"/>
          <cell r="J6570"/>
          <cell r="L6570"/>
          <cell r="M6570"/>
        </row>
        <row r="6571">
          <cell r="B6571"/>
          <cell r="C6571"/>
          <cell r="E6571"/>
          <cell r="F6571"/>
          <cell r="G6571"/>
          <cell r="H6571"/>
          <cell r="J6571"/>
          <cell r="L6571"/>
          <cell r="M6571"/>
        </row>
        <row r="6572">
          <cell r="B6572"/>
          <cell r="C6572"/>
          <cell r="E6572"/>
          <cell r="F6572"/>
          <cell r="G6572"/>
          <cell r="H6572"/>
          <cell r="J6572"/>
          <cell r="L6572"/>
          <cell r="M6572"/>
        </row>
        <row r="6573">
          <cell r="B6573"/>
          <cell r="C6573"/>
          <cell r="E6573"/>
          <cell r="F6573"/>
          <cell r="G6573"/>
          <cell r="H6573"/>
          <cell r="J6573"/>
          <cell r="L6573"/>
          <cell r="M6573"/>
        </row>
        <row r="6574">
          <cell r="B6574"/>
          <cell r="C6574"/>
          <cell r="E6574"/>
          <cell r="F6574"/>
          <cell r="G6574"/>
          <cell r="H6574"/>
          <cell r="J6574"/>
          <cell r="L6574"/>
          <cell r="M6574"/>
        </row>
        <row r="6575">
          <cell r="B6575"/>
          <cell r="C6575"/>
          <cell r="E6575"/>
          <cell r="F6575"/>
          <cell r="G6575"/>
          <cell r="H6575"/>
          <cell r="J6575"/>
          <cell r="L6575"/>
          <cell r="M6575"/>
        </row>
        <row r="6576">
          <cell r="B6576"/>
          <cell r="C6576"/>
          <cell r="E6576"/>
          <cell r="F6576"/>
          <cell r="G6576"/>
          <cell r="H6576"/>
          <cell r="J6576"/>
          <cell r="L6576"/>
          <cell r="M6576"/>
        </row>
        <row r="6577">
          <cell r="B6577"/>
          <cell r="C6577"/>
          <cell r="E6577"/>
          <cell r="F6577"/>
          <cell r="G6577"/>
          <cell r="H6577"/>
          <cell r="J6577"/>
          <cell r="L6577"/>
          <cell r="M6577"/>
        </row>
        <row r="6578">
          <cell r="B6578"/>
          <cell r="C6578"/>
          <cell r="E6578"/>
          <cell r="F6578"/>
          <cell r="G6578"/>
          <cell r="H6578"/>
          <cell r="J6578"/>
          <cell r="L6578"/>
          <cell r="M6578"/>
        </row>
        <row r="6579">
          <cell r="B6579"/>
          <cell r="C6579"/>
          <cell r="E6579"/>
          <cell r="F6579"/>
          <cell r="G6579"/>
          <cell r="H6579"/>
          <cell r="J6579"/>
          <cell r="L6579"/>
          <cell r="M6579"/>
        </row>
        <row r="6580">
          <cell r="B6580"/>
          <cell r="C6580"/>
          <cell r="E6580"/>
          <cell r="F6580"/>
          <cell r="G6580"/>
          <cell r="H6580"/>
          <cell r="J6580"/>
          <cell r="L6580"/>
          <cell r="M6580"/>
        </row>
        <row r="6581">
          <cell r="B6581"/>
          <cell r="C6581"/>
          <cell r="E6581"/>
          <cell r="F6581"/>
          <cell r="G6581"/>
          <cell r="H6581"/>
          <cell r="J6581"/>
          <cell r="L6581"/>
          <cell r="M6581"/>
        </row>
        <row r="6582">
          <cell r="B6582"/>
          <cell r="C6582"/>
          <cell r="E6582"/>
          <cell r="F6582"/>
          <cell r="G6582"/>
          <cell r="H6582"/>
          <cell r="J6582"/>
          <cell r="L6582"/>
          <cell r="M6582"/>
        </row>
        <row r="6583">
          <cell r="B6583"/>
          <cell r="C6583"/>
          <cell r="E6583"/>
          <cell r="F6583"/>
          <cell r="G6583"/>
          <cell r="H6583"/>
          <cell r="J6583"/>
          <cell r="L6583"/>
          <cell r="M6583"/>
        </row>
        <row r="6584">
          <cell r="B6584"/>
          <cell r="C6584"/>
          <cell r="E6584"/>
          <cell r="F6584"/>
          <cell r="G6584"/>
          <cell r="H6584"/>
          <cell r="J6584"/>
          <cell r="L6584"/>
          <cell r="M6584"/>
        </row>
        <row r="6585">
          <cell r="B6585"/>
          <cell r="C6585"/>
          <cell r="E6585"/>
          <cell r="F6585"/>
          <cell r="G6585"/>
          <cell r="H6585"/>
          <cell r="J6585"/>
          <cell r="L6585"/>
          <cell r="M6585"/>
        </row>
        <row r="6586">
          <cell r="B6586"/>
          <cell r="C6586"/>
          <cell r="E6586"/>
          <cell r="F6586"/>
          <cell r="G6586"/>
          <cell r="H6586"/>
          <cell r="J6586"/>
          <cell r="L6586"/>
          <cell r="M6586"/>
        </row>
        <row r="6587">
          <cell r="B6587"/>
          <cell r="C6587"/>
          <cell r="E6587"/>
          <cell r="F6587"/>
          <cell r="G6587"/>
          <cell r="H6587"/>
          <cell r="J6587"/>
          <cell r="L6587"/>
          <cell r="M6587"/>
        </row>
        <row r="6588">
          <cell r="B6588"/>
          <cell r="C6588"/>
          <cell r="E6588"/>
          <cell r="F6588"/>
          <cell r="G6588"/>
          <cell r="H6588"/>
          <cell r="J6588"/>
          <cell r="L6588"/>
          <cell r="M6588"/>
        </row>
        <row r="6589">
          <cell r="B6589"/>
          <cell r="C6589"/>
          <cell r="E6589"/>
          <cell r="F6589"/>
          <cell r="G6589"/>
          <cell r="H6589"/>
          <cell r="J6589"/>
          <cell r="L6589"/>
          <cell r="M6589"/>
        </row>
        <row r="6590">
          <cell r="B6590"/>
          <cell r="C6590"/>
          <cell r="E6590"/>
          <cell r="F6590"/>
          <cell r="G6590"/>
          <cell r="H6590"/>
          <cell r="J6590"/>
          <cell r="L6590"/>
          <cell r="M6590"/>
        </row>
        <row r="6591">
          <cell r="B6591"/>
          <cell r="C6591"/>
          <cell r="E6591"/>
          <cell r="F6591"/>
          <cell r="G6591"/>
          <cell r="H6591"/>
          <cell r="J6591"/>
          <cell r="L6591"/>
          <cell r="M6591"/>
        </row>
        <row r="6592">
          <cell r="B6592"/>
          <cell r="C6592"/>
          <cell r="E6592"/>
          <cell r="F6592"/>
          <cell r="G6592"/>
          <cell r="H6592"/>
          <cell r="J6592"/>
          <cell r="L6592"/>
          <cell r="M6592"/>
        </row>
        <row r="6593">
          <cell r="B6593"/>
          <cell r="C6593"/>
          <cell r="E6593"/>
          <cell r="F6593"/>
          <cell r="G6593"/>
          <cell r="H6593"/>
          <cell r="J6593"/>
          <cell r="L6593"/>
          <cell r="M6593"/>
        </row>
        <row r="6594">
          <cell r="B6594"/>
          <cell r="C6594"/>
          <cell r="E6594"/>
          <cell r="F6594"/>
          <cell r="G6594"/>
          <cell r="H6594"/>
          <cell r="J6594"/>
          <cell r="L6594"/>
          <cell r="M6594"/>
        </row>
        <row r="6595">
          <cell r="B6595"/>
          <cell r="C6595"/>
          <cell r="E6595"/>
          <cell r="F6595"/>
          <cell r="G6595"/>
          <cell r="H6595"/>
          <cell r="J6595"/>
          <cell r="L6595"/>
          <cell r="M6595"/>
        </row>
        <row r="6596">
          <cell r="B6596"/>
          <cell r="C6596"/>
          <cell r="E6596"/>
          <cell r="F6596"/>
          <cell r="G6596"/>
          <cell r="H6596"/>
          <cell r="J6596"/>
          <cell r="L6596"/>
          <cell r="M6596"/>
        </row>
        <row r="6597">
          <cell r="B6597"/>
          <cell r="C6597"/>
          <cell r="E6597"/>
          <cell r="F6597"/>
          <cell r="G6597"/>
          <cell r="H6597"/>
          <cell r="J6597"/>
          <cell r="L6597"/>
          <cell r="M6597"/>
        </row>
        <row r="6598">
          <cell r="B6598"/>
          <cell r="C6598"/>
          <cell r="E6598"/>
          <cell r="F6598"/>
          <cell r="G6598"/>
          <cell r="H6598"/>
          <cell r="J6598"/>
          <cell r="L6598"/>
          <cell r="M6598"/>
        </row>
        <row r="6599">
          <cell r="B6599"/>
          <cell r="C6599"/>
          <cell r="E6599"/>
          <cell r="F6599"/>
          <cell r="G6599"/>
          <cell r="H6599"/>
          <cell r="J6599"/>
          <cell r="L6599"/>
          <cell r="M6599"/>
        </row>
        <row r="6600">
          <cell r="B6600"/>
          <cell r="C6600"/>
          <cell r="E6600"/>
          <cell r="F6600"/>
          <cell r="G6600"/>
          <cell r="H6600"/>
          <cell r="J6600"/>
          <cell r="L6600"/>
          <cell r="M6600"/>
        </row>
        <row r="6601">
          <cell r="B6601"/>
          <cell r="C6601"/>
          <cell r="E6601"/>
          <cell r="F6601"/>
          <cell r="G6601"/>
          <cell r="H6601"/>
          <cell r="J6601"/>
          <cell r="L6601"/>
          <cell r="M6601"/>
        </row>
        <row r="6602">
          <cell r="B6602"/>
          <cell r="C6602"/>
          <cell r="E6602"/>
          <cell r="F6602"/>
          <cell r="G6602"/>
          <cell r="H6602"/>
          <cell r="J6602"/>
          <cell r="L6602"/>
          <cell r="M6602"/>
        </row>
        <row r="6603">
          <cell r="B6603"/>
          <cell r="C6603"/>
          <cell r="E6603"/>
          <cell r="F6603"/>
          <cell r="G6603"/>
          <cell r="H6603"/>
          <cell r="J6603"/>
          <cell r="L6603"/>
          <cell r="M6603"/>
        </row>
        <row r="6604">
          <cell r="B6604"/>
          <cell r="C6604"/>
          <cell r="E6604"/>
          <cell r="F6604"/>
          <cell r="G6604"/>
          <cell r="H6604"/>
          <cell r="J6604"/>
          <cell r="L6604"/>
          <cell r="M6604"/>
        </row>
        <row r="6605">
          <cell r="B6605"/>
          <cell r="C6605"/>
          <cell r="E6605"/>
          <cell r="F6605"/>
          <cell r="G6605"/>
          <cell r="H6605"/>
          <cell r="J6605"/>
          <cell r="L6605"/>
          <cell r="M6605"/>
        </row>
        <row r="6606">
          <cell r="B6606"/>
          <cell r="C6606"/>
          <cell r="E6606"/>
          <cell r="F6606"/>
          <cell r="G6606"/>
          <cell r="H6606"/>
          <cell r="J6606"/>
          <cell r="L6606"/>
          <cell r="M6606"/>
        </row>
        <row r="6607">
          <cell r="B6607"/>
          <cell r="C6607"/>
          <cell r="E6607"/>
          <cell r="F6607"/>
          <cell r="G6607"/>
          <cell r="H6607"/>
          <cell r="J6607"/>
          <cell r="L6607"/>
          <cell r="M6607"/>
        </row>
        <row r="6608">
          <cell r="B6608"/>
          <cell r="C6608"/>
          <cell r="E6608"/>
          <cell r="F6608"/>
          <cell r="G6608"/>
          <cell r="H6608"/>
          <cell r="J6608"/>
          <cell r="L6608"/>
          <cell r="M6608"/>
        </row>
        <row r="6609">
          <cell r="B6609"/>
          <cell r="C6609"/>
          <cell r="E6609"/>
          <cell r="F6609"/>
          <cell r="G6609"/>
          <cell r="H6609"/>
          <cell r="J6609"/>
          <cell r="L6609"/>
          <cell r="M6609"/>
        </row>
        <row r="6610">
          <cell r="B6610"/>
          <cell r="C6610"/>
          <cell r="E6610"/>
          <cell r="F6610"/>
          <cell r="G6610"/>
          <cell r="H6610"/>
          <cell r="J6610"/>
          <cell r="L6610"/>
          <cell r="M6610"/>
        </row>
        <row r="6611">
          <cell r="B6611"/>
          <cell r="C6611"/>
          <cell r="E6611"/>
          <cell r="F6611"/>
          <cell r="G6611"/>
          <cell r="H6611"/>
          <cell r="J6611"/>
          <cell r="L6611"/>
          <cell r="M6611"/>
        </row>
        <row r="6612">
          <cell r="B6612"/>
          <cell r="C6612"/>
          <cell r="E6612"/>
          <cell r="F6612"/>
          <cell r="G6612"/>
          <cell r="H6612"/>
          <cell r="J6612"/>
          <cell r="L6612"/>
          <cell r="M6612"/>
        </row>
        <row r="6613">
          <cell r="B6613"/>
          <cell r="C6613"/>
          <cell r="E6613"/>
          <cell r="F6613"/>
          <cell r="G6613"/>
          <cell r="H6613"/>
          <cell r="J6613"/>
          <cell r="L6613"/>
          <cell r="M6613"/>
        </row>
        <row r="6614">
          <cell r="B6614"/>
          <cell r="C6614"/>
          <cell r="E6614"/>
          <cell r="F6614"/>
          <cell r="G6614"/>
          <cell r="H6614"/>
          <cell r="J6614"/>
          <cell r="L6614"/>
          <cell r="M6614"/>
        </row>
        <row r="6615">
          <cell r="B6615"/>
          <cell r="C6615"/>
          <cell r="E6615"/>
          <cell r="F6615"/>
          <cell r="G6615"/>
          <cell r="H6615"/>
          <cell r="J6615"/>
          <cell r="L6615"/>
          <cell r="M6615"/>
        </row>
        <row r="6616">
          <cell r="B6616"/>
          <cell r="C6616"/>
          <cell r="E6616"/>
          <cell r="F6616"/>
          <cell r="G6616"/>
          <cell r="H6616"/>
          <cell r="J6616"/>
          <cell r="L6616"/>
          <cell r="M6616"/>
        </row>
        <row r="6617">
          <cell r="B6617"/>
          <cell r="C6617"/>
          <cell r="E6617"/>
          <cell r="F6617"/>
          <cell r="G6617"/>
          <cell r="H6617"/>
          <cell r="J6617"/>
          <cell r="L6617"/>
          <cell r="M6617"/>
        </row>
        <row r="6618">
          <cell r="B6618"/>
          <cell r="C6618"/>
          <cell r="E6618"/>
          <cell r="F6618"/>
          <cell r="G6618"/>
          <cell r="H6618"/>
          <cell r="J6618"/>
          <cell r="L6618"/>
          <cell r="M6618"/>
        </row>
        <row r="6619">
          <cell r="B6619"/>
          <cell r="C6619"/>
          <cell r="E6619"/>
          <cell r="F6619"/>
          <cell r="G6619"/>
          <cell r="H6619"/>
          <cell r="J6619"/>
          <cell r="L6619"/>
          <cell r="M6619"/>
        </row>
        <row r="6620">
          <cell r="B6620"/>
          <cell r="C6620"/>
          <cell r="E6620"/>
          <cell r="F6620"/>
          <cell r="G6620"/>
          <cell r="H6620"/>
          <cell r="J6620"/>
          <cell r="L6620"/>
          <cell r="M6620"/>
        </row>
        <row r="6621">
          <cell r="B6621"/>
          <cell r="C6621"/>
          <cell r="E6621"/>
          <cell r="F6621"/>
          <cell r="G6621"/>
          <cell r="H6621"/>
          <cell r="J6621"/>
          <cell r="L6621"/>
          <cell r="M6621"/>
        </row>
        <row r="6622">
          <cell r="B6622"/>
          <cell r="C6622"/>
          <cell r="E6622"/>
          <cell r="F6622"/>
          <cell r="G6622"/>
          <cell r="H6622"/>
          <cell r="J6622"/>
          <cell r="L6622"/>
          <cell r="M6622"/>
        </row>
        <row r="6623">
          <cell r="B6623"/>
          <cell r="C6623"/>
          <cell r="E6623"/>
          <cell r="F6623"/>
          <cell r="G6623"/>
          <cell r="H6623"/>
          <cell r="J6623"/>
          <cell r="L6623"/>
          <cell r="M6623"/>
        </row>
        <row r="6624">
          <cell r="B6624"/>
          <cell r="C6624"/>
          <cell r="E6624"/>
          <cell r="F6624"/>
          <cell r="G6624"/>
          <cell r="H6624"/>
          <cell r="J6624"/>
          <cell r="L6624"/>
          <cell r="M6624"/>
        </row>
        <row r="6625">
          <cell r="B6625"/>
          <cell r="C6625"/>
          <cell r="E6625"/>
          <cell r="F6625"/>
          <cell r="G6625"/>
          <cell r="H6625"/>
          <cell r="J6625"/>
          <cell r="L6625"/>
          <cell r="M6625"/>
        </row>
        <row r="6626">
          <cell r="B6626"/>
          <cell r="C6626"/>
          <cell r="E6626"/>
          <cell r="F6626"/>
          <cell r="G6626"/>
          <cell r="H6626"/>
          <cell r="J6626"/>
          <cell r="L6626"/>
          <cell r="M6626"/>
        </row>
        <row r="6627">
          <cell r="B6627"/>
          <cell r="C6627"/>
          <cell r="E6627"/>
          <cell r="F6627"/>
          <cell r="G6627"/>
          <cell r="H6627"/>
          <cell r="J6627"/>
          <cell r="L6627"/>
          <cell r="M6627"/>
        </row>
        <row r="6628">
          <cell r="B6628"/>
          <cell r="C6628"/>
          <cell r="E6628"/>
          <cell r="F6628"/>
          <cell r="G6628"/>
          <cell r="H6628"/>
          <cell r="J6628"/>
          <cell r="L6628"/>
          <cell r="M6628"/>
        </row>
        <row r="6629">
          <cell r="B6629"/>
          <cell r="C6629"/>
          <cell r="E6629"/>
          <cell r="F6629"/>
          <cell r="G6629"/>
          <cell r="H6629"/>
          <cell r="J6629"/>
          <cell r="L6629"/>
          <cell r="M6629"/>
        </row>
        <row r="6630">
          <cell r="B6630"/>
          <cell r="C6630"/>
          <cell r="E6630"/>
          <cell r="F6630"/>
          <cell r="G6630"/>
          <cell r="H6630"/>
          <cell r="J6630"/>
          <cell r="L6630"/>
          <cell r="M6630"/>
        </row>
        <row r="6631">
          <cell r="B6631"/>
          <cell r="C6631"/>
          <cell r="E6631"/>
          <cell r="F6631"/>
          <cell r="G6631"/>
          <cell r="H6631"/>
          <cell r="J6631"/>
          <cell r="L6631"/>
          <cell r="M6631"/>
        </row>
        <row r="6632">
          <cell r="B6632"/>
          <cell r="C6632"/>
          <cell r="E6632"/>
          <cell r="F6632"/>
          <cell r="G6632"/>
          <cell r="H6632"/>
          <cell r="J6632"/>
          <cell r="L6632"/>
          <cell r="M6632"/>
        </row>
        <row r="6633">
          <cell r="B6633"/>
          <cell r="C6633"/>
          <cell r="E6633"/>
          <cell r="F6633"/>
          <cell r="G6633"/>
          <cell r="H6633"/>
          <cell r="J6633"/>
          <cell r="L6633"/>
          <cell r="M6633"/>
        </row>
        <row r="6634">
          <cell r="B6634"/>
          <cell r="C6634"/>
          <cell r="E6634"/>
          <cell r="F6634"/>
          <cell r="G6634"/>
          <cell r="H6634"/>
          <cell r="J6634"/>
          <cell r="L6634"/>
          <cell r="M6634"/>
        </row>
        <row r="6635">
          <cell r="B6635"/>
          <cell r="C6635"/>
          <cell r="E6635"/>
          <cell r="F6635"/>
          <cell r="G6635"/>
          <cell r="H6635"/>
          <cell r="J6635"/>
          <cell r="L6635"/>
          <cell r="M6635"/>
        </row>
        <row r="6636">
          <cell r="B6636"/>
          <cell r="C6636"/>
          <cell r="E6636"/>
          <cell r="F6636"/>
          <cell r="G6636"/>
          <cell r="H6636"/>
          <cell r="J6636"/>
          <cell r="L6636"/>
          <cell r="M6636"/>
        </row>
        <row r="6637">
          <cell r="B6637"/>
          <cell r="C6637"/>
          <cell r="E6637"/>
          <cell r="F6637"/>
          <cell r="G6637"/>
          <cell r="H6637"/>
          <cell r="J6637"/>
          <cell r="L6637"/>
          <cell r="M6637"/>
        </row>
        <row r="6638">
          <cell r="B6638"/>
          <cell r="C6638"/>
          <cell r="E6638"/>
          <cell r="F6638"/>
          <cell r="G6638"/>
          <cell r="H6638"/>
          <cell r="J6638"/>
          <cell r="L6638"/>
          <cell r="M6638"/>
        </row>
        <row r="6639">
          <cell r="B6639"/>
          <cell r="C6639"/>
          <cell r="E6639"/>
          <cell r="F6639"/>
          <cell r="G6639"/>
          <cell r="H6639"/>
          <cell r="J6639"/>
          <cell r="L6639"/>
          <cell r="M6639"/>
        </row>
        <row r="6640">
          <cell r="B6640"/>
          <cell r="C6640"/>
          <cell r="E6640"/>
          <cell r="F6640"/>
          <cell r="G6640"/>
          <cell r="H6640"/>
          <cell r="J6640"/>
          <cell r="L6640"/>
          <cell r="M6640"/>
        </row>
        <row r="6641">
          <cell r="B6641"/>
          <cell r="C6641"/>
          <cell r="E6641"/>
          <cell r="F6641"/>
          <cell r="G6641"/>
          <cell r="H6641"/>
          <cell r="J6641"/>
          <cell r="L6641"/>
          <cell r="M6641"/>
        </row>
        <row r="6642">
          <cell r="B6642"/>
          <cell r="C6642"/>
          <cell r="E6642"/>
          <cell r="F6642"/>
          <cell r="G6642"/>
          <cell r="H6642"/>
          <cell r="J6642"/>
          <cell r="L6642"/>
          <cell r="M6642"/>
        </row>
        <row r="6643">
          <cell r="B6643"/>
          <cell r="C6643"/>
          <cell r="E6643"/>
          <cell r="F6643"/>
          <cell r="G6643"/>
          <cell r="H6643"/>
          <cell r="J6643"/>
          <cell r="L6643"/>
          <cell r="M6643"/>
        </row>
        <row r="6644">
          <cell r="B6644"/>
          <cell r="C6644"/>
          <cell r="E6644"/>
          <cell r="F6644"/>
          <cell r="G6644"/>
          <cell r="H6644"/>
          <cell r="J6644"/>
          <cell r="L6644"/>
          <cell r="M6644"/>
        </row>
        <row r="6645">
          <cell r="B6645"/>
          <cell r="C6645"/>
          <cell r="E6645"/>
          <cell r="F6645"/>
          <cell r="G6645"/>
          <cell r="H6645"/>
          <cell r="J6645"/>
          <cell r="L6645"/>
          <cell r="M6645"/>
        </row>
        <row r="6646">
          <cell r="B6646"/>
          <cell r="C6646"/>
          <cell r="E6646"/>
          <cell r="F6646"/>
          <cell r="G6646"/>
          <cell r="H6646"/>
          <cell r="J6646"/>
          <cell r="L6646"/>
          <cell r="M6646"/>
        </row>
        <row r="6647">
          <cell r="B6647"/>
          <cell r="C6647"/>
          <cell r="E6647"/>
          <cell r="F6647"/>
          <cell r="G6647"/>
          <cell r="H6647"/>
          <cell r="J6647"/>
          <cell r="L6647"/>
          <cell r="M6647"/>
        </row>
        <row r="6648">
          <cell r="B6648"/>
          <cell r="C6648"/>
          <cell r="E6648"/>
          <cell r="F6648"/>
          <cell r="G6648"/>
          <cell r="H6648"/>
          <cell r="J6648"/>
          <cell r="L6648"/>
          <cell r="M6648"/>
        </row>
        <row r="6649">
          <cell r="B6649"/>
          <cell r="C6649"/>
          <cell r="E6649"/>
          <cell r="F6649"/>
          <cell r="G6649"/>
          <cell r="H6649"/>
          <cell r="J6649"/>
          <cell r="L6649"/>
          <cell r="M6649"/>
        </row>
        <row r="6650">
          <cell r="B6650"/>
          <cell r="C6650"/>
          <cell r="E6650"/>
          <cell r="F6650"/>
          <cell r="G6650"/>
          <cell r="H6650"/>
          <cell r="J6650"/>
          <cell r="L6650"/>
          <cell r="M6650"/>
        </row>
        <row r="6651">
          <cell r="B6651"/>
          <cell r="C6651"/>
          <cell r="E6651"/>
          <cell r="F6651"/>
          <cell r="G6651"/>
          <cell r="H6651"/>
          <cell r="J6651"/>
          <cell r="L6651"/>
          <cell r="M6651"/>
        </row>
        <row r="6652">
          <cell r="B6652"/>
          <cell r="C6652"/>
          <cell r="E6652"/>
          <cell r="F6652"/>
          <cell r="G6652"/>
          <cell r="H6652"/>
          <cell r="J6652"/>
          <cell r="L6652"/>
          <cell r="M6652"/>
        </row>
        <row r="6653">
          <cell r="B6653"/>
          <cell r="C6653"/>
          <cell r="E6653"/>
          <cell r="F6653"/>
          <cell r="G6653"/>
          <cell r="H6653"/>
          <cell r="J6653"/>
          <cell r="L6653"/>
          <cell r="M6653"/>
        </row>
        <row r="6654">
          <cell r="B6654"/>
          <cell r="C6654"/>
          <cell r="E6654"/>
          <cell r="F6654"/>
          <cell r="G6654"/>
          <cell r="H6654"/>
          <cell r="J6654"/>
          <cell r="L6654"/>
          <cell r="M6654"/>
        </row>
        <row r="6655">
          <cell r="B6655"/>
          <cell r="C6655"/>
          <cell r="E6655"/>
          <cell r="F6655"/>
          <cell r="G6655"/>
          <cell r="H6655"/>
          <cell r="J6655"/>
          <cell r="L6655"/>
          <cell r="M6655"/>
        </row>
        <row r="6656">
          <cell r="B6656"/>
          <cell r="C6656"/>
          <cell r="E6656"/>
          <cell r="F6656"/>
          <cell r="G6656"/>
          <cell r="H6656"/>
          <cell r="J6656"/>
          <cell r="L6656"/>
          <cell r="M6656"/>
        </row>
        <row r="6657">
          <cell r="B6657"/>
          <cell r="C6657"/>
          <cell r="E6657"/>
          <cell r="F6657"/>
          <cell r="G6657"/>
          <cell r="H6657"/>
          <cell r="J6657"/>
          <cell r="L6657"/>
          <cell r="M6657"/>
        </row>
        <row r="6658">
          <cell r="B6658"/>
          <cell r="C6658"/>
          <cell r="E6658"/>
          <cell r="F6658"/>
          <cell r="G6658"/>
          <cell r="H6658"/>
          <cell r="J6658"/>
          <cell r="L6658"/>
          <cell r="M6658"/>
        </row>
        <row r="6659">
          <cell r="B6659"/>
          <cell r="C6659"/>
          <cell r="E6659"/>
          <cell r="F6659"/>
          <cell r="G6659"/>
          <cell r="H6659"/>
          <cell r="J6659"/>
          <cell r="L6659"/>
          <cell r="M6659"/>
        </row>
        <row r="6660">
          <cell r="B6660"/>
          <cell r="C6660"/>
          <cell r="E6660"/>
          <cell r="F6660"/>
          <cell r="G6660"/>
          <cell r="H6660"/>
          <cell r="J6660"/>
          <cell r="L6660"/>
          <cell r="M6660"/>
        </row>
        <row r="6661">
          <cell r="B6661"/>
          <cell r="C6661"/>
          <cell r="E6661"/>
          <cell r="F6661"/>
          <cell r="G6661"/>
          <cell r="H6661"/>
          <cell r="J6661"/>
          <cell r="L6661"/>
          <cell r="M6661"/>
        </row>
        <row r="6662">
          <cell r="B6662"/>
          <cell r="C6662"/>
          <cell r="E6662"/>
          <cell r="F6662"/>
          <cell r="G6662"/>
          <cell r="H6662"/>
          <cell r="J6662"/>
          <cell r="L6662"/>
          <cell r="M6662"/>
        </row>
        <row r="6663">
          <cell r="B6663"/>
          <cell r="C6663"/>
          <cell r="E6663"/>
          <cell r="F6663"/>
          <cell r="G6663"/>
          <cell r="H6663"/>
          <cell r="J6663"/>
          <cell r="L6663"/>
          <cell r="M6663"/>
        </row>
        <row r="6664">
          <cell r="B6664"/>
          <cell r="C6664"/>
          <cell r="E6664"/>
          <cell r="F6664"/>
          <cell r="G6664"/>
          <cell r="H6664"/>
          <cell r="J6664"/>
          <cell r="L6664"/>
          <cell r="M6664"/>
        </row>
        <row r="6665">
          <cell r="B6665"/>
          <cell r="C6665"/>
          <cell r="E6665"/>
          <cell r="F6665"/>
          <cell r="G6665"/>
          <cell r="H6665"/>
          <cell r="J6665"/>
          <cell r="L6665"/>
          <cell r="M6665"/>
        </row>
        <row r="6666">
          <cell r="B6666"/>
          <cell r="C6666"/>
          <cell r="E6666"/>
          <cell r="F6666"/>
          <cell r="G6666"/>
          <cell r="H6666"/>
          <cell r="J6666"/>
          <cell r="L6666"/>
          <cell r="M6666"/>
        </row>
        <row r="6667">
          <cell r="B6667"/>
          <cell r="C6667"/>
          <cell r="E6667"/>
          <cell r="F6667"/>
          <cell r="G6667"/>
          <cell r="H6667"/>
          <cell r="J6667"/>
          <cell r="L6667"/>
          <cell r="M6667"/>
        </row>
        <row r="6668">
          <cell r="B6668"/>
          <cell r="C6668"/>
          <cell r="E6668"/>
          <cell r="F6668"/>
          <cell r="G6668"/>
          <cell r="H6668"/>
          <cell r="J6668"/>
          <cell r="L6668"/>
          <cell r="M6668"/>
        </row>
        <row r="6669">
          <cell r="B6669"/>
          <cell r="C6669"/>
          <cell r="E6669"/>
          <cell r="F6669"/>
          <cell r="G6669"/>
          <cell r="H6669"/>
          <cell r="J6669"/>
          <cell r="L6669"/>
          <cell r="M6669"/>
        </row>
        <row r="6670">
          <cell r="B6670"/>
          <cell r="C6670"/>
          <cell r="E6670"/>
          <cell r="F6670"/>
          <cell r="G6670"/>
          <cell r="H6670"/>
          <cell r="J6670"/>
          <cell r="L6670"/>
          <cell r="M6670"/>
        </row>
        <row r="6671">
          <cell r="B6671"/>
          <cell r="C6671"/>
          <cell r="E6671"/>
          <cell r="F6671"/>
          <cell r="G6671"/>
          <cell r="H6671"/>
          <cell r="J6671"/>
          <cell r="L6671"/>
          <cell r="M6671"/>
        </row>
        <row r="6672">
          <cell r="B6672"/>
          <cell r="C6672"/>
          <cell r="E6672"/>
          <cell r="F6672"/>
          <cell r="G6672"/>
          <cell r="H6672"/>
          <cell r="J6672"/>
          <cell r="L6672"/>
          <cell r="M6672"/>
        </row>
        <row r="6673">
          <cell r="B6673"/>
          <cell r="C6673"/>
          <cell r="E6673"/>
          <cell r="F6673"/>
          <cell r="G6673"/>
          <cell r="H6673"/>
          <cell r="J6673"/>
          <cell r="L6673"/>
          <cell r="M6673"/>
        </row>
        <row r="6674">
          <cell r="B6674"/>
          <cell r="C6674"/>
          <cell r="E6674"/>
          <cell r="F6674"/>
          <cell r="G6674"/>
          <cell r="H6674"/>
          <cell r="J6674"/>
          <cell r="L6674"/>
          <cell r="M6674"/>
        </row>
        <row r="6675">
          <cell r="B6675"/>
          <cell r="C6675"/>
          <cell r="E6675"/>
          <cell r="F6675"/>
          <cell r="G6675"/>
          <cell r="H6675"/>
          <cell r="J6675"/>
          <cell r="L6675"/>
          <cell r="M6675"/>
        </row>
        <row r="6676">
          <cell r="B6676"/>
          <cell r="C6676"/>
          <cell r="E6676"/>
          <cell r="F6676"/>
          <cell r="G6676"/>
          <cell r="H6676"/>
          <cell r="J6676"/>
          <cell r="L6676"/>
          <cell r="M6676"/>
        </row>
        <row r="6677">
          <cell r="B6677"/>
          <cell r="C6677"/>
          <cell r="E6677"/>
          <cell r="F6677"/>
          <cell r="G6677"/>
          <cell r="H6677"/>
          <cell r="J6677"/>
          <cell r="L6677"/>
          <cell r="M6677"/>
        </row>
        <row r="6678">
          <cell r="B6678"/>
          <cell r="C6678"/>
          <cell r="E6678"/>
          <cell r="F6678"/>
          <cell r="G6678"/>
          <cell r="H6678"/>
          <cell r="J6678"/>
          <cell r="L6678"/>
          <cell r="M6678"/>
        </row>
        <row r="6679">
          <cell r="B6679"/>
          <cell r="C6679"/>
          <cell r="E6679"/>
          <cell r="F6679"/>
          <cell r="G6679"/>
          <cell r="H6679"/>
          <cell r="J6679"/>
          <cell r="L6679"/>
          <cell r="M6679"/>
        </row>
        <row r="6680">
          <cell r="B6680"/>
          <cell r="C6680"/>
          <cell r="E6680"/>
          <cell r="F6680"/>
          <cell r="G6680"/>
          <cell r="H6680"/>
          <cell r="J6680"/>
          <cell r="L6680"/>
          <cell r="M6680"/>
        </row>
        <row r="6681">
          <cell r="B6681"/>
          <cell r="C6681"/>
          <cell r="E6681"/>
          <cell r="F6681"/>
          <cell r="G6681"/>
          <cell r="H6681"/>
          <cell r="J6681"/>
          <cell r="L6681"/>
          <cell r="M6681"/>
        </row>
        <row r="6682">
          <cell r="B6682"/>
          <cell r="C6682"/>
          <cell r="E6682"/>
          <cell r="F6682"/>
          <cell r="G6682"/>
          <cell r="H6682"/>
          <cell r="J6682"/>
          <cell r="L6682"/>
          <cell r="M6682"/>
        </row>
        <row r="6683">
          <cell r="B6683"/>
          <cell r="C6683"/>
          <cell r="E6683"/>
          <cell r="F6683"/>
          <cell r="G6683"/>
          <cell r="H6683"/>
          <cell r="J6683"/>
          <cell r="L6683"/>
          <cell r="M6683"/>
        </row>
        <row r="6684">
          <cell r="B6684"/>
          <cell r="C6684"/>
          <cell r="E6684"/>
          <cell r="F6684"/>
          <cell r="G6684"/>
          <cell r="H6684"/>
          <cell r="J6684"/>
          <cell r="L6684"/>
          <cell r="M6684"/>
        </row>
        <row r="6685">
          <cell r="B6685"/>
          <cell r="C6685"/>
          <cell r="E6685"/>
          <cell r="F6685"/>
          <cell r="G6685"/>
          <cell r="H6685"/>
          <cell r="J6685"/>
          <cell r="L6685"/>
          <cell r="M6685"/>
        </row>
        <row r="6686">
          <cell r="B6686"/>
          <cell r="C6686"/>
          <cell r="E6686"/>
          <cell r="F6686"/>
          <cell r="G6686"/>
          <cell r="H6686"/>
          <cell r="J6686"/>
          <cell r="L6686"/>
          <cell r="M6686"/>
        </row>
        <row r="6687">
          <cell r="B6687"/>
          <cell r="C6687"/>
          <cell r="E6687"/>
          <cell r="F6687"/>
          <cell r="G6687"/>
          <cell r="H6687"/>
          <cell r="J6687"/>
          <cell r="L6687"/>
          <cell r="M6687"/>
        </row>
        <row r="6688">
          <cell r="B6688"/>
          <cell r="C6688"/>
          <cell r="E6688"/>
          <cell r="F6688"/>
          <cell r="G6688"/>
          <cell r="H6688"/>
          <cell r="J6688"/>
          <cell r="L6688"/>
          <cell r="M6688"/>
        </row>
        <row r="6689">
          <cell r="B6689"/>
          <cell r="C6689"/>
          <cell r="E6689"/>
          <cell r="F6689"/>
          <cell r="G6689"/>
          <cell r="H6689"/>
          <cell r="J6689"/>
          <cell r="L6689"/>
          <cell r="M6689"/>
        </row>
        <row r="6690">
          <cell r="B6690"/>
          <cell r="C6690"/>
          <cell r="E6690"/>
          <cell r="F6690"/>
          <cell r="G6690"/>
          <cell r="H6690"/>
          <cell r="J6690"/>
          <cell r="L6690"/>
          <cell r="M6690"/>
        </row>
        <row r="6691">
          <cell r="B6691"/>
          <cell r="C6691"/>
          <cell r="E6691"/>
          <cell r="F6691"/>
          <cell r="G6691"/>
          <cell r="H6691"/>
          <cell r="J6691"/>
          <cell r="L6691"/>
          <cell r="M6691"/>
        </row>
        <row r="6692">
          <cell r="B6692"/>
          <cell r="C6692"/>
          <cell r="E6692"/>
          <cell r="F6692"/>
          <cell r="G6692"/>
          <cell r="H6692"/>
          <cell r="J6692"/>
          <cell r="L6692"/>
          <cell r="M6692"/>
        </row>
        <row r="6693">
          <cell r="B6693"/>
          <cell r="C6693"/>
          <cell r="E6693"/>
          <cell r="F6693"/>
          <cell r="G6693"/>
          <cell r="H6693"/>
          <cell r="J6693"/>
          <cell r="L6693"/>
          <cell r="M6693"/>
        </row>
        <row r="6694">
          <cell r="B6694"/>
          <cell r="C6694"/>
          <cell r="E6694"/>
          <cell r="F6694"/>
          <cell r="G6694"/>
          <cell r="H6694"/>
          <cell r="J6694"/>
          <cell r="L6694"/>
          <cell r="M6694"/>
        </row>
        <row r="6695">
          <cell r="B6695"/>
          <cell r="C6695"/>
          <cell r="E6695"/>
          <cell r="F6695"/>
          <cell r="G6695"/>
          <cell r="H6695"/>
          <cell r="J6695"/>
          <cell r="L6695"/>
          <cell r="M6695"/>
        </row>
        <row r="6696">
          <cell r="B6696"/>
          <cell r="C6696"/>
          <cell r="E6696"/>
          <cell r="F6696"/>
          <cell r="G6696"/>
          <cell r="H6696"/>
          <cell r="J6696"/>
          <cell r="L6696"/>
          <cell r="M6696"/>
        </row>
        <row r="6697">
          <cell r="B6697"/>
          <cell r="C6697"/>
          <cell r="E6697"/>
          <cell r="F6697"/>
          <cell r="G6697"/>
          <cell r="H6697"/>
          <cell r="J6697"/>
          <cell r="L6697"/>
          <cell r="M6697"/>
        </row>
        <row r="6698">
          <cell r="B6698"/>
          <cell r="C6698"/>
          <cell r="E6698"/>
          <cell r="F6698"/>
          <cell r="G6698"/>
          <cell r="H6698"/>
          <cell r="J6698"/>
          <cell r="L6698"/>
          <cell r="M6698"/>
        </row>
        <row r="6699">
          <cell r="B6699"/>
          <cell r="C6699"/>
          <cell r="E6699"/>
          <cell r="F6699"/>
          <cell r="G6699"/>
          <cell r="H6699"/>
          <cell r="J6699"/>
          <cell r="L6699"/>
          <cell r="M6699"/>
        </row>
        <row r="6700">
          <cell r="B6700"/>
          <cell r="C6700"/>
          <cell r="E6700"/>
          <cell r="F6700"/>
          <cell r="G6700"/>
          <cell r="H6700"/>
          <cell r="J6700"/>
          <cell r="L6700"/>
          <cell r="M6700"/>
        </row>
        <row r="6701">
          <cell r="B6701"/>
          <cell r="C6701"/>
          <cell r="E6701"/>
          <cell r="F6701"/>
          <cell r="G6701"/>
          <cell r="H6701"/>
          <cell r="J6701"/>
          <cell r="L6701"/>
          <cell r="M6701"/>
        </row>
        <row r="6702">
          <cell r="B6702"/>
          <cell r="C6702"/>
          <cell r="E6702"/>
          <cell r="F6702"/>
          <cell r="G6702"/>
          <cell r="H6702"/>
          <cell r="J6702"/>
          <cell r="L6702"/>
          <cell r="M6702"/>
        </row>
        <row r="6703">
          <cell r="B6703"/>
          <cell r="C6703"/>
          <cell r="E6703"/>
          <cell r="F6703"/>
          <cell r="G6703"/>
          <cell r="H6703"/>
          <cell r="J6703"/>
          <cell r="L6703"/>
          <cell r="M6703"/>
        </row>
        <row r="6704">
          <cell r="B6704"/>
          <cell r="C6704"/>
          <cell r="E6704"/>
          <cell r="F6704"/>
          <cell r="G6704"/>
          <cell r="H6704"/>
          <cell r="J6704"/>
          <cell r="L6704"/>
          <cell r="M6704"/>
        </row>
        <row r="6705">
          <cell r="B6705"/>
          <cell r="C6705"/>
          <cell r="E6705"/>
          <cell r="F6705"/>
          <cell r="G6705"/>
          <cell r="H6705"/>
          <cell r="J6705"/>
          <cell r="L6705"/>
          <cell r="M6705"/>
        </row>
        <row r="6706">
          <cell r="B6706"/>
          <cell r="C6706"/>
          <cell r="E6706"/>
          <cell r="F6706"/>
          <cell r="G6706"/>
          <cell r="H6706"/>
          <cell r="J6706"/>
          <cell r="L6706"/>
          <cell r="M6706"/>
        </row>
        <row r="6707">
          <cell r="B6707"/>
          <cell r="C6707"/>
          <cell r="E6707"/>
          <cell r="F6707"/>
          <cell r="G6707"/>
          <cell r="H6707"/>
          <cell r="J6707"/>
          <cell r="L6707"/>
          <cell r="M6707"/>
        </row>
        <row r="6708">
          <cell r="B6708"/>
          <cell r="C6708"/>
          <cell r="E6708"/>
          <cell r="F6708"/>
          <cell r="G6708"/>
          <cell r="H6708"/>
          <cell r="J6708"/>
          <cell r="L6708"/>
          <cell r="M6708"/>
        </row>
        <row r="6709">
          <cell r="B6709"/>
          <cell r="C6709"/>
          <cell r="E6709"/>
          <cell r="F6709"/>
          <cell r="G6709"/>
          <cell r="H6709"/>
          <cell r="J6709"/>
          <cell r="L6709"/>
          <cell r="M6709"/>
        </row>
        <row r="6710">
          <cell r="B6710"/>
          <cell r="C6710"/>
          <cell r="E6710"/>
          <cell r="F6710"/>
          <cell r="G6710"/>
          <cell r="H6710"/>
          <cell r="J6710"/>
          <cell r="L6710"/>
          <cell r="M6710"/>
        </row>
        <row r="6711">
          <cell r="B6711"/>
          <cell r="C6711"/>
          <cell r="E6711"/>
          <cell r="F6711"/>
          <cell r="G6711"/>
          <cell r="H6711"/>
          <cell r="J6711"/>
          <cell r="L6711"/>
          <cell r="M6711"/>
        </row>
        <row r="6712">
          <cell r="B6712"/>
          <cell r="C6712"/>
          <cell r="E6712"/>
          <cell r="F6712"/>
          <cell r="G6712"/>
          <cell r="H6712"/>
          <cell r="J6712"/>
          <cell r="L6712"/>
          <cell r="M6712"/>
        </row>
        <row r="6713">
          <cell r="B6713"/>
          <cell r="C6713"/>
          <cell r="E6713"/>
          <cell r="F6713"/>
          <cell r="G6713"/>
          <cell r="H6713"/>
          <cell r="J6713"/>
          <cell r="L6713"/>
          <cell r="M6713"/>
        </row>
        <row r="6714">
          <cell r="B6714"/>
          <cell r="C6714"/>
          <cell r="E6714"/>
          <cell r="F6714"/>
          <cell r="G6714"/>
          <cell r="H6714"/>
          <cell r="J6714"/>
          <cell r="L6714"/>
          <cell r="M6714"/>
        </row>
        <row r="6715">
          <cell r="B6715"/>
          <cell r="C6715"/>
          <cell r="E6715"/>
          <cell r="F6715"/>
          <cell r="G6715"/>
          <cell r="H6715"/>
          <cell r="J6715"/>
          <cell r="L6715"/>
          <cell r="M6715"/>
        </row>
        <row r="6716">
          <cell r="B6716"/>
          <cell r="C6716"/>
          <cell r="E6716"/>
          <cell r="F6716"/>
          <cell r="G6716"/>
          <cell r="H6716"/>
          <cell r="J6716"/>
          <cell r="L6716"/>
          <cell r="M6716"/>
        </row>
        <row r="6717">
          <cell r="B6717"/>
          <cell r="C6717"/>
          <cell r="E6717"/>
          <cell r="F6717"/>
          <cell r="G6717"/>
          <cell r="H6717"/>
          <cell r="J6717"/>
          <cell r="L6717"/>
          <cell r="M6717"/>
        </row>
        <row r="6718">
          <cell r="B6718"/>
          <cell r="C6718"/>
          <cell r="E6718"/>
          <cell r="F6718"/>
          <cell r="G6718"/>
          <cell r="H6718"/>
          <cell r="J6718"/>
          <cell r="L6718"/>
          <cell r="M6718"/>
        </row>
        <row r="6719">
          <cell r="B6719"/>
          <cell r="C6719"/>
          <cell r="E6719"/>
          <cell r="F6719"/>
          <cell r="G6719"/>
          <cell r="H6719"/>
          <cell r="J6719"/>
          <cell r="L6719"/>
          <cell r="M6719"/>
        </row>
        <row r="6720">
          <cell r="B6720"/>
          <cell r="C6720"/>
          <cell r="E6720"/>
          <cell r="F6720"/>
          <cell r="G6720"/>
          <cell r="H6720"/>
          <cell r="J6720"/>
          <cell r="L6720"/>
          <cell r="M6720"/>
        </row>
        <row r="6721">
          <cell r="B6721"/>
          <cell r="C6721"/>
          <cell r="E6721"/>
          <cell r="F6721"/>
          <cell r="G6721"/>
          <cell r="H6721"/>
          <cell r="J6721"/>
          <cell r="L6721"/>
          <cell r="M6721"/>
        </row>
        <row r="6722">
          <cell r="B6722"/>
          <cell r="C6722"/>
          <cell r="E6722"/>
          <cell r="F6722"/>
          <cell r="G6722"/>
          <cell r="H6722"/>
          <cell r="J6722"/>
          <cell r="L6722"/>
          <cell r="M6722"/>
        </row>
        <row r="6723">
          <cell r="B6723"/>
          <cell r="C6723"/>
          <cell r="E6723"/>
          <cell r="F6723"/>
          <cell r="G6723"/>
          <cell r="H6723"/>
          <cell r="J6723"/>
          <cell r="L6723"/>
          <cell r="M6723"/>
        </row>
        <row r="6724">
          <cell r="B6724"/>
          <cell r="C6724"/>
          <cell r="E6724"/>
          <cell r="F6724"/>
          <cell r="G6724"/>
          <cell r="H6724"/>
          <cell r="J6724"/>
          <cell r="L6724"/>
          <cell r="M6724"/>
        </row>
        <row r="6725">
          <cell r="B6725"/>
          <cell r="C6725"/>
          <cell r="E6725"/>
          <cell r="F6725"/>
          <cell r="G6725"/>
          <cell r="H6725"/>
          <cell r="J6725"/>
          <cell r="L6725"/>
          <cell r="M6725"/>
        </row>
        <row r="6726">
          <cell r="B6726"/>
          <cell r="C6726"/>
          <cell r="E6726"/>
          <cell r="F6726"/>
          <cell r="G6726"/>
          <cell r="H6726"/>
          <cell r="J6726"/>
          <cell r="L6726"/>
          <cell r="M6726"/>
        </row>
        <row r="6727">
          <cell r="B6727"/>
          <cell r="C6727"/>
          <cell r="E6727"/>
          <cell r="F6727"/>
          <cell r="G6727"/>
          <cell r="H6727"/>
          <cell r="J6727"/>
          <cell r="L6727"/>
          <cell r="M6727"/>
        </row>
        <row r="6728">
          <cell r="B6728"/>
          <cell r="C6728"/>
          <cell r="E6728"/>
          <cell r="F6728"/>
          <cell r="G6728"/>
          <cell r="H6728"/>
          <cell r="J6728"/>
          <cell r="L6728"/>
          <cell r="M6728"/>
        </row>
        <row r="6729">
          <cell r="B6729"/>
          <cell r="C6729"/>
          <cell r="E6729"/>
          <cell r="F6729"/>
          <cell r="G6729"/>
          <cell r="H6729"/>
          <cell r="J6729"/>
          <cell r="L6729"/>
          <cell r="M6729"/>
        </row>
        <row r="6730">
          <cell r="B6730"/>
          <cell r="C6730"/>
          <cell r="E6730"/>
          <cell r="F6730"/>
          <cell r="G6730"/>
          <cell r="H6730"/>
          <cell r="J6730"/>
          <cell r="L6730"/>
          <cell r="M6730"/>
        </row>
        <row r="6731">
          <cell r="B6731"/>
          <cell r="C6731"/>
          <cell r="E6731"/>
          <cell r="F6731"/>
          <cell r="G6731"/>
          <cell r="H6731"/>
          <cell r="J6731"/>
          <cell r="L6731"/>
          <cell r="M6731"/>
        </row>
        <row r="6732">
          <cell r="B6732"/>
          <cell r="C6732"/>
          <cell r="E6732"/>
          <cell r="F6732"/>
          <cell r="G6732"/>
          <cell r="H6732"/>
          <cell r="J6732"/>
          <cell r="L6732"/>
          <cell r="M6732"/>
        </row>
        <row r="6733">
          <cell r="B6733"/>
          <cell r="C6733"/>
          <cell r="E6733"/>
          <cell r="F6733"/>
          <cell r="G6733"/>
          <cell r="H6733"/>
          <cell r="J6733"/>
          <cell r="L6733"/>
          <cell r="M6733"/>
        </row>
        <row r="6734">
          <cell r="B6734"/>
          <cell r="C6734"/>
          <cell r="E6734"/>
          <cell r="F6734"/>
          <cell r="G6734"/>
          <cell r="H6734"/>
          <cell r="J6734"/>
          <cell r="L6734"/>
          <cell r="M6734"/>
        </row>
        <row r="6735">
          <cell r="B6735"/>
          <cell r="C6735"/>
          <cell r="E6735"/>
          <cell r="F6735"/>
          <cell r="G6735"/>
          <cell r="H6735"/>
          <cell r="J6735"/>
          <cell r="L6735"/>
          <cell r="M6735"/>
        </row>
        <row r="6736">
          <cell r="B6736"/>
          <cell r="C6736"/>
          <cell r="E6736"/>
          <cell r="F6736"/>
          <cell r="G6736"/>
          <cell r="H6736"/>
          <cell r="J6736"/>
          <cell r="L6736"/>
          <cell r="M6736"/>
        </row>
        <row r="6737">
          <cell r="B6737"/>
          <cell r="C6737"/>
          <cell r="E6737"/>
          <cell r="F6737"/>
          <cell r="G6737"/>
          <cell r="H6737"/>
          <cell r="J6737"/>
          <cell r="L6737"/>
          <cell r="M6737"/>
        </row>
        <row r="6738">
          <cell r="B6738"/>
          <cell r="C6738"/>
          <cell r="E6738"/>
          <cell r="F6738"/>
          <cell r="G6738"/>
          <cell r="H6738"/>
          <cell r="J6738"/>
          <cell r="L6738"/>
          <cell r="M6738"/>
        </row>
        <row r="6739">
          <cell r="B6739"/>
          <cell r="C6739"/>
          <cell r="E6739"/>
          <cell r="F6739"/>
          <cell r="G6739"/>
          <cell r="H6739"/>
          <cell r="J6739"/>
          <cell r="L6739"/>
          <cell r="M6739"/>
        </row>
        <row r="6740">
          <cell r="B6740"/>
          <cell r="C6740"/>
          <cell r="E6740"/>
          <cell r="F6740"/>
          <cell r="G6740"/>
          <cell r="H6740"/>
          <cell r="J6740"/>
          <cell r="L6740"/>
          <cell r="M6740"/>
        </row>
        <row r="6741">
          <cell r="B6741"/>
          <cell r="C6741"/>
          <cell r="E6741"/>
          <cell r="F6741"/>
          <cell r="G6741"/>
          <cell r="H6741"/>
          <cell r="J6741"/>
          <cell r="L6741"/>
          <cell r="M6741"/>
        </row>
        <row r="6742">
          <cell r="B6742"/>
          <cell r="C6742"/>
          <cell r="E6742"/>
          <cell r="F6742"/>
          <cell r="G6742"/>
          <cell r="H6742"/>
          <cell r="J6742"/>
          <cell r="L6742"/>
          <cell r="M6742"/>
        </row>
        <row r="6743">
          <cell r="B6743"/>
          <cell r="C6743"/>
          <cell r="E6743"/>
          <cell r="F6743"/>
          <cell r="G6743"/>
          <cell r="H6743"/>
          <cell r="J6743"/>
          <cell r="L6743"/>
          <cell r="M6743"/>
        </row>
        <row r="6744">
          <cell r="B6744"/>
          <cell r="C6744"/>
          <cell r="E6744"/>
          <cell r="F6744"/>
          <cell r="G6744"/>
          <cell r="H6744"/>
          <cell r="J6744"/>
          <cell r="L6744"/>
          <cell r="M6744"/>
        </row>
        <row r="6745">
          <cell r="B6745"/>
          <cell r="C6745"/>
          <cell r="E6745"/>
          <cell r="F6745"/>
          <cell r="G6745"/>
          <cell r="H6745"/>
          <cell r="J6745"/>
          <cell r="L6745"/>
          <cell r="M6745"/>
        </row>
        <row r="6746">
          <cell r="B6746"/>
          <cell r="C6746"/>
          <cell r="E6746"/>
          <cell r="F6746"/>
          <cell r="G6746"/>
          <cell r="H6746"/>
          <cell r="J6746"/>
          <cell r="L6746"/>
          <cell r="M6746"/>
        </row>
        <row r="6747">
          <cell r="B6747"/>
          <cell r="C6747"/>
          <cell r="E6747"/>
          <cell r="F6747"/>
          <cell r="G6747"/>
          <cell r="H6747"/>
          <cell r="J6747"/>
          <cell r="L6747"/>
          <cell r="M6747"/>
        </row>
        <row r="6748">
          <cell r="B6748"/>
          <cell r="C6748"/>
          <cell r="E6748"/>
          <cell r="F6748"/>
          <cell r="G6748"/>
          <cell r="H6748"/>
          <cell r="J6748"/>
          <cell r="L6748"/>
          <cell r="M6748"/>
        </row>
        <row r="6749">
          <cell r="B6749"/>
          <cell r="C6749"/>
          <cell r="E6749"/>
          <cell r="F6749"/>
          <cell r="G6749"/>
          <cell r="H6749"/>
          <cell r="J6749"/>
          <cell r="L6749"/>
          <cell r="M6749"/>
        </row>
        <row r="6750">
          <cell r="B6750"/>
          <cell r="C6750"/>
          <cell r="E6750"/>
          <cell r="F6750"/>
          <cell r="G6750"/>
          <cell r="H6750"/>
          <cell r="J6750"/>
          <cell r="L6750"/>
          <cell r="M6750"/>
        </row>
        <row r="6751">
          <cell r="B6751"/>
          <cell r="C6751"/>
          <cell r="E6751"/>
          <cell r="F6751"/>
          <cell r="G6751"/>
          <cell r="H6751"/>
          <cell r="J6751"/>
          <cell r="L6751"/>
          <cell r="M6751"/>
        </row>
        <row r="6752">
          <cell r="B6752"/>
          <cell r="C6752"/>
          <cell r="E6752"/>
          <cell r="F6752"/>
          <cell r="G6752"/>
          <cell r="H6752"/>
          <cell r="J6752"/>
          <cell r="L6752"/>
          <cell r="M6752"/>
        </row>
        <row r="6753">
          <cell r="B6753"/>
          <cell r="C6753"/>
          <cell r="E6753"/>
          <cell r="F6753"/>
          <cell r="G6753"/>
          <cell r="H6753"/>
          <cell r="J6753"/>
          <cell r="L6753"/>
          <cell r="M6753"/>
        </row>
        <row r="6754">
          <cell r="B6754"/>
          <cell r="C6754"/>
          <cell r="E6754"/>
          <cell r="F6754"/>
          <cell r="G6754"/>
          <cell r="H6754"/>
          <cell r="J6754"/>
          <cell r="L6754"/>
          <cell r="M6754"/>
        </row>
        <row r="6755">
          <cell r="B6755"/>
          <cell r="C6755"/>
          <cell r="E6755"/>
          <cell r="F6755"/>
          <cell r="G6755"/>
          <cell r="H6755"/>
          <cell r="J6755"/>
          <cell r="L6755"/>
          <cell r="M6755"/>
        </row>
        <row r="6756">
          <cell r="B6756"/>
          <cell r="C6756"/>
          <cell r="E6756"/>
          <cell r="F6756"/>
          <cell r="G6756"/>
          <cell r="H6756"/>
          <cell r="J6756"/>
          <cell r="L6756"/>
          <cell r="M6756"/>
        </row>
        <row r="6757">
          <cell r="B6757"/>
          <cell r="C6757"/>
          <cell r="E6757"/>
          <cell r="F6757"/>
          <cell r="G6757"/>
          <cell r="H6757"/>
          <cell r="J6757"/>
          <cell r="L6757"/>
          <cell r="M6757"/>
        </row>
        <row r="6758">
          <cell r="B6758"/>
          <cell r="C6758"/>
          <cell r="E6758"/>
          <cell r="F6758"/>
          <cell r="G6758"/>
          <cell r="H6758"/>
          <cell r="J6758"/>
          <cell r="L6758"/>
          <cell r="M6758"/>
        </row>
        <row r="6759">
          <cell r="B6759"/>
          <cell r="C6759"/>
          <cell r="E6759"/>
          <cell r="F6759"/>
          <cell r="G6759"/>
          <cell r="H6759"/>
          <cell r="J6759"/>
          <cell r="L6759"/>
          <cell r="M6759"/>
        </row>
        <row r="6760">
          <cell r="B6760"/>
          <cell r="C6760"/>
          <cell r="E6760"/>
          <cell r="F6760"/>
          <cell r="G6760"/>
          <cell r="H6760"/>
          <cell r="J6760"/>
          <cell r="L6760"/>
          <cell r="M6760"/>
        </row>
        <row r="6761">
          <cell r="B6761"/>
          <cell r="C6761"/>
          <cell r="E6761"/>
          <cell r="F6761"/>
          <cell r="G6761"/>
          <cell r="H6761"/>
          <cell r="J6761"/>
          <cell r="L6761"/>
          <cell r="M6761"/>
        </row>
        <row r="6762">
          <cell r="B6762"/>
          <cell r="C6762"/>
          <cell r="E6762"/>
          <cell r="F6762"/>
          <cell r="G6762"/>
          <cell r="H6762"/>
          <cell r="J6762"/>
          <cell r="L6762"/>
          <cell r="M6762"/>
        </row>
        <row r="6763">
          <cell r="B6763"/>
          <cell r="C6763"/>
          <cell r="E6763"/>
          <cell r="F6763"/>
          <cell r="G6763"/>
          <cell r="H6763"/>
          <cell r="J6763"/>
          <cell r="L6763"/>
          <cell r="M6763"/>
        </row>
        <row r="6764">
          <cell r="B6764"/>
          <cell r="C6764"/>
          <cell r="E6764"/>
          <cell r="F6764"/>
          <cell r="G6764"/>
          <cell r="H6764"/>
          <cell r="J6764"/>
          <cell r="L6764"/>
          <cell r="M6764"/>
        </row>
        <row r="6765">
          <cell r="B6765"/>
          <cell r="C6765"/>
          <cell r="E6765"/>
          <cell r="F6765"/>
          <cell r="G6765"/>
          <cell r="H6765"/>
          <cell r="J6765"/>
          <cell r="L6765"/>
          <cell r="M6765"/>
        </row>
        <row r="6766">
          <cell r="B6766"/>
          <cell r="C6766"/>
          <cell r="E6766"/>
          <cell r="F6766"/>
          <cell r="G6766"/>
          <cell r="H6766"/>
          <cell r="J6766"/>
          <cell r="L6766"/>
          <cell r="M6766"/>
        </row>
        <row r="6767">
          <cell r="B6767"/>
          <cell r="C6767"/>
          <cell r="E6767"/>
          <cell r="F6767"/>
          <cell r="G6767"/>
          <cell r="H6767"/>
          <cell r="J6767"/>
          <cell r="L6767"/>
          <cell r="M6767"/>
        </row>
        <row r="6768">
          <cell r="B6768"/>
          <cell r="C6768"/>
          <cell r="E6768"/>
          <cell r="F6768"/>
          <cell r="G6768"/>
          <cell r="H6768"/>
          <cell r="J6768"/>
          <cell r="L6768"/>
          <cell r="M6768"/>
        </row>
        <row r="6769">
          <cell r="B6769"/>
          <cell r="C6769"/>
          <cell r="E6769"/>
          <cell r="F6769"/>
          <cell r="G6769"/>
          <cell r="H6769"/>
          <cell r="J6769"/>
          <cell r="L6769"/>
          <cell r="M6769"/>
        </row>
        <row r="6770">
          <cell r="B6770"/>
          <cell r="C6770"/>
          <cell r="E6770"/>
          <cell r="F6770"/>
          <cell r="G6770"/>
          <cell r="H6770"/>
          <cell r="J6770"/>
          <cell r="L6770"/>
          <cell r="M6770"/>
        </row>
        <row r="6771">
          <cell r="B6771"/>
          <cell r="C6771"/>
          <cell r="E6771"/>
          <cell r="F6771"/>
          <cell r="G6771"/>
          <cell r="H6771"/>
          <cell r="J6771"/>
          <cell r="L6771"/>
          <cell r="M6771"/>
        </row>
        <row r="6772">
          <cell r="B6772"/>
          <cell r="C6772"/>
          <cell r="E6772"/>
          <cell r="F6772"/>
          <cell r="G6772"/>
          <cell r="H6772"/>
          <cell r="J6772"/>
          <cell r="L6772"/>
          <cell r="M6772"/>
        </row>
        <row r="6773">
          <cell r="B6773"/>
          <cell r="C6773"/>
          <cell r="E6773"/>
          <cell r="F6773"/>
          <cell r="G6773"/>
          <cell r="H6773"/>
          <cell r="J6773"/>
          <cell r="L6773"/>
          <cell r="M6773"/>
        </row>
        <row r="6774">
          <cell r="B6774"/>
          <cell r="C6774"/>
          <cell r="E6774"/>
          <cell r="F6774"/>
          <cell r="G6774"/>
          <cell r="H6774"/>
          <cell r="J6774"/>
          <cell r="L6774"/>
          <cell r="M6774"/>
        </row>
        <row r="6775">
          <cell r="B6775"/>
          <cell r="C6775"/>
          <cell r="E6775"/>
          <cell r="F6775"/>
          <cell r="G6775"/>
          <cell r="H6775"/>
          <cell r="J6775"/>
          <cell r="L6775"/>
          <cell r="M6775"/>
        </row>
        <row r="6776">
          <cell r="B6776"/>
          <cell r="C6776"/>
          <cell r="E6776"/>
          <cell r="F6776"/>
          <cell r="G6776"/>
          <cell r="H6776"/>
          <cell r="J6776"/>
          <cell r="L6776"/>
          <cell r="M6776"/>
        </row>
        <row r="6777">
          <cell r="B6777"/>
          <cell r="C6777"/>
          <cell r="E6777"/>
          <cell r="F6777"/>
          <cell r="G6777"/>
          <cell r="H6777"/>
          <cell r="J6777"/>
          <cell r="L6777"/>
          <cell r="M6777"/>
        </row>
        <row r="6778">
          <cell r="B6778"/>
          <cell r="C6778"/>
          <cell r="E6778"/>
          <cell r="F6778"/>
          <cell r="G6778"/>
          <cell r="H6778"/>
          <cell r="J6778"/>
          <cell r="L6778"/>
          <cell r="M6778"/>
        </row>
        <row r="6779">
          <cell r="B6779"/>
          <cell r="C6779"/>
          <cell r="E6779"/>
          <cell r="F6779"/>
          <cell r="G6779"/>
          <cell r="H6779"/>
          <cell r="J6779"/>
          <cell r="L6779"/>
          <cell r="M6779"/>
        </row>
        <row r="6780">
          <cell r="B6780"/>
          <cell r="C6780"/>
          <cell r="E6780"/>
          <cell r="F6780"/>
          <cell r="G6780"/>
          <cell r="H6780"/>
          <cell r="J6780"/>
          <cell r="L6780"/>
          <cell r="M6780"/>
        </row>
        <row r="6781">
          <cell r="B6781"/>
          <cell r="C6781"/>
          <cell r="E6781"/>
          <cell r="F6781"/>
          <cell r="G6781"/>
          <cell r="H6781"/>
          <cell r="J6781"/>
          <cell r="L6781"/>
          <cell r="M6781"/>
        </row>
        <row r="6782">
          <cell r="B6782"/>
          <cell r="C6782"/>
          <cell r="E6782"/>
          <cell r="F6782"/>
          <cell r="G6782"/>
          <cell r="H6782"/>
          <cell r="J6782"/>
          <cell r="L6782"/>
          <cell r="M6782"/>
        </row>
        <row r="6783">
          <cell r="B6783"/>
          <cell r="C6783"/>
          <cell r="E6783"/>
          <cell r="F6783"/>
          <cell r="G6783"/>
          <cell r="H6783"/>
          <cell r="J6783"/>
          <cell r="L6783"/>
          <cell r="M6783"/>
        </row>
        <row r="6784">
          <cell r="B6784"/>
          <cell r="C6784"/>
          <cell r="E6784"/>
          <cell r="F6784"/>
          <cell r="G6784"/>
          <cell r="H6784"/>
          <cell r="J6784"/>
          <cell r="L6784"/>
          <cell r="M6784"/>
        </row>
        <row r="6785">
          <cell r="B6785"/>
          <cell r="C6785"/>
          <cell r="E6785"/>
          <cell r="F6785"/>
          <cell r="G6785"/>
          <cell r="H6785"/>
          <cell r="J6785"/>
          <cell r="L6785"/>
          <cell r="M6785"/>
        </row>
        <row r="6786">
          <cell r="B6786"/>
          <cell r="C6786"/>
          <cell r="E6786"/>
          <cell r="F6786"/>
          <cell r="G6786"/>
          <cell r="H6786"/>
          <cell r="J6786"/>
          <cell r="L6786"/>
          <cell r="M6786"/>
        </row>
        <row r="6787">
          <cell r="B6787"/>
          <cell r="C6787"/>
          <cell r="E6787"/>
          <cell r="F6787"/>
          <cell r="G6787"/>
          <cell r="H6787"/>
          <cell r="J6787"/>
          <cell r="L6787"/>
          <cell r="M6787"/>
        </row>
        <row r="6788">
          <cell r="B6788"/>
          <cell r="C6788"/>
          <cell r="E6788"/>
          <cell r="F6788"/>
          <cell r="G6788"/>
          <cell r="H6788"/>
          <cell r="J6788"/>
          <cell r="L6788"/>
          <cell r="M6788"/>
        </row>
        <row r="6789">
          <cell r="B6789"/>
          <cell r="C6789"/>
          <cell r="E6789"/>
          <cell r="F6789"/>
          <cell r="G6789"/>
          <cell r="H6789"/>
          <cell r="J6789"/>
          <cell r="L6789"/>
          <cell r="M6789"/>
        </row>
        <row r="6790">
          <cell r="B6790"/>
          <cell r="C6790"/>
          <cell r="E6790"/>
          <cell r="F6790"/>
          <cell r="G6790"/>
          <cell r="H6790"/>
          <cell r="J6790"/>
          <cell r="L6790"/>
          <cell r="M6790"/>
        </row>
        <row r="6791">
          <cell r="B6791"/>
          <cell r="C6791"/>
          <cell r="E6791"/>
          <cell r="F6791"/>
          <cell r="G6791"/>
          <cell r="H6791"/>
          <cell r="J6791"/>
          <cell r="L6791"/>
          <cell r="M6791"/>
        </row>
        <row r="6792">
          <cell r="B6792"/>
          <cell r="C6792"/>
          <cell r="E6792"/>
          <cell r="F6792"/>
          <cell r="G6792"/>
          <cell r="H6792"/>
          <cell r="J6792"/>
          <cell r="L6792"/>
          <cell r="M6792"/>
        </row>
        <row r="6793">
          <cell r="B6793"/>
          <cell r="C6793"/>
          <cell r="E6793"/>
          <cell r="F6793"/>
          <cell r="G6793"/>
          <cell r="H6793"/>
          <cell r="J6793"/>
          <cell r="L6793"/>
          <cell r="M6793"/>
        </row>
        <row r="6794">
          <cell r="B6794"/>
          <cell r="C6794"/>
          <cell r="E6794"/>
          <cell r="F6794"/>
          <cell r="G6794"/>
          <cell r="H6794"/>
          <cell r="J6794"/>
          <cell r="L6794"/>
          <cell r="M6794"/>
        </row>
        <row r="6795">
          <cell r="B6795"/>
          <cell r="C6795"/>
          <cell r="E6795"/>
          <cell r="F6795"/>
          <cell r="G6795"/>
          <cell r="H6795"/>
          <cell r="J6795"/>
          <cell r="L6795"/>
          <cell r="M6795"/>
        </row>
        <row r="6796">
          <cell r="B6796"/>
          <cell r="C6796"/>
          <cell r="E6796"/>
          <cell r="F6796"/>
          <cell r="G6796"/>
          <cell r="H6796"/>
          <cell r="J6796"/>
          <cell r="L6796"/>
          <cell r="M6796"/>
        </row>
        <row r="6797">
          <cell r="B6797"/>
          <cell r="C6797"/>
          <cell r="E6797"/>
          <cell r="F6797"/>
          <cell r="G6797"/>
          <cell r="H6797"/>
          <cell r="J6797"/>
          <cell r="L6797"/>
          <cell r="M6797"/>
        </row>
        <row r="6798">
          <cell r="B6798"/>
          <cell r="C6798"/>
          <cell r="E6798"/>
          <cell r="F6798"/>
          <cell r="G6798"/>
          <cell r="H6798"/>
          <cell r="J6798"/>
          <cell r="L6798"/>
          <cell r="M6798"/>
        </row>
        <row r="6799">
          <cell r="B6799"/>
          <cell r="C6799"/>
          <cell r="E6799"/>
          <cell r="F6799"/>
          <cell r="G6799"/>
          <cell r="H6799"/>
          <cell r="J6799"/>
          <cell r="L6799"/>
          <cell r="M6799"/>
        </row>
        <row r="6800">
          <cell r="B6800"/>
          <cell r="C6800"/>
          <cell r="E6800"/>
          <cell r="F6800"/>
          <cell r="G6800"/>
          <cell r="H6800"/>
          <cell r="J6800"/>
          <cell r="L6800"/>
          <cell r="M6800"/>
        </row>
        <row r="6801">
          <cell r="B6801"/>
          <cell r="C6801"/>
          <cell r="E6801"/>
          <cell r="F6801"/>
          <cell r="G6801"/>
          <cell r="H6801"/>
          <cell r="J6801"/>
          <cell r="L6801"/>
          <cell r="M6801"/>
        </row>
        <row r="6802">
          <cell r="B6802"/>
          <cell r="C6802"/>
          <cell r="E6802"/>
          <cell r="F6802"/>
          <cell r="G6802"/>
          <cell r="H6802"/>
          <cell r="J6802"/>
          <cell r="L6802"/>
          <cell r="M6802"/>
        </row>
        <row r="6803">
          <cell r="B6803"/>
          <cell r="C6803"/>
          <cell r="E6803"/>
          <cell r="F6803"/>
          <cell r="G6803"/>
          <cell r="H6803"/>
          <cell r="J6803"/>
          <cell r="L6803"/>
          <cell r="M6803"/>
        </row>
        <row r="6804">
          <cell r="B6804"/>
          <cell r="C6804"/>
          <cell r="E6804"/>
          <cell r="F6804"/>
          <cell r="G6804"/>
          <cell r="H6804"/>
          <cell r="J6804"/>
          <cell r="L6804"/>
          <cell r="M6804"/>
        </row>
        <row r="6805">
          <cell r="B6805"/>
          <cell r="C6805"/>
          <cell r="E6805"/>
          <cell r="F6805"/>
          <cell r="G6805"/>
          <cell r="H6805"/>
          <cell r="J6805"/>
          <cell r="L6805"/>
          <cell r="M6805"/>
        </row>
        <row r="6806">
          <cell r="B6806"/>
          <cell r="C6806"/>
          <cell r="E6806"/>
          <cell r="F6806"/>
          <cell r="G6806"/>
          <cell r="H6806"/>
          <cell r="J6806"/>
          <cell r="L6806"/>
          <cell r="M6806"/>
        </row>
        <row r="6807">
          <cell r="B6807"/>
          <cell r="C6807"/>
          <cell r="E6807"/>
          <cell r="F6807"/>
          <cell r="G6807"/>
          <cell r="H6807"/>
          <cell r="J6807"/>
          <cell r="L6807"/>
          <cell r="M6807"/>
        </row>
        <row r="6808">
          <cell r="B6808"/>
          <cell r="C6808"/>
          <cell r="E6808"/>
          <cell r="F6808"/>
          <cell r="G6808"/>
          <cell r="H6808"/>
          <cell r="J6808"/>
          <cell r="L6808"/>
          <cell r="M6808"/>
        </row>
        <row r="6809">
          <cell r="B6809"/>
          <cell r="C6809"/>
          <cell r="E6809"/>
          <cell r="F6809"/>
          <cell r="G6809"/>
          <cell r="H6809"/>
          <cell r="J6809"/>
          <cell r="L6809"/>
          <cell r="M6809"/>
        </row>
        <row r="6810">
          <cell r="B6810"/>
          <cell r="C6810"/>
          <cell r="E6810"/>
          <cell r="F6810"/>
          <cell r="G6810"/>
          <cell r="H6810"/>
          <cell r="J6810"/>
          <cell r="L6810"/>
          <cell r="M6810"/>
        </row>
        <row r="6811">
          <cell r="B6811"/>
          <cell r="C6811"/>
          <cell r="E6811"/>
          <cell r="F6811"/>
          <cell r="G6811"/>
          <cell r="H6811"/>
          <cell r="J6811"/>
          <cell r="L6811"/>
          <cell r="M6811"/>
        </row>
        <row r="6812">
          <cell r="B6812"/>
          <cell r="C6812"/>
          <cell r="E6812"/>
          <cell r="F6812"/>
          <cell r="G6812"/>
          <cell r="H6812"/>
          <cell r="J6812"/>
          <cell r="L6812"/>
          <cell r="M6812"/>
        </row>
        <row r="6813">
          <cell r="B6813"/>
          <cell r="C6813"/>
          <cell r="E6813"/>
          <cell r="F6813"/>
          <cell r="G6813"/>
          <cell r="H6813"/>
          <cell r="J6813"/>
          <cell r="L6813"/>
          <cell r="M6813"/>
        </row>
        <row r="6814">
          <cell r="B6814"/>
          <cell r="C6814"/>
          <cell r="E6814"/>
          <cell r="F6814"/>
          <cell r="G6814"/>
          <cell r="H6814"/>
          <cell r="J6814"/>
          <cell r="L6814"/>
          <cell r="M6814"/>
        </row>
        <row r="6815">
          <cell r="B6815"/>
          <cell r="C6815"/>
          <cell r="E6815"/>
          <cell r="F6815"/>
          <cell r="G6815"/>
          <cell r="H6815"/>
          <cell r="J6815"/>
          <cell r="L6815"/>
          <cell r="M6815"/>
        </row>
        <row r="6816">
          <cell r="B6816"/>
          <cell r="C6816"/>
          <cell r="E6816"/>
          <cell r="F6816"/>
          <cell r="G6816"/>
          <cell r="H6816"/>
          <cell r="J6816"/>
          <cell r="L6816"/>
          <cell r="M6816"/>
        </row>
        <row r="6817">
          <cell r="B6817"/>
          <cell r="C6817"/>
          <cell r="E6817"/>
          <cell r="F6817"/>
          <cell r="G6817"/>
          <cell r="H6817"/>
          <cell r="J6817"/>
          <cell r="L6817"/>
          <cell r="M6817"/>
        </row>
        <row r="6818">
          <cell r="B6818"/>
          <cell r="C6818"/>
          <cell r="E6818"/>
          <cell r="F6818"/>
          <cell r="G6818"/>
          <cell r="H6818"/>
          <cell r="J6818"/>
          <cell r="L6818"/>
          <cell r="M6818"/>
        </row>
        <row r="6819">
          <cell r="B6819"/>
          <cell r="C6819"/>
          <cell r="E6819"/>
          <cell r="F6819"/>
          <cell r="G6819"/>
          <cell r="H6819"/>
          <cell r="J6819"/>
          <cell r="L6819"/>
          <cell r="M6819"/>
        </row>
        <row r="6820">
          <cell r="B6820"/>
          <cell r="C6820"/>
          <cell r="E6820"/>
          <cell r="F6820"/>
          <cell r="G6820"/>
          <cell r="H6820"/>
          <cell r="J6820"/>
          <cell r="L6820"/>
          <cell r="M6820"/>
        </row>
        <row r="6821">
          <cell r="B6821"/>
          <cell r="C6821"/>
          <cell r="E6821"/>
          <cell r="F6821"/>
          <cell r="G6821"/>
          <cell r="H6821"/>
          <cell r="J6821"/>
          <cell r="L6821"/>
          <cell r="M6821"/>
        </row>
        <row r="6822">
          <cell r="B6822"/>
          <cell r="C6822"/>
          <cell r="E6822"/>
          <cell r="F6822"/>
          <cell r="G6822"/>
          <cell r="H6822"/>
          <cell r="J6822"/>
          <cell r="L6822"/>
          <cell r="M6822"/>
        </row>
        <row r="6823">
          <cell r="B6823"/>
          <cell r="C6823"/>
          <cell r="E6823"/>
          <cell r="F6823"/>
          <cell r="G6823"/>
          <cell r="H6823"/>
          <cell r="J6823"/>
          <cell r="L6823"/>
          <cell r="M6823"/>
        </row>
        <row r="6824">
          <cell r="B6824"/>
          <cell r="C6824"/>
          <cell r="E6824"/>
          <cell r="F6824"/>
          <cell r="G6824"/>
          <cell r="H6824"/>
          <cell r="J6824"/>
          <cell r="L6824"/>
          <cell r="M6824"/>
        </row>
        <row r="6825">
          <cell r="B6825"/>
          <cell r="C6825"/>
          <cell r="E6825"/>
          <cell r="F6825"/>
          <cell r="G6825"/>
          <cell r="H6825"/>
          <cell r="J6825"/>
          <cell r="L6825"/>
          <cell r="M6825"/>
        </row>
        <row r="6826">
          <cell r="B6826"/>
          <cell r="C6826"/>
          <cell r="E6826"/>
          <cell r="F6826"/>
          <cell r="G6826"/>
          <cell r="H6826"/>
          <cell r="J6826"/>
          <cell r="L6826"/>
          <cell r="M6826"/>
        </row>
        <row r="6827">
          <cell r="B6827"/>
          <cell r="C6827"/>
          <cell r="E6827"/>
          <cell r="F6827"/>
          <cell r="G6827"/>
          <cell r="H6827"/>
          <cell r="J6827"/>
          <cell r="L6827"/>
          <cell r="M6827"/>
        </row>
        <row r="6828">
          <cell r="B6828"/>
          <cell r="C6828"/>
          <cell r="E6828"/>
          <cell r="F6828"/>
          <cell r="G6828"/>
          <cell r="H6828"/>
          <cell r="J6828"/>
          <cell r="L6828"/>
          <cell r="M6828"/>
        </row>
        <row r="6829">
          <cell r="B6829"/>
          <cell r="C6829"/>
          <cell r="E6829"/>
          <cell r="F6829"/>
          <cell r="G6829"/>
          <cell r="H6829"/>
          <cell r="J6829"/>
          <cell r="L6829"/>
          <cell r="M6829"/>
        </row>
        <row r="6830">
          <cell r="B6830"/>
          <cell r="C6830"/>
          <cell r="E6830"/>
          <cell r="F6830"/>
          <cell r="G6830"/>
          <cell r="H6830"/>
          <cell r="J6830"/>
          <cell r="L6830"/>
          <cell r="M6830"/>
        </row>
        <row r="6831">
          <cell r="B6831"/>
          <cell r="C6831"/>
          <cell r="E6831"/>
          <cell r="F6831"/>
          <cell r="G6831"/>
          <cell r="H6831"/>
          <cell r="J6831"/>
          <cell r="L6831"/>
          <cell r="M6831"/>
        </row>
        <row r="6832">
          <cell r="B6832"/>
          <cell r="C6832"/>
          <cell r="E6832"/>
          <cell r="F6832"/>
          <cell r="G6832"/>
          <cell r="H6832"/>
          <cell r="J6832"/>
          <cell r="L6832"/>
          <cell r="M6832"/>
        </row>
        <row r="6833">
          <cell r="B6833"/>
          <cell r="C6833"/>
          <cell r="E6833"/>
          <cell r="F6833"/>
          <cell r="G6833"/>
          <cell r="H6833"/>
          <cell r="J6833"/>
          <cell r="L6833"/>
          <cell r="M6833"/>
        </row>
        <row r="6834">
          <cell r="B6834"/>
          <cell r="C6834"/>
          <cell r="E6834"/>
          <cell r="F6834"/>
          <cell r="G6834"/>
          <cell r="H6834"/>
          <cell r="J6834"/>
          <cell r="L6834"/>
          <cell r="M6834"/>
        </row>
        <row r="6835">
          <cell r="B6835"/>
          <cell r="C6835"/>
          <cell r="E6835"/>
          <cell r="F6835"/>
          <cell r="G6835"/>
          <cell r="H6835"/>
          <cell r="J6835"/>
          <cell r="L6835"/>
          <cell r="M6835"/>
        </row>
        <row r="6836">
          <cell r="B6836"/>
          <cell r="C6836"/>
          <cell r="E6836"/>
          <cell r="F6836"/>
          <cell r="G6836"/>
          <cell r="H6836"/>
          <cell r="J6836"/>
          <cell r="L6836"/>
          <cell r="M6836"/>
        </row>
        <row r="6837">
          <cell r="B6837"/>
          <cell r="C6837"/>
          <cell r="E6837"/>
          <cell r="F6837"/>
          <cell r="G6837"/>
          <cell r="H6837"/>
          <cell r="J6837"/>
          <cell r="L6837"/>
          <cell r="M6837"/>
        </row>
        <row r="6838">
          <cell r="B6838"/>
          <cell r="C6838"/>
          <cell r="E6838"/>
          <cell r="F6838"/>
          <cell r="G6838"/>
          <cell r="H6838"/>
          <cell r="J6838"/>
          <cell r="L6838"/>
          <cell r="M6838"/>
        </row>
        <row r="6839">
          <cell r="B6839"/>
          <cell r="C6839"/>
          <cell r="E6839"/>
          <cell r="F6839"/>
          <cell r="G6839"/>
          <cell r="H6839"/>
          <cell r="J6839"/>
          <cell r="L6839"/>
          <cell r="M6839"/>
        </row>
        <row r="6840">
          <cell r="B6840"/>
          <cell r="C6840"/>
          <cell r="E6840"/>
          <cell r="F6840"/>
          <cell r="G6840"/>
          <cell r="H6840"/>
          <cell r="J6840"/>
          <cell r="L6840"/>
          <cell r="M6840"/>
        </row>
        <row r="6841">
          <cell r="B6841"/>
          <cell r="C6841"/>
          <cell r="E6841"/>
          <cell r="F6841"/>
          <cell r="G6841"/>
          <cell r="H6841"/>
          <cell r="J6841"/>
          <cell r="L6841"/>
          <cell r="M6841"/>
        </row>
        <row r="6842">
          <cell r="B6842"/>
          <cell r="C6842"/>
          <cell r="E6842"/>
          <cell r="F6842"/>
          <cell r="G6842"/>
          <cell r="H6842"/>
          <cell r="J6842"/>
          <cell r="L6842"/>
          <cell r="M6842"/>
        </row>
        <row r="6843">
          <cell r="B6843"/>
          <cell r="C6843"/>
          <cell r="E6843"/>
          <cell r="F6843"/>
          <cell r="G6843"/>
          <cell r="H6843"/>
          <cell r="J6843"/>
          <cell r="L6843"/>
          <cell r="M6843"/>
        </row>
        <row r="6844">
          <cell r="B6844"/>
          <cell r="C6844"/>
          <cell r="E6844"/>
          <cell r="F6844"/>
          <cell r="G6844"/>
          <cell r="H6844"/>
          <cell r="J6844"/>
          <cell r="L6844"/>
          <cell r="M6844"/>
        </row>
        <row r="6845">
          <cell r="B6845"/>
          <cell r="C6845"/>
          <cell r="E6845"/>
          <cell r="F6845"/>
          <cell r="G6845"/>
          <cell r="H6845"/>
          <cell r="J6845"/>
          <cell r="L6845"/>
          <cell r="M6845"/>
        </row>
        <row r="6846">
          <cell r="B6846"/>
          <cell r="C6846"/>
          <cell r="E6846"/>
          <cell r="F6846"/>
          <cell r="G6846"/>
          <cell r="H6846"/>
          <cell r="J6846"/>
          <cell r="L6846"/>
          <cell r="M6846"/>
        </row>
        <row r="6847">
          <cell r="B6847"/>
          <cell r="C6847"/>
          <cell r="E6847"/>
          <cell r="F6847"/>
          <cell r="G6847"/>
          <cell r="H6847"/>
          <cell r="J6847"/>
          <cell r="L6847"/>
          <cell r="M6847"/>
        </row>
        <row r="6848">
          <cell r="B6848"/>
          <cell r="C6848"/>
          <cell r="E6848"/>
          <cell r="F6848"/>
          <cell r="G6848"/>
          <cell r="H6848"/>
          <cell r="J6848"/>
          <cell r="L6848"/>
          <cell r="M6848"/>
        </row>
        <row r="6849">
          <cell r="B6849"/>
          <cell r="C6849"/>
          <cell r="E6849"/>
          <cell r="F6849"/>
          <cell r="G6849"/>
          <cell r="H6849"/>
          <cell r="J6849"/>
          <cell r="L6849"/>
          <cell r="M6849"/>
        </row>
        <row r="6850">
          <cell r="B6850"/>
          <cell r="C6850"/>
          <cell r="E6850"/>
          <cell r="F6850"/>
          <cell r="G6850"/>
          <cell r="H6850"/>
          <cell r="J6850"/>
          <cell r="L6850"/>
          <cell r="M6850"/>
        </row>
        <row r="6851">
          <cell r="B6851"/>
          <cell r="C6851"/>
          <cell r="E6851"/>
          <cell r="F6851"/>
          <cell r="G6851"/>
          <cell r="H6851"/>
          <cell r="J6851"/>
          <cell r="L6851"/>
          <cell r="M6851"/>
        </row>
        <row r="6852">
          <cell r="B6852"/>
          <cell r="C6852"/>
          <cell r="E6852"/>
          <cell r="F6852"/>
          <cell r="G6852"/>
          <cell r="H6852"/>
          <cell r="J6852"/>
          <cell r="L6852"/>
          <cell r="M6852"/>
        </row>
        <row r="6853">
          <cell r="B6853"/>
          <cell r="C6853"/>
          <cell r="E6853"/>
          <cell r="F6853"/>
          <cell r="G6853"/>
          <cell r="H6853"/>
          <cell r="J6853"/>
          <cell r="L6853"/>
          <cell r="M6853"/>
        </row>
        <row r="6854">
          <cell r="B6854"/>
          <cell r="C6854"/>
          <cell r="E6854"/>
          <cell r="F6854"/>
          <cell r="G6854"/>
          <cell r="H6854"/>
          <cell r="J6854"/>
          <cell r="L6854"/>
          <cell r="M6854"/>
        </row>
        <row r="6855">
          <cell r="B6855"/>
          <cell r="C6855"/>
          <cell r="E6855"/>
          <cell r="F6855"/>
          <cell r="G6855"/>
          <cell r="H6855"/>
          <cell r="J6855"/>
          <cell r="L6855"/>
          <cell r="M6855"/>
        </row>
        <row r="6856">
          <cell r="B6856"/>
          <cell r="C6856"/>
          <cell r="E6856"/>
          <cell r="F6856"/>
          <cell r="G6856"/>
          <cell r="H6856"/>
          <cell r="J6856"/>
          <cell r="L6856"/>
          <cell r="M6856"/>
        </row>
        <row r="6857">
          <cell r="B6857"/>
          <cell r="C6857"/>
          <cell r="E6857"/>
          <cell r="F6857"/>
          <cell r="G6857"/>
          <cell r="H6857"/>
          <cell r="J6857"/>
          <cell r="L6857"/>
          <cell r="M6857"/>
        </row>
        <row r="6858">
          <cell r="B6858"/>
          <cell r="C6858"/>
          <cell r="E6858"/>
          <cell r="F6858"/>
          <cell r="G6858"/>
          <cell r="H6858"/>
          <cell r="J6858"/>
          <cell r="L6858"/>
          <cell r="M6858"/>
        </row>
        <row r="6859">
          <cell r="B6859"/>
          <cell r="C6859"/>
          <cell r="E6859"/>
          <cell r="F6859"/>
          <cell r="G6859"/>
          <cell r="H6859"/>
          <cell r="J6859"/>
          <cell r="L6859"/>
          <cell r="M6859"/>
        </row>
        <row r="6860">
          <cell r="B6860"/>
          <cell r="C6860"/>
          <cell r="E6860"/>
          <cell r="F6860"/>
          <cell r="G6860"/>
          <cell r="H6860"/>
          <cell r="J6860"/>
          <cell r="L6860"/>
          <cell r="M6860"/>
        </row>
        <row r="6861">
          <cell r="B6861"/>
          <cell r="C6861"/>
          <cell r="E6861"/>
          <cell r="F6861"/>
          <cell r="G6861"/>
          <cell r="H6861"/>
          <cell r="J6861"/>
          <cell r="L6861"/>
          <cell r="M6861"/>
        </row>
        <row r="6862">
          <cell r="B6862"/>
          <cell r="C6862"/>
          <cell r="E6862"/>
          <cell r="F6862"/>
          <cell r="G6862"/>
          <cell r="H6862"/>
          <cell r="J6862"/>
          <cell r="L6862"/>
          <cell r="M6862"/>
        </row>
        <row r="6863">
          <cell r="B6863"/>
          <cell r="C6863"/>
          <cell r="E6863"/>
          <cell r="F6863"/>
          <cell r="G6863"/>
          <cell r="H6863"/>
          <cell r="J6863"/>
          <cell r="L6863"/>
          <cell r="M6863"/>
        </row>
        <row r="6864">
          <cell r="B6864"/>
          <cell r="C6864"/>
          <cell r="E6864"/>
          <cell r="F6864"/>
          <cell r="G6864"/>
          <cell r="H6864"/>
          <cell r="J6864"/>
          <cell r="L6864"/>
          <cell r="M6864"/>
        </row>
        <row r="6865">
          <cell r="B6865"/>
          <cell r="C6865"/>
          <cell r="E6865"/>
          <cell r="F6865"/>
          <cell r="G6865"/>
          <cell r="H6865"/>
          <cell r="J6865"/>
          <cell r="L6865"/>
          <cell r="M6865"/>
        </row>
        <row r="6866">
          <cell r="B6866"/>
          <cell r="C6866"/>
          <cell r="E6866"/>
          <cell r="F6866"/>
          <cell r="G6866"/>
          <cell r="H6866"/>
          <cell r="J6866"/>
          <cell r="L6866"/>
          <cell r="M6866"/>
        </row>
        <row r="6867">
          <cell r="B6867"/>
          <cell r="C6867"/>
          <cell r="E6867"/>
          <cell r="F6867"/>
          <cell r="G6867"/>
          <cell r="H6867"/>
          <cell r="J6867"/>
          <cell r="L6867"/>
          <cell r="M6867"/>
        </row>
        <row r="6868">
          <cell r="B6868"/>
          <cell r="C6868"/>
          <cell r="E6868"/>
          <cell r="F6868"/>
          <cell r="G6868"/>
          <cell r="H6868"/>
          <cell r="J6868"/>
          <cell r="L6868"/>
          <cell r="M6868"/>
        </row>
        <row r="6869">
          <cell r="B6869"/>
          <cell r="C6869"/>
          <cell r="E6869"/>
          <cell r="F6869"/>
          <cell r="G6869"/>
          <cell r="H6869"/>
          <cell r="J6869"/>
          <cell r="L6869"/>
          <cell r="M6869"/>
        </row>
        <row r="6870">
          <cell r="B6870"/>
          <cell r="C6870"/>
          <cell r="E6870"/>
          <cell r="F6870"/>
          <cell r="G6870"/>
          <cell r="H6870"/>
          <cell r="J6870"/>
          <cell r="L6870"/>
          <cell r="M6870"/>
        </row>
        <row r="6871">
          <cell r="B6871"/>
          <cell r="C6871"/>
          <cell r="E6871"/>
          <cell r="F6871"/>
          <cell r="G6871"/>
          <cell r="H6871"/>
          <cell r="J6871"/>
          <cell r="L6871"/>
          <cell r="M6871"/>
        </row>
        <row r="6872">
          <cell r="B6872"/>
          <cell r="C6872"/>
          <cell r="E6872"/>
          <cell r="F6872"/>
          <cell r="G6872"/>
          <cell r="H6872"/>
          <cell r="J6872"/>
          <cell r="L6872"/>
          <cell r="M6872"/>
        </row>
        <row r="6873">
          <cell r="B6873"/>
          <cell r="C6873"/>
          <cell r="E6873"/>
          <cell r="F6873"/>
          <cell r="G6873"/>
          <cell r="H6873"/>
          <cell r="J6873"/>
          <cell r="L6873"/>
          <cell r="M6873"/>
        </row>
        <row r="6874">
          <cell r="B6874"/>
          <cell r="C6874"/>
          <cell r="E6874"/>
          <cell r="F6874"/>
          <cell r="G6874"/>
          <cell r="H6874"/>
          <cell r="J6874"/>
          <cell r="L6874"/>
          <cell r="M6874"/>
        </row>
        <row r="6875">
          <cell r="B6875"/>
          <cell r="C6875"/>
          <cell r="E6875"/>
          <cell r="F6875"/>
          <cell r="G6875"/>
          <cell r="H6875"/>
          <cell r="J6875"/>
          <cell r="L6875"/>
          <cell r="M6875"/>
        </row>
        <row r="6876">
          <cell r="B6876"/>
          <cell r="C6876"/>
          <cell r="E6876"/>
          <cell r="F6876"/>
          <cell r="G6876"/>
          <cell r="H6876"/>
          <cell r="J6876"/>
          <cell r="L6876"/>
          <cell r="M6876"/>
        </row>
        <row r="6877">
          <cell r="B6877"/>
          <cell r="C6877"/>
          <cell r="E6877"/>
          <cell r="F6877"/>
          <cell r="G6877"/>
          <cell r="H6877"/>
          <cell r="J6877"/>
          <cell r="L6877"/>
          <cell r="M6877"/>
        </row>
        <row r="6878">
          <cell r="B6878"/>
          <cell r="C6878"/>
          <cell r="E6878"/>
          <cell r="F6878"/>
          <cell r="G6878"/>
          <cell r="H6878"/>
          <cell r="J6878"/>
          <cell r="L6878"/>
          <cell r="M6878"/>
        </row>
        <row r="6879">
          <cell r="B6879"/>
          <cell r="C6879"/>
          <cell r="E6879"/>
          <cell r="F6879"/>
          <cell r="G6879"/>
          <cell r="H6879"/>
          <cell r="J6879"/>
          <cell r="L6879"/>
          <cell r="M6879"/>
        </row>
        <row r="6880">
          <cell r="B6880"/>
          <cell r="C6880"/>
          <cell r="E6880"/>
          <cell r="F6880"/>
          <cell r="G6880"/>
          <cell r="H6880"/>
          <cell r="J6880"/>
          <cell r="L6880"/>
          <cell r="M6880"/>
        </row>
        <row r="6881">
          <cell r="B6881"/>
          <cell r="C6881"/>
          <cell r="E6881"/>
          <cell r="F6881"/>
          <cell r="G6881"/>
          <cell r="H6881"/>
          <cell r="J6881"/>
          <cell r="L6881"/>
          <cell r="M6881"/>
        </row>
        <row r="6882">
          <cell r="B6882"/>
          <cell r="C6882"/>
          <cell r="E6882"/>
          <cell r="F6882"/>
          <cell r="G6882"/>
          <cell r="H6882"/>
          <cell r="J6882"/>
          <cell r="L6882"/>
          <cell r="M6882"/>
        </row>
        <row r="6883">
          <cell r="B6883"/>
          <cell r="C6883"/>
          <cell r="E6883"/>
          <cell r="F6883"/>
          <cell r="G6883"/>
          <cell r="H6883"/>
          <cell r="J6883"/>
          <cell r="L6883"/>
          <cell r="M6883"/>
        </row>
        <row r="6884">
          <cell r="B6884"/>
          <cell r="C6884"/>
          <cell r="E6884"/>
          <cell r="F6884"/>
          <cell r="G6884"/>
          <cell r="H6884"/>
          <cell r="J6884"/>
          <cell r="L6884"/>
          <cell r="M6884"/>
        </row>
        <row r="6885">
          <cell r="B6885"/>
          <cell r="C6885"/>
          <cell r="E6885"/>
          <cell r="F6885"/>
          <cell r="G6885"/>
          <cell r="H6885"/>
          <cell r="J6885"/>
          <cell r="L6885"/>
          <cell r="M6885"/>
        </row>
        <row r="6886">
          <cell r="B6886"/>
          <cell r="C6886"/>
          <cell r="E6886"/>
          <cell r="F6886"/>
          <cell r="G6886"/>
          <cell r="H6886"/>
          <cell r="J6886"/>
          <cell r="L6886"/>
          <cell r="M6886"/>
        </row>
        <row r="6887">
          <cell r="B6887"/>
          <cell r="C6887"/>
          <cell r="E6887"/>
          <cell r="F6887"/>
          <cell r="G6887"/>
          <cell r="H6887"/>
          <cell r="J6887"/>
          <cell r="L6887"/>
          <cell r="M6887"/>
        </row>
        <row r="6888">
          <cell r="B6888"/>
          <cell r="C6888"/>
          <cell r="E6888"/>
          <cell r="F6888"/>
          <cell r="G6888"/>
          <cell r="H6888"/>
          <cell r="J6888"/>
          <cell r="L6888"/>
          <cell r="M6888"/>
        </row>
        <row r="6889">
          <cell r="B6889"/>
          <cell r="C6889"/>
          <cell r="E6889"/>
          <cell r="F6889"/>
          <cell r="G6889"/>
          <cell r="H6889"/>
          <cell r="J6889"/>
          <cell r="L6889"/>
          <cell r="M6889"/>
        </row>
        <row r="6890">
          <cell r="B6890"/>
          <cell r="C6890"/>
          <cell r="E6890"/>
          <cell r="F6890"/>
          <cell r="G6890"/>
          <cell r="H6890"/>
          <cell r="J6890"/>
          <cell r="L6890"/>
          <cell r="M6890"/>
        </row>
        <row r="6891">
          <cell r="B6891"/>
          <cell r="C6891"/>
          <cell r="E6891"/>
          <cell r="F6891"/>
          <cell r="G6891"/>
          <cell r="H6891"/>
          <cell r="J6891"/>
          <cell r="L6891"/>
          <cell r="M6891"/>
        </row>
        <row r="6892">
          <cell r="B6892"/>
          <cell r="C6892"/>
          <cell r="E6892"/>
          <cell r="F6892"/>
          <cell r="G6892"/>
          <cell r="H6892"/>
          <cell r="J6892"/>
          <cell r="L6892"/>
          <cell r="M6892"/>
        </row>
        <row r="6893">
          <cell r="B6893"/>
          <cell r="C6893"/>
          <cell r="E6893"/>
          <cell r="F6893"/>
          <cell r="G6893"/>
          <cell r="H6893"/>
          <cell r="J6893"/>
          <cell r="L6893"/>
          <cell r="M6893"/>
        </row>
        <row r="6894">
          <cell r="B6894"/>
          <cell r="C6894"/>
          <cell r="E6894"/>
          <cell r="F6894"/>
          <cell r="G6894"/>
          <cell r="H6894"/>
          <cell r="J6894"/>
          <cell r="L6894"/>
          <cell r="M6894"/>
        </row>
        <row r="6895">
          <cell r="B6895"/>
          <cell r="C6895"/>
          <cell r="E6895"/>
          <cell r="F6895"/>
          <cell r="G6895"/>
          <cell r="H6895"/>
          <cell r="J6895"/>
          <cell r="L6895"/>
          <cell r="M6895"/>
        </row>
        <row r="6896">
          <cell r="B6896"/>
          <cell r="C6896"/>
          <cell r="E6896"/>
          <cell r="F6896"/>
          <cell r="G6896"/>
          <cell r="H6896"/>
          <cell r="J6896"/>
          <cell r="L6896"/>
          <cell r="M6896"/>
        </row>
        <row r="6897">
          <cell r="B6897"/>
          <cell r="C6897"/>
          <cell r="E6897"/>
          <cell r="F6897"/>
          <cell r="G6897"/>
          <cell r="H6897"/>
          <cell r="J6897"/>
          <cell r="L6897"/>
          <cell r="M6897"/>
        </row>
        <row r="6898">
          <cell r="B6898"/>
          <cell r="C6898"/>
          <cell r="E6898"/>
          <cell r="F6898"/>
          <cell r="G6898"/>
          <cell r="H6898"/>
          <cell r="J6898"/>
          <cell r="L6898"/>
          <cell r="M6898"/>
        </row>
        <row r="6899">
          <cell r="B6899"/>
          <cell r="C6899"/>
          <cell r="E6899"/>
          <cell r="F6899"/>
          <cell r="G6899"/>
          <cell r="H6899"/>
          <cell r="J6899"/>
          <cell r="L6899"/>
          <cell r="M6899"/>
        </row>
        <row r="6900">
          <cell r="B6900"/>
          <cell r="C6900"/>
          <cell r="E6900"/>
          <cell r="F6900"/>
          <cell r="G6900"/>
          <cell r="H6900"/>
          <cell r="J6900"/>
          <cell r="L6900"/>
          <cell r="M6900"/>
        </row>
        <row r="6901">
          <cell r="B6901"/>
          <cell r="C6901"/>
          <cell r="E6901"/>
          <cell r="F6901"/>
          <cell r="G6901"/>
          <cell r="H6901"/>
          <cell r="J6901"/>
          <cell r="L6901"/>
          <cell r="M6901"/>
        </row>
        <row r="6902">
          <cell r="B6902"/>
          <cell r="C6902"/>
          <cell r="E6902"/>
          <cell r="F6902"/>
          <cell r="G6902"/>
          <cell r="H6902"/>
          <cell r="J6902"/>
          <cell r="L6902"/>
          <cell r="M6902"/>
        </row>
        <row r="6903">
          <cell r="B6903"/>
          <cell r="C6903"/>
          <cell r="E6903"/>
          <cell r="F6903"/>
          <cell r="G6903"/>
          <cell r="H6903"/>
          <cell r="J6903"/>
          <cell r="L6903"/>
          <cell r="M6903"/>
        </row>
        <row r="6904">
          <cell r="B6904"/>
          <cell r="C6904"/>
          <cell r="E6904"/>
          <cell r="F6904"/>
          <cell r="G6904"/>
          <cell r="H6904"/>
          <cell r="J6904"/>
          <cell r="L6904"/>
          <cell r="M6904"/>
        </row>
        <row r="6905">
          <cell r="B6905"/>
          <cell r="C6905"/>
          <cell r="E6905"/>
          <cell r="F6905"/>
          <cell r="G6905"/>
          <cell r="H6905"/>
          <cell r="J6905"/>
          <cell r="L6905"/>
          <cell r="M6905"/>
        </row>
        <row r="6906">
          <cell r="B6906"/>
          <cell r="C6906"/>
          <cell r="E6906"/>
          <cell r="F6906"/>
          <cell r="G6906"/>
          <cell r="H6906"/>
          <cell r="J6906"/>
          <cell r="L6906"/>
          <cell r="M6906"/>
        </row>
        <row r="6907">
          <cell r="B6907"/>
          <cell r="C6907"/>
          <cell r="E6907"/>
          <cell r="F6907"/>
          <cell r="G6907"/>
          <cell r="H6907"/>
          <cell r="J6907"/>
          <cell r="L6907"/>
          <cell r="M6907"/>
        </row>
        <row r="6908">
          <cell r="B6908"/>
          <cell r="C6908"/>
          <cell r="E6908"/>
          <cell r="F6908"/>
          <cell r="G6908"/>
          <cell r="H6908"/>
          <cell r="J6908"/>
          <cell r="L6908"/>
          <cell r="M6908"/>
        </row>
        <row r="6909">
          <cell r="B6909"/>
          <cell r="C6909"/>
          <cell r="E6909"/>
          <cell r="F6909"/>
          <cell r="G6909"/>
          <cell r="H6909"/>
          <cell r="J6909"/>
          <cell r="L6909"/>
          <cell r="M6909"/>
        </row>
        <row r="6910">
          <cell r="B6910"/>
          <cell r="C6910"/>
          <cell r="E6910"/>
          <cell r="F6910"/>
          <cell r="G6910"/>
          <cell r="H6910"/>
          <cell r="J6910"/>
          <cell r="L6910"/>
          <cell r="M6910"/>
        </row>
        <row r="6911">
          <cell r="B6911"/>
          <cell r="C6911"/>
          <cell r="E6911"/>
          <cell r="F6911"/>
          <cell r="G6911"/>
          <cell r="H6911"/>
          <cell r="J6911"/>
          <cell r="L6911"/>
          <cell r="M6911"/>
        </row>
        <row r="6912">
          <cell r="B6912"/>
          <cell r="C6912"/>
          <cell r="E6912"/>
          <cell r="F6912"/>
          <cell r="G6912"/>
          <cell r="H6912"/>
          <cell r="J6912"/>
          <cell r="L6912"/>
          <cell r="M6912"/>
        </row>
        <row r="6913">
          <cell r="B6913"/>
          <cell r="C6913"/>
          <cell r="E6913"/>
          <cell r="F6913"/>
          <cell r="G6913"/>
          <cell r="H6913"/>
          <cell r="J6913"/>
          <cell r="L6913"/>
          <cell r="M6913"/>
        </row>
        <row r="6914">
          <cell r="B6914"/>
          <cell r="C6914"/>
          <cell r="E6914"/>
          <cell r="F6914"/>
          <cell r="G6914"/>
          <cell r="H6914"/>
          <cell r="J6914"/>
          <cell r="L6914"/>
          <cell r="M6914"/>
        </row>
        <row r="6915">
          <cell r="B6915"/>
          <cell r="C6915"/>
          <cell r="E6915"/>
          <cell r="F6915"/>
          <cell r="G6915"/>
          <cell r="H6915"/>
          <cell r="J6915"/>
          <cell r="L6915"/>
          <cell r="M6915"/>
        </row>
        <row r="6916">
          <cell r="B6916"/>
          <cell r="C6916"/>
          <cell r="E6916"/>
          <cell r="F6916"/>
          <cell r="G6916"/>
          <cell r="H6916"/>
          <cell r="J6916"/>
          <cell r="L6916"/>
          <cell r="M6916"/>
        </row>
        <row r="6917">
          <cell r="B6917"/>
          <cell r="C6917"/>
          <cell r="E6917"/>
          <cell r="F6917"/>
          <cell r="G6917"/>
          <cell r="H6917"/>
          <cell r="J6917"/>
          <cell r="L6917"/>
          <cell r="M6917"/>
        </row>
        <row r="6918">
          <cell r="B6918"/>
          <cell r="C6918"/>
          <cell r="E6918"/>
          <cell r="F6918"/>
          <cell r="G6918"/>
          <cell r="H6918"/>
          <cell r="J6918"/>
          <cell r="L6918"/>
          <cell r="M6918"/>
        </row>
        <row r="6919">
          <cell r="B6919"/>
          <cell r="C6919"/>
          <cell r="E6919"/>
          <cell r="F6919"/>
          <cell r="G6919"/>
          <cell r="H6919"/>
          <cell r="J6919"/>
          <cell r="L6919"/>
          <cell r="M6919"/>
        </row>
        <row r="6920">
          <cell r="B6920"/>
          <cell r="C6920"/>
          <cell r="E6920"/>
          <cell r="F6920"/>
          <cell r="G6920"/>
          <cell r="H6920"/>
          <cell r="J6920"/>
          <cell r="L6920"/>
          <cell r="M6920"/>
        </row>
        <row r="6921">
          <cell r="B6921"/>
          <cell r="C6921"/>
          <cell r="E6921"/>
          <cell r="F6921"/>
          <cell r="G6921"/>
          <cell r="H6921"/>
          <cell r="J6921"/>
          <cell r="L6921"/>
          <cell r="M6921"/>
        </row>
        <row r="6922">
          <cell r="B6922"/>
          <cell r="C6922"/>
          <cell r="E6922"/>
          <cell r="F6922"/>
          <cell r="G6922"/>
          <cell r="H6922"/>
          <cell r="J6922"/>
          <cell r="L6922"/>
          <cell r="M6922"/>
        </row>
        <row r="6923">
          <cell r="B6923"/>
          <cell r="C6923"/>
          <cell r="E6923"/>
          <cell r="F6923"/>
          <cell r="G6923"/>
          <cell r="H6923"/>
          <cell r="J6923"/>
          <cell r="L6923"/>
          <cell r="M6923"/>
        </row>
        <row r="6924">
          <cell r="B6924"/>
          <cell r="C6924"/>
          <cell r="E6924"/>
          <cell r="F6924"/>
          <cell r="G6924"/>
          <cell r="H6924"/>
          <cell r="J6924"/>
          <cell r="L6924"/>
          <cell r="M6924"/>
        </row>
        <row r="6925">
          <cell r="B6925"/>
          <cell r="C6925"/>
          <cell r="E6925"/>
          <cell r="F6925"/>
          <cell r="G6925"/>
          <cell r="H6925"/>
          <cell r="J6925"/>
          <cell r="L6925"/>
          <cell r="M6925"/>
        </row>
        <row r="6926">
          <cell r="B6926"/>
          <cell r="C6926"/>
          <cell r="E6926"/>
          <cell r="F6926"/>
          <cell r="G6926"/>
          <cell r="H6926"/>
          <cell r="J6926"/>
          <cell r="L6926"/>
          <cell r="M6926"/>
        </row>
        <row r="6927">
          <cell r="B6927"/>
          <cell r="C6927"/>
          <cell r="E6927"/>
          <cell r="F6927"/>
          <cell r="G6927"/>
          <cell r="H6927"/>
          <cell r="J6927"/>
          <cell r="L6927"/>
          <cell r="M6927"/>
        </row>
        <row r="6928">
          <cell r="B6928"/>
          <cell r="C6928"/>
          <cell r="E6928"/>
          <cell r="F6928"/>
          <cell r="G6928"/>
          <cell r="H6928"/>
          <cell r="J6928"/>
          <cell r="L6928"/>
          <cell r="M6928"/>
        </row>
        <row r="6929">
          <cell r="B6929"/>
          <cell r="C6929"/>
          <cell r="E6929"/>
          <cell r="F6929"/>
          <cell r="G6929"/>
          <cell r="H6929"/>
          <cell r="J6929"/>
          <cell r="L6929"/>
          <cell r="M6929"/>
        </row>
        <row r="6930">
          <cell r="B6930"/>
          <cell r="C6930"/>
          <cell r="E6930"/>
          <cell r="F6930"/>
          <cell r="G6930"/>
          <cell r="H6930"/>
          <cell r="J6930"/>
          <cell r="L6930"/>
          <cell r="M6930"/>
        </row>
        <row r="6931">
          <cell r="B6931"/>
          <cell r="C6931"/>
          <cell r="E6931"/>
          <cell r="F6931"/>
          <cell r="G6931"/>
          <cell r="H6931"/>
          <cell r="J6931"/>
          <cell r="L6931"/>
          <cell r="M6931"/>
        </row>
        <row r="6932">
          <cell r="B6932"/>
          <cell r="C6932"/>
          <cell r="E6932"/>
          <cell r="F6932"/>
          <cell r="G6932"/>
          <cell r="H6932"/>
          <cell r="J6932"/>
          <cell r="L6932"/>
          <cell r="M6932"/>
        </row>
        <row r="6933">
          <cell r="B6933"/>
          <cell r="C6933"/>
          <cell r="E6933"/>
          <cell r="F6933"/>
          <cell r="G6933"/>
          <cell r="H6933"/>
          <cell r="J6933"/>
          <cell r="L6933"/>
          <cell r="M6933"/>
        </row>
        <row r="6934">
          <cell r="B6934"/>
          <cell r="C6934"/>
          <cell r="E6934"/>
          <cell r="F6934"/>
          <cell r="G6934"/>
          <cell r="H6934"/>
          <cell r="J6934"/>
          <cell r="L6934"/>
          <cell r="M6934"/>
        </row>
        <row r="6935">
          <cell r="B6935"/>
          <cell r="C6935"/>
          <cell r="E6935"/>
          <cell r="F6935"/>
          <cell r="G6935"/>
          <cell r="H6935"/>
          <cell r="J6935"/>
          <cell r="L6935"/>
          <cell r="M6935"/>
        </row>
        <row r="6936">
          <cell r="B6936"/>
          <cell r="C6936"/>
          <cell r="E6936"/>
          <cell r="F6936"/>
          <cell r="G6936"/>
          <cell r="H6936"/>
          <cell r="J6936"/>
          <cell r="L6936"/>
          <cell r="M6936"/>
        </row>
        <row r="6937">
          <cell r="B6937"/>
          <cell r="C6937"/>
          <cell r="E6937"/>
          <cell r="F6937"/>
          <cell r="G6937"/>
          <cell r="H6937"/>
          <cell r="J6937"/>
          <cell r="L6937"/>
          <cell r="M6937"/>
        </row>
        <row r="6938">
          <cell r="B6938"/>
          <cell r="C6938"/>
          <cell r="E6938"/>
          <cell r="F6938"/>
          <cell r="G6938"/>
          <cell r="H6938"/>
          <cell r="J6938"/>
          <cell r="L6938"/>
          <cell r="M6938"/>
        </row>
        <row r="6939">
          <cell r="B6939"/>
          <cell r="C6939"/>
          <cell r="E6939"/>
          <cell r="F6939"/>
          <cell r="G6939"/>
          <cell r="H6939"/>
          <cell r="J6939"/>
          <cell r="L6939"/>
          <cell r="M6939"/>
        </row>
        <row r="6940">
          <cell r="B6940"/>
          <cell r="C6940"/>
          <cell r="E6940"/>
          <cell r="F6940"/>
          <cell r="G6940"/>
          <cell r="H6940"/>
          <cell r="J6940"/>
          <cell r="L6940"/>
          <cell r="M6940"/>
        </row>
        <row r="6941">
          <cell r="B6941"/>
          <cell r="C6941"/>
          <cell r="E6941"/>
          <cell r="F6941"/>
          <cell r="G6941"/>
          <cell r="H6941"/>
          <cell r="J6941"/>
          <cell r="L6941"/>
          <cell r="M6941"/>
        </row>
        <row r="6942">
          <cell r="B6942"/>
          <cell r="C6942"/>
          <cell r="E6942"/>
          <cell r="F6942"/>
          <cell r="G6942"/>
          <cell r="H6942"/>
          <cell r="J6942"/>
          <cell r="L6942"/>
          <cell r="M6942"/>
        </row>
        <row r="6943">
          <cell r="B6943"/>
          <cell r="C6943"/>
          <cell r="E6943"/>
          <cell r="F6943"/>
          <cell r="G6943"/>
          <cell r="H6943"/>
          <cell r="J6943"/>
          <cell r="L6943"/>
          <cell r="M6943"/>
        </row>
        <row r="6944">
          <cell r="B6944"/>
          <cell r="C6944"/>
          <cell r="E6944"/>
          <cell r="F6944"/>
          <cell r="G6944"/>
          <cell r="H6944"/>
          <cell r="J6944"/>
          <cell r="L6944"/>
          <cell r="M6944"/>
        </row>
        <row r="6945">
          <cell r="B6945"/>
          <cell r="C6945"/>
          <cell r="E6945"/>
          <cell r="F6945"/>
          <cell r="G6945"/>
          <cell r="H6945"/>
          <cell r="J6945"/>
          <cell r="L6945"/>
          <cell r="M6945"/>
        </row>
        <row r="6946">
          <cell r="B6946"/>
          <cell r="C6946"/>
          <cell r="E6946"/>
          <cell r="F6946"/>
          <cell r="G6946"/>
          <cell r="H6946"/>
          <cell r="J6946"/>
          <cell r="L6946"/>
          <cell r="M6946"/>
        </row>
        <row r="6947">
          <cell r="B6947"/>
          <cell r="C6947"/>
          <cell r="E6947"/>
          <cell r="F6947"/>
          <cell r="G6947"/>
          <cell r="H6947"/>
          <cell r="J6947"/>
          <cell r="L6947"/>
          <cell r="M6947"/>
        </row>
        <row r="6948">
          <cell r="B6948"/>
          <cell r="C6948"/>
          <cell r="E6948"/>
          <cell r="F6948"/>
          <cell r="G6948"/>
          <cell r="H6948"/>
          <cell r="J6948"/>
          <cell r="L6948"/>
          <cell r="M6948"/>
        </row>
        <row r="6949">
          <cell r="B6949"/>
          <cell r="C6949"/>
          <cell r="E6949"/>
          <cell r="F6949"/>
          <cell r="G6949"/>
          <cell r="H6949"/>
          <cell r="J6949"/>
          <cell r="L6949"/>
          <cell r="M6949"/>
        </row>
        <row r="6950">
          <cell r="B6950"/>
          <cell r="C6950"/>
          <cell r="E6950"/>
          <cell r="F6950"/>
          <cell r="G6950"/>
          <cell r="H6950"/>
          <cell r="J6950"/>
          <cell r="L6950"/>
          <cell r="M6950"/>
        </row>
        <row r="6951">
          <cell r="B6951"/>
          <cell r="C6951"/>
          <cell r="E6951"/>
          <cell r="F6951"/>
          <cell r="G6951"/>
          <cell r="H6951"/>
          <cell r="J6951"/>
          <cell r="L6951"/>
          <cell r="M6951"/>
        </row>
        <row r="6952">
          <cell r="B6952"/>
          <cell r="C6952"/>
          <cell r="E6952"/>
          <cell r="F6952"/>
          <cell r="G6952"/>
          <cell r="H6952"/>
          <cell r="J6952"/>
          <cell r="L6952"/>
          <cell r="M6952"/>
        </row>
        <row r="6953">
          <cell r="B6953"/>
          <cell r="C6953"/>
          <cell r="E6953"/>
          <cell r="F6953"/>
          <cell r="G6953"/>
          <cell r="H6953"/>
          <cell r="J6953"/>
          <cell r="L6953"/>
          <cell r="M6953"/>
        </row>
        <row r="6954">
          <cell r="B6954"/>
          <cell r="C6954"/>
          <cell r="E6954"/>
          <cell r="F6954"/>
          <cell r="G6954"/>
          <cell r="H6954"/>
          <cell r="J6954"/>
          <cell r="L6954"/>
          <cell r="M6954"/>
        </row>
        <row r="6955">
          <cell r="B6955"/>
          <cell r="C6955"/>
          <cell r="E6955"/>
          <cell r="F6955"/>
          <cell r="G6955"/>
          <cell r="H6955"/>
          <cell r="J6955"/>
          <cell r="L6955"/>
          <cell r="M6955"/>
        </row>
        <row r="6956">
          <cell r="B6956"/>
          <cell r="C6956"/>
          <cell r="E6956"/>
          <cell r="F6956"/>
          <cell r="G6956"/>
          <cell r="H6956"/>
          <cell r="J6956"/>
          <cell r="L6956"/>
          <cell r="M6956"/>
        </row>
        <row r="6957">
          <cell r="B6957"/>
          <cell r="C6957"/>
          <cell r="E6957"/>
          <cell r="F6957"/>
          <cell r="G6957"/>
          <cell r="H6957"/>
          <cell r="J6957"/>
          <cell r="L6957"/>
          <cell r="M6957"/>
        </row>
        <row r="6958">
          <cell r="B6958"/>
          <cell r="C6958"/>
          <cell r="E6958"/>
          <cell r="F6958"/>
          <cell r="G6958"/>
          <cell r="H6958"/>
          <cell r="J6958"/>
          <cell r="L6958"/>
          <cell r="M6958"/>
        </row>
        <row r="6959">
          <cell r="B6959"/>
          <cell r="C6959"/>
          <cell r="E6959"/>
          <cell r="F6959"/>
          <cell r="G6959"/>
          <cell r="H6959"/>
          <cell r="J6959"/>
          <cell r="L6959"/>
          <cell r="M6959"/>
        </row>
        <row r="6960">
          <cell r="B6960"/>
          <cell r="C6960"/>
          <cell r="E6960"/>
          <cell r="F6960"/>
          <cell r="G6960"/>
          <cell r="H6960"/>
          <cell r="J6960"/>
          <cell r="L6960"/>
          <cell r="M6960"/>
        </row>
        <row r="6961">
          <cell r="B6961"/>
          <cell r="C6961"/>
          <cell r="E6961"/>
          <cell r="F6961"/>
          <cell r="G6961"/>
          <cell r="H6961"/>
          <cell r="J6961"/>
          <cell r="L6961"/>
          <cell r="M6961"/>
        </row>
        <row r="6962">
          <cell r="B6962"/>
          <cell r="C6962"/>
          <cell r="E6962"/>
          <cell r="F6962"/>
          <cell r="G6962"/>
          <cell r="H6962"/>
          <cell r="J6962"/>
          <cell r="L6962"/>
          <cell r="M6962"/>
        </row>
        <row r="6963">
          <cell r="B6963"/>
          <cell r="C6963"/>
          <cell r="E6963"/>
          <cell r="F6963"/>
          <cell r="G6963"/>
          <cell r="H6963"/>
          <cell r="J6963"/>
          <cell r="L6963"/>
          <cell r="M6963"/>
        </row>
        <row r="6964">
          <cell r="B6964"/>
          <cell r="C6964"/>
          <cell r="E6964"/>
          <cell r="F6964"/>
          <cell r="G6964"/>
          <cell r="H6964"/>
          <cell r="J6964"/>
          <cell r="L6964"/>
          <cell r="M6964"/>
        </row>
        <row r="6965">
          <cell r="B6965"/>
          <cell r="C6965"/>
          <cell r="E6965"/>
          <cell r="F6965"/>
          <cell r="G6965"/>
          <cell r="H6965"/>
          <cell r="J6965"/>
          <cell r="L6965"/>
          <cell r="M6965"/>
        </row>
        <row r="6966">
          <cell r="B6966"/>
          <cell r="C6966"/>
          <cell r="E6966"/>
          <cell r="F6966"/>
          <cell r="G6966"/>
          <cell r="H6966"/>
          <cell r="J6966"/>
          <cell r="L6966"/>
          <cell r="M6966"/>
        </row>
        <row r="6967">
          <cell r="B6967"/>
          <cell r="C6967"/>
          <cell r="E6967"/>
          <cell r="F6967"/>
          <cell r="G6967"/>
          <cell r="H6967"/>
          <cell r="J6967"/>
          <cell r="L6967"/>
          <cell r="M6967"/>
        </row>
        <row r="6968">
          <cell r="B6968"/>
          <cell r="C6968"/>
          <cell r="E6968"/>
          <cell r="F6968"/>
          <cell r="G6968"/>
          <cell r="H6968"/>
          <cell r="J6968"/>
          <cell r="L6968"/>
          <cell r="M6968"/>
        </row>
        <row r="6969">
          <cell r="B6969"/>
          <cell r="C6969"/>
          <cell r="E6969"/>
          <cell r="F6969"/>
          <cell r="G6969"/>
          <cell r="H6969"/>
          <cell r="J6969"/>
          <cell r="L6969"/>
          <cell r="M6969"/>
        </row>
        <row r="6970">
          <cell r="B6970"/>
          <cell r="C6970"/>
          <cell r="E6970"/>
          <cell r="F6970"/>
          <cell r="G6970"/>
          <cell r="H6970"/>
          <cell r="J6970"/>
          <cell r="L6970"/>
          <cell r="M6970"/>
        </row>
        <row r="6971">
          <cell r="B6971"/>
          <cell r="C6971"/>
          <cell r="E6971"/>
          <cell r="F6971"/>
          <cell r="G6971"/>
          <cell r="H6971"/>
          <cell r="J6971"/>
          <cell r="L6971"/>
          <cell r="M6971"/>
        </row>
        <row r="6972">
          <cell r="B6972"/>
          <cell r="C6972"/>
          <cell r="E6972"/>
          <cell r="F6972"/>
          <cell r="G6972"/>
          <cell r="H6972"/>
          <cell r="J6972"/>
          <cell r="L6972"/>
          <cell r="M6972"/>
        </row>
        <row r="6973">
          <cell r="B6973"/>
          <cell r="C6973"/>
          <cell r="E6973"/>
          <cell r="F6973"/>
          <cell r="G6973"/>
          <cell r="H6973"/>
          <cell r="J6973"/>
          <cell r="L6973"/>
          <cell r="M6973"/>
        </row>
        <row r="6974">
          <cell r="B6974"/>
          <cell r="C6974"/>
          <cell r="E6974"/>
          <cell r="F6974"/>
          <cell r="G6974"/>
          <cell r="H6974"/>
          <cell r="J6974"/>
          <cell r="L6974"/>
          <cell r="M6974"/>
        </row>
        <row r="6975">
          <cell r="B6975"/>
          <cell r="C6975"/>
          <cell r="E6975"/>
          <cell r="F6975"/>
          <cell r="G6975"/>
          <cell r="H6975"/>
          <cell r="J6975"/>
          <cell r="L6975"/>
          <cell r="M6975"/>
        </row>
        <row r="6976">
          <cell r="B6976"/>
          <cell r="C6976"/>
          <cell r="E6976"/>
          <cell r="F6976"/>
          <cell r="G6976"/>
          <cell r="H6976"/>
          <cell r="J6976"/>
          <cell r="L6976"/>
          <cell r="M6976"/>
        </row>
        <row r="6977">
          <cell r="B6977"/>
          <cell r="C6977"/>
          <cell r="E6977"/>
          <cell r="F6977"/>
          <cell r="G6977"/>
          <cell r="H6977"/>
          <cell r="J6977"/>
          <cell r="L6977"/>
          <cell r="M6977"/>
        </row>
        <row r="6978">
          <cell r="B6978"/>
          <cell r="C6978"/>
          <cell r="E6978"/>
          <cell r="F6978"/>
          <cell r="G6978"/>
          <cell r="H6978"/>
          <cell r="J6978"/>
          <cell r="L6978"/>
          <cell r="M6978"/>
        </row>
        <row r="6979">
          <cell r="B6979"/>
          <cell r="C6979"/>
          <cell r="E6979"/>
          <cell r="F6979"/>
          <cell r="G6979"/>
          <cell r="H6979"/>
          <cell r="J6979"/>
          <cell r="L6979"/>
          <cell r="M6979"/>
        </row>
        <row r="6980">
          <cell r="B6980"/>
          <cell r="C6980"/>
          <cell r="E6980"/>
          <cell r="F6980"/>
          <cell r="G6980"/>
          <cell r="H6980"/>
          <cell r="J6980"/>
          <cell r="L6980"/>
          <cell r="M6980"/>
        </row>
        <row r="6981">
          <cell r="B6981"/>
          <cell r="C6981"/>
          <cell r="E6981"/>
          <cell r="F6981"/>
          <cell r="G6981"/>
          <cell r="H6981"/>
          <cell r="J6981"/>
          <cell r="L6981"/>
          <cell r="M6981"/>
        </row>
        <row r="6982">
          <cell r="B6982"/>
          <cell r="C6982"/>
          <cell r="E6982"/>
          <cell r="F6982"/>
          <cell r="G6982"/>
          <cell r="H6982"/>
          <cell r="J6982"/>
          <cell r="L6982"/>
          <cell r="M6982"/>
        </row>
        <row r="6983">
          <cell r="B6983"/>
          <cell r="C6983"/>
          <cell r="E6983"/>
          <cell r="F6983"/>
          <cell r="G6983"/>
          <cell r="H6983"/>
          <cell r="J6983"/>
          <cell r="L6983"/>
          <cell r="M6983"/>
        </row>
        <row r="6984">
          <cell r="B6984"/>
          <cell r="C6984"/>
          <cell r="E6984"/>
          <cell r="F6984"/>
          <cell r="G6984"/>
          <cell r="H6984"/>
          <cell r="J6984"/>
          <cell r="L6984"/>
          <cell r="M6984"/>
        </row>
        <row r="6985">
          <cell r="B6985"/>
          <cell r="C6985"/>
          <cell r="E6985"/>
          <cell r="F6985"/>
          <cell r="G6985"/>
          <cell r="H6985"/>
          <cell r="J6985"/>
          <cell r="L6985"/>
          <cell r="M6985"/>
        </row>
        <row r="6986">
          <cell r="B6986"/>
          <cell r="C6986"/>
          <cell r="E6986"/>
          <cell r="F6986"/>
          <cell r="G6986"/>
          <cell r="H6986"/>
          <cell r="J6986"/>
          <cell r="L6986"/>
          <cell r="M6986"/>
        </row>
        <row r="6987">
          <cell r="B6987"/>
          <cell r="C6987"/>
          <cell r="E6987"/>
          <cell r="F6987"/>
          <cell r="G6987"/>
          <cell r="H6987"/>
          <cell r="J6987"/>
          <cell r="L6987"/>
          <cell r="M6987"/>
        </row>
        <row r="6988">
          <cell r="B6988"/>
          <cell r="C6988"/>
          <cell r="E6988"/>
          <cell r="F6988"/>
          <cell r="G6988"/>
          <cell r="H6988"/>
          <cell r="J6988"/>
          <cell r="L6988"/>
          <cell r="M6988"/>
        </row>
        <row r="6989">
          <cell r="B6989"/>
          <cell r="C6989"/>
          <cell r="E6989"/>
          <cell r="F6989"/>
          <cell r="G6989"/>
          <cell r="H6989"/>
          <cell r="J6989"/>
          <cell r="L6989"/>
          <cell r="M6989"/>
        </row>
        <row r="6990">
          <cell r="B6990"/>
          <cell r="C6990"/>
          <cell r="E6990"/>
          <cell r="F6990"/>
          <cell r="G6990"/>
          <cell r="H6990"/>
          <cell r="J6990"/>
          <cell r="L6990"/>
          <cell r="M6990"/>
        </row>
        <row r="6991">
          <cell r="B6991"/>
          <cell r="C6991"/>
          <cell r="E6991"/>
          <cell r="F6991"/>
          <cell r="G6991"/>
          <cell r="H6991"/>
          <cell r="J6991"/>
          <cell r="L6991"/>
          <cell r="M6991"/>
        </row>
        <row r="6992">
          <cell r="B6992"/>
          <cell r="C6992"/>
          <cell r="E6992"/>
          <cell r="F6992"/>
          <cell r="G6992"/>
          <cell r="H6992"/>
          <cell r="J6992"/>
          <cell r="L6992"/>
          <cell r="M6992"/>
        </row>
        <row r="6993">
          <cell r="B6993"/>
          <cell r="C6993"/>
          <cell r="E6993"/>
          <cell r="F6993"/>
          <cell r="G6993"/>
          <cell r="H6993"/>
          <cell r="J6993"/>
          <cell r="L6993"/>
          <cell r="M6993"/>
        </row>
        <row r="6994">
          <cell r="B6994"/>
          <cell r="C6994"/>
          <cell r="E6994"/>
          <cell r="F6994"/>
          <cell r="G6994"/>
          <cell r="H6994"/>
          <cell r="J6994"/>
          <cell r="L6994"/>
          <cell r="M6994"/>
        </row>
        <row r="6995">
          <cell r="B6995"/>
          <cell r="C6995"/>
          <cell r="E6995"/>
          <cell r="F6995"/>
          <cell r="G6995"/>
          <cell r="H6995"/>
          <cell r="J6995"/>
          <cell r="L6995"/>
          <cell r="M6995"/>
        </row>
        <row r="6996">
          <cell r="B6996"/>
          <cell r="C6996"/>
          <cell r="E6996"/>
          <cell r="F6996"/>
          <cell r="G6996"/>
          <cell r="H6996"/>
          <cell r="J6996"/>
          <cell r="L6996"/>
          <cell r="M6996"/>
        </row>
        <row r="6997">
          <cell r="B6997"/>
          <cell r="C6997"/>
          <cell r="E6997"/>
          <cell r="F6997"/>
          <cell r="G6997"/>
          <cell r="H6997"/>
          <cell r="J6997"/>
          <cell r="L6997"/>
          <cell r="M6997"/>
        </row>
        <row r="6998">
          <cell r="B6998"/>
          <cell r="C6998"/>
          <cell r="E6998"/>
          <cell r="F6998"/>
          <cell r="G6998"/>
          <cell r="H6998"/>
          <cell r="J6998"/>
          <cell r="L6998"/>
          <cell r="M6998"/>
        </row>
        <row r="6999">
          <cell r="B6999"/>
          <cell r="C6999"/>
          <cell r="E6999"/>
          <cell r="F6999"/>
          <cell r="G6999"/>
          <cell r="H6999"/>
          <cell r="J6999"/>
          <cell r="L6999"/>
          <cell r="M6999"/>
        </row>
        <row r="7000">
          <cell r="B7000"/>
          <cell r="C7000"/>
          <cell r="E7000"/>
          <cell r="F7000"/>
          <cell r="G7000"/>
          <cell r="H7000"/>
          <cell r="J7000"/>
          <cell r="L7000"/>
          <cell r="M7000"/>
        </row>
        <row r="7001">
          <cell r="B7001"/>
          <cell r="C7001"/>
          <cell r="E7001"/>
          <cell r="F7001"/>
          <cell r="G7001"/>
          <cell r="H7001"/>
          <cell r="J7001"/>
          <cell r="L7001"/>
          <cell r="M7001"/>
        </row>
        <row r="7002">
          <cell r="B7002"/>
          <cell r="C7002"/>
          <cell r="E7002"/>
          <cell r="F7002"/>
          <cell r="G7002"/>
          <cell r="H7002"/>
          <cell r="J7002"/>
          <cell r="L7002"/>
          <cell r="M7002"/>
        </row>
        <row r="7003">
          <cell r="B7003"/>
          <cell r="C7003"/>
          <cell r="E7003"/>
          <cell r="F7003"/>
          <cell r="G7003"/>
          <cell r="H7003"/>
          <cell r="J7003"/>
          <cell r="L7003"/>
          <cell r="M7003"/>
        </row>
        <row r="7004">
          <cell r="B7004"/>
          <cell r="C7004"/>
          <cell r="E7004"/>
          <cell r="F7004"/>
          <cell r="G7004"/>
          <cell r="H7004"/>
          <cell r="J7004"/>
          <cell r="L7004"/>
          <cell r="M7004"/>
        </row>
        <row r="7005">
          <cell r="B7005"/>
          <cell r="C7005"/>
          <cell r="E7005"/>
          <cell r="F7005"/>
          <cell r="G7005"/>
          <cell r="H7005"/>
          <cell r="J7005"/>
          <cell r="L7005"/>
          <cell r="M7005"/>
        </row>
        <row r="7006">
          <cell r="B7006"/>
          <cell r="C7006"/>
          <cell r="E7006"/>
          <cell r="F7006"/>
          <cell r="G7006"/>
          <cell r="H7006"/>
          <cell r="J7006"/>
          <cell r="L7006"/>
          <cell r="M7006"/>
        </row>
        <row r="7007">
          <cell r="B7007"/>
          <cell r="C7007"/>
          <cell r="E7007"/>
          <cell r="F7007"/>
          <cell r="G7007"/>
          <cell r="H7007"/>
          <cell r="J7007"/>
          <cell r="L7007"/>
          <cell r="M7007"/>
        </row>
        <row r="7008">
          <cell r="B7008"/>
          <cell r="C7008"/>
          <cell r="E7008"/>
          <cell r="F7008"/>
          <cell r="G7008"/>
          <cell r="H7008"/>
          <cell r="J7008"/>
          <cell r="L7008"/>
          <cell r="M7008"/>
        </row>
        <row r="7009">
          <cell r="B7009"/>
          <cell r="C7009"/>
          <cell r="E7009"/>
          <cell r="F7009"/>
          <cell r="G7009"/>
          <cell r="H7009"/>
          <cell r="J7009"/>
          <cell r="L7009"/>
          <cell r="M7009"/>
        </row>
        <row r="7010">
          <cell r="B7010"/>
          <cell r="C7010"/>
          <cell r="E7010"/>
          <cell r="F7010"/>
          <cell r="G7010"/>
          <cell r="H7010"/>
          <cell r="J7010"/>
          <cell r="L7010"/>
          <cell r="M7010"/>
        </row>
        <row r="7011">
          <cell r="B7011"/>
          <cell r="C7011"/>
          <cell r="E7011"/>
          <cell r="F7011"/>
          <cell r="G7011"/>
          <cell r="H7011"/>
          <cell r="J7011"/>
          <cell r="L7011"/>
          <cell r="M7011"/>
        </row>
        <row r="7012">
          <cell r="B7012"/>
          <cell r="C7012"/>
          <cell r="E7012"/>
          <cell r="F7012"/>
          <cell r="G7012"/>
          <cell r="H7012"/>
          <cell r="J7012"/>
          <cell r="L7012"/>
          <cell r="M7012"/>
        </row>
        <row r="7013">
          <cell r="B7013"/>
          <cell r="C7013"/>
          <cell r="E7013"/>
          <cell r="F7013"/>
          <cell r="G7013"/>
          <cell r="H7013"/>
          <cell r="J7013"/>
          <cell r="L7013"/>
          <cell r="M7013"/>
        </row>
        <row r="7014">
          <cell r="B7014"/>
          <cell r="C7014"/>
          <cell r="E7014"/>
          <cell r="F7014"/>
          <cell r="G7014"/>
          <cell r="H7014"/>
          <cell r="J7014"/>
          <cell r="L7014"/>
          <cell r="M7014"/>
        </row>
        <row r="7015">
          <cell r="B7015"/>
          <cell r="C7015"/>
          <cell r="E7015"/>
          <cell r="F7015"/>
          <cell r="G7015"/>
          <cell r="H7015"/>
          <cell r="J7015"/>
          <cell r="L7015"/>
          <cell r="M7015"/>
        </row>
        <row r="7016">
          <cell r="B7016"/>
          <cell r="C7016"/>
          <cell r="E7016"/>
          <cell r="F7016"/>
          <cell r="G7016"/>
          <cell r="H7016"/>
          <cell r="J7016"/>
          <cell r="L7016"/>
          <cell r="M7016"/>
        </row>
        <row r="7017">
          <cell r="B7017"/>
          <cell r="C7017"/>
          <cell r="E7017"/>
          <cell r="F7017"/>
          <cell r="G7017"/>
          <cell r="H7017"/>
          <cell r="J7017"/>
          <cell r="L7017"/>
          <cell r="M7017"/>
        </row>
        <row r="7018">
          <cell r="B7018"/>
          <cell r="C7018"/>
          <cell r="E7018"/>
          <cell r="F7018"/>
          <cell r="G7018"/>
          <cell r="H7018"/>
          <cell r="J7018"/>
          <cell r="L7018"/>
          <cell r="M7018"/>
        </row>
        <row r="7019">
          <cell r="B7019"/>
          <cell r="C7019"/>
          <cell r="E7019"/>
          <cell r="F7019"/>
          <cell r="G7019"/>
          <cell r="H7019"/>
          <cell r="J7019"/>
          <cell r="L7019"/>
          <cell r="M7019"/>
        </row>
        <row r="7020">
          <cell r="B7020"/>
          <cell r="C7020"/>
          <cell r="E7020"/>
          <cell r="F7020"/>
          <cell r="G7020"/>
          <cell r="H7020"/>
          <cell r="J7020"/>
          <cell r="L7020"/>
          <cell r="M7020"/>
        </row>
        <row r="7021">
          <cell r="B7021"/>
          <cell r="C7021"/>
          <cell r="E7021"/>
          <cell r="F7021"/>
          <cell r="G7021"/>
          <cell r="H7021"/>
          <cell r="J7021"/>
          <cell r="L7021"/>
          <cell r="M7021"/>
        </row>
        <row r="7022">
          <cell r="B7022"/>
          <cell r="C7022"/>
          <cell r="E7022"/>
          <cell r="F7022"/>
          <cell r="G7022"/>
          <cell r="H7022"/>
          <cell r="J7022"/>
          <cell r="L7022"/>
          <cell r="M7022"/>
        </row>
        <row r="7023">
          <cell r="B7023"/>
          <cell r="C7023"/>
          <cell r="E7023"/>
          <cell r="F7023"/>
          <cell r="G7023"/>
          <cell r="H7023"/>
          <cell r="J7023"/>
          <cell r="L7023"/>
          <cell r="M7023"/>
        </row>
        <row r="7024">
          <cell r="B7024"/>
          <cell r="C7024"/>
          <cell r="E7024"/>
          <cell r="F7024"/>
          <cell r="G7024"/>
          <cell r="H7024"/>
          <cell r="J7024"/>
          <cell r="L7024"/>
          <cell r="M7024"/>
        </row>
        <row r="7025">
          <cell r="B7025"/>
          <cell r="C7025"/>
          <cell r="E7025"/>
          <cell r="F7025"/>
          <cell r="G7025"/>
          <cell r="H7025"/>
          <cell r="J7025"/>
          <cell r="L7025"/>
          <cell r="M7025"/>
        </row>
        <row r="7026">
          <cell r="B7026"/>
          <cell r="C7026"/>
          <cell r="E7026"/>
          <cell r="F7026"/>
          <cell r="G7026"/>
          <cell r="H7026"/>
          <cell r="J7026"/>
          <cell r="L7026"/>
          <cell r="M7026"/>
        </row>
        <row r="7027">
          <cell r="B7027"/>
          <cell r="C7027"/>
          <cell r="E7027"/>
          <cell r="F7027"/>
          <cell r="G7027"/>
          <cell r="H7027"/>
          <cell r="J7027"/>
          <cell r="L7027"/>
          <cell r="M7027"/>
        </row>
        <row r="7028">
          <cell r="B7028"/>
          <cell r="C7028"/>
          <cell r="E7028"/>
          <cell r="F7028"/>
          <cell r="G7028"/>
          <cell r="H7028"/>
          <cell r="J7028"/>
          <cell r="L7028"/>
          <cell r="M7028"/>
        </row>
        <row r="7029">
          <cell r="B7029"/>
          <cell r="C7029"/>
          <cell r="E7029"/>
          <cell r="F7029"/>
          <cell r="G7029"/>
          <cell r="H7029"/>
          <cell r="J7029"/>
          <cell r="L7029"/>
          <cell r="M7029"/>
        </row>
        <row r="7030">
          <cell r="B7030"/>
          <cell r="C7030"/>
          <cell r="E7030"/>
          <cell r="F7030"/>
          <cell r="G7030"/>
          <cell r="H7030"/>
          <cell r="J7030"/>
          <cell r="L7030"/>
          <cell r="M7030"/>
        </row>
        <row r="7031">
          <cell r="B7031"/>
          <cell r="C7031"/>
          <cell r="E7031"/>
          <cell r="F7031"/>
          <cell r="G7031"/>
          <cell r="H7031"/>
          <cell r="J7031"/>
          <cell r="L7031"/>
          <cell r="M7031"/>
        </row>
        <row r="7032">
          <cell r="B7032"/>
          <cell r="C7032"/>
          <cell r="E7032"/>
          <cell r="F7032"/>
          <cell r="G7032"/>
          <cell r="H7032"/>
          <cell r="J7032"/>
          <cell r="L7032"/>
          <cell r="M7032"/>
        </row>
        <row r="7033">
          <cell r="B7033"/>
          <cell r="C7033"/>
          <cell r="E7033"/>
          <cell r="F7033"/>
          <cell r="G7033"/>
          <cell r="H7033"/>
          <cell r="J7033"/>
          <cell r="L7033"/>
          <cell r="M7033"/>
        </row>
        <row r="7034">
          <cell r="B7034"/>
          <cell r="C7034"/>
          <cell r="E7034"/>
          <cell r="F7034"/>
          <cell r="G7034"/>
          <cell r="H7034"/>
          <cell r="J7034"/>
          <cell r="L7034"/>
          <cell r="M7034"/>
        </row>
        <row r="7035">
          <cell r="B7035"/>
          <cell r="C7035"/>
          <cell r="E7035"/>
          <cell r="F7035"/>
          <cell r="G7035"/>
          <cell r="H7035"/>
          <cell r="J7035"/>
          <cell r="L7035"/>
          <cell r="M7035"/>
        </row>
        <row r="7036">
          <cell r="B7036"/>
          <cell r="C7036"/>
          <cell r="E7036"/>
          <cell r="F7036"/>
          <cell r="G7036"/>
          <cell r="H7036"/>
          <cell r="J7036"/>
          <cell r="L7036"/>
          <cell r="M7036"/>
        </row>
        <row r="7037">
          <cell r="B7037"/>
          <cell r="C7037"/>
          <cell r="E7037"/>
          <cell r="F7037"/>
          <cell r="G7037"/>
          <cell r="H7037"/>
          <cell r="J7037"/>
          <cell r="L7037"/>
          <cell r="M7037"/>
        </row>
        <row r="7038">
          <cell r="B7038"/>
          <cell r="C7038"/>
          <cell r="E7038"/>
          <cell r="F7038"/>
          <cell r="G7038"/>
          <cell r="H7038"/>
          <cell r="J7038"/>
          <cell r="L7038"/>
          <cell r="M7038"/>
        </row>
        <row r="7039">
          <cell r="B7039"/>
          <cell r="C7039"/>
          <cell r="E7039"/>
          <cell r="F7039"/>
          <cell r="G7039"/>
          <cell r="H7039"/>
          <cell r="J7039"/>
          <cell r="L7039"/>
          <cell r="M7039"/>
        </row>
        <row r="7040">
          <cell r="B7040"/>
          <cell r="C7040"/>
          <cell r="E7040"/>
          <cell r="F7040"/>
          <cell r="G7040"/>
          <cell r="H7040"/>
          <cell r="J7040"/>
          <cell r="L7040"/>
          <cell r="M7040"/>
        </row>
        <row r="7041">
          <cell r="B7041"/>
          <cell r="C7041"/>
          <cell r="E7041"/>
          <cell r="F7041"/>
          <cell r="G7041"/>
          <cell r="H7041"/>
          <cell r="J7041"/>
          <cell r="L7041"/>
          <cell r="M7041"/>
        </row>
        <row r="7042">
          <cell r="B7042"/>
          <cell r="C7042"/>
          <cell r="E7042"/>
          <cell r="F7042"/>
          <cell r="G7042"/>
          <cell r="H7042"/>
          <cell r="J7042"/>
          <cell r="L7042"/>
          <cell r="M7042"/>
        </row>
        <row r="7043">
          <cell r="B7043"/>
          <cell r="C7043"/>
          <cell r="E7043"/>
          <cell r="F7043"/>
          <cell r="G7043"/>
          <cell r="H7043"/>
          <cell r="J7043"/>
          <cell r="L7043"/>
          <cell r="M7043"/>
        </row>
        <row r="7044">
          <cell r="B7044"/>
          <cell r="C7044"/>
          <cell r="E7044"/>
          <cell r="F7044"/>
          <cell r="G7044"/>
          <cell r="H7044"/>
          <cell r="J7044"/>
          <cell r="L7044"/>
          <cell r="M7044"/>
        </row>
        <row r="7045">
          <cell r="B7045"/>
          <cell r="C7045"/>
          <cell r="E7045"/>
          <cell r="F7045"/>
          <cell r="G7045"/>
          <cell r="H7045"/>
          <cell r="J7045"/>
          <cell r="L7045"/>
          <cell r="M7045"/>
        </row>
        <row r="7046">
          <cell r="B7046"/>
          <cell r="C7046"/>
          <cell r="E7046"/>
          <cell r="F7046"/>
          <cell r="G7046"/>
          <cell r="H7046"/>
          <cell r="J7046"/>
          <cell r="L7046"/>
          <cell r="M7046"/>
        </row>
        <row r="7047">
          <cell r="B7047"/>
          <cell r="C7047"/>
          <cell r="E7047"/>
          <cell r="F7047"/>
          <cell r="G7047"/>
          <cell r="H7047"/>
          <cell r="J7047"/>
          <cell r="L7047"/>
          <cell r="M7047"/>
        </row>
        <row r="7048">
          <cell r="B7048"/>
          <cell r="C7048"/>
          <cell r="E7048"/>
          <cell r="F7048"/>
          <cell r="G7048"/>
          <cell r="H7048"/>
          <cell r="J7048"/>
          <cell r="L7048"/>
          <cell r="M7048"/>
        </row>
        <row r="7049">
          <cell r="B7049"/>
          <cell r="C7049"/>
          <cell r="E7049"/>
          <cell r="F7049"/>
          <cell r="G7049"/>
          <cell r="H7049"/>
          <cell r="J7049"/>
          <cell r="L7049"/>
          <cell r="M7049"/>
        </row>
        <row r="7050">
          <cell r="B7050"/>
          <cell r="C7050"/>
          <cell r="E7050"/>
          <cell r="F7050"/>
          <cell r="G7050"/>
          <cell r="H7050"/>
          <cell r="J7050"/>
          <cell r="L7050"/>
          <cell r="M7050"/>
        </row>
        <row r="7051">
          <cell r="B7051"/>
          <cell r="C7051"/>
          <cell r="E7051"/>
          <cell r="F7051"/>
          <cell r="G7051"/>
          <cell r="H7051"/>
          <cell r="J7051"/>
          <cell r="L7051"/>
          <cell r="M7051"/>
        </row>
        <row r="7052">
          <cell r="B7052"/>
          <cell r="C7052"/>
          <cell r="E7052"/>
          <cell r="F7052"/>
          <cell r="G7052"/>
          <cell r="H7052"/>
          <cell r="J7052"/>
          <cell r="L7052"/>
          <cell r="M7052"/>
        </row>
        <row r="7053">
          <cell r="B7053"/>
          <cell r="C7053"/>
          <cell r="E7053"/>
          <cell r="F7053"/>
          <cell r="G7053"/>
          <cell r="H7053"/>
          <cell r="J7053"/>
          <cell r="L7053"/>
          <cell r="M7053"/>
        </row>
        <row r="7054">
          <cell r="B7054"/>
          <cell r="C7054"/>
          <cell r="E7054"/>
          <cell r="F7054"/>
          <cell r="G7054"/>
          <cell r="H7054"/>
          <cell r="J7054"/>
          <cell r="L7054"/>
          <cell r="M7054"/>
        </row>
        <row r="7055">
          <cell r="B7055"/>
          <cell r="C7055"/>
          <cell r="E7055"/>
          <cell r="F7055"/>
          <cell r="G7055"/>
          <cell r="H7055"/>
          <cell r="J7055"/>
          <cell r="L7055"/>
          <cell r="M7055"/>
        </row>
        <row r="7056">
          <cell r="B7056"/>
          <cell r="C7056"/>
          <cell r="E7056"/>
          <cell r="F7056"/>
          <cell r="G7056"/>
          <cell r="H7056"/>
          <cell r="J7056"/>
          <cell r="L7056"/>
          <cell r="M7056"/>
        </row>
        <row r="7057">
          <cell r="B7057"/>
          <cell r="C7057"/>
          <cell r="E7057"/>
          <cell r="F7057"/>
          <cell r="G7057"/>
          <cell r="H7057"/>
          <cell r="J7057"/>
          <cell r="L7057"/>
          <cell r="M7057"/>
        </row>
        <row r="7058">
          <cell r="B7058"/>
          <cell r="C7058"/>
          <cell r="E7058"/>
          <cell r="F7058"/>
          <cell r="G7058"/>
          <cell r="H7058"/>
          <cell r="J7058"/>
          <cell r="L7058"/>
          <cell r="M7058"/>
        </row>
        <row r="7059">
          <cell r="B7059"/>
          <cell r="C7059"/>
          <cell r="E7059"/>
          <cell r="F7059"/>
          <cell r="G7059"/>
          <cell r="H7059"/>
          <cell r="J7059"/>
          <cell r="L7059"/>
          <cell r="M7059"/>
        </row>
        <row r="7060">
          <cell r="B7060"/>
          <cell r="C7060"/>
          <cell r="E7060"/>
          <cell r="F7060"/>
          <cell r="G7060"/>
          <cell r="H7060"/>
          <cell r="J7060"/>
          <cell r="L7060"/>
          <cell r="M7060"/>
        </row>
        <row r="7061">
          <cell r="B7061"/>
          <cell r="C7061"/>
          <cell r="E7061"/>
          <cell r="F7061"/>
          <cell r="G7061"/>
          <cell r="H7061"/>
          <cell r="J7061"/>
          <cell r="L7061"/>
          <cell r="M7061"/>
        </row>
        <row r="7062">
          <cell r="B7062"/>
          <cell r="C7062"/>
          <cell r="E7062"/>
          <cell r="F7062"/>
          <cell r="G7062"/>
          <cell r="H7062"/>
          <cell r="J7062"/>
          <cell r="L7062"/>
          <cell r="M7062"/>
        </row>
        <row r="7063">
          <cell r="B7063"/>
          <cell r="C7063"/>
          <cell r="E7063"/>
          <cell r="F7063"/>
          <cell r="G7063"/>
          <cell r="H7063"/>
          <cell r="J7063"/>
          <cell r="L7063"/>
          <cell r="M7063"/>
        </row>
        <row r="7064">
          <cell r="B7064"/>
          <cell r="C7064"/>
          <cell r="E7064"/>
          <cell r="F7064"/>
          <cell r="G7064"/>
          <cell r="H7064"/>
          <cell r="J7064"/>
          <cell r="L7064"/>
          <cell r="M7064"/>
        </row>
        <row r="7065">
          <cell r="B7065"/>
          <cell r="C7065"/>
          <cell r="E7065"/>
          <cell r="F7065"/>
          <cell r="G7065"/>
          <cell r="H7065"/>
          <cell r="J7065"/>
          <cell r="L7065"/>
          <cell r="M7065"/>
        </row>
        <row r="7066">
          <cell r="B7066"/>
          <cell r="C7066"/>
          <cell r="E7066"/>
          <cell r="F7066"/>
          <cell r="G7066"/>
          <cell r="H7066"/>
          <cell r="J7066"/>
          <cell r="L7066"/>
          <cell r="M7066"/>
        </row>
        <row r="7067">
          <cell r="B7067"/>
          <cell r="C7067"/>
          <cell r="E7067"/>
          <cell r="F7067"/>
          <cell r="G7067"/>
          <cell r="H7067"/>
          <cell r="J7067"/>
          <cell r="L7067"/>
          <cell r="M7067"/>
        </row>
        <row r="7068">
          <cell r="B7068"/>
          <cell r="C7068"/>
          <cell r="E7068"/>
          <cell r="F7068"/>
          <cell r="G7068"/>
          <cell r="H7068"/>
          <cell r="J7068"/>
          <cell r="L7068"/>
          <cell r="M7068"/>
        </row>
        <row r="7069">
          <cell r="B7069"/>
          <cell r="C7069"/>
          <cell r="E7069"/>
          <cell r="F7069"/>
          <cell r="G7069"/>
          <cell r="H7069"/>
          <cell r="J7069"/>
          <cell r="L7069"/>
          <cell r="M7069"/>
        </row>
        <row r="7070">
          <cell r="B7070"/>
          <cell r="C7070"/>
          <cell r="E7070"/>
          <cell r="F7070"/>
          <cell r="G7070"/>
          <cell r="H7070"/>
          <cell r="J7070"/>
          <cell r="L7070"/>
          <cell r="M7070"/>
        </row>
        <row r="7071">
          <cell r="B7071"/>
          <cell r="C7071"/>
          <cell r="E7071"/>
          <cell r="F7071"/>
          <cell r="G7071"/>
          <cell r="H7071"/>
          <cell r="J7071"/>
          <cell r="L7071"/>
          <cell r="M7071"/>
        </row>
        <row r="7072">
          <cell r="B7072"/>
          <cell r="C7072"/>
          <cell r="E7072"/>
          <cell r="F7072"/>
          <cell r="G7072"/>
          <cell r="H7072"/>
          <cell r="J7072"/>
          <cell r="L7072"/>
          <cell r="M7072"/>
        </row>
        <row r="7073">
          <cell r="B7073"/>
          <cell r="C7073"/>
          <cell r="E7073"/>
          <cell r="F7073"/>
          <cell r="G7073"/>
          <cell r="H7073"/>
          <cell r="J7073"/>
          <cell r="L7073"/>
          <cell r="M7073"/>
        </row>
        <row r="7074">
          <cell r="B7074"/>
          <cell r="C7074"/>
          <cell r="E7074"/>
          <cell r="F7074"/>
          <cell r="G7074"/>
          <cell r="H7074"/>
          <cell r="J7074"/>
          <cell r="L7074"/>
          <cell r="M7074"/>
        </row>
        <row r="7075">
          <cell r="B7075"/>
          <cell r="C7075"/>
          <cell r="E7075"/>
          <cell r="F7075"/>
          <cell r="G7075"/>
          <cell r="H7075"/>
          <cell r="J7075"/>
          <cell r="L7075"/>
          <cell r="M7075"/>
        </row>
        <row r="7076">
          <cell r="B7076"/>
          <cell r="C7076"/>
          <cell r="E7076"/>
          <cell r="F7076"/>
          <cell r="G7076"/>
          <cell r="H7076"/>
          <cell r="J7076"/>
          <cell r="L7076"/>
          <cell r="M7076"/>
        </row>
        <row r="7077">
          <cell r="B7077"/>
          <cell r="C7077"/>
          <cell r="E7077"/>
          <cell r="F7077"/>
          <cell r="G7077"/>
          <cell r="H7077"/>
          <cell r="J7077"/>
          <cell r="L7077"/>
          <cell r="M7077"/>
        </row>
        <row r="7078">
          <cell r="B7078"/>
          <cell r="C7078"/>
          <cell r="E7078"/>
          <cell r="F7078"/>
          <cell r="G7078"/>
          <cell r="H7078"/>
          <cell r="J7078"/>
          <cell r="L7078"/>
          <cell r="M7078"/>
        </row>
        <row r="7079">
          <cell r="B7079"/>
          <cell r="C7079"/>
          <cell r="E7079"/>
          <cell r="F7079"/>
          <cell r="G7079"/>
          <cell r="H7079"/>
          <cell r="J7079"/>
          <cell r="L7079"/>
          <cell r="M7079"/>
        </row>
        <row r="7080">
          <cell r="B7080"/>
          <cell r="C7080"/>
          <cell r="E7080"/>
          <cell r="F7080"/>
          <cell r="G7080"/>
          <cell r="H7080"/>
          <cell r="J7080"/>
          <cell r="L7080"/>
          <cell r="M7080"/>
        </row>
        <row r="7081">
          <cell r="B7081"/>
          <cell r="C7081"/>
          <cell r="E7081"/>
          <cell r="F7081"/>
          <cell r="G7081"/>
          <cell r="H7081"/>
          <cell r="J7081"/>
          <cell r="L7081"/>
          <cell r="M7081"/>
        </row>
        <row r="7082">
          <cell r="B7082"/>
          <cell r="C7082"/>
          <cell r="E7082"/>
          <cell r="F7082"/>
          <cell r="G7082"/>
          <cell r="H7082"/>
          <cell r="J7082"/>
          <cell r="L7082"/>
          <cell r="M7082"/>
        </row>
        <row r="7083">
          <cell r="B7083"/>
          <cell r="C7083"/>
          <cell r="E7083"/>
          <cell r="F7083"/>
          <cell r="G7083"/>
          <cell r="H7083"/>
          <cell r="J7083"/>
          <cell r="L7083"/>
          <cell r="M7083"/>
        </row>
        <row r="7084">
          <cell r="B7084"/>
          <cell r="C7084"/>
          <cell r="E7084"/>
          <cell r="F7084"/>
          <cell r="G7084"/>
          <cell r="H7084"/>
          <cell r="J7084"/>
          <cell r="L7084"/>
          <cell r="M7084"/>
        </row>
        <row r="7085">
          <cell r="B7085"/>
          <cell r="C7085"/>
          <cell r="E7085"/>
          <cell r="F7085"/>
          <cell r="G7085"/>
          <cell r="H7085"/>
          <cell r="J7085"/>
          <cell r="L7085"/>
          <cell r="M7085"/>
        </row>
        <row r="7086">
          <cell r="B7086"/>
          <cell r="C7086"/>
          <cell r="E7086"/>
          <cell r="F7086"/>
          <cell r="G7086"/>
          <cell r="H7086"/>
          <cell r="J7086"/>
          <cell r="L7086"/>
          <cell r="M7086"/>
        </row>
        <row r="7087">
          <cell r="B7087"/>
          <cell r="C7087"/>
          <cell r="E7087"/>
          <cell r="F7087"/>
          <cell r="G7087"/>
          <cell r="H7087"/>
          <cell r="J7087"/>
          <cell r="L7087"/>
          <cell r="M7087"/>
        </row>
        <row r="7088">
          <cell r="B7088"/>
          <cell r="C7088"/>
          <cell r="E7088"/>
          <cell r="F7088"/>
          <cell r="G7088"/>
          <cell r="H7088"/>
          <cell r="J7088"/>
          <cell r="L7088"/>
          <cell r="M7088"/>
        </row>
        <row r="7089">
          <cell r="B7089"/>
          <cell r="C7089"/>
          <cell r="E7089"/>
          <cell r="F7089"/>
          <cell r="G7089"/>
          <cell r="H7089"/>
          <cell r="J7089"/>
          <cell r="L7089"/>
          <cell r="M7089"/>
        </row>
        <row r="7090">
          <cell r="B7090"/>
          <cell r="C7090"/>
          <cell r="E7090"/>
          <cell r="F7090"/>
          <cell r="G7090"/>
          <cell r="H7090"/>
          <cell r="J7090"/>
          <cell r="L7090"/>
          <cell r="M7090"/>
        </row>
        <row r="7091">
          <cell r="B7091"/>
          <cell r="C7091"/>
          <cell r="E7091"/>
          <cell r="F7091"/>
          <cell r="G7091"/>
          <cell r="H7091"/>
          <cell r="J7091"/>
          <cell r="L7091"/>
          <cell r="M7091"/>
        </row>
        <row r="7092">
          <cell r="B7092"/>
          <cell r="C7092"/>
          <cell r="E7092"/>
          <cell r="F7092"/>
          <cell r="G7092"/>
          <cell r="H7092"/>
          <cell r="J7092"/>
          <cell r="L7092"/>
          <cell r="M7092"/>
        </row>
        <row r="7093">
          <cell r="B7093"/>
          <cell r="C7093"/>
          <cell r="E7093"/>
          <cell r="F7093"/>
          <cell r="G7093"/>
          <cell r="H7093"/>
          <cell r="J7093"/>
          <cell r="L7093"/>
          <cell r="M7093"/>
        </row>
        <row r="7094">
          <cell r="B7094"/>
          <cell r="C7094"/>
          <cell r="E7094"/>
          <cell r="F7094"/>
          <cell r="G7094"/>
          <cell r="H7094"/>
          <cell r="J7094"/>
          <cell r="L7094"/>
          <cell r="M7094"/>
        </row>
        <row r="7095">
          <cell r="B7095"/>
          <cell r="C7095"/>
          <cell r="E7095"/>
          <cell r="F7095"/>
          <cell r="G7095"/>
          <cell r="H7095"/>
          <cell r="J7095"/>
          <cell r="L7095"/>
          <cell r="M7095"/>
        </row>
        <row r="7096">
          <cell r="B7096"/>
          <cell r="C7096"/>
          <cell r="E7096"/>
          <cell r="F7096"/>
          <cell r="G7096"/>
          <cell r="H7096"/>
          <cell r="J7096"/>
          <cell r="L7096"/>
          <cell r="M7096"/>
        </row>
        <row r="7097">
          <cell r="B7097"/>
          <cell r="C7097"/>
          <cell r="E7097"/>
          <cell r="F7097"/>
          <cell r="G7097"/>
          <cell r="H7097"/>
          <cell r="J7097"/>
          <cell r="L7097"/>
          <cell r="M7097"/>
        </row>
        <row r="7098">
          <cell r="B7098"/>
          <cell r="C7098"/>
          <cell r="E7098"/>
          <cell r="F7098"/>
          <cell r="G7098"/>
          <cell r="H7098"/>
          <cell r="J7098"/>
          <cell r="L7098"/>
          <cell r="M7098"/>
        </row>
        <row r="7099">
          <cell r="B7099"/>
          <cell r="C7099"/>
          <cell r="E7099"/>
          <cell r="F7099"/>
          <cell r="G7099"/>
          <cell r="H7099"/>
          <cell r="J7099"/>
          <cell r="L7099"/>
          <cell r="M7099"/>
        </row>
        <row r="7100">
          <cell r="B7100"/>
          <cell r="C7100"/>
          <cell r="E7100"/>
          <cell r="F7100"/>
          <cell r="G7100"/>
          <cell r="H7100"/>
          <cell r="J7100"/>
          <cell r="L7100"/>
          <cell r="M7100"/>
        </row>
        <row r="7101">
          <cell r="B7101"/>
          <cell r="C7101"/>
          <cell r="E7101"/>
          <cell r="F7101"/>
          <cell r="G7101"/>
          <cell r="H7101"/>
          <cell r="J7101"/>
          <cell r="L7101"/>
          <cell r="M7101"/>
        </row>
        <row r="7102">
          <cell r="B7102"/>
          <cell r="C7102"/>
          <cell r="E7102"/>
          <cell r="F7102"/>
          <cell r="G7102"/>
          <cell r="H7102"/>
          <cell r="J7102"/>
          <cell r="L7102"/>
          <cell r="M7102"/>
        </row>
        <row r="7103">
          <cell r="B7103"/>
          <cell r="C7103"/>
          <cell r="E7103"/>
          <cell r="F7103"/>
          <cell r="G7103"/>
          <cell r="H7103"/>
          <cell r="J7103"/>
          <cell r="L7103"/>
          <cell r="M7103"/>
        </row>
        <row r="7104">
          <cell r="B7104"/>
          <cell r="C7104"/>
          <cell r="E7104"/>
          <cell r="F7104"/>
          <cell r="G7104"/>
          <cell r="H7104"/>
          <cell r="J7104"/>
          <cell r="L7104"/>
          <cell r="M7104"/>
        </row>
        <row r="7105">
          <cell r="B7105"/>
          <cell r="C7105"/>
          <cell r="E7105"/>
          <cell r="F7105"/>
          <cell r="G7105"/>
          <cell r="H7105"/>
          <cell r="J7105"/>
          <cell r="L7105"/>
          <cell r="M7105"/>
        </row>
        <row r="7106">
          <cell r="B7106"/>
          <cell r="C7106"/>
          <cell r="E7106"/>
          <cell r="F7106"/>
          <cell r="G7106"/>
          <cell r="H7106"/>
          <cell r="J7106"/>
          <cell r="L7106"/>
          <cell r="M7106"/>
        </row>
        <row r="7107">
          <cell r="B7107"/>
          <cell r="C7107"/>
          <cell r="E7107"/>
          <cell r="F7107"/>
          <cell r="G7107"/>
          <cell r="H7107"/>
          <cell r="J7107"/>
          <cell r="L7107"/>
          <cell r="M7107"/>
        </row>
        <row r="7108">
          <cell r="B7108"/>
          <cell r="C7108"/>
          <cell r="E7108"/>
          <cell r="F7108"/>
          <cell r="G7108"/>
          <cell r="H7108"/>
          <cell r="J7108"/>
          <cell r="L7108"/>
          <cell r="M7108"/>
        </row>
        <row r="7109">
          <cell r="B7109"/>
          <cell r="C7109"/>
          <cell r="E7109"/>
          <cell r="F7109"/>
          <cell r="G7109"/>
          <cell r="H7109"/>
          <cell r="J7109"/>
          <cell r="L7109"/>
          <cell r="M7109"/>
        </row>
        <row r="7110">
          <cell r="B7110"/>
          <cell r="C7110"/>
          <cell r="E7110"/>
          <cell r="F7110"/>
          <cell r="G7110"/>
          <cell r="H7110"/>
          <cell r="J7110"/>
          <cell r="L7110"/>
          <cell r="M7110"/>
        </row>
        <row r="7111">
          <cell r="B7111"/>
          <cell r="C7111"/>
          <cell r="E7111"/>
          <cell r="F7111"/>
          <cell r="G7111"/>
          <cell r="H7111"/>
          <cell r="J7111"/>
          <cell r="L7111"/>
          <cell r="M7111"/>
        </row>
        <row r="7112">
          <cell r="B7112"/>
          <cell r="C7112"/>
          <cell r="E7112"/>
          <cell r="F7112"/>
          <cell r="G7112"/>
          <cell r="H7112"/>
          <cell r="J7112"/>
          <cell r="L7112"/>
          <cell r="M7112"/>
        </row>
        <row r="7113">
          <cell r="B7113"/>
          <cell r="C7113"/>
          <cell r="E7113"/>
          <cell r="F7113"/>
          <cell r="G7113"/>
          <cell r="H7113"/>
          <cell r="J7113"/>
          <cell r="L7113"/>
          <cell r="M7113"/>
        </row>
        <row r="7114">
          <cell r="B7114"/>
          <cell r="C7114"/>
          <cell r="E7114"/>
          <cell r="F7114"/>
          <cell r="G7114"/>
          <cell r="H7114"/>
          <cell r="J7114"/>
          <cell r="L7114"/>
          <cell r="M7114"/>
        </row>
        <row r="7115">
          <cell r="B7115"/>
          <cell r="C7115"/>
          <cell r="E7115"/>
          <cell r="F7115"/>
          <cell r="G7115"/>
          <cell r="H7115"/>
          <cell r="J7115"/>
          <cell r="L7115"/>
          <cell r="M7115"/>
        </row>
        <row r="7116">
          <cell r="B7116"/>
          <cell r="C7116"/>
          <cell r="E7116"/>
          <cell r="F7116"/>
          <cell r="G7116"/>
          <cell r="H7116"/>
          <cell r="J7116"/>
          <cell r="L7116"/>
          <cell r="M7116"/>
        </row>
        <row r="7117">
          <cell r="B7117"/>
          <cell r="C7117"/>
          <cell r="E7117"/>
          <cell r="F7117"/>
          <cell r="G7117"/>
          <cell r="H7117"/>
          <cell r="J7117"/>
          <cell r="L7117"/>
          <cell r="M7117"/>
        </row>
        <row r="7118">
          <cell r="B7118"/>
          <cell r="C7118"/>
          <cell r="E7118"/>
          <cell r="F7118"/>
          <cell r="G7118"/>
          <cell r="H7118"/>
          <cell r="J7118"/>
          <cell r="L7118"/>
          <cell r="M7118"/>
        </row>
        <row r="7119">
          <cell r="B7119"/>
          <cell r="C7119"/>
          <cell r="E7119"/>
          <cell r="F7119"/>
          <cell r="G7119"/>
          <cell r="H7119"/>
          <cell r="J7119"/>
          <cell r="L7119"/>
          <cell r="M7119"/>
        </row>
        <row r="7120">
          <cell r="B7120"/>
          <cell r="C7120"/>
          <cell r="E7120"/>
          <cell r="F7120"/>
          <cell r="G7120"/>
          <cell r="H7120"/>
          <cell r="J7120"/>
          <cell r="L7120"/>
          <cell r="M7120"/>
        </row>
        <row r="7121">
          <cell r="B7121"/>
          <cell r="C7121"/>
          <cell r="E7121"/>
          <cell r="F7121"/>
          <cell r="G7121"/>
          <cell r="H7121"/>
          <cell r="J7121"/>
          <cell r="L7121"/>
          <cell r="M7121"/>
        </row>
        <row r="7122">
          <cell r="B7122"/>
          <cell r="C7122"/>
          <cell r="E7122"/>
          <cell r="F7122"/>
          <cell r="G7122"/>
          <cell r="H7122"/>
          <cell r="J7122"/>
          <cell r="L7122"/>
          <cell r="M7122"/>
        </row>
        <row r="7123">
          <cell r="B7123"/>
          <cell r="C7123"/>
          <cell r="E7123"/>
          <cell r="F7123"/>
          <cell r="G7123"/>
          <cell r="H7123"/>
          <cell r="J7123"/>
          <cell r="L7123"/>
          <cell r="M7123"/>
        </row>
        <row r="7124">
          <cell r="B7124"/>
          <cell r="C7124"/>
          <cell r="E7124"/>
          <cell r="F7124"/>
          <cell r="G7124"/>
          <cell r="H7124"/>
          <cell r="J7124"/>
          <cell r="L7124"/>
          <cell r="M7124"/>
        </row>
        <row r="7125">
          <cell r="B7125"/>
          <cell r="C7125"/>
          <cell r="E7125"/>
          <cell r="F7125"/>
          <cell r="G7125"/>
          <cell r="H7125"/>
          <cell r="J7125"/>
          <cell r="L7125"/>
          <cell r="M7125"/>
        </row>
        <row r="7126">
          <cell r="B7126"/>
          <cell r="C7126"/>
          <cell r="E7126"/>
          <cell r="F7126"/>
          <cell r="G7126"/>
          <cell r="H7126"/>
          <cell r="J7126"/>
          <cell r="L7126"/>
          <cell r="M7126"/>
        </row>
        <row r="7127">
          <cell r="B7127"/>
          <cell r="C7127"/>
          <cell r="E7127"/>
          <cell r="F7127"/>
          <cell r="G7127"/>
          <cell r="H7127"/>
          <cell r="J7127"/>
          <cell r="L7127"/>
          <cell r="M7127"/>
        </row>
        <row r="7128">
          <cell r="B7128"/>
          <cell r="C7128"/>
          <cell r="E7128"/>
          <cell r="F7128"/>
          <cell r="G7128"/>
          <cell r="H7128"/>
          <cell r="J7128"/>
          <cell r="L7128"/>
          <cell r="M7128"/>
        </row>
        <row r="7129">
          <cell r="B7129"/>
          <cell r="C7129"/>
          <cell r="E7129"/>
          <cell r="F7129"/>
          <cell r="G7129"/>
          <cell r="H7129"/>
          <cell r="J7129"/>
          <cell r="L7129"/>
          <cell r="M7129"/>
        </row>
        <row r="7130">
          <cell r="B7130"/>
          <cell r="C7130"/>
          <cell r="E7130"/>
          <cell r="F7130"/>
          <cell r="G7130"/>
          <cell r="H7130"/>
          <cell r="J7130"/>
          <cell r="L7130"/>
          <cell r="M7130"/>
        </row>
        <row r="7131">
          <cell r="B7131"/>
          <cell r="C7131"/>
          <cell r="E7131"/>
          <cell r="F7131"/>
          <cell r="G7131"/>
          <cell r="H7131"/>
          <cell r="J7131"/>
          <cell r="L7131"/>
          <cell r="M7131"/>
        </row>
        <row r="7132">
          <cell r="B7132"/>
          <cell r="C7132"/>
          <cell r="E7132"/>
          <cell r="F7132"/>
          <cell r="G7132"/>
          <cell r="H7132"/>
          <cell r="J7132"/>
          <cell r="L7132"/>
          <cell r="M7132"/>
        </row>
        <row r="7133">
          <cell r="B7133"/>
          <cell r="C7133"/>
          <cell r="E7133"/>
          <cell r="F7133"/>
          <cell r="G7133"/>
          <cell r="H7133"/>
          <cell r="J7133"/>
          <cell r="L7133"/>
          <cell r="M7133"/>
        </row>
        <row r="7134">
          <cell r="B7134"/>
          <cell r="C7134"/>
          <cell r="E7134"/>
          <cell r="F7134"/>
          <cell r="G7134"/>
          <cell r="H7134"/>
          <cell r="J7134"/>
          <cell r="L7134"/>
          <cell r="M7134"/>
        </row>
        <row r="7135">
          <cell r="B7135"/>
          <cell r="C7135"/>
          <cell r="E7135"/>
          <cell r="F7135"/>
          <cell r="G7135"/>
          <cell r="H7135"/>
          <cell r="J7135"/>
          <cell r="L7135"/>
          <cell r="M7135"/>
        </row>
        <row r="7136">
          <cell r="B7136"/>
          <cell r="C7136"/>
          <cell r="E7136"/>
          <cell r="F7136"/>
          <cell r="G7136"/>
          <cell r="H7136"/>
          <cell r="J7136"/>
          <cell r="L7136"/>
          <cell r="M7136"/>
        </row>
        <row r="7137">
          <cell r="B7137"/>
          <cell r="C7137"/>
          <cell r="E7137"/>
          <cell r="F7137"/>
          <cell r="G7137"/>
          <cell r="H7137"/>
          <cell r="J7137"/>
          <cell r="L7137"/>
          <cell r="M7137"/>
        </row>
        <row r="7138">
          <cell r="B7138"/>
          <cell r="C7138"/>
          <cell r="E7138"/>
          <cell r="F7138"/>
          <cell r="G7138"/>
          <cell r="H7138"/>
          <cell r="J7138"/>
          <cell r="L7138"/>
          <cell r="M7138"/>
        </row>
        <row r="7139">
          <cell r="B7139"/>
          <cell r="C7139"/>
          <cell r="E7139"/>
          <cell r="F7139"/>
          <cell r="G7139"/>
          <cell r="H7139"/>
          <cell r="J7139"/>
          <cell r="L7139"/>
          <cell r="M7139"/>
        </row>
        <row r="7140">
          <cell r="B7140"/>
          <cell r="C7140"/>
          <cell r="E7140"/>
          <cell r="F7140"/>
          <cell r="G7140"/>
          <cell r="H7140"/>
          <cell r="J7140"/>
          <cell r="L7140"/>
          <cell r="M7140"/>
        </row>
        <row r="7141">
          <cell r="B7141"/>
          <cell r="C7141"/>
          <cell r="E7141"/>
          <cell r="F7141"/>
          <cell r="G7141"/>
          <cell r="H7141"/>
          <cell r="J7141"/>
          <cell r="L7141"/>
          <cell r="M7141"/>
        </row>
        <row r="7142">
          <cell r="B7142"/>
          <cell r="C7142"/>
          <cell r="E7142"/>
          <cell r="F7142"/>
          <cell r="G7142"/>
          <cell r="H7142"/>
          <cell r="J7142"/>
          <cell r="L7142"/>
          <cell r="M7142"/>
        </row>
        <row r="7143">
          <cell r="B7143"/>
          <cell r="C7143"/>
          <cell r="E7143"/>
          <cell r="F7143"/>
          <cell r="G7143"/>
          <cell r="H7143"/>
          <cell r="J7143"/>
          <cell r="L7143"/>
          <cell r="M7143"/>
        </row>
        <row r="7144">
          <cell r="B7144"/>
          <cell r="C7144"/>
          <cell r="E7144"/>
          <cell r="F7144"/>
          <cell r="G7144"/>
          <cell r="H7144"/>
          <cell r="J7144"/>
          <cell r="L7144"/>
          <cell r="M7144"/>
        </row>
        <row r="7145">
          <cell r="B7145"/>
          <cell r="C7145"/>
          <cell r="E7145"/>
          <cell r="F7145"/>
          <cell r="G7145"/>
          <cell r="H7145"/>
          <cell r="J7145"/>
          <cell r="L7145"/>
          <cell r="M7145"/>
        </row>
        <row r="7146">
          <cell r="B7146"/>
          <cell r="C7146"/>
          <cell r="E7146"/>
          <cell r="F7146"/>
          <cell r="G7146"/>
          <cell r="H7146"/>
          <cell r="J7146"/>
          <cell r="L7146"/>
          <cell r="M7146"/>
        </row>
        <row r="7147">
          <cell r="B7147"/>
          <cell r="C7147"/>
          <cell r="E7147"/>
          <cell r="F7147"/>
          <cell r="G7147"/>
          <cell r="H7147"/>
          <cell r="J7147"/>
          <cell r="L7147"/>
          <cell r="M7147"/>
        </row>
        <row r="7148">
          <cell r="B7148"/>
          <cell r="C7148"/>
          <cell r="E7148"/>
          <cell r="F7148"/>
          <cell r="G7148"/>
          <cell r="H7148"/>
          <cell r="J7148"/>
          <cell r="L7148"/>
          <cell r="M7148"/>
        </row>
        <row r="7149">
          <cell r="B7149"/>
          <cell r="C7149"/>
          <cell r="E7149"/>
          <cell r="F7149"/>
          <cell r="G7149"/>
          <cell r="H7149"/>
          <cell r="J7149"/>
          <cell r="L7149"/>
          <cell r="M7149"/>
        </row>
        <row r="7150">
          <cell r="B7150"/>
          <cell r="C7150"/>
          <cell r="E7150"/>
          <cell r="F7150"/>
          <cell r="G7150"/>
          <cell r="H7150"/>
          <cell r="J7150"/>
          <cell r="L7150"/>
          <cell r="M7150"/>
        </row>
        <row r="7151">
          <cell r="B7151"/>
          <cell r="C7151"/>
          <cell r="E7151"/>
          <cell r="F7151"/>
          <cell r="G7151"/>
          <cell r="H7151"/>
          <cell r="J7151"/>
          <cell r="L7151"/>
          <cell r="M7151"/>
        </row>
        <row r="7152">
          <cell r="B7152"/>
          <cell r="C7152"/>
          <cell r="E7152"/>
          <cell r="F7152"/>
          <cell r="G7152"/>
          <cell r="H7152"/>
          <cell r="J7152"/>
          <cell r="L7152"/>
          <cell r="M7152"/>
        </row>
        <row r="7153">
          <cell r="B7153"/>
          <cell r="C7153"/>
          <cell r="E7153"/>
          <cell r="F7153"/>
          <cell r="G7153"/>
          <cell r="H7153"/>
          <cell r="J7153"/>
          <cell r="L7153"/>
          <cell r="M7153"/>
        </row>
        <row r="7154">
          <cell r="B7154"/>
          <cell r="C7154"/>
          <cell r="E7154"/>
          <cell r="F7154"/>
          <cell r="G7154"/>
          <cell r="H7154"/>
          <cell r="J7154"/>
          <cell r="L7154"/>
          <cell r="M7154"/>
        </row>
        <row r="7155">
          <cell r="B7155"/>
          <cell r="C7155"/>
          <cell r="E7155"/>
          <cell r="F7155"/>
          <cell r="G7155"/>
          <cell r="H7155"/>
          <cell r="J7155"/>
          <cell r="L7155"/>
          <cell r="M7155"/>
        </row>
        <row r="7156">
          <cell r="B7156"/>
          <cell r="C7156"/>
          <cell r="E7156"/>
          <cell r="F7156"/>
          <cell r="G7156"/>
          <cell r="H7156"/>
          <cell r="J7156"/>
          <cell r="L7156"/>
          <cell r="M7156"/>
        </row>
        <row r="7157">
          <cell r="B7157"/>
          <cell r="C7157"/>
          <cell r="E7157"/>
          <cell r="F7157"/>
          <cell r="G7157"/>
          <cell r="H7157"/>
          <cell r="J7157"/>
          <cell r="L7157"/>
          <cell r="M7157"/>
        </row>
        <row r="7158">
          <cell r="B7158"/>
          <cell r="C7158"/>
          <cell r="E7158"/>
          <cell r="F7158"/>
          <cell r="G7158"/>
          <cell r="H7158"/>
          <cell r="J7158"/>
          <cell r="L7158"/>
          <cell r="M7158"/>
        </row>
        <row r="7159">
          <cell r="B7159"/>
          <cell r="C7159"/>
          <cell r="E7159"/>
          <cell r="F7159"/>
          <cell r="G7159"/>
          <cell r="H7159"/>
          <cell r="J7159"/>
          <cell r="L7159"/>
          <cell r="M7159"/>
        </row>
        <row r="7160">
          <cell r="B7160"/>
          <cell r="C7160"/>
          <cell r="E7160"/>
          <cell r="F7160"/>
          <cell r="G7160"/>
          <cell r="H7160"/>
          <cell r="J7160"/>
          <cell r="L7160"/>
          <cell r="M7160"/>
        </row>
        <row r="7161">
          <cell r="B7161"/>
          <cell r="C7161"/>
          <cell r="E7161"/>
          <cell r="F7161"/>
          <cell r="G7161"/>
          <cell r="H7161"/>
          <cell r="J7161"/>
          <cell r="L7161"/>
          <cell r="M7161"/>
        </row>
        <row r="7162">
          <cell r="B7162"/>
          <cell r="C7162"/>
          <cell r="E7162"/>
          <cell r="F7162"/>
          <cell r="G7162"/>
          <cell r="H7162"/>
          <cell r="J7162"/>
          <cell r="L7162"/>
          <cell r="M7162"/>
        </row>
        <row r="7163">
          <cell r="B7163"/>
          <cell r="C7163"/>
          <cell r="E7163"/>
          <cell r="F7163"/>
          <cell r="G7163"/>
          <cell r="H7163"/>
          <cell r="J7163"/>
          <cell r="L7163"/>
          <cell r="M7163"/>
        </row>
        <row r="7164">
          <cell r="B7164"/>
          <cell r="C7164"/>
          <cell r="E7164"/>
          <cell r="F7164"/>
          <cell r="G7164"/>
          <cell r="H7164"/>
          <cell r="J7164"/>
          <cell r="L7164"/>
          <cell r="M7164"/>
        </row>
        <row r="7165">
          <cell r="B7165"/>
          <cell r="C7165"/>
          <cell r="E7165"/>
          <cell r="F7165"/>
          <cell r="G7165"/>
          <cell r="H7165"/>
          <cell r="J7165"/>
          <cell r="L7165"/>
          <cell r="M7165"/>
        </row>
        <row r="7166">
          <cell r="B7166"/>
          <cell r="C7166"/>
          <cell r="E7166"/>
          <cell r="F7166"/>
          <cell r="G7166"/>
          <cell r="H7166"/>
          <cell r="J7166"/>
          <cell r="L7166"/>
          <cell r="M7166"/>
        </row>
        <row r="7167">
          <cell r="B7167"/>
          <cell r="C7167"/>
          <cell r="E7167"/>
          <cell r="F7167"/>
          <cell r="G7167"/>
          <cell r="H7167"/>
          <cell r="J7167"/>
          <cell r="L7167"/>
          <cell r="M7167"/>
        </row>
        <row r="7168">
          <cell r="B7168"/>
          <cell r="C7168"/>
          <cell r="E7168"/>
          <cell r="F7168"/>
          <cell r="G7168"/>
          <cell r="H7168"/>
          <cell r="J7168"/>
          <cell r="L7168"/>
          <cell r="M7168"/>
        </row>
        <row r="7169">
          <cell r="B7169"/>
          <cell r="C7169"/>
          <cell r="E7169"/>
          <cell r="F7169"/>
          <cell r="G7169"/>
          <cell r="H7169"/>
          <cell r="J7169"/>
          <cell r="L7169"/>
          <cell r="M7169"/>
        </row>
        <row r="7170">
          <cell r="B7170"/>
          <cell r="C7170"/>
          <cell r="E7170"/>
          <cell r="F7170"/>
          <cell r="G7170"/>
          <cell r="H7170"/>
          <cell r="J7170"/>
          <cell r="L7170"/>
          <cell r="M7170"/>
        </row>
        <row r="7171">
          <cell r="B7171"/>
          <cell r="C7171"/>
          <cell r="E7171"/>
          <cell r="F7171"/>
          <cell r="G7171"/>
          <cell r="H7171"/>
          <cell r="J7171"/>
          <cell r="L7171"/>
          <cell r="M7171"/>
        </row>
        <row r="7172">
          <cell r="B7172"/>
          <cell r="C7172"/>
          <cell r="E7172"/>
          <cell r="F7172"/>
          <cell r="G7172"/>
          <cell r="H7172"/>
          <cell r="J7172"/>
          <cell r="L7172"/>
          <cell r="M7172"/>
        </row>
        <row r="7173">
          <cell r="B7173"/>
          <cell r="C7173"/>
          <cell r="E7173"/>
          <cell r="F7173"/>
          <cell r="G7173"/>
          <cell r="H7173"/>
          <cell r="J7173"/>
          <cell r="L7173"/>
          <cell r="M7173"/>
        </row>
        <row r="7174">
          <cell r="B7174"/>
          <cell r="C7174"/>
          <cell r="E7174"/>
          <cell r="F7174"/>
          <cell r="G7174"/>
          <cell r="H7174"/>
          <cell r="J7174"/>
          <cell r="L7174"/>
          <cell r="M7174"/>
        </row>
        <row r="7175">
          <cell r="B7175"/>
          <cell r="C7175"/>
          <cell r="E7175"/>
          <cell r="F7175"/>
          <cell r="G7175"/>
          <cell r="H7175"/>
          <cell r="J7175"/>
          <cell r="L7175"/>
          <cell r="M7175"/>
        </row>
        <row r="7176">
          <cell r="B7176"/>
          <cell r="C7176"/>
          <cell r="E7176"/>
          <cell r="F7176"/>
          <cell r="G7176"/>
          <cell r="H7176"/>
          <cell r="J7176"/>
          <cell r="L7176"/>
          <cell r="M7176"/>
        </row>
        <row r="7177">
          <cell r="B7177"/>
          <cell r="C7177"/>
          <cell r="E7177"/>
          <cell r="F7177"/>
          <cell r="G7177"/>
          <cell r="H7177"/>
          <cell r="J7177"/>
          <cell r="L7177"/>
          <cell r="M7177"/>
        </row>
        <row r="7178">
          <cell r="B7178"/>
          <cell r="C7178"/>
          <cell r="E7178"/>
          <cell r="F7178"/>
          <cell r="G7178"/>
          <cell r="H7178"/>
          <cell r="J7178"/>
          <cell r="L7178"/>
          <cell r="M7178"/>
        </row>
        <row r="7179">
          <cell r="B7179"/>
          <cell r="C7179"/>
          <cell r="E7179"/>
          <cell r="F7179"/>
          <cell r="G7179"/>
          <cell r="H7179"/>
          <cell r="J7179"/>
          <cell r="L7179"/>
          <cell r="M7179"/>
        </row>
        <row r="7180">
          <cell r="B7180"/>
          <cell r="C7180"/>
          <cell r="E7180"/>
          <cell r="F7180"/>
          <cell r="G7180"/>
          <cell r="H7180"/>
          <cell r="J7180"/>
          <cell r="L7180"/>
          <cell r="M7180"/>
        </row>
        <row r="7181">
          <cell r="B7181"/>
          <cell r="C7181"/>
          <cell r="E7181"/>
          <cell r="F7181"/>
          <cell r="G7181"/>
          <cell r="H7181"/>
          <cell r="J7181"/>
          <cell r="L7181"/>
          <cell r="M7181"/>
        </row>
        <row r="7182">
          <cell r="B7182"/>
          <cell r="C7182"/>
          <cell r="E7182"/>
          <cell r="F7182"/>
          <cell r="G7182"/>
          <cell r="H7182"/>
          <cell r="J7182"/>
          <cell r="L7182"/>
          <cell r="M7182"/>
        </row>
        <row r="7183">
          <cell r="B7183"/>
          <cell r="C7183"/>
          <cell r="E7183"/>
          <cell r="F7183"/>
          <cell r="G7183"/>
          <cell r="H7183"/>
          <cell r="J7183"/>
          <cell r="L7183"/>
          <cell r="M7183"/>
        </row>
        <row r="7184">
          <cell r="B7184"/>
          <cell r="C7184"/>
          <cell r="E7184"/>
          <cell r="F7184"/>
          <cell r="G7184"/>
          <cell r="H7184"/>
          <cell r="J7184"/>
          <cell r="L7184"/>
          <cell r="M7184"/>
        </row>
        <row r="7185">
          <cell r="B7185"/>
          <cell r="C7185"/>
          <cell r="E7185"/>
          <cell r="F7185"/>
          <cell r="G7185"/>
          <cell r="H7185"/>
          <cell r="J7185"/>
          <cell r="L7185"/>
          <cell r="M7185"/>
        </row>
        <row r="7186">
          <cell r="B7186"/>
          <cell r="C7186"/>
          <cell r="E7186"/>
          <cell r="F7186"/>
          <cell r="G7186"/>
          <cell r="H7186"/>
          <cell r="J7186"/>
          <cell r="L7186"/>
          <cell r="M7186"/>
        </row>
        <row r="7187">
          <cell r="B7187"/>
          <cell r="C7187"/>
          <cell r="E7187"/>
          <cell r="F7187"/>
          <cell r="G7187"/>
          <cell r="H7187"/>
          <cell r="J7187"/>
          <cell r="L7187"/>
          <cell r="M7187"/>
        </row>
        <row r="7188">
          <cell r="B7188"/>
          <cell r="C7188"/>
          <cell r="E7188"/>
          <cell r="F7188"/>
          <cell r="G7188"/>
          <cell r="H7188"/>
          <cell r="J7188"/>
          <cell r="L7188"/>
          <cell r="M7188"/>
        </row>
        <row r="7189">
          <cell r="B7189"/>
          <cell r="C7189"/>
          <cell r="E7189"/>
          <cell r="F7189"/>
          <cell r="G7189"/>
          <cell r="H7189"/>
          <cell r="J7189"/>
          <cell r="L7189"/>
          <cell r="M7189"/>
        </row>
        <row r="7190">
          <cell r="B7190"/>
          <cell r="C7190"/>
          <cell r="E7190"/>
          <cell r="F7190"/>
          <cell r="G7190"/>
          <cell r="H7190"/>
          <cell r="J7190"/>
          <cell r="L7190"/>
          <cell r="M7190"/>
        </row>
        <row r="7191">
          <cell r="B7191"/>
          <cell r="C7191"/>
          <cell r="E7191"/>
          <cell r="F7191"/>
          <cell r="G7191"/>
          <cell r="H7191"/>
          <cell r="J7191"/>
          <cell r="L7191"/>
          <cell r="M7191"/>
        </row>
        <row r="7192">
          <cell r="B7192"/>
          <cell r="C7192"/>
          <cell r="E7192"/>
          <cell r="F7192"/>
          <cell r="G7192"/>
          <cell r="H7192"/>
          <cell r="J7192"/>
          <cell r="L7192"/>
          <cell r="M7192"/>
        </row>
        <row r="7193">
          <cell r="B7193"/>
          <cell r="C7193"/>
          <cell r="E7193"/>
          <cell r="F7193"/>
          <cell r="G7193"/>
          <cell r="H7193"/>
          <cell r="J7193"/>
          <cell r="L7193"/>
          <cell r="M7193"/>
        </row>
        <row r="7194">
          <cell r="B7194"/>
          <cell r="C7194"/>
          <cell r="E7194"/>
          <cell r="F7194"/>
          <cell r="G7194"/>
          <cell r="H7194"/>
          <cell r="J7194"/>
          <cell r="L7194"/>
          <cell r="M7194"/>
        </row>
        <row r="7195">
          <cell r="B7195"/>
          <cell r="C7195"/>
          <cell r="E7195"/>
          <cell r="F7195"/>
          <cell r="G7195"/>
          <cell r="H7195"/>
          <cell r="J7195"/>
          <cell r="L7195"/>
          <cell r="M7195"/>
        </row>
        <row r="7196">
          <cell r="B7196"/>
          <cell r="C7196"/>
          <cell r="E7196"/>
          <cell r="F7196"/>
          <cell r="G7196"/>
          <cell r="H7196"/>
          <cell r="J7196"/>
          <cell r="L7196"/>
          <cell r="M7196"/>
        </row>
        <row r="7197">
          <cell r="B7197"/>
          <cell r="C7197"/>
          <cell r="E7197"/>
          <cell r="F7197"/>
          <cell r="G7197"/>
          <cell r="H7197"/>
          <cell r="J7197"/>
          <cell r="L7197"/>
          <cell r="M7197"/>
        </row>
        <row r="7198">
          <cell r="B7198"/>
          <cell r="C7198"/>
          <cell r="E7198"/>
          <cell r="F7198"/>
          <cell r="G7198"/>
          <cell r="H7198"/>
          <cell r="J7198"/>
          <cell r="L7198"/>
          <cell r="M7198"/>
        </row>
        <row r="7199">
          <cell r="B7199"/>
          <cell r="C7199"/>
          <cell r="E7199"/>
          <cell r="F7199"/>
          <cell r="G7199"/>
          <cell r="H7199"/>
          <cell r="J7199"/>
          <cell r="L7199"/>
          <cell r="M7199"/>
        </row>
        <row r="7200">
          <cell r="B7200"/>
          <cell r="C7200"/>
          <cell r="E7200"/>
          <cell r="F7200"/>
          <cell r="G7200"/>
          <cell r="H7200"/>
          <cell r="J7200"/>
          <cell r="L7200"/>
          <cell r="M7200"/>
        </row>
        <row r="7201">
          <cell r="B7201"/>
          <cell r="C7201"/>
          <cell r="E7201"/>
          <cell r="F7201"/>
          <cell r="G7201"/>
          <cell r="H7201"/>
          <cell r="J7201"/>
          <cell r="L7201"/>
          <cell r="M7201"/>
        </row>
        <row r="7202">
          <cell r="B7202"/>
          <cell r="C7202"/>
          <cell r="E7202"/>
          <cell r="F7202"/>
          <cell r="G7202"/>
          <cell r="H7202"/>
          <cell r="J7202"/>
          <cell r="L7202"/>
          <cell r="M7202"/>
        </row>
        <row r="7203">
          <cell r="B7203"/>
          <cell r="C7203"/>
          <cell r="E7203"/>
          <cell r="F7203"/>
          <cell r="G7203"/>
          <cell r="H7203"/>
          <cell r="J7203"/>
          <cell r="L7203"/>
          <cell r="M7203"/>
        </row>
        <row r="7204">
          <cell r="B7204"/>
          <cell r="C7204"/>
          <cell r="E7204"/>
          <cell r="F7204"/>
          <cell r="G7204"/>
          <cell r="H7204"/>
          <cell r="J7204"/>
          <cell r="L7204"/>
          <cell r="M7204"/>
        </row>
        <row r="7205">
          <cell r="B7205"/>
          <cell r="C7205"/>
          <cell r="E7205"/>
          <cell r="F7205"/>
          <cell r="G7205"/>
          <cell r="H7205"/>
          <cell r="J7205"/>
          <cell r="L7205"/>
          <cell r="M7205"/>
        </row>
        <row r="7206">
          <cell r="B7206"/>
          <cell r="C7206"/>
          <cell r="E7206"/>
          <cell r="F7206"/>
          <cell r="G7206"/>
          <cell r="H7206"/>
          <cell r="J7206"/>
          <cell r="L7206"/>
          <cell r="M7206"/>
        </row>
        <row r="7207">
          <cell r="B7207"/>
          <cell r="C7207"/>
          <cell r="E7207"/>
          <cell r="F7207"/>
          <cell r="G7207"/>
          <cell r="H7207"/>
          <cell r="J7207"/>
          <cell r="L7207"/>
          <cell r="M7207"/>
        </row>
        <row r="7208">
          <cell r="B7208"/>
          <cell r="C7208"/>
          <cell r="E7208"/>
          <cell r="F7208"/>
          <cell r="G7208"/>
          <cell r="H7208"/>
          <cell r="J7208"/>
          <cell r="L7208"/>
          <cell r="M7208"/>
        </row>
        <row r="7209">
          <cell r="B7209"/>
          <cell r="C7209"/>
          <cell r="E7209"/>
          <cell r="F7209"/>
          <cell r="G7209"/>
          <cell r="H7209"/>
          <cell r="J7209"/>
          <cell r="L7209"/>
          <cell r="M7209"/>
        </row>
        <row r="7210">
          <cell r="B7210"/>
          <cell r="C7210"/>
          <cell r="E7210"/>
          <cell r="F7210"/>
          <cell r="G7210"/>
          <cell r="H7210"/>
          <cell r="J7210"/>
          <cell r="L7210"/>
          <cell r="M7210"/>
        </row>
        <row r="7211">
          <cell r="B7211"/>
          <cell r="C7211"/>
          <cell r="E7211"/>
          <cell r="F7211"/>
          <cell r="G7211"/>
          <cell r="H7211"/>
          <cell r="J7211"/>
          <cell r="L7211"/>
          <cell r="M7211"/>
        </row>
        <row r="7212">
          <cell r="B7212"/>
          <cell r="C7212"/>
          <cell r="E7212"/>
          <cell r="F7212"/>
          <cell r="G7212"/>
          <cell r="H7212"/>
          <cell r="J7212"/>
          <cell r="L7212"/>
          <cell r="M7212"/>
        </row>
        <row r="7213">
          <cell r="B7213"/>
          <cell r="C7213"/>
          <cell r="E7213"/>
          <cell r="F7213"/>
          <cell r="G7213"/>
          <cell r="H7213"/>
          <cell r="J7213"/>
          <cell r="L7213"/>
          <cell r="M7213"/>
        </row>
        <row r="7214">
          <cell r="B7214"/>
          <cell r="C7214"/>
          <cell r="E7214"/>
          <cell r="F7214"/>
          <cell r="G7214"/>
          <cell r="H7214"/>
          <cell r="J7214"/>
          <cell r="L7214"/>
          <cell r="M7214"/>
        </row>
        <row r="7215">
          <cell r="B7215"/>
          <cell r="C7215"/>
          <cell r="E7215"/>
          <cell r="F7215"/>
          <cell r="G7215"/>
          <cell r="H7215"/>
          <cell r="J7215"/>
          <cell r="L7215"/>
          <cell r="M7215"/>
        </row>
        <row r="7216">
          <cell r="B7216"/>
          <cell r="C7216"/>
          <cell r="E7216"/>
          <cell r="F7216"/>
          <cell r="G7216"/>
          <cell r="H7216"/>
          <cell r="J7216"/>
          <cell r="L7216"/>
          <cell r="M7216"/>
        </row>
        <row r="7217">
          <cell r="B7217"/>
          <cell r="C7217"/>
          <cell r="E7217"/>
          <cell r="F7217"/>
          <cell r="G7217"/>
          <cell r="H7217"/>
          <cell r="J7217"/>
          <cell r="L7217"/>
          <cell r="M7217"/>
        </row>
        <row r="7218">
          <cell r="B7218"/>
          <cell r="C7218"/>
          <cell r="E7218"/>
          <cell r="F7218"/>
          <cell r="G7218"/>
          <cell r="H7218"/>
          <cell r="J7218"/>
          <cell r="L7218"/>
          <cell r="M7218"/>
        </row>
        <row r="7219">
          <cell r="B7219"/>
          <cell r="C7219"/>
          <cell r="E7219"/>
          <cell r="F7219"/>
          <cell r="G7219"/>
          <cell r="H7219"/>
          <cell r="J7219"/>
          <cell r="L7219"/>
          <cell r="M7219"/>
        </row>
        <row r="7220">
          <cell r="B7220"/>
          <cell r="C7220"/>
          <cell r="E7220"/>
          <cell r="F7220"/>
          <cell r="G7220"/>
          <cell r="H7220"/>
          <cell r="J7220"/>
          <cell r="L7220"/>
          <cell r="M7220"/>
        </row>
        <row r="7221">
          <cell r="B7221"/>
          <cell r="C7221"/>
          <cell r="E7221"/>
          <cell r="F7221"/>
          <cell r="G7221"/>
          <cell r="H7221"/>
          <cell r="J7221"/>
          <cell r="L7221"/>
          <cell r="M7221"/>
        </row>
        <row r="7222">
          <cell r="B7222"/>
          <cell r="C7222"/>
          <cell r="E7222"/>
          <cell r="F7222"/>
          <cell r="G7222"/>
          <cell r="H7222"/>
          <cell r="J7222"/>
          <cell r="L7222"/>
          <cell r="M7222"/>
        </row>
        <row r="7223">
          <cell r="B7223"/>
          <cell r="C7223"/>
          <cell r="E7223"/>
          <cell r="F7223"/>
          <cell r="G7223"/>
          <cell r="H7223"/>
          <cell r="J7223"/>
          <cell r="L7223"/>
          <cell r="M7223"/>
        </row>
        <row r="7224">
          <cell r="B7224"/>
          <cell r="C7224"/>
          <cell r="E7224"/>
          <cell r="F7224"/>
          <cell r="G7224"/>
          <cell r="H7224"/>
          <cell r="J7224"/>
          <cell r="L7224"/>
          <cell r="M7224"/>
        </row>
        <row r="7225">
          <cell r="B7225"/>
          <cell r="C7225"/>
          <cell r="E7225"/>
          <cell r="F7225"/>
          <cell r="G7225"/>
          <cell r="H7225"/>
          <cell r="J7225"/>
          <cell r="L7225"/>
          <cell r="M7225"/>
        </row>
        <row r="7226">
          <cell r="B7226"/>
          <cell r="C7226"/>
          <cell r="E7226"/>
          <cell r="F7226"/>
          <cell r="G7226"/>
          <cell r="H7226"/>
          <cell r="J7226"/>
          <cell r="L7226"/>
          <cell r="M7226"/>
        </row>
        <row r="7227">
          <cell r="B7227"/>
          <cell r="C7227"/>
          <cell r="E7227"/>
          <cell r="F7227"/>
          <cell r="G7227"/>
          <cell r="H7227"/>
          <cell r="J7227"/>
          <cell r="L7227"/>
          <cell r="M7227"/>
        </row>
        <row r="7228">
          <cell r="B7228"/>
          <cell r="C7228"/>
          <cell r="E7228"/>
          <cell r="F7228"/>
          <cell r="G7228"/>
          <cell r="H7228"/>
          <cell r="J7228"/>
          <cell r="L7228"/>
          <cell r="M7228"/>
        </row>
        <row r="7229">
          <cell r="B7229"/>
          <cell r="C7229"/>
          <cell r="E7229"/>
          <cell r="F7229"/>
          <cell r="G7229"/>
          <cell r="H7229"/>
          <cell r="J7229"/>
          <cell r="L7229"/>
          <cell r="M7229"/>
        </row>
        <row r="7230">
          <cell r="B7230"/>
          <cell r="C7230"/>
          <cell r="E7230"/>
          <cell r="F7230"/>
          <cell r="G7230"/>
          <cell r="H7230"/>
          <cell r="J7230"/>
          <cell r="L7230"/>
          <cell r="M7230"/>
        </row>
        <row r="7231">
          <cell r="B7231"/>
          <cell r="C7231"/>
          <cell r="E7231"/>
          <cell r="F7231"/>
          <cell r="G7231"/>
          <cell r="H7231"/>
          <cell r="J7231"/>
          <cell r="L7231"/>
          <cell r="M7231"/>
        </row>
        <row r="7232">
          <cell r="B7232"/>
          <cell r="C7232"/>
          <cell r="E7232"/>
          <cell r="F7232"/>
          <cell r="G7232"/>
          <cell r="H7232"/>
          <cell r="J7232"/>
          <cell r="L7232"/>
          <cell r="M7232"/>
        </row>
        <row r="7233">
          <cell r="B7233"/>
          <cell r="C7233"/>
          <cell r="E7233"/>
          <cell r="F7233"/>
          <cell r="G7233"/>
          <cell r="H7233"/>
          <cell r="J7233"/>
          <cell r="L7233"/>
          <cell r="M7233"/>
        </row>
        <row r="7234">
          <cell r="B7234"/>
          <cell r="C7234"/>
          <cell r="E7234"/>
          <cell r="F7234"/>
          <cell r="G7234"/>
          <cell r="H7234"/>
          <cell r="J7234"/>
          <cell r="L7234"/>
          <cell r="M7234"/>
        </row>
        <row r="7235">
          <cell r="B7235"/>
          <cell r="C7235"/>
          <cell r="E7235"/>
          <cell r="F7235"/>
          <cell r="G7235"/>
          <cell r="H7235"/>
          <cell r="J7235"/>
          <cell r="L7235"/>
          <cell r="M7235"/>
        </row>
        <row r="7236">
          <cell r="B7236"/>
          <cell r="C7236"/>
          <cell r="E7236"/>
          <cell r="F7236"/>
          <cell r="G7236"/>
          <cell r="H7236"/>
          <cell r="J7236"/>
          <cell r="L7236"/>
          <cell r="M7236"/>
        </row>
        <row r="7237">
          <cell r="B7237"/>
          <cell r="C7237"/>
          <cell r="E7237"/>
          <cell r="F7237"/>
          <cell r="G7237"/>
          <cell r="H7237"/>
          <cell r="J7237"/>
          <cell r="L7237"/>
          <cell r="M7237"/>
        </row>
        <row r="7238">
          <cell r="B7238"/>
          <cell r="C7238"/>
          <cell r="E7238"/>
          <cell r="F7238"/>
          <cell r="G7238"/>
          <cell r="H7238"/>
          <cell r="J7238"/>
          <cell r="L7238"/>
          <cell r="M7238"/>
        </row>
        <row r="7239">
          <cell r="B7239"/>
          <cell r="C7239"/>
          <cell r="E7239"/>
          <cell r="F7239"/>
          <cell r="G7239"/>
          <cell r="H7239"/>
          <cell r="J7239"/>
          <cell r="L7239"/>
          <cell r="M7239"/>
        </row>
        <row r="7240">
          <cell r="B7240"/>
          <cell r="C7240"/>
          <cell r="E7240"/>
          <cell r="F7240"/>
          <cell r="G7240"/>
          <cell r="H7240"/>
          <cell r="J7240"/>
          <cell r="L7240"/>
          <cell r="M7240"/>
        </row>
        <row r="7241">
          <cell r="B7241"/>
          <cell r="C7241"/>
          <cell r="E7241"/>
          <cell r="F7241"/>
          <cell r="G7241"/>
          <cell r="H7241"/>
          <cell r="J7241"/>
          <cell r="L7241"/>
          <cell r="M7241"/>
        </row>
        <row r="7242">
          <cell r="B7242"/>
          <cell r="C7242"/>
          <cell r="E7242"/>
          <cell r="F7242"/>
          <cell r="G7242"/>
          <cell r="H7242"/>
          <cell r="J7242"/>
          <cell r="L7242"/>
          <cell r="M7242"/>
        </row>
        <row r="7243">
          <cell r="B7243"/>
          <cell r="C7243"/>
          <cell r="E7243"/>
          <cell r="F7243"/>
          <cell r="G7243"/>
          <cell r="H7243"/>
          <cell r="J7243"/>
          <cell r="L7243"/>
          <cell r="M7243"/>
        </row>
        <row r="7244">
          <cell r="B7244"/>
          <cell r="C7244"/>
          <cell r="E7244"/>
          <cell r="F7244"/>
          <cell r="G7244"/>
          <cell r="H7244"/>
          <cell r="J7244"/>
          <cell r="L7244"/>
          <cell r="M7244"/>
        </row>
        <row r="7245">
          <cell r="B7245"/>
          <cell r="C7245"/>
          <cell r="E7245"/>
          <cell r="F7245"/>
          <cell r="G7245"/>
          <cell r="H7245"/>
          <cell r="J7245"/>
          <cell r="L7245"/>
          <cell r="M7245"/>
        </row>
        <row r="7246">
          <cell r="B7246"/>
          <cell r="C7246"/>
          <cell r="E7246"/>
          <cell r="F7246"/>
          <cell r="G7246"/>
          <cell r="H7246"/>
          <cell r="J7246"/>
          <cell r="L7246"/>
          <cell r="M7246"/>
        </row>
        <row r="7247">
          <cell r="B7247"/>
          <cell r="C7247"/>
          <cell r="E7247"/>
          <cell r="F7247"/>
          <cell r="G7247"/>
          <cell r="H7247"/>
          <cell r="J7247"/>
          <cell r="L7247"/>
          <cell r="M7247"/>
        </row>
        <row r="7248">
          <cell r="B7248"/>
          <cell r="C7248"/>
          <cell r="E7248"/>
          <cell r="F7248"/>
          <cell r="G7248"/>
          <cell r="H7248"/>
          <cell r="J7248"/>
          <cell r="L7248"/>
          <cell r="M7248"/>
        </row>
        <row r="7249">
          <cell r="B7249"/>
          <cell r="C7249"/>
          <cell r="E7249"/>
          <cell r="F7249"/>
          <cell r="G7249"/>
          <cell r="H7249"/>
          <cell r="J7249"/>
          <cell r="L7249"/>
          <cell r="M7249"/>
        </row>
        <row r="7250">
          <cell r="B7250"/>
          <cell r="C7250"/>
          <cell r="E7250"/>
          <cell r="F7250"/>
          <cell r="G7250"/>
          <cell r="H7250"/>
          <cell r="J7250"/>
          <cell r="L7250"/>
          <cell r="M7250"/>
        </row>
        <row r="7251">
          <cell r="B7251"/>
          <cell r="C7251"/>
          <cell r="E7251"/>
          <cell r="F7251"/>
          <cell r="G7251"/>
          <cell r="H7251"/>
          <cell r="J7251"/>
          <cell r="L7251"/>
          <cell r="M7251"/>
        </row>
        <row r="7252">
          <cell r="B7252"/>
          <cell r="C7252"/>
          <cell r="E7252"/>
          <cell r="F7252"/>
          <cell r="G7252"/>
          <cell r="H7252"/>
          <cell r="J7252"/>
          <cell r="L7252"/>
          <cell r="M7252"/>
        </row>
        <row r="7253">
          <cell r="B7253"/>
          <cell r="C7253"/>
          <cell r="E7253"/>
          <cell r="F7253"/>
          <cell r="G7253"/>
          <cell r="H7253"/>
          <cell r="J7253"/>
          <cell r="L7253"/>
          <cell r="M7253"/>
        </row>
        <row r="7254">
          <cell r="B7254"/>
          <cell r="C7254"/>
          <cell r="E7254"/>
          <cell r="F7254"/>
          <cell r="G7254"/>
          <cell r="H7254"/>
          <cell r="J7254"/>
          <cell r="L7254"/>
          <cell r="M7254"/>
        </row>
        <row r="7255">
          <cell r="B7255"/>
          <cell r="C7255"/>
          <cell r="E7255"/>
          <cell r="F7255"/>
          <cell r="G7255"/>
          <cell r="H7255"/>
          <cell r="J7255"/>
          <cell r="L7255"/>
          <cell r="M7255"/>
        </row>
        <row r="7256">
          <cell r="B7256"/>
          <cell r="C7256"/>
          <cell r="E7256"/>
          <cell r="F7256"/>
          <cell r="G7256"/>
          <cell r="H7256"/>
          <cell r="J7256"/>
          <cell r="L7256"/>
          <cell r="M7256"/>
        </row>
        <row r="7257">
          <cell r="B7257"/>
          <cell r="C7257"/>
          <cell r="E7257"/>
          <cell r="F7257"/>
          <cell r="G7257"/>
          <cell r="H7257"/>
          <cell r="J7257"/>
          <cell r="L7257"/>
          <cell r="M7257"/>
        </row>
        <row r="7258">
          <cell r="B7258"/>
          <cell r="C7258"/>
          <cell r="E7258"/>
          <cell r="F7258"/>
          <cell r="G7258"/>
          <cell r="H7258"/>
          <cell r="J7258"/>
          <cell r="L7258"/>
          <cell r="M7258"/>
        </row>
        <row r="7259">
          <cell r="B7259"/>
          <cell r="C7259"/>
          <cell r="E7259"/>
          <cell r="F7259"/>
          <cell r="G7259"/>
          <cell r="H7259"/>
          <cell r="J7259"/>
          <cell r="L7259"/>
          <cell r="M7259"/>
        </row>
        <row r="7260">
          <cell r="B7260"/>
          <cell r="C7260"/>
          <cell r="E7260"/>
          <cell r="F7260"/>
          <cell r="G7260"/>
          <cell r="H7260"/>
          <cell r="J7260"/>
          <cell r="L7260"/>
          <cell r="M7260"/>
        </row>
        <row r="7261">
          <cell r="B7261"/>
          <cell r="C7261"/>
          <cell r="E7261"/>
          <cell r="F7261"/>
          <cell r="G7261"/>
          <cell r="H7261"/>
          <cell r="J7261"/>
          <cell r="L7261"/>
          <cell r="M7261"/>
        </row>
        <row r="7262">
          <cell r="B7262"/>
          <cell r="C7262"/>
          <cell r="E7262"/>
          <cell r="F7262"/>
          <cell r="G7262"/>
          <cell r="H7262"/>
          <cell r="J7262"/>
          <cell r="L7262"/>
          <cell r="M7262"/>
        </row>
        <row r="7263">
          <cell r="B7263"/>
          <cell r="C7263"/>
          <cell r="E7263"/>
          <cell r="F7263"/>
          <cell r="G7263"/>
          <cell r="H7263"/>
          <cell r="J7263"/>
          <cell r="L7263"/>
          <cell r="M7263"/>
        </row>
        <row r="7264">
          <cell r="B7264"/>
          <cell r="C7264"/>
          <cell r="E7264"/>
          <cell r="F7264"/>
          <cell r="G7264"/>
          <cell r="H7264"/>
          <cell r="J7264"/>
          <cell r="L7264"/>
          <cell r="M7264"/>
        </row>
        <row r="7265">
          <cell r="B7265"/>
          <cell r="C7265"/>
          <cell r="E7265"/>
          <cell r="F7265"/>
          <cell r="G7265"/>
          <cell r="H7265"/>
          <cell r="J7265"/>
          <cell r="L7265"/>
          <cell r="M7265"/>
        </row>
        <row r="7266">
          <cell r="B7266"/>
          <cell r="C7266"/>
          <cell r="E7266"/>
          <cell r="F7266"/>
          <cell r="G7266"/>
          <cell r="H7266"/>
          <cell r="J7266"/>
          <cell r="L7266"/>
          <cell r="M7266"/>
        </row>
        <row r="7267">
          <cell r="B7267"/>
          <cell r="C7267"/>
          <cell r="E7267"/>
          <cell r="F7267"/>
          <cell r="G7267"/>
          <cell r="H7267"/>
          <cell r="J7267"/>
          <cell r="L7267"/>
          <cell r="M7267"/>
        </row>
        <row r="7268">
          <cell r="B7268"/>
          <cell r="C7268"/>
          <cell r="E7268"/>
          <cell r="F7268"/>
          <cell r="G7268"/>
          <cell r="H7268"/>
          <cell r="J7268"/>
          <cell r="L7268"/>
          <cell r="M7268"/>
        </row>
        <row r="7269">
          <cell r="B7269"/>
          <cell r="C7269"/>
          <cell r="E7269"/>
          <cell r="F7269"/>
          <cell r="G7269"/>
          <cell r="H7269"/>
          <cell r="J7269"/>
          <cell r="L7269"/>
          <cell r="M7269"/>
        </row>
        <row r="7270">
          <cell r="B7270"/>
          <cell r="C7270"/>
          <cell r="E7270"/>
          <cell r="F7270"/>
          <cell r="G7270"/>
          <cell r="H7270"/>
          <cell r="J7270"/>
          <cell r="L7270"/>
          <cell r="M7270"/>
        </row>
        <row r="7271">
          <cell r="B7271"/>
          <cell r="C7271"/>
          <cell r="E7271"/>
          <cell r="F7271"/>
          <cell r="G7271"/>
          <cell r="H7271"/>
          <cell r="J7271"/>
          <cell r="L7271"/>
          <cell r="M7271"/>
        </row>
        <row r="7272">
          <cell r="B7272"/>
          <cell r="C7272"/>
          <cell r="E7272"/>
          <cell r="F7272"/>
          <cell r="G7272"/>
          <cell r="H7272"/>
          <cell r="J7272"/>
          <cell r="L7272"/>
          <cell r="M7272"/>
        </row>
        <row r="7273">
          <cell r="B7273"/>
          <cell r="C7273"/>
          <cell r="E7273"/>
          <cell r="F7273"/>
          <cell r="G7273"/>
          <cell r="H7273"/>
          <cell r="J7273"/>
          <cell r="L7273"/>
          <cell r="M7273"/>
        </row>
        <row r="7274">
          <cell r="B7274"/>
          <cell r="C7274"/>
          <cell r="E7274"/>
          <cell r="F7274"/>
          <cell r="G7274"/>
          <cell r="H7274"/>
          <cell r="J7274"/>
          <cell r="L7274"/>
          <cell r="M7274"/>
        </row>
        <row r="7275">
          <cell r="B7275"/>
          <cell r="C7275"/>
          <cell r="E7275"/>
          <cell r="F7275"/>
          <cell r="G7275"/>
          <cell r="H7275"/>
          <cell r="J7275"/>
          <cell r="L7275"/>
          <cell r="M7275"/>
        </row>
        <row r="7276">
          <cell r="B7276"/>
          <cell r="C7276"/>
          <cell r="E7276"/>
          <cell r="F7276"/>
          <cell r="G7276"/>
          <cell r="H7276"/>
          <cell r="J7276"/>
          <cell r="L7276"/>
          <cell r="M7276"/>
        </row>
        <row r="7277">
          <cell r="B7277"/>
          <cell r="C7277"/>
          <cell r="E7277"/>
          <cell r="F7277"/>
          <cell r="G7277"/>
          <cell r="H7277"/>
          <cell r="J7277"/>
          <cell r="L7277"/>
          <cell r="M7277"/>
        </row>
        <row r="7278">
          <cell r="B7278"/>
          <cell r="C7278"/>
          <cell r="E7278"/>
          <cell r="F7278"/>
          <cell r="G7278"/>
          <cell r="H7278"/>
          <cell r="J7278"/>
          <cell r="L7278"/>
          <cell r="M7278"/>
        </row>
        <row r="7279">
          <cell r="B7279"/>
          <cell r="C7279"/>
          <cell r="E7279"/>
          <cell r="F7279"/>
          <cell r="G7279"/>
          <cell r="H7279"/>
          <cell r="J7279"/>
          <cell r="L7279"/>
          <cell r="M7279"/>
        </row>
        <row r="7280">
          <cell r="B7280"/>
          <cell r="C7280"/>
          <cell r="E7280"/>
          <cell r="F7280"/>
          <cell r="G7280"/>
          <cell r="H7280"/>
          <cell r="J7280"/>
          <cell r="L7280"/>
          <cell r="M7280"/>
        </row>
        <row r="7281">
          <cell r="B7281"/>
          <cell r="C7281"/>
          <cell r="E7281"/>
          <cell r="F7281"/>
          <cell r="G7281"/>
          <cell r="H7281"/>
          <cell r="J7281"/>
          <cell r="L7281"/>
          <cell r="M7281"/>
        </row>
        <row r="7282">
          <cell r="B7282"/>
          <cell r="C7282"/>
          <cell r="E7282"/>
          <cell r="F7282"/>
          <cell r="G7282"/>
          <cell r="H7282"/>
          <cell r="J7282"/>
          <cell r="L7282"/>
          <cell r="M7282"/>
        </row>
        <row r="7283">
          <cell r="B7283"/>
          <cell r="C7283"/>
          <cell r="E7283"/>
          <cell r="F7283"/>
          <cell r="G7283"/>
          <cell r="H7283"/>
          <cell r="J7283"/>
          <cell r="L7283"/>
          <cell r="M7283"/>
        </row>
        <row r="7284">
          <cell r="B7284"/>
          <cell r="C7284"/>
          <cell r="E7284"/>
          <cell r="F7284"/>
          <cell r="G7284"/>
          <cell r="H7284"/>
          <cell r="J7284"/>
          <cell r="L7284"/>
          <cell r="M7284"/>
        </row>
        <row r="7285">
          <cell r="B7285"/>
          <cell r="C7285"/>
          <cell r="E7285"/>
          <cell r="F7285"/>
          <cell r="G7285"/>
          <cell r="H7285"/>
          <cell r="J7285"/>
          <cell r="L7285"/>
          <cell r="M7285"/>
        </row>
        <row r="7286">
          <cell r="B7286"/>
          <cell r="C7286"/>
          <cell r="E7286"/>
          <cell r="F7286"/>
          <cell r="G7286"/>
          <cell r="H7286"/>
          <cell r="J7286"/>
          <cell r="L7286"/>
          <cell r="M7286"/>
        </row>
        <row r="7287">
          <cell r="B7287"/>
          <cell r="C7287"/>
          <cell r="E7287"/>
          <cell r="F7287"/>
          <cell r="G7287"/>
          <cell r="H7287"/>
          <cell r="J7287"/>
          <cell r="L7287"/>
          <cell r="M7287"/>
        </row>
        <row r="7288">
          <cell r="B7288"/>
          <cell r="C7288"/>
          <cell r="E7288"/>
          <cell r="F7288"/>
          <cell r="G7288"/>
          <cell r="H7288"/>
          <cell r="J7288"/>
          <cell r="L7288"/>
          <cell r="M7288"/>
        </row>
        <row r="7289">
          <cell r="B7289"/>
          <cell r="C7289"/>
          <cell r="E7289"/>
          <cell r="F7289"/>
          <cell r="G7289"/>
          <cell r="H7289"/>
          <cell r="J7289"/>
          <cell r="L7289"/>
          <cell r="M7289"/>
        </row>
        <row r="7290">
          <cell r="B7290"/>
          <cell r="C7290"/>
          <cell r="E7290"/>
          <cell r="F7290"/>
          <cell r="G7290"/>
          <cell r="H7290"/>
          <cell r="J7290"/>
          <cell r="L7290"/>
          <cell r="M7290"/>
        </row>
        <row r="7291">
          <cell r="B7291"/>
          <cell r="C7291"/>
          <cell r="E7291"/>
          <cell r="F7291"/>
          <cell r="G7291"/>
          <cell r="H7291"/>
          <cell r="J7291"/>
          <cell r="L7291"/>
          <cell r="M7291"/>
        </row>
        <row r="7292">
          <cell r="B7292"/>
          <cell r="C7292"/>
          <cell r="E7292"/>
          <cell r="F7292"/>
          <cell r="G7292"/>
          <cell r="H7292"/>
          <cell r="J7292"/>
          <cell r="L7292"/>
          <cell r="M7292"/>
        </row>
        <row r="7293">
          <cell r="B7293"/>
          <cell r="C7293"/>
          <cell r="E7293"/>
          <cell r="F7293"/>
          <cell r="G7293"/>
          <cell r="H7293"/>
          <cell r="J7293"/>
          <cell r="L7293"/>
          <cell r="M7293"/>
        </row>
        <row r="7294">
          <cell r="B7294"/>
          <cell r="C7294"/>
          <cell r="E7294"/>
          <cell r="F7294"/>
          <cell r="G7294"/>
          <cell r="H7294"/>
          <cell r="J7294"/>
          <cell r="L7294"/>
          <cell r="M7294"/>
        </row>
        <row r="7295">
          <cell r="B7295"/>
          <cell r="C7295"/>
          <cell r="E7295"/>
          <cell r="F7295"/>
          <cell r="G7295"/>
          <cell r="H7295"/>
          <cell r="J7295"/>
          <cell r="L7295"/>
          <cell r="M7295"/>
        </row>
        <row r="7296">
          <cell r="B7296"/>
          <cell r="C7296"/>
          <cell r="E7296"/>
          <cell r="F7296"/>
          <cell r="G7296"/>
          <cell r="H7296"/>
          <cell r="J7296"/>
          <cell r="L7296"/>
          <cell r="M7296"/>
        </row>
        <row r="7297">
          <cell r="B7297"/>
          <cell r="C7297"/>
          <cell r="E7297"/>
          <cell r="F7297"/>
          <cell r="G7297"/>
          <cell r="H7297"/>
          <cell r="J7297"/>
          <cell r="L7297"/>
          <cell r="M7297"/>
        </row>
        <row r="7298">
          <cell r="B7298"/>
          <cell r="C7298"/>
          <cell r="E7298"/>
          <cell r="F7298"/>
          <cell r="G7298"/>
          <cell r="H7298"/>
          <cell r="J7298"/>
          <cell r="L7298"/>
          <cell r="M7298"/>
        </row>
        <row r="7299">
          <cell r="B7299"/>
          <cell r="C7299"/>
          <cell r="E7299"/>
          <cell r="F7299"/>
          <cell r="G7299"/>
          <cell r="H7299"/>
          <cell r="J7299"/>
          <cell r="L7299"/>
          <cell r="M7299"/>
        </row>
        <row r="7300">
          <cell r="B7300"/>
          <cell r="C7300"/>
          <cell r="E7300"/>
          <cell r="F7300"/>
          <cell r="G7300"/>
          <cell r="H7300"/>
          <cell r="J7300"/>
          <cell r="L7300"/>
          <cell r="M7300"/>
        </row>
        <row r="7301">
          <cell r="B7301"/>
          <cell r="C7301"/>
          <cell r="E7301"/>
          <cell r="F7301"/>
          <cell r="G7301"/>
          <cell r="H7301"/>
          <cell r="J7301"/>
          <cell r="L7301"/>
          <cell r="M7301"/>
        </row>
        <row r="7302">
          <cell r="B7302"/>
          <cell r="C7302"/>
          <cell r="E7302"/>
          <cell r="F7302"/>
          <cell r="G7302"/>
          <cell r="H7302"/>
          <cell r="J7302"/>
          <cell r="L7302"/>
          <cell r="M7302"/>
        </row>
        <row r="7303">
          <cell r="B7303"/>
          <cell r="C7303"/>
          <cell r="E7303"/>
          <cell r="F7303"/>
          <cell r="G7303"/>
          <cell r="H7303"/>
          <cell r="J7303"/>
          <cell r="L7303"/>
          <cell r="M7303"/>
        </row>
        <row r="7304">
          <cell r="B7304"/>
          <cell r="C7304"/>
          <cell r="E7304"/>
          <cell r="F7304"/>
          <cell r="G7304"/>
          <cell r="H7304"/>
          <cell r="J7304"/>
          <cell r="L7304"/>
          <cell r="M7304"/>
        </row>
        <row r="7305">
          <cell r="B7305"/>
          <cell r="C7305"/>
          <cell r="E7305"/>
          <cell r="F7305"/>
          <cell r="G7305"/>
          <cell r="H7305"/>
          <cell r="J7305"/>
          <cell r="L7305"/>
          <cell r="M7305"/>
        </row>
        <row r="7306">
          <cell r="B7306"/>
          <cell r="C7306"/>
          <cell r="E7306"/>
          <cell r="F7306"/>
          <cell r="G7306"/>
          <cell r="H7306"/>
          <cell r="J7306"/>
          <cell r="L7306"/>
          <cell r="M7306"/>
        </row>
        <row r="7307">
          <cell r="B7307"/>
          <cell r="C7307"/>
          <cell r="E7307"/>
          <cell r="F7307"/>
          <cell r="G7307"/>
          <cell r="H7307"/>
          <cell r="J7307"/>
          <cell r="L7307"/>
          <cell r="M7307"/>
        </row>
        <row r="7308">
          <cell r="B7308"/>
          <cell r="C7308"/>
          <cell r="E7308"/>
          <cell r="F7308"/>
          <cell r="G7308"/>
          <cell r="H7308"/>
          <cell r="J7308"/>
          <cell r="L7308"/>
          <cell r="M7308"/>
        </row>
        <row r="7309">
          <cell r="B7309"/>
          <cell r="C7309"/>
          <cell r="E7309"/>
          <cell r="F7309"/>
          <cell r="G7309"/>
          <cell r="H7309"/>
          <cell r="J7309"/>
          <cell r="L7309"/>
          <cell r="M7309"/>
        </row>
        <row r="7310">
          <cell r="B7310"/>
          <cell r="C7310"/>
          <cell r="E7310"/>
          <cell r="F7310"/>
          <cell r="G7310"/>
          <cell r="H7310"/>
          <cell r="J7310"/>
          <cell r="L7310"/>
          <cell r="M7310"/>
        </row>
        <row r="7311">
          <cell r="B7311"/>
          <cell r="C7311"/>
          <cell r="E7311"/>
          <cell r="F7311"/>
          <cell r="G7311"/>
          <cell r="H7311"/>
          <cell r="J7311"/>
          <cell r="L7311"/>
          <cell r="M7311"/>
        </row>
        <row r="7312">
          <cell r="B7312"/>
          <cell r="C7312"/>
          <cell r="E7312"/>
          <cell r="F7312"/>
          <cell r="G7312"/>
          <cell r="H7312"/>
          <cell r="J7312"/>
          <cell r="L7312"/>
          <cell r="M7312"/>
        </row>
        <row r="7313">
          <cell r="B7313"/>
          <cell r="C7313"/>
          <cell r="E7313"/>
          <cell r="F7313"/>
          <cell r="G7313"/>
          <cell r="H7313"/>
          <cell r="J7313"/>
          <cell r="L7313"/>
          <cell r="M7313"/>
        </row>
        <row r="7314">
          <cell r="B7314"/>
          <cell r="C7314"/>
          <cell r="E7314"/>
          <cell r="F7314"/>
          <cell r="G7314"/>
          <cell r="H7314"/>
          <cell r="J7314"/>
          <cell r="L7314"/>
          <cell r="M7314"/>
        </row>
        <row r="7315">
          <cell r="B7315"/>
          <cell r="C7315"/>
          <cell r="E7315"/>
          <cell r="F7315"/>
          <cell r="G7315"/>
          <cell r="H7315"/>
          <cell r="J7315"/>
          <cell r="L7315"/>
          <cell r="M7315"/>
        </row>
        <row r="7316">
          <cell r="B7316"/>
          <cell r="C7316"/>
          <cell r="E7316"/>
          <cell r="F7316"/>
          <cell r="G7316"/>
          <cell r="H7316"/>
          <cell r="J7316"/>
          <cell r="L7316"/>
          <cell r="M7316"/>
        </row>
        <row r="7317">
          <cell r="B7317"/>
          <cell r="C7317"/>
          <cell r="E7317"/>
          <cell r="F7317"/>
          <cell r="G7317"/>
          <cell r="H7317"/>
          <cell r="J7317"/>
          <cell r="L7317"/>
          <cell r="M7317"/>
        </row>
        <row r="7318">
          <cell r="B7318"/>
          <cell r="C7318"/>
          <cell r="E7318"/>
          <cell r="F7318"/>
          <cell r="G7318"/>
          <cell r="H7318"/>
          <cell r="J7318"/>
          <cell r="L7318"/>
          <cell r="M7318"/>
        </row>
        <row r="7319">
          <cell r="B7319"/>
          <cell r="C7319"/>
          <cell r="E7319"/>
          <cell r="F7319"/>
          <cell r="G7319"/>
          <cell r="H7319"/>
          <cell r="J7319"/>
          <cell r="L7319"/>
          <cell r="M7319"/>
        </row>
        <row r="7320">
          <cell r="B7320"/>
          <cell r="C7320"/>
          <cell r="E7320"/>
          <cell r="F7320"/>
          <cell r="G7320"/>
          <cell r="H7320"/>
          <cell r="J7320"/>
          <cell r="L7320"/>
          <cell r="M7320"/>
        </row>
        <row r="7321">
          <cell r="B7321"/>
          <cell r="C7321"/>
          <cell r="E7321"/>
          <cell r="F7321"/>
          <cell r="G7321"/>
          <cell r="H7321"/>
          <cell r="J7321"/>
          <cell r="L7321"/>
          <cell r="M7321"/>
        </row>
        <row r="7322">
          <cell r="B7322"/>
          <cell r="C7322"/>
          <cell r="E7322"/>
          <cell r="F7322"/>
          <cell r="G7322"/>
          <cell r="H7322"/>
          <cell r="J7322"/>
          <cell r="L7322"/>
          <cell r="M7322"/>
        </row>
        <row r="7323">
          <cell r="B7323"/>
          <cell r="C7323"/>
          <cell r="E7323"/>
          <cell r="F7323"/>
          <cell r="G7323"/>
          <cell r="H7323"/>
          <cell r="J7323"/>
          <cell r="L7323"/>
          <cell r="M7323"/>
        </row>
        <row r="7324">
          <cell r="B7324"/>
          <cell r="C7324"/>
          <cell r="E7324"/>
          <cell r="F7324"/>
          <cell r="G7324"/>
          <cell r="H7324"/>
          <cell r="J7324"/>
          <cell r="L7324"/>
          <cell r="M7324"/>
        </row>
        <row r="7325">
          <cell r="B7325"/>
          <cell r="C7325"/>
          <cell r="E7325"/>
          <cell r="F7325"/>
          <cell r="G7325"/>
          <cell r="H7325"/>
          <cell r="J7325"/>
          <cell r="L7325"/>
          <cell r="M7325"/>
        </row>
        <row r="7326">
          <cell r="B7326"/>
          <cell r="C7326"/>
          <cell r="E7326"/>
          <cell r="F7326"/>
          <cell r="G7326"/>
          <cell r="H7326"/>
          <cell r="J7326"/>
          <cell r="L7326"/>
          <cell r="M7326"/>
        </row>
        <row r="7327">
          <cell r="B7327"/>
          <cell r="C7327"/>
          <cell r="E7327"/>
          <cell r="F7327"/>
          <cell r="G7327"/>
          <cell r="H7327"/>
          <cell r="J7327"/>
          <cell r="L7327"/>
          <cell r="M7327"/>
        </row>
        <row r="7328">
          <cell r="B7328"/>
          <cell r="C7328"/>
          <cell r="E7328"/>
          <cell r="F7328"/>
          <cell r="G7328"/>
          <cell r="H7328"/>
          <cell r="J7328"/>
          <cell r="L7328"/>
          <cell r="M7328"/>
        </row>
        <row r="7329">
          <cell r="B7329"/>
          <cell r="C7329"/>
          <cell r="E7329"/>
          <cell r="F7329"/>
          <cell r="G7329"/>
          <cell r="H7329"/>
          <cell r="J7329"/>
          <cell r="L7329"/>
          <cell r="M7329"/>
        </row>
        <row r="7330">
          <cell r="B7330"/>
          <cell r="C7330"/>
          <cell r="E7330"/>
          <cell r="F7330"/>
          <cell r="G7330"/>
          <cell r="H7330"/>
          <cell r="J7330"/>
          <cell r="L7330"/>
          <cell r="M7330"/>
        </row>
        <row r="7331">
          <cell r="B7331"/>
          <cell r="C7331"/>
          <cell r="E7331"/>
          <cell r="F7331"/>
          <cell r="G7331"/>
          <cell r="H7331"/>
          <cell r="J7331"/>
          <cell r="L7331"/>
          <cell r="M7331"/>
        </row>
        <row r="7332">
          <cell r="B7332"/>
          <cell r="C7332"/>
          <cell r="E7332"/>
          <cell r="F7332"/>
          <cell r="G7332"/>
          <cell r="H7332"/>
          <cell r="J7332"/>
          <cell r="L7332"/>
          <cell r="M7332"/>
        </row>
        <row r="7333">
          <cell r="B7333"/>
          <cell r="C7333"/>
          <cell r="E7333"/>
          <cell r="F7333"/>
          <cell r="G7333"/>
          <cell r="H7333"/>
          <cell r="J7333"/>
          <cell r="L7333"/>
          <cell r="M7333"/>
        </row>
        <row r="7334">
          <cell r="B7334"/>
          <cell r="C7334"/>
          <cell r="E7334"/>
          <cell r="F7334"/>
          <cell r="G7334"/>
          <cell r="H7334"/>
          <cell r="J7334"/>
          <cell r="L7334"/>
          <cell r="M7334"/>
        </row>
        <row r="7335">
          <cell r="B7335"/>
          <cell r="C7335"/>
          <cell r="E7335"/>
          <cell r="F7335"/>
          <cell r="G7335"/>
          <cell r="H7335"/>
          <cell r="J7335"/>
          <cell r="L7335"/>
          <cell r="M7335"/>
        </row>
        <row r="7336">
          <cell r="B7336"/>
          <cell r="C7336"/>
          <cell r="E7336"/>
          <cell r="F7336"/>
          <cell r="G7336"/>
          <cell r="H7336"/>
          <cell r="J7336"/>
          <cell r="L7336"/>
          <cell r="M7336"/>
        </row>
        <row r="7337">
          <cell r="B7337"/>
          <cell r="C7337"/>
          <cell r="E7337"/>
          <cell r="F7337"/>
          <cell r="G7337"/>
          <cell r="H7337"/>
          <cell r="J7337"/>
          <cell r="L7337"/>
          <cell r="M7337"/>
        </row>
        <row r="7338">
          <cell r="B7338"/>
          <cell r="C7338"/>
          <cell r="E7338"/>
          <cell r="F7338"/>
          <cell r="G7338"/>
          <cell r="H7338"/>
          <cell r="J7338"/>
          <cell r="L7338"/>
          <cell r="M7338"/>
        </row>
        <row r="7339">
          <cell r="B7339"/>
          <cell r="C7339"/>
          <cell r="E7339"/>
          <cell r="F7339"/>
          <cell r="G7339"/>
          <cell r="H7339"/>
          <cell r="J7339"/>
          <cell r="L7339"/>
          <cell r="M7339"/>
        </row>
        <row r="7340">
          <cell r="B7340"/>
          <cell r="C7340"/>
          <cell r="E7340"/>
          <cell r="F7340"/>
          <cell r="G7340"/>
          <cell r="H7340"/>
          <cell r="J7340"/>
          <cell r="L7340"/>
          <cell r="M7340"/>
        </row>
        <row r="7341">
          <cell r="B7341"/>
          <cell r="C7341"/>
          <cell r="E7341"/>
          <cell r="F7341"/>
          <cell r="G7341"/>
          <cell r="H7341"/>
          <cell r="J7341"/>
          <cell r="L7341"/>
          <cell r="M7341"/>
        </row>
        <row r="7342">
          <cell r="B7342"/>
          <cell r="C7342"/>
          <cell r="E7342"/>
          <cell r="F7342"/>
          <cell r="G7342"/>
          <cell r="H7342"/>
          <cell r="J7342"/>
          <cell r="L7342"/>
          <cell r="M7342"/>
        </row>
        <row r="7343">
          <cell r="B7343"/>
          <cell r="C7343"/>
          <cell r="E7343"/>
          <cell r="F7343"/>
          <cell r="G7343"/>
          <cell r="H7343"/>
          <cell r="J7343"/>
          <cell r="L7343"/>
          <cell r="M7343"/>
        </row>
        <row r="7344">
          <cell r="B7344"/>
          <cell r="C7344"/>
          <cell r="E7344"/>
          <cell r="F7344"/>
          <cell r="G7344"/>
          <cell r="H7344"/>
          <cell r="J7344"/>
          <cell r="L7344"/>
          <cell r="M7344"/>
        </row>
        <row r="7345">
          <cell r="B7345"/>
          <cell r="C7345"/>
          <cell r="E7345"/>
          <cell r="F7345"/>
          <cell r="G7345"/>
          <cell r="H7345"/>
          <cell r="J7345"/>
          <cell r="L7345"/>
          <cell r="M7345"/>
        </row>
        <row r="7346">
          <cell r="B7346"/>
          <cell r="C7346"/>
          <cell r="E7346"/>
          <cell r="F7346"/>
          <cell r="G7346"/>
          <cell r="H7346"/>
          <cell r="J7346"/>
          <cell r="L7346"/>
          <cell r="M7346"/>
        </row>
        <row r="7347">
          <cell r="B7347"/>
          <cell r="C7347"/>
          <cell r="E7347"/>
          <cell r="F7347"/>
          <cell r="G7347"/>
          <cell r="H7347"/>
          <cell r="J7347"/>
          <cell r="L7347"/>
          <cell r="M7347"/>
        </row>
        <row r="7348">
          <cell r="B7348"/>
          <cell r="C7348"/>
          <cell r="E7348"/>
          <cell r="F7348"/>
          <cell r="G7348"/>
          <cell r="H7348"/>
          <cell r="J7348"/>
          <cell r="L7348"/>
          <cell r="M7348"/>
        </row>
        <row r="7349">
          <cell r="B7349"/>
          <cell r="C7349"/>
          <cell r="E7349"/>
          <cell r="F7349"/>
          <cell r="G7349"/>
          <cell r="H7349"/>
          <cell r="J7349"/>
          <cell r="L7349"/>
          <cell r="M7349"/>
        </row>
        <row r="7350">
          <cell r="B7350"/>
          <cell r="C7350"/>
          <cell r="E7350"/>
          <cell r="F7350"/>
          <cell r="G7350"/>
          <cell r="H7350"/>
          <cell r="J7350"/>
          <cell r="L7350"/>
          <cell r="M7350"/>
        </row>
        <row r="7351">
          <cell r="B7351"/>
          <cell r="C7351"/>
          <cell r="E7351"/>
          <cell r="F7351"/>
          <cell r="G7351"/>
          <cell r="H7351"/>
          <cell r="J7351"/>
          <cell r="L7351"/>
          <cell r="M7351"/>
        </row>
        <row r="7352">
          <cell r="B7352"/>
          <cell r="C7352"/>
          <cell r="E7352"/>
          <cell r="F7352"/>
          <cell r="G7352"/>
          <cell r="H7352"/>
          <cell r="J7352"/>
          <cell r="L7352"/>
          <cell r="M7352"/>
        </row>
        <row r="7353">
          <cell r="B7353"/>
          <cell r="C7353"/>
          <cell r="E7353"/>
          <cell r="F7353"/>
          <cell r="G7353"/>
          <cell r="H7353"/>
          <cell r="J7353"/>
          <cell r="L7353"/>
          <cell r="M7353"/>
        </row>
        <row r="7354">
          <cell r="B7354"/>
          <cell r="C7354"/>
          <cell r="E7354"/>
          <cell r="F7354"/>
          <cell r="G7354"/>
          <cell r="H7354"/>
          <cell r="J7354"/>
          <cell r="L7354"/>
          <cell r="M7354"/>
        </row>
        <row r="7355">
          <cell r="B7355"/>
          <cell r="C7355"/>
          <cell r="E7355"/>
          <cell r="F7355"/>
          <cell r="G7355"/>
          <cell r="H7355"/>
          <cell r="J7355"/>
          <cell r="L7355"/>
          <cell r="M7355"/>
        </row>
        <row r="7356">
          <cell r="B7356"/>
          <cell r="C7356"/>
          <cell r="E7356"/>
          <cell r="F7356"/>
          <cell r="G7356"/>
          <cell r="H7356"/>
          <cell r="J7356"/>
          <cell r="L7356"/>
          <cell r="M7356"/>
        </row>
        <row r="7357">
          <cell r="B7357"/>
          <cell r="C7357"/>
          <cell r="E7357"/>
          <cell r="F7357"/>
          <cell r="G7357"/>
          <cell r="H7357"/>
          <cell r="J7357"/>
          <cell r="L7357"/>
          <cell r="M7357"/>
        </row>
        <row r="7358">
          <cell r="B7358"/>
          <cell r="C7358"/>
          <cell r="E7358"/>
          <cell r="F7358"/>
          <cell r="G7358"/>
          <cell r="H7358"/>
          <cell r="J7358"/>
          <cell r="L7358"/>
          <cell r="M7358"/>
        </row>
        <row r="7359">
          <cell r="B7359"/>
          <cell r="C7359"/>
          <cell r="E7359"/>
          <cell r="F7359"/>
          <cell r="G7359"/>
          <cell r="H7359"/>
          <cell r="J7359"/>
          <cell r="L7359"/>
          <cell r="M7359"/>
        </row>
        <row r="7360">
          <cell r="B7360"/>
          <cell r="C7360"/>
          <cell r="E7360"/>
          <cell r="F7360"/>
          <cell r="G7360"/>
          <cell r="H7360"/>
          <cell r="J7360"/>
          <cell r="L7360"/>
          <cell r="M7360"/>
        </row>
        <row r="7361">
          <cell r="B7361"/>
          <cell r="C7361"/>
          <cell r="E7361"/>
          <cell r="F7361"/>
          <cell r="G7361"/>
          <cell r="H7361"/>
          <cell r="J7361"/>
          <cell r="L7361"/>
          <cell r="M7361"/>
        </row>
        <row r="7362">
          <cell r="B7362"/>
          <cell r="C7362"/>
          <cell r="E7362"/>
          <cell r="F7362"/>
          <cell r="G7362"/>
          <cell r="H7362"/>
          <cell r="J7362"/>
          <cell r="L7362"/>
          <cell r="M7362"/>
        </row>
        <row r="7363">
          <cell r="B7363"/>
          <cell r="C7363"/>
          <cell r="E7363"/>
          <cell r="F7363"/>
          <cell r="G7363"/>
          <cell r="H7363"/>
          <cell r="J7363"/>
          <cell r="L7363"/>
          <cell r="M7363"/>
        </row>
        <row r="7364">
          <cell r="B7364"/>
          <cell r="C7364"/>
          <cell r="E7364"/>
          <cell r="F7364"/>
          <cell r="G7364"/>
          <cell r="H7364"/>
          <cell r="J7364"/>
          <cell r="L7364"/>
          <cell r="M7364"/>
        </row>
        <row r="7365">
          <cell r="B7365"/>
          <cell r="C7365"/>
          <cell r="E7365"/>
          <cell r="F7365"/>
          <cell r="G7365"/>
          <cell r="H7365"/>
          <cell r="J7365"/>
          <cell r="L7365"/>
          <cell r="M7365"/>
        </row>
        <row r="7366">
          <cell r="B7366"/>
          <cell r="C7366"/>
          <cell r="E7366"/>
          <cell r="F7366"/>
          <cell r="G7366"/>
          <cell r="H7366"/>
          <cell r="J7366"/>
          <cell r="L7366"/>
          <cell r="M7366"/>
        </row>
        <row r="7367">
          <cell r="B7367"/>
          <cell r="C7367"/>
          <cell r="E7367"/>
          <cell r="F7367"/>
          <cell r="G7367"/>
          <cell r="H7367"/>
          <cell r="J7367"/>
          <cell r="L7367"/>
          <cell r="M7367"/>
        </row>
        <row r="7368">
          <cell r="B7368"/>
          <cell r="C7368"/>
          <cell r="E7368"/>
          <cell r="F7368"/>
          <cell r="G7368"/>
          <cell r="H7368"/>
          <cell r="J7368"/>
          <cell r="L7368"/>
          <cell r="M7368"/>
        </row>
        <row r="7369">
          <cell r="B7369"/>
          <cell r="C7369"/>
          <cell r="E7369"/>
          <cell r="F7369"/>
          <cell r="G7369"/>
          <cell r="H7369"/>
          <cell r="J7369"/>
          <cell r="L7369"/>
          <cell r="M7369"/>
        </row>
        <row r="7370">
          <cell r="B7370"/>
          <cell r="C7370"/>
          <cell r="E7370"/>
          <cell r="F7370"/>
          <cell r="G7370"/>
          <cell r="H7370"/>
          <cell r="J7370"/>
          <cell r="L7370"/>
          <cell r="M7370"/>
        </row>
        <row r="7371">
          <cell r="B7371"/>
          <cell r="C7371"/>
          <cell r="E7371"/>
          <cell r="F7371"/>
          <cell r="G7371"/>
          <cell r="H7371"/>
          <cell r="J7371"/>
          <cell r="L7371"/>
          <cell r="M7371"/>
        </row>
        <row r="7372">
          <cell r="B7372"/>
          <cell r="C7372"/>
          <cell r="E7372"/>
          <cell r="F7372"/>
          <cell r="G7372"/>
          <cell r="H7372"/>
          <cell r="J7372"/>
          <cell r="L7372"/>
          <cell r="M7372"/>
        </row>
        <row r="7373">
          <cell r="B7373"/>
          <cell r="C7373"/>
          <cell r="E7373"/>
          <cell r="F7373"/>
          <cell r="G7373"/>
          <cell r="H7373"/>
          <cell r="J7373"/>
          <cell r="L7373"/>
          <cell r="M7373"/>
        </row>
        <row r="7374">
          <cell r="B7374"/>
          <cell r="C7374"/>
          <cell r="E7374"/>
          <cell r="F7374"/>
          <cell r="G7374"/>
          <cell r="H7374"/>
          <cell r="J7374"/>
          <cell r="L7374"/>
          <cell r="M7374"/>
        </row>
        <row r="7375">
          <cell r="B7375"/>
          <cell r="C7375"/>
          <cell r="E7375"/>
          <cell r="F7375"/>
          <cell r="G7375"/>
          <cell r="H7375"/>
          <cell r="J7375"/>
          <cell r="L7375"/>
          <cell r="M7375"/>
        </row>
        <row r="7376">
          <cell r="B7376"/>
          <cell r="C7376"/>
          <cell r="E7376"/>
          <cell r="F7376"/>
          <cell r="G7376"/>
          <cell r="H7376"/>
          <cell r="J7376"/>
          <cell r="L7376"/>
          <cell r="M7376"/>
        </row>
        <row r="7377">
          <cell r="B7377"/>
          <cell r="C7377"/>
          <cell r="E7377"/>
          <cell r="F7377"/>
          <cell r="G7377"/>
          <cell r="H7377"/>
          <cell r="J7377"/>
          <cell r="L7377"/>
          <cell r="M7377"/>
        </row>
        <row r="7378">
          <cell r="B7378"/>
          <cell r="C7378"/>
          <cell r="E7378"/>
          <cell r="F7378"/>
          <cell r="G7378"/>
          <cell r="H7378"/>
          <cell r="J7378"/>
          <cell r="L7378"/>
          <cell r="M7378"/>
        </row>
        <row r="7379">
          <cell r="B7379"/>
          <cell r="C7379"/>
          <cell r="E7379"/>
          <cell r="F7379"/>
          <cell r="G7379"/>
          <cell r="H7379"/>
          <cell r="J7379"/>
          <cell r="L7379"/>
          <cell r="M7379"/>
        </row>
        <row r="7380">
          <cell r="B7380"/>
          <cell r="C7380"/>
          <cell r="E7380"/>
          <cell r="F7380"/>
          <cell r="G7380"/>
          <cell r="H7380"/>
          <cell r="J7380"/>
          <cell r="L7380"/>
          <cell r="M7380"/>
        </row>
        <row r="7381">
          <cell r="B7381"/>
          <cell r="C7381"/>
          <cell r="E7381"/>
          <cell r="F7381"/>
          <cell r="G7381"/>
          <cell r="H7381"/>
          <cell r="J7381"/>
          <cell r="L7381"/>
          <cell r="M7381"/>
        </row>
        <row r="7382">
          <cell r="B7382"/>
          <cell r="C7382"/>
          <cell r="E7382"/>
          <cell r="F7382"/>
          <cell r="G7382"/>
          <cell r="H7382"/>
          <cell r="J7382"/>
          <cell r="L7382"/>
          <cell r="M7382"/>
        </row>
        <row r="7383">
          <cell r="B7383"/>
          <cell r="C7383"/>
          <cell r="E7383"/>
          <cell r="F7383"/>
          <cell r="G7383"/>
          <cell r="H7383"/>
          <cell r="J7383"/>
          <cell r="L7383"/>
          <cell r="M7383"/>
        </row>
        <row r="7384">
          <cell r="B7384"/>
          <cell r="C7384"/>
          <cell r="E7384"/>
          <cell r="F7384"/>
          <cell r="G7384"/>
          <cell r="H7384"/>
          <cell r="J7384"/>
          <cell r="L7384"/>
          <cell r="M7384"/>
        </row>
        <row r="7385">
          <cell r="B7385"/>
          <cell r="C7385"/>
          <cell r="E7385"/>
          <cell r="F7385"/>
          <cell r="G7385"/>
          <cell r="H7385"/>
          <cell r="J7385"/>
          <cell r="L7385"/>
          <cell r="M7385"/>
        </row>
        <row r="7386">
          <cell r="B7386"/>
          <cell r="C7386"/>
          <cell r="E7386"/>
          <cell r="F7386"/>
          <cell r="G7386"/>
          <cell r="H7386"/>
          <cell r="J7386"/>
          <cell r="L7386"/>
          <cell r="M7386"/>
        </row>
        <row r="7387">
          <cell r="B7387"/>
          <cell r="C7387"/>
          <cell r="E7387"/>
          <cell r="F7387"/>
          <cell r="G7387"/>
          <cell r="H7387"/>
          <cell r="J7387"/>
          <cell r="L7387"/>
          <cell r="M7387"/>
        </row>
        <row r="7388">
          <cell r="B7388"/>
          <cell r="C7388"/>
          <cell r="E7388"/>
          <cell r="F7388"/>
          <cell r="G7388"/>
          <cell r="H7388"/>
          <cell r="J7388"/>
          <cell r="L7388"/>
          <cell r="M7388"/>
        </row>
        <row r="7389">
          <cell r="B7389"/>
          <cell r="C7389"/>
          <cell r="E7389"/>
          <cell r="F7389"/>
          <cell r="G7389"/>
          <cell r="H7389"/>
          <cell r="J7389"/>
          <cell r="L7389"/>
          <cell r="M7389"/>
        </row>
        <row r="7390">
          <cell r="B7390"/>
          <cell r="C7390"/>
          <cell r="E7390"/>
          <cell r="F7390"/>
          <cell r="G7390"/>
          <cell r="H7390"/>
          <cell r="J7390"/>
          <cell r="L7390"/>
          <cell r="M7390"/>
        </row>
        <row r="7391">
          <cell r="B7391"/>
          <cell r="C7391"/>
          <cell r="E7391"/>
          <cell r="F7391"/>
          <cell r="G7391"/>
          <cell r="H7391"/>
          <cell r="J7391"/>
          <cell r="L7391"/>
          <cell r="M7391"/>
        </row>
        <row r="7392">
          <cell r="B7392"/>
          <cell r="C7392"/>
          <cell r="E7392"/>
          <cell r="F7392"/>
          <cell r="G7392"/>
          <cell r="H7392"/>
          <cell r="J7392"/>
          <cell r="L7392"/>
          <cell r="M7392"/>
        </row>
        <row r="7393">
          <cell r="B7393"/>
          <cell r="C7393"/>
          <cell r="E7393"/>
          <cell r="F7393"/>
          <cell r="G7393"/>
          <cell r="H7393"/>
          <cell r="J7393"/>
          <cell r="L7393"/>
          <cell r="M7393"/>
        </row>
        <row r="7394">
          <cell r="B7394"/>
          <cell r="C7394"/>
          <cell r="E7394"/>
          <cell r="F7394"/>
          <cell r="G7394"/>
          <cell r="H7394"/>
          <cell r="J7394"/>
          <cell r="L7394"/>
          <cell r="M7394"/>
        </row>
        <row r="7395">
          <cell r="B7395"/>
          <cell r="C7395"/>
          <cell r="E7395"/>
          <cell r="F7395"/>
          <cell r="G7395"/>
          <cell r="H7395"/>
          <cell r="J7395"/>
          <cell r="L7395"/>
          <cell r="M7395"/>
        </row>
        <row r="7396">
          <cell r="B7396"/>
          <cell r="C7396"/>
          <cell r="E7396"/>
          <cell r="F7396"/>
          <cell r="G7396"/>
          <cell r="H7396"/>
          <cell r="J7396"/>
          <cell r="L7396"/>
          <cell r="M7396"/>
        </row>
        <row r="7397">
          <cell r="B7397"/>
          <cell r="C7397"/>
          <cell r="E7397"/>
          <cell r="F7397"/>
          <cell r="G7397"/>
          <cell r="H7397"/>
          <cell r="J7397"/>
          <cell r="L7397"/>
          <cell r="M7397"/>
        </row>
        <row r="7398">
          <cell r="B7398"/>
          <cell r="C7398"/>
          <cell r="E7398"/>
          <cell r="F7398"/>
          <cell r="G7398"/>
          <cell r="H7398"/>
          <cell r="J7398"/>
          <cell r="L7398"/>
          <cell r="M7398"/>
        </row>
        <row r="7399">
          <cell r="B7399"/>
          <cell r="C7399"/>
          <cell r="E7399"/>
          <cell r="F7399"/>
          <cell r="G7399"/>
          <cell r="H7399"/>
          <cell r="J7399"/>
          <cell r="L7399"/>
          <cell r="M7399"/>
        </row>
        <row r="7400">
          <cell r="B7400"/>
          <cell r="C7400"/>
          <cell r="E7400"/>
          <cell r="F7400"/>
          <cell r="G7400"/>
          <cell r="H7400"/>
          <cell r="J7400"/>
          <cell r="L7400"/>
          <cell r="M7400"/>
        </row>
        <row r="7401">
          <cell r="B7401"/>
          <cell r="C7401"/>
          <cell r="E7401"/>
          <cell r="F7401"/>
          <cell r="G7401"/>
          <cell r="H7401"/>
          <cell r="J7401"/>
          <cell r="L7401"/>
          <cell r="M7401"/>
        </row>
        <row r="7402">
          <cell r="B7402"/>
          <cell r="C7402"/>
          <cell r="E7402"/>
          <cell r="F7402"/>
          <cell r="G7402"/>
          <cell r="H7402"/>
          <cell r="J7402"/>
          <cell r="L7402"/>
          <cell r="M7402"/>
        </row>
        <row r="7403">
          <cell r="B7403"/>
          <cell r="C7403"/>
          <cell r="E7403"/>
          <cell r="F7403"/>
          <cell r="G7403"/>
          <cell r="H7403"/>
          <cell r="J7403"/>
          <cell r="L7403"/>
          <cell r="M7403"/>
        </row>
        <row r="7404">
          <cell r="B7404"/>
          <cell r="C7404"/>
          <cell r="E7404"/>
          <cell r="F7404"/>
          <cell r="G7404"/>
          <cell r="H7404"/>
          <cell r="J7404"/>
          <cell r="L7404"/>
          <cell r="M7404"/>
        </row>
        <row r="7405">
          <cell r="B7405"/>
          <cell r="C7405"/>
          <cell r="E7405"/>
          <cell r="F7405"/>
          <cell r="G7405"/>
          <cell r="H7405"/>
          <cell r="J7405"/>
          <cell r="L7405"/>
          <cell r="M7405"/>
        </row>
        <row r="7406">
          <cell r="B7406"/>
          <cell r="C7406"/>
          <cell r="E7406"/>
          <cell r="F7406"/>
          <cell r="G7406"/>
          <cell r="H7406"/>
          <cell r="J7406"/>
          <cell r="L7406"/>
          <cell r="M7406"/>
        </row>
        <row r="7407">
          <cell r="B7407"/>
          <cell r="C7407"/>
          <cell r="E7407"/>
          <cell r="F7407"/>
          <cell r="G7407"/>
          <cell r="H7407"/>
          <cell r="J7407"/>
          <cell r="L7407"/>
          <cell r="M7407"/>
        </row>
        <row r="7408">
          <cell r="B7408"/>
          <cell r="C7408"/>
          <cell r="E7408"/>
          <cell r="F7408"/>
          <cell r="G7408"/>
          <cell r="H7408"/>
          <cell r="J7408"/>
          <cell r="L7408"/>
          <cell r="M7408"/>
        </row>
        <row r="7409">
          <cell r="B7409"/>
          <cell r="C7409"/>
          <cell r="E7409"/>
          <cell r="F7409"/>
          <cell r="G7409"/>
          <cell r="H7409"/>
          <cell r="J7409"/>
          <cell r="L7409"/>
          <cell r="M7409"/>
        </row>
        <row r="7410">
          <cell r="B7410"/>
          <cell r="C7410"/>
          <cell r="E7410"/>
          <cell r="F7410"/>
          <cell r="G7410"/>
          <cell r="H7410"/>
          <cell r="J7410"/>
          <cell r="L7410"/>
          <cell r="M7410"/>
        </row>
        <row r="7411">
          <cell r="B7411"/>
          <cell r="C7411"/>
          <cell r="E7411"/>
          <cell r="F7411"/>
          <cell r="G7411"/>
          <cell r="H7411"/>
          <cell r="J7411"/>
          <cell r="L7411"/>
          <cell r="M7411"/>
        </row>
        <row r="7412">
          <cell r="B7412"/>
          <cell r="C7412"/>
          <cell r="E7412"/>
          <cell r="F7412"/>
          <cell r="G7412"/>
          <cell r="H7412"/>
          <cell r="J7412"/>
          <cell r="L7412"/>
          <cell r="M7412"/>
        </row>
        <row r="7413">
          <cell r="B7413"/>
          <cell r="C7413"/>
          <cell r="E7413"/>
          <cell r="F7413"/>
          <cell r="G7413"/>
          <cell r="H7413"/>
          <cell r="J7413"/>
          <cell r="L7413"/>
          <cell r="M7413"/>
        </row>
        <row r="7414">
          <cell r="B7414"/>
          <cell r="C7414"/>
          <cell r="E7414"/>
          <cell r="F7414"/>
          <cell r="G7414"/>
          <cell r="H7414"/>
          <cell r="J7414"/>
          <cell r="L7414"/>
          <cell r="M7414"/>
        </row>
        <row r="7415">
          <cell r="B7415"/>
          <cell r="C7415"/>
          <cell r="E7415"/>
          <cell r="F7415"/>
          <cell r="G7415"/>
          <cell r="H7415"/>
          <cell r="J7415"/>
          <cell r="L7415"/>
          <cell r="M7415"/>
        </row>
        <row r="7416">
          <cell r="B7416"/>
          <cell r="C7416"/>
          <cell r="E7416"/>
          <cell r="F7416"/>
          <cell r="G7416"/>
          <cell r="H7416"/>
          <cell r="J7416"/>
          <cell r="L7416"/>
          <cell r="M7416"/>
        </row>
        <row r="7417">
          <cell r="B7417"/>
          <cell r="C7417"/>
          <cell r="E7417"/>
          <cell r="F7417"/>
          <cell r="G7417"/>
          <cell r="H7417"/>
          <cell r="J7417"/>
          <cell r="L7417"/>
          <cell r="M7417"/>
        </row>
        <row r="7418">
          <cell r="B7418"/>
          <cell r="C7418"/>
          <cell r="E7418"/>
          <cell r="F7418"/>
          <cell r="G7418"/>
          <cell r="H7418"/>
          <cell r="J7418"/>
          <cell r="L7418"/>
          <cell r="M7418"/>
        </row>
        <row r="7419">
          <cell r="B7419"/>
          <cell r="C7419"/>
          <cell r="E7419"/>
          <cell r="F7419"/>
          <cell r="G7419"/>
          <cell r="H7419"/>
          <cell r="J7419"/>
          <cell r="L7419"/>
          <cell r="M7419"/>
        </row>
        <row r="7420">
          <cell r="B7420"/>
          <cell r="C7420"/>
          <cell r="E7420"/>
          <cell r="F7420"/>
          <cell r="G7420"/>
          <cell r="H7420"/>
          <cell r="J7420"/>
          <cell r="L7420"/>
          <cell r="M7420"/>
        </row>
        <row r="7421">
          <cell r="B7421"/>
          <cell r="C7421"/>
          <cell r="E7421"/>
          <cell r="F7421"/>
          <cell r="G7421"/>
          <cell r="H7421"/>
          <cell r="J7421"/>
          <cell r="L7421"/>
          <cell r="M7421"/>
        </row>
        <row r="7422">
          <cell r="B7422"/>
          <cell r="C7422"/>
          <cell r="E7422"/>
          <cell r="F7422"/>
          <cell r="G7422"/>
          <cell r="H7422"/>
          <cell r="J7422"/>
          <cell r="L7422"/>
          <cell r="M7422"/>
        </row>
        <row r="7423">
          <cell r="B7423"/>
          <cell r="C7423"/>
          <cell r="E7423"/>
          <cell r="F7423"/>
          <cell r="G7423"/>
          <cell r="H7423"/>
          <cell r="J7423"/>
          <cell r="L7423"/>
          <cell r="M7423"/>
        </row>
        <row r="7424">
          <cell r="B7424"/>
          <cell r="C7424"/>
          <cell r="E7424"/>
          <cell r="F7424"/>
          <cell r="G7424"/>
          <cell r="H7424"/>
          <cell r="J7424"/>
          <cell r="L7424"/>
          <cell r="M7424"/>
        </row>
        <row r="7425">
          <cell r="B7425"/>
          <cell r="C7425"/>
          <cell r="E7425"/>
          <cell r="F7425"/>
          <cell r="G7425"/>
          <cell r="H7425"/>
          <cell r="J7425"/>
          <cell r="L7425"/>
          <cell r="M7425"/>
        </row>
        <row r="7426">
          <cell r="B7426"/>
          <cell r="C7426"/>
          <cell r="E7426"/>
          <cell r="F7426"/>
          <cell r="G7426"/>
          <cell r="H7426"/>
          <cell r="J7426"/>
          <cell r="L7426"/>
          <cell r="M7426"/>
        </row>
        <row r="7427">
          <cell r="B7427"/>
          <cell r="C7427"/>
          <cell r="E7427"/>
          <cell r="F7427"/>
          <cell r="G7427"/>
          <cell r="H7427"/>
          <cell r="J7427"/>
          <cell r="L7427"/>
          <cell r="M7427"/>
        </row>
        <row r="7428">
          <cell r="B7428"/>
          <cell r="C7428"/>
          <cell r="E7428"/>
          <cell r="F7428"/>
          <cell r="G7428"/>
          <cell r="H7428"/>
          <cell r="J7428"/>
          <cell r="L7428"/>
          <cell r="M7428"/>
        </row>
        <row r="7429">
          <cell r="B7429"/>
          <cell r="C7429"/>
          <cell r="E7429"/>
          <cell r="F7429"/>
          <cell r="G7429"/>
          <cell r="H7429"/>
          <cell r="J7429"/>
          <cell r="L7429"/>
          <cell r="M7429"/>
        </row>
        <row r="7430">
          <cell r="B7430"/>
          <cell r="C7430"/>
          <cell r="E7430"/>
          <cell r="F7430"/>
          <cell r="G7430"/>
          <cell r="H7430"/>
          <cell r="J7430"/>
          <cell r="L7430"/>
          <cell r="M7430"/>
        </row>
        <row r="7431">
          <cell r="B7431"/>
          <cell r="C7431"/>
          <cell r="E7431"/>
          <cell r="F7431"/>
          <cell r="G7431"/>
          <cell r="H7431"/>
          <cell r="J7431"/>
          <cell r="L7431"/>
          <cell r="M7431"/>
        </row>
        <row r="7432">
          <cell r="B7432"/>
          <cell r="C7432"/>
          <cell r="E7432"/>
          <cell r="F7432"/>
          <cell r="G7432"/>
          <cell r="H7432"/>
          <cell r="J7432"/>
          <cell r="L7432"/>
          <cell r="M7432"/>
        </row>
        <row r="7433">
          <cell r="B7433"/>
          <cell r="C7433"/>
          <cell r="E7433"/>
          <cell r="F7433"/>
          <cell r="G7433"/>
          <cell r="H7433"/>
          <cell r="J7433"/>
          <cell r="L7433"/>
          <cell r="M7433"/>
        </row>
        <row r="7434">
          <cell r="B7434"/>
          <cell r="C7434"/>
          <cell r="E7434"/>
          <cell r="F7434"/>
          <cell r="G7434"/>
          <cell r="H7434"/>
          <cell r="J7434"/>
          <cell r="L7434"/>
          <cell r="M7434"/>
        </row>
        <row r="7435">
          <cell r="B7435"/>
          <cell r="C7435"/>
          <cell r="E7435"/>
          <cell r="F7435"/>
          <cell r="G7435"/>
          <cell r="H7435"/>
          <cell r="J7435"/>
          <cell r="L7435"/>
          <cell r="M7435"/>
        </row>
        <row r="7436">
          <cell r="B7436"/>
          <cell r="C7436"/>
          <cell r="E7436"/>
          <cell r="F7436"/>
          <cell r="G7436"/>
          <cell r="H7436"/>
          <cell r="J7436"/>
          <cell r="L7436"/>
          <cell r="M7436"/>
        </row>
        <row r="7437">
          <cell r="B7437"/>
          <cell r="C7437"/>
          <cell r="E7437"/>
          <cell r="F7437"/>
          <cell r="G7437"/>
          <cell r="H7437"/>
          <cell r="J7437"/>
          <cell r="L7437"/>
          <cell r="M7437"/>
        </row>
        <row r="7438">
          <cell r="B7438"/>
          <cell r="C7438"/>
          <cell r="E7438"/>
          <cell r="F7438"/>
          <cell r="G7438"/>
          <cell r="H7438"/>
          <cell r="J7438"/>
          <cell r="L7438"/>
          <cell r="M7438"/>
        </row>
        <row r="7439">
          <cell r="B7439"/>
          <cell r="C7439"/>
          <cell r="E7439"/>
          <cell r="F7439"/>
          <cell r="G7439"/>
          <cell r="H7439"/>
          <cell r="J7439"/>
          <cell r="L7439"/>
          <cell r="M7439"/>
        </row>
        <row r="7440">
          <cell r="B7440"/>
          <cell r="C7440"/>
          <cell r="E7440"/>
          <cell r="F7440"/>
          <cell r="G7440"/>
          <cell r="H7440"/>
          <cell r="J7440"/>
          <cell r="L7440"/>
          <cell r="M7440"/>
        </row>
        <row r="7441">
          <cell r="B7441"/>
          <cell r="C7441"/>
          <cell r="E7441"/>
          <cell r="F7441"/>
          <cell r="G7441"/>
          <cell r="H7441"/>
          <cell r="J7441"/>
          <cell r="L7441"/>
          <cell r="M7441"/>
        </row>
        <row r="7442">
          <cell r="B7442"/>
          <cell r="C7442"/>
          <cell r="E7442"/>
          <cell r="F7442"/>
          <cell r="G7442"/>
          <cell r="H7442"/>
          <cell r="J7442"/>
          <cell r="L7442"/>
          <cell r="M7442"/>
        </row>
        <row r="7443">
          <cell r="B7443"/>
          <cell r="C7443"/>
          <cell r="E7443"/>
          <cell r="F7443"/>
          <cell r="G7443"/>
          <cell r="H7443"/>
          <cell r="J7443"/>
          <cell r="L7443"/>
          <cell r="M7443"/>
        </row>
        <row r="7444">
          <cell r="B7444"/>
          <cell r="C7444"/>
          <cell r="E7444"/>
          <cell r="F7444"/>
          <cell r="G7444"/>
          <cell r="H7444"/>
          <cell r="J7444"/>
          <cell r="L7444"/>
          <cell r="M7444"/>
        </row>
        <row r="7445">
          <cell r="B7445"/>
          <cell r="C7445"/>
          <cell r="E7445"/>
          <cell r="F7445"/>
          <cell r="G7445"/>
          <cell r="H7445"/>
          <cell r="J7445"/>
          <cell r="L7445"/>
          <cell r="M7445"/>
        </row>
        <row r="7446">
          <cell r="B7446"/>
          <cell r="C7446"/>
          <cell r="E7446"/>
          <cell r="F7446"/>
          <cell r="G7446"/>
          <cell r="H7446"/>
          <cell r="J7446"/>
          <cell r="L7446"/>
          <cell r="M7446"/>
        </row>
        <row r="7447">
          <cell r="B7447"/>
          <cell r="C7447"/>
          <cell r="E7447"/>
          <cell r="F7447"/>
          <cell r="G7447"/>
          <cell r="H7447"/>
          <cell r="J7447"/>
          <cell r="L7447"/>
          <cell r="M7447"/>
        </row>
        <row r="7448">
          <cell r="B7448"/>
          <cell r="C7448"/>
          <cell r="E7448"/>
          <cell r="F7448"/>
          <cell r="G7448"/>
          <cell r="H7448"/>
          <cell r="J7448"/>
          <cell r="L7448"/>
          <cell r="M7448"/>
        </row>
        <row r="7449">
          <cell r="B7449"/>
          <cell r="C7449"/>
          <cell r="E7449"/>
          <cell r="F7449"/>
          <cell r="G7449"/>
          <cell r="H7449"/>
          <cell r="J7449"/>
          <cell r="L7449"/>
          <cell r="M7449"/>
        </row>
        <row r="7450">
          <cell r="B7450"/>
          <cell r="C7450"/>
          <cell r="E7450"/>
          <cell r="F7450"/>
          <cell r="G7450"/>
          <cell r="H7450"/>
          <cell r="J7450"/>
          <cell r="L7450"/>
          <cell r="M7450"/>
        </row>
        <row r="7451">
          <cell r="B7451"/>
          <cell r="C7451"/>
          <cell r="E7451"/>
          <cell r="F7451"/>
          <cell r="G7451"/>
          <cell r="H7451"/>
          <cell r="J7451"/>
          <cell r="L7451"/>
          <cell r="M7451"/>
        </row>
        <row r="7452">
          <cell r="B7452"/>
          <cell r="C7452"/>
          <cell r="E7452"/>
          <cell r="F7452"/>
          <cell r="G7452"/>
          <cell r="H7452"/>
          <cell r="J7452"/>
          <cell r="L7452"/>
          <cell r="M7452"/>
        </row>
        <row r="7453">
          <cell r="B7453"/>
          <cell r="C7453"/>
          <cell r="E7453"/>
          <cell r="F7453"/>
          <cell r="G7453"/>
          <cell r="H7453"/>
          <cell r="J7453"/>
          <cell r="L7453"/>
          <cell r="M7453"/>
        </row>
        <row r="7454">
          <cell r="B7454"/>
          <cell r="C7454"/>
          <cell r="E7454"/>
          <cell r="F7454"/>
          <cell r="G7454"/>
          <cell r="H7454"/>
          <cell r="J7454"/>
          <cell r="L7454"/>
          <cell r="M7454"/>
        </row>
        <row r="7455">
          <cell r="B7455"/>
          <cell r="C7455"/>
          <cell r="E7455"/>
          <cell r="F7455"/>
          <cell r="G7455"/>
          <cell r="H7455"/>
          <cell r="J7455"/>
          <cell r="L7455"/>
          <cell r="M7455"/>
        </row>
        <row r="7456">
          <cell r="B7456"/>
          <cell r="C7456"/>
          <cell r="E7456"/>
          <cell r="F7456"/>
          <cell r="G7456"/>
          <cell r="H7456"/>
          <cell r="J7456"/>
          <cell r="L7456"/>
          <cell r="M7456"/>
        </row>
        <row r="7457">
          <cell r="B7457"/>
          <cell r="C7457"/>
          <cell r="E7457"/>
          <cell r="F7457"/>
          <cell r="G7457"/>
          <cell r="H7457"/>
          <cell r="J7457"/>
          <cell r="L7457"/>
          <cell r="M7457"/>
        </row>
        <row r="7458">
          <cell r="B7458"/>
          <cell r="C7458"/>
          <cell r="E7458"/>
          <cell r="F7458"/>
          <cell r="G7458"/>
          <cell r="H7458"/>
          <cell r="J7458"/>
          <cell r="L7458"/>
          <cell r="M7458"/>
        </row>
        <row r="7459">
          <cell r="B7459"/>
          <cell r="C7459"/>
          <cell r="E7459"/>
          <cell r="F7459"/>
          <cell r="G7459"/>
          <cell r="H7459"/>
          <cell r="J7459"/>
          <cell r="L7459"/>
          <cell r="M7459"/>
        </row>
        <row r="7460">
          <cell r="B7460"/>
          <cell r="C7460"/>
          <cell r="E7460"/>
          <cell r="F7460"/>
          <cell r="G7460"/>
          <cell r="H7460"/>
          <cell r="J7460"/>
          <cell r="L7460"/>
          <cell r="M7460"/>
        </row>
        <row r="7461">
          <cell r="B7461"/>
          <cell r="C7461"/>
          <cell r="E7461"/>
          <cell r="F7461"/>
          <cell r="G7461"/>
          <cell r="H7461"/>
          <cell r="J7461"/>
          <cell r="L7461"/>
          <cell r="M7461"/>
        </row>
        <row r="7462">
          <cell r="B7462"/>
          <cell r="C7462"/>
          <cell r="E7462"/>
          <cell r="F7462"/>
          <cell r="G7462"/>
          <cell r="H7462"/>
          <cell r="J7462"/>
          <cell r="L7462"/>
          <cell r="M7462"/>
        </row>
        <row r="7463">
          <cell r="B7463"/>
          <cell r="C7463"/>
          <cell r="E7463"/>
          <cell r="F7463"/>
          <cell r="G7463"/>
          <cell r="H7463"/>
          <cell r="J7463"/>
          <cell r="L7463"/>
          <cell r="M7463"/>
        </row>
        <row r="7464">
          <cell r="B7464"/>
          <cell r="C7464"/>
          <cell r="E7464"/>
          <cell r="F7464"/>
          <cell r="G7464"/>
          <cell r="H7464"/>
          <cell r="J7464"/>
          <cell r="L7464"/>
          <cell r="M7464"/>
        </row>
        <row r="7465">
          <cell r="B7465"/>
          <cell r="C7465"/>
          <cell r="E7465"/>
          <cell r="F7465"/>
          <cell r="G7465"/>
          <cell r="H7465"/>
          <cell r="J7465"/>
          <cell r="L7465"/>
          <cell r="M7465"/>
        </row>
        <row r="7466">
          <cell r="B7466"/>
          <cell r="C7466"/>
          <cell r="E7466"/>
          <cell r="F7466"/>
          <cell r="G7466"/>
          <cell r="H7466"/>
          <cell r="J7466"/>
          <cell r="L7466"/>
          <cell r="M7466"/>
        </row>
        <row r="7467">
          <cell r="B7467"/>
          <cell r="C7467"/>
          <cell r="E7467"/>
          <cell r="F7467"/>
          <cell r="G7467"/>
          <cell r="H7467"/>
          <cell r="J7467"/>
          <cell r="L7467"/>
          <cell r="M7467"/>
        </row>
        <row r="7468">
          <cell r="B7468"/>
          <cell r="C7468"/>
          <cell r="E7468"/>
          <cell r="F7468"/>
          <cell r="G7468"/>
          <cell r="H7468"/>
          <cell r="J7468"/>
          <cell r="L7468"/>
          <cell r="M7468"/>
        </row>
        <row r="7469">
          <cell r="B7469"/>
          <cell r="C7469"/>
          <cell r="E7469"/>
          <cell r="F7469"/>
          <cell r="G7469"/>
          <cell r="H7469"/>
          <cell r="J7469"/>
          <cell r="L7469"/>
          <cell r="M7469"/>
        </row>
        <row r="7470">
          <cell r="B7470"/>
          <cell r="C7470"/>
          <cell r="E7470"/>
          <cell r="F7470"/>
          <cell r="G7470"/>
          <cell r="H7470"/>
          <cell r="J7470"/>
          <cell r="L7470"/>
          <cell r="M7470"/>
        </row>
        <row r="7471">
          <cell r="B7471"/>
          <cell r="C7471"/>
          <cell r="E7471"/>
          <cell r="F7471"/>
          <cell r="G7471"/>
          <cell r="H7471"/>
          <cell r="J7471"/>
          <cell r="L7471"/>
          <cell r="M7471"/>
        </row>
        <row r="7472">
          <cell r="B7472"/>
          <cell r="C7472"/>
          <cell r="E7472"/>
          <cell r="F7472"/>
          <cell r="G7472"/>
          <cell r="H7472"/>
          <cell r="J7472"/>
          <cell r="L7472"/>
          <cell r="M7472"/>
        </row>
        <row r="7473">
          <cell r="B7473"/>
          <cell r="C7473"/>
          <cell r="E7473"/>
          <cell r="F7473"/>
          <cell r="G7473"/>
          <cell r="H7473"/>
          <cell r="J7473"/>
          <cell r="L7473"/>
          <cell r="M7473"/>
        </row>
        <row r="7474">
          <cell r="B7474"/>
          <cell r="C7474"/>
          <cell r="E7474"/>
          <cell r="F7474"/>
          <cell r="G7474"/>
          <cell r="H7474"/>
          <cell r="J7474"/>
          <cell r="L7474"/>
          <cell r="M7474"/>
        </row>
        <row r="7475">
          <cell r="B7475"/>
          <cell r="C7475"/>
          <cell r="E7475"/>
          <cell r="F7475"/>
          <cell r="G7475"/>
          <cell r="H7475"/>
          <cell r="J7475"/>
          <cell r="L7475"/>
          <cell r="M7475"/>
        </row>
        <row r="7476">
          <cell r="B7476"/>
          <cell r="C7476"/>
          <cell r="E7476"/>
          <cell r="F7476"/>
          <cell r="G7476"/>
          <cell r="H7476"/>
          <cell r="J7476"/>
          <cell r="L7476"/>
          <cell r="M7476"/>
        </row>
        <row r="7477">
          <cell r="B7477"/>
          <cell r="C7477"/>
          <cell r="E7477"/>
          <cell r="F7477"/>
          <cell r="G7477"/>
          <cell r="H7477"/>
          <cell r="J7477"/>
          <cell r="L7477"/>
          <cell r="M7477"/>
        </row>
        <row r="7478">
          <cell r="B7478"/>
          <cell r="C7478"/>
          <cell r="E7478"/>
          <cell r="F7478"/>
          <cell r="G7478"/>
          <cell r="H7478"/>
          <cell r="J7478"/>
          <cell r="L7478"/>
          <cell r="M7478"/>
        </row>
        <row r="7479">
          <cell r="B7479"/>
          <cell r="C7479"/>
          <cell r="E7479"/>
          <cell r="F7479"/>
          <cell r="G7479"/>
          <cell r="H7479"/>
          <cell r="J7479"/>
          <cell r="L7479"/>
          <cell r="M7479"/>
        </row>
        <row r="7480">
          <cell r="B7480"/>
          <cell r="C7480"/>
          <cell r="E7480"/>
          <cell r="F7480"/>
          <cell r="G7480"/>
          <cell r="H7480"/>
          <cell r="J7480"/>
          <cell r="L7480"/>
          <cell r="M7480"/>
        </row>
        <row r="7481">
          <cell r="B7481"/>
          <cell r="C7481"/>
          <cell r="E7481"/>
          <cell r="F7481"/>
          <cell r="G7481"/>
          <cell r="H7481"/>
          <cell r="J7481"/>
          <cell r="L7481"/>
          <cell r="M7481"/>
        </row>
        <row r="7482">
          <cell r="B7482"/>
          <cell r="C7482"/>
          <cell r="E7482"/>
          <cell r="F7482"/>
          <cell r="G7482"/>
          <cell r="H7482"/>
          <cell r="J7482"/>
          <cell r="L7482"/>
          <cell r="M7482"/>
        </row>
        <row r="7483">
          <cell r="B7483"/>
          <cell r="C7483"/>
          <cell r="E7483"/>
          <cell r="F7483"/>
          <cell r="G7483"/>
          <cell r="H7483"/>
          <cell r="J7483"/>
          <cell r="L7483"/>
          <cell r="M7483"/>
        </row>
        <row r="7484">
          <cell r="B7484"/>
          <cell r="C7484"/>
          <cell r="E7484"/>
          <cell r="F7484"/>
          <cell r="G7484"/>
          <cell r="H7484"/>
          <cell r="J7484"/>
          <cell r="L7484"/>
          <cell r="M7484"/>
        </row>
        <row r="7485">
          <cell r="B7485"/>
          <cell r="C7485"/>
          <cell r="E7485"/>
          <cell r="F7485"/>
          <cell r="G7485"/>
          <cell r="H7485"/>
          <cell r="J7485"/>
          <cell r="L7485"/>
          <cell r="M7485"/>
        </row>
        <row r="7486">
          <cell r="B7486"/>
          <cell r="C7486"/>
          <cell r="E7486"/>
          <cell r="F7486"/>
          <cell r="G7486"/>
          <cell r="H7486"/>
          <cell r="J7486"/>
          <cell r="L7486"/>
          <cell r="M7486"/>
        </row>
        <row r="7487">
          <cell r="B7487"/>
          <cell r="C7487"/>
          <cell r="E7487"/>
          <cell r="F7487"/>
          <cell r="G7487"/>
          <cell r="H7487"/>
          <cell r="J7487"/>
          <cell r="L7487"/>
          <cell r="M7487"/>
        </row>
        <row r="7488">
          <cell r="B7488"/>
          <cell r="C7488"/>
          <cell r="E7488"/>
          <cell r="F7488"/>
          <cell r="G7488"/>
          <cell r="H7488"/>
          <cell r="J7488"/>
          <cell r="L7488"/>
          <cell r="M7488"/>
        </row>
        <row r="7489">
          <cell r="B7489"/>
          <cell r="C7489"/>
          <cell r="E7489"/>
          <cell r="F7489"/>
          <cell r="G7489"/>
          <cell r="H7489"/>
          <cell r="J7489"/>
          <cell r="L7489"/>
          <cell r="M7489"/>
        </row>
        <row r="7490">
          <cell r="B7490"/>
          <cell r="C7490"/>
          <cell r="E7490"/>
          <cell r="F7490"/>
          <cell r="G7490"/>
          <cell r="H7490"/>
          <cell r="J7490"/>
          <cell r="L7490"/>
          <cell r="M7490"/>
        </row>
        <row r="7491">
          <cell r="B7491"/>
          <cell r="C7491"/>
          <cell r="E7491"/>
          <cell r="F7491"/>
          <cell r="G7491"/>
          <cell r="H7491"/>
          <cell r="J7491"/>
          <cell r="L7491"/>
          <cell r="M7491"/>
        </row>
        <row r="7492">
          <cell r="B7492"/>
          <cell r="C7492"/>
          <cell r="E7492"/>
          <cell r="F7492"/>
          <cell r="G7492"/>
          <cell r="H7492"/>
          <cell r="J7492"/>
          <cell r="L7492"/>
          <cell r="M7492"/>
        </row>
        <row r="7493">
          <cell r="B7493"/>
          <cell r="C7493"/>
          <cell r="E7493"/>
          <cell r="F7493"/>
          <cell r="G7493"/>
          <cell r="H7493"/>
          <cell r="J7493"/>
          <cell r="L7493"/>
          <cell r="M7493"/>
        </row>
        <row r="7494">
          <cell r="B7494"/>
          <cell r="C7494"/>
          <cell r="E7494"/>
          <cell r="F7494"/>
          <cell r="G7494"/>
          <cell r="H7494"/>
          <cell r="J7494"/>
          <cell r="L7494"/>
          <cell r="M7494"/>
        </row>
        <row r="7495">
          <cell r="B7495"/>
          <cell r="C7495"/>
          <cell r="E7495"/>
          <cell r="F7495"/>
          <cell r="G7495"/>
          <cell r="H7495"/>
          <cell r="J7495"/>
          <cell r="L7495"/>
          <cell r="M7495"/>
        </row>
        <row r="7496">
          <cell r="B7496"/>
          <cell r="C7496"/>
          <cell r="E7496"/>
          <cell r="F7496"/>
          <cell r="G7496"/>
          <cell r="H7496"/>
          <cell r="J7496"/>
          <cell r="L7496"/>
          <cell r="M7496"/>
        </row>
        <row r="7497">
          <cell r="B7497"/>
          <cell r="C7497"/>
          <cell r="E7497"/>
          <cell r="F7497"/>
          <cell r="G7497"/>
          <cell r="H7497"/>
          <cell r="J7497"/>
          <cell r="L7497"/>
          <cell r="M7497"/>
        </row>
        <row r="7498">
          <cell r="B7498"/>
          <cell r="C7498"/>
          <cell r="E7498"/>
          <cell r="F7498"/>
          <cell r="G7498"/>
          <cell r="H7498"/>
          <cell r="J7498"/>
          <cell r="L7498"/>
          <cell r="M7498"/>
        </row>
        <row r="7499">
          <cell r="B7499"/>
          <cell r="C7499"/>
          <cell r="E7499"/>
          <cell r="F7499"/>
          <cell r="G7499"/>
          <cell r="H7499"/>
          <cell r="J7499"/>
          <cell r="L7499"/>
          <cell r="M7499"/>
        </row>
        <row r="7500">
          <cell r="B7500"/>
          <cell r="C7500"/>
          <cell r="E7500"/>
          <cell r="F7500"/>
          <cell r="G7500"/>
          <cell r="H7500"/>
          <cell r="J7500"/>
          <cell r="L7500"/>
          <cell r="M7500"/>
        </row>
        <row r="7501">
          <cell r="B7501"/>
          <cell r="C7501"/>
          <cell r="E7501"/>
          <cell r="F7501"/>
          <cell r="G7501"/>
          <cell r="H7501"/>
          <cell r="J7501"/>
          <cell r="L7501"/>
          <cell r="M7501"/>
        </row>
        <row r="7502">
          <cell r="B7502"/>
          <cell r="C7502"/>
          <cell r="E7502"/>
          <cell r="F7502"/>
          <cell r="G7502"/>
          <cell r="H7502"/>
          <cell r="J7502"/>
          <cell r="L7502"/>
          <cell r="M7502"/>
        </row>
        <row r="7503">
          <cell r="B7503"/>
          <cell r="C7503"/>
          <cell r="E7503"/>
          <cell r="F7503"/>
          <cell r="G7503"/>
          <cell r="H7503"/>
          <cell r="J7503"/>
          <cell r="L7503"/>
          <cell r="M7503"/>
        </row>
        <row r="7504">
          <cell r="B7504"/>
          <cell r="C7504"/>
          <cell r="E7504"/>
          <cell r="F7504"/>
          <cell r="G7504"/>
          <cell r="H7504"/>
          <cell r="J7504"/>
          <cell r="L7504"/>
          <cell r="M7504"/>
        </row>
        <row r="7505">
          <cell r="B7505"/>
          <cell r="C7505"/>
          <cell r="E7505"/>
          <cell r="F7505"/>
          <cell r="G7505"/>
          <cell r="H7505"/>
          <cell r="J7505"/>
          <cell r="L7505"/>
          <cell r="M7505"/>
        </row>
        <row r="7506">
          <cell r="B7506"/>
          <cell r="C7506"/>
          <cell r="E7506"/>
          <cell r="F7506"/>
          <cell r="G7506"/>
          <cell r="H7506"/>
          <cell r="J7506"/>
          <cell r="L7506"/>
          <cell r="M7506"/>
        </row>
        <row r="7507">
          <cell r="B7507"/>
          <cell r="C7507"/>
          <cell r="E7507"/>
          <cell r="F7507"/>
          <cell r="G7507"/>
          <cell r="H7507"/>
          <cell r="J7507"/>
          <cell r="L7507"/>
          <cell r="M7507"/>
        </row>
        <row r="7508">
          <cell r="B7508"/>
          <cell r="C7508"/>
          <cell r="E7508"/>
          <cell r="F7508"/>
          <cell r="G7508"/>
          <cell r="H7508"/>
          <cell r="J7508"/>
          <cell r="L7508"/>
          <cell r="M7508"/>
        </row>
        <row r="7509">
          <cell r="B7509"/>
          <cell r="C7509"/>
          <cell r="E7509"/>
          <cell r="F7509"/>
          <cell r="G7509"/>
          <cell r="H7509"/>
          <cell r="J7509"/>
          <cell r="L7509"/>
          <cell r="M7509"/>
        </row>
        <row r="7510">
          <cell r="B7510"/>
          <cell r="C7510"/>
          <cell r="E7510"/>
          <cell r="F7510"/>
          <cell r="G7510"/>
          <cell r="H7510"/>
          <cell r="J7510"/>
          <cell r="L7510"/>
          <cell r="M7510"/>
        </row>
        <row r="7511">
          <cell r="B7511"/>
          <cell r="C7511"/>
          <cell r="E7511"/>
          <cell r="F7511"/>
          <cell r="G7511"/>
          <cell r="H7511"/>
          <cell r="J7511"/>
          <cell r="L7511"/>
          <cell r="M7511"/>
        </row>
        <row r="7512">
          <cell r="B7512"/>
          <cell r="C7512"/>
          <cell r="E7512"/>
          <cell r="F7512"/>
          <cell r="G7512"/>
          <cell r="H7512"/>
          <cell r="J7512"/>
          <cell r="L7512"/>
          <cell r="M7512"/>
        </row>
        <row r="7513">
          <cell r="B7513"/>
          <cell r="C7513"/>
          <cell r="E7513"/>
          <cell r="F7513"/>
          <cell r="G7513"/>
          <cell r="H7513"/>
          <cell r="J7513"/>
          <cell r="L7513"/>
          <cell r="M7513"/>
        </row>
        <row r="7514">
          <cell r="B7514"/>
          <cell r="C7514"/>
          <cell r="E7514"/>
          <cell r="F7514"/>
          <cell r="G7514"/>
          <cell r="H7514"/>
          <cell r="J7514"/>
          <cell r="L7514"/>
          <cell r="M7514"/>
        </row>
        <row r="7515">
          <cell r="B7515"/>
          <cell r="C7515"/>
          <cell r="E7515"/>
          <cell r="F7515"/>
          <cell r="G7515"/>
          <cell r="H7515"/>
          <cell r="J7515"/>
          <cell r="L7515"/>
          <cell r="M7515"/>
        </row>
        <row r="7516">
          <cell r="B7516"/>
          <cell r="C7516"/>
          <cell r="E7516"/>
          <cell r="F7516"/>
          <cell r="G7516"/>
          <cell r="H7516"/>
          <cell r="J7516"/>
          <cell r="L7516"/>
          <cell r="M7516"/>
        </row>
        <row r="7517">
          <cell r="B7517"/>
          <cell r="C7517"/>
          <cell r="E7517"/>
          <cell r="F7517"/>
          <cell r="G7517"/>
          <cell r="H7517"/>
          <cell r="J7517"/>
          <cell r="L7517"/>
          <cell r="M7517"/>
        </row>
        <row r="7518">
          <cell r="B7518"/>
          <cell r="C7518"/>
          <cell r="E7518"/>
          <cell r="F7518"/>
          <cell r="G7518"/>
          <cell r="H7518"/>
          <cell r="J7518"/>
          <cell r="L7518"/>
          <cell r="M7518"/>
        </row>
        <row r="7519">
          <cell r="B7519"/>
          <cell r="C7519"/>
          <cell r="E7519"/>
          <cell r="F7519"/>
          <cell r="G7519"/>
          <cell r="H7519"/>
          <cell r="J7519"/>
          <cell r="L7519"/>
          <cell r="M7519"/>
        </row>
        <row r="7520">
          <cell r="B7520"/>
          <cell r="C7520"/>
          <cell r="E7520"/>
          <cell r="F7520"/>
          <cell r="G7520"/>
          <cell r="H7520"/>
          <cell r="J7520"/>
          <cell r="L7520"/>
          <cell r="M7520"/>
        </row>
        <row r="7521">
          <cell r="B7521"/>
          <cell r="C7521"/>
          <cell r="E7521"/>
          <cell r="F7521"/>
          <cell r="G7521"/>
          <cell r="H7521"/>
          <cell r="J7521"/>
          <cell r="L7521"/>
          <cell r="M7521"/>
        </row>
        <row r="7522">
          <cell r="B7522"/>
          <cell r="C7522"/>
          <cell r="E7522"/>
          <cell r="F7522"/>
          <cell r="G7522"/>
          <cell r="H7522"/>
          <cell r="J7522"/>
          <cell r="L7522"/>
          <cell r="M7522"/>
        </row>
        <row r="7523">
          <cell r="B7523"/>
          <cell r="C7523"/>
          <cell r="E7523"/>
          <cell r="F7523"/>
          <cell r="G7523"/>
          <cell r="H7523"/>
          <cell r="J7523"/>
          <cell r="L7523"/>
          <cell r="M7523"/>
        </row>
        <row r="7524">
          <cell r="B7524"/>
          <cell r="C7524"/>
          <cell r="E7524"/>
          <cell r="F7524"/>
          <cell r="G7524"/>
          <cell r="H7524"/>
          <cell r="J7524"/>
          <cell r="L7524"/>
          <cell r="M7524"/>
        </row>
        <row r="7525">
          <cell r="B7525"/>
          <cell r="C7525"/>
          <cell r="E7525"/>
          <cell r="F7525"/>
          <cell r="G7525"/>
          <cell r="H7525"/>
          <cell r="J7525"/>
          <cell r="L7525"/>
          <cell r="M7525"/>
        </row>
        <row r="7526">
          <cell r="B7526"/>
          <cell r="C7526"/>
          <cell r="E7526"/>
          <cell r="F7526"/>
          <cell r="G7526"/>
          <cell r="H7526"/>
          <cell r="J7526"/>
          <cell r="L7526"/>
          <cell r="M7526"/>
        </row>
        <row r="7527">
          <cell r="B7527"/>
          <cell r="C7527"/>
          <cell r="E7527"/>
          <cell r="F7527"/>
          <cell r="G7527"/>
          <cell r="H7527"/>
          <cell r="J7527"/>
          <cell r="L7527"/>
          <cell r="M7527"/>
        </row>
        <row r="7528">
          <cell r="B7528"/>
          <cell r="C7528"/>
          <cell r="E7528"/>
          <cell r="F7528"/>
          <cell r="G7528"/>
          <cell r="H7528"/>
          <cell r="J7528"/>
          <cell r="L7528"/>
          <cell r="M7528"/>
        </row>
        <row r="7529">
          <cell r="B7529"/>
          <cell r="C7529"/>
          <cell r="E7529"/>
          <cell r="F7529"/>
          <cell r="G7529"/>
          <cell r="H7529"/>
          <cell r="J7529"/>
          <cell r="L7529"/>
          <cell r="M7529"/>
        </row>
        <row r="7530">
          <cell r="B7530"/>
          <cell r="C7530"/>
          <cell r="E7530"/>
          <cell r="F7530"/>
          <cell r="G7530"/>
          <cell r="H7530"/>
          <cell r="J7530"/>
          <cell r="L7530"/>
          <cell r="M7530"/>
        </row>
        <row r="7531">
          <cell r="B7531"/>
          <cell r="C7531"/>
          <cell r="E7531"/>
          <cell r="F7531"/>
          <cell r="G7531"/>
          <cell r="H7531"/>
          <cell r="J7531"/>
          <cell r="L7531"/>
          <cell r="M7531"/>
        </row>
        <row r="7532">
          <cell r="B7532"/>
          <cell r="C7532"/>
          <cell r="E7532"/>
          <cell r="F7532"/>
          <cell r="G7532"/>
          <cell r="H7532"/>
          <cell r="J7532"/>
          <cell r="L7532"/>
          <cell r="M7532"/>
        </row>
        <row r="7533">
          <cell r="B7533"/>
          <cell r="C7533"/>
          <cell r="E7533"/>
          <cell r="F7533"/>
          <cell r="G7533"/>
          <cell r="H7533"/>
          <cell r="J7533"/>
          <cell r="L7533"/>
          <cell r="M7533"/>
        </row>
        <row r="7534">
          <cell r="B7534"/>
          <cell r="C7534"/>
          <cell r="E7534"/>
          <cell r="F7534"/>
          <cell r="G7534"/>
          <cell r="H7534"/>
          <cell r="J7534"/>
          <cell r="L7534"/>
          <cell r="M7534"/>
        </row>
        <row r="7535">
          <cell r="B7535"/>
          <cell r="C7535"/>
          <cell r="E7535"/>
          <cell r="F7535"/>
          <cell r="G7535"/>
          <cell r="H7535"/>
          <cell r="J7535"/>
          <cell r="L7535"/>
          <cell r="M7535"/>
        </row>
        <row r="7536">
          <cell r="B7536"/>
          <cell r="C7536"/>
          <cell r="E7536"/>
          <cell r="F7536"/>
          <cell r="G7536"/>
          <cell r="H7536"/>
          <cell r="J7536"/>
          <cell r="L7536"/>
          <cell r="M7536"/>
        </row>
        <row r="7537">
          <cell r="B7537"/>
          <cell r="C7537"/>
          <cell r="E7537"/>
          <cell r="F7537"/>
          <cell r="G7537"/>
          <cell r="H7537"/>
          <cell r="J7537"/>
          <cell r="L7537"/>
          <cell r="M7537"/>
        </row>
        <row r="7538">
          <cell r="B7538"/>
          <cell r="C7538"/>
          <cell r="E7538"/>
          <cell r="F7538"/>
          <cell r="G7538"/>
          <cell r="H7538"/>
          <cell r="J7538"/>
          <cell r="L7538"/>
          <cell r="M7538"/>
        </row>
        <row r="7539">
          <cell r="B7539"/>
          <cell r="C7539"/>
          <cell r="E7539"/>
          <cell r="F7539"/>
          <cell r="G7539"/>
          <cell r="H7539"/>
          <cell r="J7539"/>
          <cell r="L7539"/>
          <cell r="M7539"/>
        </row>
        <row r="7540">
          <cell r="B7540"/>
          <cell r="C7540"/>
          <cell r="E7540"/>
          <cell r="F7540"/>
          <cell r="G7540"/>
          <cell r="H7540"/>
          <cell r="J7540"/>
          <cell r="L7540"/>
          <cell r="M7540"/>
        </row>
        <row r="7541">
          <cell r="B7541"/>
          <cell r="C7541"/>
          <cell r="E7541"/>
          <cell r="F7541"/>
          <cell r="G7541"/>
          <cell r="H7541"/>
          <cell r="J7541"/>
          <cell r="L7541"/>
          <cell r="M7541"/>
        </row>
        <row r="7542">
          <cell r="B7542"/>
          <cell r="C7542"/>
          <cell r="E7542"/>
          <cell r="F7542"/>
          <cell r="G7542"/>
          <cell r="H7542"/>
          <cell r="J7542"/>
          <cell r="L7542"/>
          <cell r="M7542"/>
        </row>
        <row r="7543">
          <cell r="B7543"/>
          <cell r="C7543"/>
          <cell r="E7543"/>
          <cell r="F7543"/>
          <cell r="G7543"/>
          <cell r="H7543"/>
          <cell r="J7543"/>
          <cell r="L7543"/>
          <cell r="M7543"/>
        </row>
        <row r="7544">
          <cell r="B7544"/>
          <cell r="C7544"/>
          <cell r="E7544"/>
          <cell r="F7544"/>
          <cell r="G7544"/>
          <cell r="H7544"/>
          <cell r="J7544"/>
          <cell r="L7544"/>
          <cell r="M7544"/>
        </row>
        <row r="7545">
          <cell r="B7545"/>
          <cell r="C7545"/>
          <cell r="E7545"/>
          <cell r="F7545"/>
          <cell r="G7545"/>
          <cell r="H7545"/>
          <cell r="J7545"/>
          <cell r="L7545"/>
          <cell r="M7545"/>
        </row>
        <row r="7546">
          <cell r="B7546"/>
          <cell r="C7546"/>
          <cell r="E7546"/>
          <cell r="F7546"/>
          <cell r="G7546"/>
          <cell r="H7546"/>
          <cell r="J7546"/>
          <cell r="L7546"/>
          <cell r="M7546"/>
        </row>
        <row r="7547">
          <cell r="B7547"/>
          <cell r="C7547"/>
          <cell r="E7547"/>
          <cell r="F7547"/>
          <cell r="G7547"/>
          <cell r="H7547"/>
          <cell r="J7547"/>
          <cell r="L7547"/>
          <cell r="M7547"/>
        </row>
        <row r="7548">
          <cell r="B7548"/>
          <cell r="C7548"/>
          <cell r="E7548"/>
          <cell r="F7548"/>
          <cell r="G7548"/>
          <cell r="H7548"/>
          <cell r="J7548"/>
          <cell r="L7548"/>
          <cell r="M7548"/>
        </row>
        <row r="7549">
          <cell r="B7549"/>
          <cell r="C7549"/>
          <cell r="E7549"/>
          <cell r="F7549"/>
          <cell r="G7549"/>
          <cell r="H7549"/>
          <cell r="J7549"/>
          <cell r="L7549"/>
          <cell r="M7549"/>
        </row>
        <row r="7550">
          <cell r="B7550"/>
          <cell r="C7550"/>
          <cell r="E7550"/>
          <cell r="F7550"/>
          <cell r="G7550"/>
          <cell r="H7550"/>
          <cell r="J7550"/>
          <cell r="L7550"/>
          <cell r="M7550"/>
        </row>
        <row r="7551">
          <cell r="B7551"/>
          <cell r="C7551"/>
          <cell r="E7551"/>
          <cell r="F7551"/>
          <cell r="G7551"/>
          <cell r="H7551"/>
          <cell r="J7551"/>
          <cell r="L7551"/>
          <cell r="M7551"/>
        </row>
        <row r="7552">
          <cell r="B7552"/>
          <cell r="C7552"/>
          <cell r="E7552"/>
          <cell r="F7552"/>
          <cell r="G7552"/>
          <cell r="H7552"/>
          <cell r="J7552"/>
          <cell r="L7552"/>
          <cell r="M7552"/>
        </row>
        <row r="7553">
          <cell r="B7553"/>
          <cell r="C7553"/>
          <cell r="E7553"/>
          <cell r="F7553"/>
          <cell r="G7553"/>
          <cell r="H7553"/>
          <cell r="J7553"/>
          <cell r="L7553"/>
          <cell r="M7553"/>
        </row>
        <row r="7554">
          <cell r="B7554"/>
          <cell r="C7554"/>
          <cell r="E7554"/>
          <cell r="F7554"/>
          <cell r="G7554"/>
          <cell r="H7554"/>
          <cell r="J7554"/>
          <cell r="L7554"/>
          <cell r="M7554"/>
        </row>
        <row r="7555">
          <cell r="B7555"/>
          <cell r="C7555"/>
          <cell r="E7555"/>
          <cell r="F7555"/>
          <cell r="G7555"/>
          <cell r="H7555"/>
          <cell r="J7555"/>
          <cell r="L7555"/>
          <cell r="M7555"/>
        </row>
        <row r="7556">
          <cell r="B7556"/>
          <cell r="C7556"/>
          <cell r="E7556"/>
          <cell r="F7556"/>
          <cell r="G7556"/>
          <cell r="H7556"/>
          <cell r="J7556"/>
          <cell r="L7556"/>
          <cell r="M7556"/>
        </row>
        <row r="7557">
          <cell r="B7557"/>
          <cell r="C7557"/>
          <cell r="E7557"/>
          <cell r="F7557"/>
          <cell r="G7557"/>
          <cell r="H7557"/>
          <cell r="J7557"/>
          <cell r="L7557"/>
          <cell r="M7557"/>
        </row>
        <row r="7558">
          <cell r="B7558"/>
          <cell r="C7558"/>
          <cell r="E7558"/>
          <cell r="F7558"/>
          <cell r="G7558"/>
          <cell r="H7558"/>
          <cell r="J7558"/>
          <cell r="L7558"/>
          <cell r="M7558"/>
        </row>
        <row r="7559">
          <cell r="B7559"/>
          <cell r="C7559"/>
          <cell r="E7559"/>
          <cell r="F7559"/>
          <cell r="G7559"/>
          <cell r="H7559"/>
          <cell r="J7559"/>
          <cell r="L7559"/>
          <cell r="M7559"/>
        </row>
        <row r="7560">
          <cell r="B7560"/>
          <cell r="C7560"/>
          <cell r="E7560"/>
          <cell r="F7560"/>
          <cell r="G7560"/>
          <cell r="H7560"/>
          <cell r="J7560"/>
          <cell r="L7560"/>
          <cell r="M7560"/>
        </row>
        <row r="7561">
          <cell r="B7561"/>
          <cell r="C7561"/>
          <cell r="E7561"/>
          <cell r="F7561"/>
          <cell r="G7561"/>
          <cell r="H7561"/>
          <cell r="J7561"/>
          <cell r="L7561"/>
          <cell r="M7561"/>
        </row>
        <row r="7562">
          <cell r="B7562"/>
          <cell r="C7562"/>
          <cell r="E7562"/>
          <cell r="F7562"/>
          <cell r="G7562"/>
          <cell r="H7562"/>
          <cell r="J7562"/>
          <cell r="L7562"/>
          <cell r="M7562"/>
        </row>
        <row r="7563">
          <cell r="B7563"/>
          <cell r="C7563"/>
          <cell r="E7563"/>
          <cell r="F7563"/>
          <cell r="G7563"/>
          <cell r="H7563"/>
          <cell r="J7563"/>
          <cell r="L7563"/>
          <cell r="M7563"/>
        </row>
        <row r="7564">
          <cell r="B7564"/>
          <cell r="C7564"/>
          <cell r="E7564"/>
          <cell r="F7564"/>
          <cell r="G7564"/>
          <cell r="H7564"/>
          <cell r="J7564"/>
          <cell r="L7564"/>
          <cell r="M7564"/>
        </row>
        <row r="7565">
          <cell r="B7565"/>
          <cell r="C7565"/>
          <cell r="E7565"/>
          <cell r="F7565"/>
          <cell r="G7565"/>
          <cell r="H7565"/>
          <cell r="J7565"/>
          <cell r="L7565"/>
          <cell r="M7565"/>
        </row>
        <row r="7566">
          <cell r="B7566"/>
          <cell r="C7566"/>
          <cell r="E7566"/>
          <cell r="F7566"/>
          <cell r="G7566"/>
          <cell r="H7566"/>
          <cell r="J7566"/>
          <cell r="L7566"/>
          <cell r="M7566"/>
        </row>
        <row r="7567">
          <cell r="B7567"/>
          <cell r="C7567"/>
          <cell r="E7567"/>
          <cell r="F7567"/>
          <cell r="G7567"/>
          <cell r="H7567"/>
          <cell r="J7567"/>
          <cell r="L7567"/>
          <cell r="M7567"/>
        </row>
        <row r="7568">
          <cell r="B7568"/>
          <cell r="C7568"/>
          <cell r="E7568"/>
          <cell r="F7568"/>
          <cell r="G7568"/>
          <cell r="H7568"/>
          <cell r="J7568"/>
          <cell r="L7568"/>
          <cell r="M7568"/>
        </row>
        <row r="7569">
          <cell r="B7569"/>
          <cell r="C7569"/>
          <cell r="E7569"/>
          <cell r="F7569"/>
          <cell r="G7569"/>
          <cell r="H7569"/>
          <cell r="J7569"/>
          <cell r="L7569"/>
          <cell r="M7569"/>
        </row>
        <row r="7570">
          <cell r="B7570"/>
          <cell r="C7570"/>
          <cell r="E7570"/>
          <cell r="F7570"/>
          <cell r="G7570"/>
          <cell r="H7570"/>
          <cell r="J7570"/>
          <cell r="L7570"/>
          <cell r="M7570"/>
        </row>
        <row r="7571">
          <cell r="B7571"/>
          <cell r="C7571"/>
          <cell r="E7571"/>
          <cell r="F7571"/>
          <cell r="G7571"/>
          <cell r="H7571"/>
          <cell r="J7571"/>
          <cell r="L7571"/>
          <cell r="M7571"/>
        </row>
        <row r="7572">
          <cell r="B7572"/>
          <cell r="C7572"/>
          <cell r="E7572"/>
          <cell r="F7572"/>
          <cell r="G7572"/>
          <cell r="H7572"/>
          <cell r="J7572"/>
          <cell r="L7572"/>
          <cell r="M7572"/>
        </row>
        <row r="7573">
          <cell r="B7573"/>
          <cell r="C7573"/>
          <cell r="E7573"/>
          <cell r="F7573"/>
          <cell r="G7573"/>
          <cell r="H7573"/>
          <cell r="J7573"/>
          <cell r="L7573"/>
          <cell r="M7573"/>
        </row>
        <row r="7574">
          <cell r="B7574"/>
          <cell r="C7574"/>
          <cell r="E7574"/>
          <cell r="F7574"/>
          <cell r="G7574"/>
          <cell r="H7574"/>
          <cell r="J7574"/>
          <cell r="L7574"/>
          <cell r="M7574"/>
        </row>
        <row r="7575">
          <cell r="B7575"/>
          <cell r="C7575"/>
          <cell r="E7575"/>
          <cell r="F7575"/>
          <cell r="G7575"/>
          <cell r="H7575"/>
          <cell r="J7575"/>
          <cell r="L7575"/>
          <cell r="M7575"/>
        </row>
        <row r="7576">
          <cell r="B7576"/>
          <cell r="C7576"/>
          <cell r="E7576"/>
          <cell r="F7576"/>
          <cell r="G7576"/>
          <cell r="H7576"/>
          <cell r="J7576"/>
          <cell r="L7576"/>
          <cell r="M7576"/>
        </row>
        <row r="7577">
          <cell r="B7577"/>
          <cell r="C7577"/>
          <cell r="E7577"/>
          <cell r="F7577"/>
          <cell r="G7577"/>
          <cell r="H7577"/>
          <cell r="J7577"/>
          <cell r="L7577"/>
          <cell r="M7577"/>
        </row>
        <row r="7578">
          <cell r="B7578"/>
          <cell r="C7578"/>
          <cell r="E7578"/>
          <cell r="F7578"/>
          <cell r="G7578"/>
          <cell r="H7578"/>
          <cell r="J7578"/>
          <cell r="L7578"/>
          <cell r="M7578"/>
        </row>
        <row r="7579">
          <cell r="B7579"/>
          <cell r="C7579"/>
          <cell r="E7579"/>
          <cell r="F7579"/>
          <cell r="G7579"/>
          <cell r="H7579"/>
          <cell r="J7579"/>
          <cell r="L7579"/>
          <cell r="M7579"/>
        </row>
        <row r="7580">
          <cell r="B7580"/>
          <cell r="C7580"/>
          <cell r="E7580"/>
          <cell r="F7580"/>
          <cell r="G7580"/>
          <cell r="H7580"/>
          <cell r="J7580"/>
          <cell r="L7580"/>
          <cell r="M7580"/>
        </row>
        <row r="7581">
          <cell r="B7581"/>
          <cell r="C7581"/>
          <cell r="E7581"/>
          <cell r="F7581"/>
          <cell r="G7581"/>
          <cell r="H7581"/>
          <cell r="J7581"/>
          <cell r="L7581"/>
          <cell r="M7581"/>
        </row>
        <row r="7582">
          <cell r="B7582"/>
          <cell r="C7582"/>
          <cell r="E7582"/>
          <cell r="F7582"/>
          <cell r="G7582"/>
          <cell r="H7582"/>
          <cell r="J7582"/>
          <cell r="L7582"/>
          <cell r="M7582"/>
        </row>
        <row r="7583">
          <cell r="B7583"/>
          <cell r="C7583"/>
          <cell r="E7583"/>
          <cell r="F7583"/>
          <cell r="G7583"/>
          <cell r="H7583"/>
          <cell r="J7583"/>
          <cell r="L7583"/>
          <cell r="M7583"/>
        </row>
        <row r="7584">
          <cell r="B7584"/>
          <cell r="C7584"/>
          <cell r="E7584"/>
          <cell r="F7584"/>
          <cell r="G7584"/>
          <cell r="H7584"/>
          <cell r="J7584"/>
          <cell r="L7584"/>
          <cell r="M7584"/>
        </row>
        <row r="7585">
          <cell r="B7585"/>
          <cell r="C7585"/>
          <cell r="E7585"/>
          <cell r="F7585"/>
          <cell r="G7585"/>
          <cell r="H7585"/>
          <cell r="J7585"/>
          <cell r="L7585"/>
          <cell r="M7585"/>
        </row>
        <row r="7586">
          <cell r="B7586"/>
          <cell r="C7586"/>
          <cell r="E7586"/>
          <cell r="F7586"/>
          <cell r="G7586"/>
          <cell r="H7586"/>
          <cell r="J7586"/>
          <cell r="L7586"/>
          <cell r="M7586"/>
        </row>
        <row r="7587">
          <cell r="B7587"/>
          <cell r="C7587"/>
          <cell r="E7587"/>
          <cell r="F7587"/>
          <cell r="G7587"/>
          <cell r="H7587"/>
          <cell r="J7587"/>
          <cell r="L7587"/>
          <cell r="M7587"/>
        </row>
        <row r="7588">
          <cell r="B7588"/>
          <cell r="C7588"/>
          <cell r="E7588"/>
          <cell r="F7588"/>
          <cell r="G7588"/>
          <cell r="H7588"/>
          <cell r="J7588"/>
          <cell r="L7588"/>
          <cell r="M7588"/>
        </row>
        <row r="7589">
          <cell r="B7589"/>
          <cell r="C7589"/>
          <cell r="E7589"/>
          <cell r="F7589"/>
          <cell r="G7589"/>
          <cell r="H7589"/>
          <cell r="J7589"/>
          <cell r="L7589"/>
          <cell r="M7589"/>
        </row>
        <row r="7590">
          <cell r="B7590"/>
          <cell r="C7590"/>
          <cell r="E7590"/>
          <cell r="F7590"/>
          <cell r="G7590"/>
          <cell r="H7590"/>
          <cell r="J7590"/>
          <cell r="L7590"/>
          <cell r="M7590"/>
        </row>
        <row r="7591">
          <cell r="B7591"/>
          <cell r="C7591"/>
          <cell r="E7591"/>
          <cell r="F7591"/>
          <cell r="G7591"/>
          <cell r="H7591"/>
          <cell r="J7591"/>
          <cell r="L7591"/>
          <cell r="M7591"/>
        </row>
        <row r="7592">
          <cell r="B7592"/>
          <cell r="C7592"/>
          <cell r="E7592"/>
          <cell r="F7592"/>
          <cell r="G7592"/>
          <cell r="H7592"/>
          <cell r="J7592"/>
          <cell r="L7592"/>
          <cell r="M7592"/>
        </row>
        <row r="7593">
          <cell r="B7593"/>
          <cell r="C7593"/>
          <cell r="E7593"/>
          <cell r="F7593"/>
          <cell r="G7593"/>
          <cell r="H7593"/>
          <cell r="J7593"/>
          <cell r="L7593"/>
          <cell r="M7593"/>
        </row>
        <row r="7594">
          <cell r="B7594"/>
          <cell r="C7594"/>
          <cell r="E7594"/>
          <cell r="F7594"/>
          <cell r="G7594"/>
          <cell r="H7594"/>
          <cell r="J7594"/>
          <cell r="L7594"/>
          <cell r="M7594"/>
        </row>
        <row r="7595">
          <cell r="B7595"/>
          <cell r="C7595"/>
          <cell r="E7595"/>
          <cell r="F7595"/>
          <cell r="G7595"/>
          <cell r="H7595"/>
          <cell r="J7595"/>
          <cell r="L7595"/>
          <cell r="M7595"/>
        </row>
        <row r="7596">
          <cell r="B7596"/>
          <cell r="C7596"/>
          <cell r="E7596"/>
          <cell r="F7596"/>
          <cell r="G7596"/>
          <cell r="H7596"/>
          <cell r="J7596"/>
          <cell r="L7596"/>
          <cell r="M7596"/>
        </row>
        <row r="7597">
          <cell r="B7597"/>
          <cell r="C7597"/>
          <cell r="E7597"/>
          <cell r="F7597"/>
          <cell r="G7597"/>
          <cell r="H7597"/>
          <cell r="J7597"/>
          <cell r="L7597"/>
          <cell r="M7597"/>
        </row>
        <row r="7598">
          <cell r="B7598"/>
          <cell r="C7598"/>
          <cell r="E7598"/>
          <cell r="F7598"/>
          <cell r="G7598"/>
          <cell r="H7598"/>
          <cell r="J7598"/>
          <cell r="L7598"/>
          <cell r="M7598"/>
        </row>
        <row r="7599">
          <cell r="B7599"/>
          <cell r="C7599"/>
          <cell r="E7599"/>
          <cell r="F7599"/>
          <cell r="G7599"/>
          <cell r="H7599"/>
          <cell r="J7599"/>
          <cell r="L7599"/>
          <cell r="M7599"/>
        </row>
        <row r="7600">
          <cell r="B7600"/>
          <cell r="C7600"/>
          <cell r="E7600"/>
          <cell r="F7600"/>
          <cell r="G7600"/>
          <cell r="H7600"/>
          <cell r="J7600"/>
          <cell r="L7600"/>
          <cell r="M7600"/>
        </row>
        <row r="7601">
          <cell r="B7601"/>
          <cell r="C7601"/>
          <cell r="E7601"/>
          <cell r="F7601"/>
          <cell r="G7601"/>
          <cell r="H7601"/>
          <cell r="J7601"/>
          <cell r="L7601"/>
          <cell r="M7601"/>
        </row>
        <row r="7602">
          <cell r="B7602"/>
          <cell r="C7602"/>
          <cell r="E7602"/>
          <cell r="F7602"/>
          <cell r="G7602"/>
          <cell r="H7602"/>
          <cell r="J7602"/>
          <cell r="L7602"/>
          <cell r="M7602"/>
        </row>
        <row r="7603">
          <cell r="B7603"/>
          <cell r="C7603"/>
          <cell r="E7603"/>
          <cell r="F7603"/>
          <cell r="G7603"/>
          <cell r="H7603"/>
          <cell r="J7603"/>
          <cell r="L7603"/>
          <cell r="M7603"/>
        </row>
        <row r="7604">
          <cell r="B7604"/>
          <cell r="C7604"/>
          <cell r="E7604"/>
          <cell r="F7604"/>
          <cell r="G7604"/>
          <cell r="H7604"/>
          <cell r="J7604"/>
          <cell r="L7604"/>
          <cell r="M7604"/>
        </row>
        <row r="7605">
          <cell r="B7605"/>
          <cell r="C7605"/>
          <cell r="E7605"/>
          <cell r="F7605"/>
          <cell r="G7605"/>
          <cell r="H7605"/>
          <cell r="J7605"/>
          <cell r="L7605"/>
          <cell r="M7605"/>
        </row>
        <row r="7606">
          <cell r="B7606"/>
          <cell r="C7606"/>
          <cell r="E7606"/>
          <cell r="F7606"/>
          <cell r="G7606"/>
          <cell r="H7606"/>
          <cell r="J7606"/>
          <cell r="L7606"/>
          <cell r="M7606"/>
        </row>
        <row r="7607">
          <cell r="B7607"/>
          <cell r="C7607"/>
          <cell r="E7607"/>
          <cell r="F7607"/>
          <cell r="G7607"/>
          <cell r="H7607"/>
          <cell r="J7607"/>
          <cell r="L7607"/>
          <cell r="M7607"/>
        </row>
        <row r="7608">
          <cell r="B7608"/>
          <cell r="C7608"/>
          <cell r="E7608"/>
          <cell r="F7608"/>
          <cell r="G7608"/>
          <cell r="H7608"/>
          <cell r="J7608"/>
          <cell r="L7608"/>
          <cell r="M7608"/>
        </row>
        <row r="7609">
          <cell r="B7609"/>
          <cell r="C7609"/>
          <cell r="E7609"/>
          <cell r="F7609"/>
          <cell r="G7609"/>
          <cell r="H7609"/>
          <cell r="J7609"/>
          <cell r="L7609"/>
          <cell r="M7609"/>
        </row>
        <row r="7610">
          <cell r="B7610"/>
          <cell r="C7610"/>
          <cell r="E7610"/>
          <cell r="F7610"/>
          <cell r="G7610"/>
          <cell r="H7610"/>
          <cell r="J7610"/>
          <cell r="L7610"/>
          <cell r="M7610"/>
        </row>
        <row r="7611">
          <cell r="B7611"/>
          <cell r="C7611"/>
          <cell r="E7611"/>
          <cell r="F7611"/>
          <cell r="G7611"/>
          <cell r="H7611"/>
          <cell r="J7611"/>
          <cell r="L7611"/>
          <cell r="M7611"/>
        </row>
        <row r="7612">
          <cell r="B7612"/>
          <cell r="C7612"/>
          <cell r="E7612"/>
          <cell r="F7612"/>
          <cell r="G7612"/>
          <cell r="H7612"/>
          <cell r="J7612"/>
          <cell r="L7612"/>
          <cell r="M7612"/>
        </row>
        <row r="7613">
          <cell r="B7613"/>
          <cell r="C7613"/>
          <cell r="E7613"/>
          <cell r="F7613"/>
          <cell r="G7613"/>
          <cell r="H7613"/>
          <cell r="J7613"/>
          <cell r="L7613"/>
          <cell r="M7613"/>
        </row>
        <row r="7614">
          <cell r="B7614"/>
          <cell r="C7614"/>
          <cell r="E7614"/>
          <cell r="F7614"/>
          <cell r="G7614"/>
          <cell r="H7614"/>
          <cell r="J7614"/>
          <cell r="L7614"/>
          <cell r="M7614"/>
        </row>
        <row r="7615">
          <cell r="B7615"/>
          <cell r="C7615"/>
          <cell r="E7615"/>
          <cell r="F7615"/>
          <cell r="G7615"/>
          <cell r="H7615"/>
          <cell r="J7615"/>
          <cell r="L7615"/>
          <cell r="M7615"/>
        </row>
        <row r="7616">
          <cell r="B7616"/>
          <cell r="C7616"/>
          <cell r="E7616"/>
          <cell r="F7616"/>
          <cell r="G7616"/>
          <cell r="H7616"/>
          <cell r="J7616"/>
          <cell r="L7616"/>
          <cell r="M7616"/>
        </row>
        <row r="7617">
          <cell r="B7617"/>
          <cell r="C7617"/>
          <cell r="E7617"/>
          <cell r="F7617"/>
          <cell r="G7617"/>
          <cell r="H7617"/>
          <cell r="J7617"/>
          <cell r="L7617"/>
          <cell r="M7617"/>
        </row>
        <row r="7618">
          <cell r="B7618"/>
          <cell r="C7618"/>
          <cell r="E7618"/>
          <cell r="F7618"/>
          <cell r="G7618"/>
          <cell r="H7618"/>
          <cell r="J7618"/>
          <cell r="L7618"/>
          <cell r="M7618"/>
        </row>
        <row r="7619">
          <cell r="B7619"/>
          <cell r="C7619"/>
          <cell r="E7619"/>
          <cell r="F7619"/>
          <cell r="G7619"/>
          <cell r="H7619"/>
          <cell r="J7619"/>
          <cell r="L7619"/>
          <cell r="M7619"/>
        </row>
        <row r="7620">
          <cell r="B7620"/>
          <cell r="C7620"/>
          <cell r="E7620"/>
          <cell r="F7620"/>
          <cell r="G7620"/>
          <cell r="H7620"/>
          <cell r="J7620"/>
          <cell r="L7620"/>
          <cell r="M7620"/>
        </row>
        <row r="7621">
          <cell r="B7621"/>
          <cell r="C7621"/>
          <cell r="E7621"/>
          <cell r="F7621"/>
          <cell r="G7621"/>
          <cell r="H7621"/>
          <cell r="J7621"/>
          <cell r="L7621"/>
          <cell r="M7621"/>
        </row>
        <row r="7622">
          <cell r="B7622"/>
          <cell r="C7622"/>
          <cell r="E7622"/>
          <cell r="F7622"/>
          <cell r="G7622"/>
          <cell r="H7622"/>
          <cell r="J7622"/>
          <cell r="L7622"/>
          <cell r="M7622"/>
        </row>
        <row r="7623">
          <cell r="B7623"/>
          <cell r="C7623"/>
          <cell r="E7623"/>
          <cell r="F7623"/>
          <cell r="G7623"/>
          <cell r="H7623"/>
          <cell r="J7623"/>
          <cell r="L7623"/>
          <cell r="M7623"/>
        </row>
        <row r="7624">
          <cell r="B7624"/>
          <cell r="C7624"/>
          <cell r="E7624"/>
          <cell r="F7624"/>
          <cell r="G7624"/>
          <cell r="H7624"/>
          <cell r="J7624"/>
          <cell r="L7624"/>
          <cell r="M7624"/>
        </row>
        <row r="7625">
          <cell r="B7625"/>
          <cell r="C7625"/>
          <cell r="E7625"/>
          <cell r="F7625"/>
          <cell r="G7625"/>
          <cell r="H7625"/>
          <cell r="J7625"/>
          <cell r="L7625"/>
          <cell r="M7625"/>
        </row>
        <row r="7626">
          <cell r="B7626"/>
          <cell r="C7626"/>
          <cell r="E7626"/>
          <cell r="F7626"/>
          <cell r="G7626"/>
          <cell r="H7626"/>
          <cell r="J7626"/>
          <cell r="L7626"/>
          <cell r="M7626"/>
        </row>
        <row r="7627">
          <cell r="B7627"/>
          <cell r="C7627"/>
          <cell r="E7627"/>
          <cell r="F7627"/>
          <cell r="G7627"/>
          <cell r="H7627"/>
          <cell r="J7627"/>
          <cell r="L7627"/>
          <cell r="M7627"/>
        </row>
        <row r="7628">
          <cell r="B7628"/>
          <cell r="C7628"/>
          <cell r="E7628"/>
          <cell r="F7628"/>
          <cell r="G7628"/>
          <cell r="H7628"/>
          <cell r="J7628"/>
          <cell r="L7628"/>
          <cell r="M7628"/>
        </row>
        <row r="7629">
          <cell r="B7629"/>
          <cell r="C7629"/>
          <cell r="E7629"/>
          <cell r="F7629"/>
          <cell r="G7629"/>
          <cell r="H7629"/>
          <cell r="J7629"/>
          <cell r="L7629"/>
          <cell r="M7629"/>
        </row>
        <row r="7630">
          <cell r="B7630"/>
          <cell r="C7630"/>
          <cell r="E7630"/>
          <cell r="F7630"/>
          <cell r="G7630"/>
          <cell r="H7630"/>
          <cell r="J7630"/>
          <cell r="L7630"/>
          <cell r="M7630"/>
        </row>
        <row r="7631">
          <cell r="B7631"/>
          <cell r="C7631"/>
          <cell r="E7631"/>
          <cell r="F7631"/>
          <cell r="G7631"/>
          <cell r="H7631"/>
          <cell r="J7631"/>
          <cell r="L7631"/>
          <cell r="M7631"/>
        </row>
        <row r="7632">
          <cell r="B7632"/>
          <cell r="C7632"/>
          <cell r="E7632"/>
          <cell r="F7632"/>
          <cell r="G7632"/>
          <cell r="H7632"/>
          <cell r="J7632"/>
          <cell r="L7632"/>
          <cell r="M7632"/>
        </row>
        <row r="7633">
          <cell r="B7633"/>
          <cell r="C7633"/>
          <cell r="E7633"/>
          <cell r="F7633"/>
          <cell r="G7633"/>
          <cell r="H7633"/>
          <cell r="J7633"/>
          <cell r="L7633"/>
          <cell r="M7633"/>
        </row>
        <row r="7634">
          <cell r="B7634"/>
          <cell r="C7634"/>
          <cell r="E7634"/>
          <cell r="F7634"/>
          <cell r="G7634"/>
          <cell r="H7634"/>
          <cell r="J7634"/>
          <cell r="L7634"/>
          <cell r="M7634"/>
        </row>
        <row r="7635">
          <cell r="B7635"/>
          <cell r="C7635"/>
          <cell r="E7635"/>
          <cell r="F7635"/>
          <cell r="G7635"/>
          <cell r="H7635"/>
          <cell r="J7635"/>
          <cell r="L7635"/>
          <cell r="M7635"/>
        </row>
        <row r="7636">
          <cell r="B7636"/>
          <cell r="C7636"/>
          <cell r="E7636"/>
          <cell r="F7636"/>
          <cell r="G7636"/>
          <cell r="H7636"/>
          <cell r="J7636"/>
          <cell r="L7636"/>
          <cell r="M7636"/>
        </row>
        <row r="7637">
          <cell r="B7637"/>
          <cell r="C7637"/>
          <cell r="E7637"/>
          <cell r="F7637"/>
          <cell r="G7637"/>
          <cell r="H7637"/>
          <cell r="J7637"/>
          <cell r="L7637"/>
          <cell r="M7637"/>
        </row>
        <row r="7638">
          <cell r="B7638"/>
          <cell r="C7638"/>
          <cell r="E7638"/>
          <cell r="F7638"/>
          <cell r="G7638"/>
          <cell r="H7638"/>
          <cell r="J7638"/>
          <cell r="L7638"/>
          <cell r="M7638"/>
        </row>
        <row r="7639">
          <cell r="B7639"/>
          <cell r="C7639"/>
          <cell r="E7639"/>
          <cell r="F7639"/>
          <cell r="G7639"/>
          <cell r="H7639"/>
          <cell r="J7639"/>
          <cell r="L7639"/>
          <cell r="M7639"/>
        </row>
        <row r="7640">
          <cell r="B7640"/>
          <cell r="C7640"/>
          <cell r="E7640"/>
          <cell r="F7640"/>
          <cell r="G7640"/>
          <cell r="H7640"/>
          <cell r="J7640"/>
          <cell r="L7640"/>
          <cell r="M7640"/>
        </row>
        <row r="7641">
          <cell r="B7641"/>
          <cell r="C7641"/>
          <cell r="E7641"/>
          <cell r="F7641"/>
          <cell r="G7641"/>
          <cell r="H7641"/>
          <cell r="J7641"/>
          <cell r="L7641"/>
          <cell r="M7641"/>
        </row>
        <row r="7642">
          <cell r="B7642"/>
          <cell r="C7642"/>
          <cell r="E7642"/>
          <cell r="F7642"/>
          <cell r="G7642"/>
          <cell r="H7642"/>
          <cell r="J7642"/>
          <cell r="L7642"/>
          <cell r="M7642"/>
        </row>
        <row r="7643">
          <cell r="B7643"/>
          <cell r="C7643"/>
          <cell r="E7643"/>
          <cell r="F7643"/>
          <cell r="G7643"/>
          <cell r="H7643"/>
          <cell r="J7643"/>
          <cell r="L7643"/>
          <cell r="M7643"/>
        </row>
        <row r="7644">
          <cell r="B7644"/>
          <cell r="C7644"/>
          <cell r="E7644"/>
          <cell r="F7644"/>
          <cell r="G7644"/>
          <cell r="H7644"/>
          <cell r="J7644"/>
          <cell r="L7644"/>
          <cell r="M7644"/>
        </row>
        <row r="7645">
          <cell r="B7645"/>
          <cell r="C7645"/>
          <cell r="E7645"/>
          <cell r="F7645"/>
          <cell r="G7645"/>
          <cell r="H7645"/>
          <cell r="J7645"/>
          <cell r="L7645"/>
          <cell r="M7645"/>
        </row>
        <row r="7646">
          <cell r="B7646"/>
          <cell r="C7646"/>
          <cell r="E7646"/>
          <cell r="F7646"/>
          <cell r="G7646"/>
          <cell r="H7646"/>
          <cell r="J7646"/>
          <cell r="L7646"/>
          <cell r="M7646"/>
        </row>
        <row r="7647">
          <cell r="B7647"/>
          <cell r="C7647"/>
          <cell r="E7647"/>
          <cell r="F7647"/>
          <cell r="G7647"/>
          <cell r="H7647"/>
          <cell r="J7647"/>
          <cell r="L7647"/>
          <cell r="M7647"/>
        </row>
        <row r="7648">
          <cell r="B7648"/>
          <cell r="C7648"/>
          <cell r="E7648"/>
          <cell r="F7648"/>
          <cell r="G7648"/>
          <cell r="H7648"/>
          <cell r="J7648"/>
          <cell r="L7648"/>
          <cell r="M7648"/>
        </row>
        <row r="7649">
          <cell r="B7649"/>
          <cell r="C7649"/>
          <cell r="E7649"/>
          <cell r="F7649"/>
          <cell r="G7649"/>
          <cell r="H7649"/>
          <cell r="J7649"/>
          <cell r="L7649"/>
          <cell r="M7649"/>
        </row>
        <row r="7650">
          <cell r="B7650"/>
          <cell r="C7650"/>
          <cell r="E7650"/>
          <cell r="F7650"/>
          <cell r="G7650"/>
          <cell r="H7650"/>
          <cell r="J7650"/>
          <cell r="L7650"/>
          <cell r="M7650"/>
        </row>
        <row r="7651">
          <cell r="B7651"/>
          <cell r="C7651"/>
          <cell r="E7651"/>
          <cell r="F7651"/>
          <cell r="G7651"/>
          <cell r="H7651"/>
          <cell r="J7651"/>
          <cell r="L7651"/>
          <cell r="M7651"/>
        </row>
        <row r="7652">
          <cell r="B7652"/>
          <cell r="C7652"/>
          <cell r="E7652"/>
          <cell r="F7652"/>
          <cell r="G7652"/>
          <cell r="H7652"/>
          <cell r="J7652"/>
          <cell r="L7652"/>
          <cell r="M7652"/>
        </row>
        <row r="7653">
          <cell r="B7653"/>
          <cell r="C7653"/>
          <cell r="E7653"/>
          <cell r="F7653"/>
          <cell r="G7653"/>
          <cell r="H7653"/>
          <cell r="J7653"/>
          <cell r="L7653"/>
          <cell r="M7653"/>
        </row>
        <row r="7654">
          <cell r="B7654"/>
          <cell r="C7654"/>
          <cell r="E7654"/>
          <cell r="F7654"/>
          <cell r="G7654"/>
          <cell r="H7654"/>
          <cell r="J7654"/>
          <cell r="L7654"/>
          <cell r="M7654"/>
        </row>
        <row r="7655">
          <cell r="B7655"/>
          <cell r="C7655"/>
          <cell r="E7655"/>
          <cell r="F7655"/>
          <cell r="G7655"/>
          <cell r="H7655"/>
          <cell r="J7655"/>
          <cell r="L7655"/>
          <cell r="M7655"/>
        </row>
        <row r="7656">
          <cell r="B7656"/>
          <cell r="C7656"/>
          <cell r="E7656"/>
          <cell r="F7656"/>
          <cell r="G7656"/>
          <cell r="H7656"/>
          <cell r="J7656"/>
          <cell r="L7656"/>
          <cell r="M7656"/>
        </row>
        <row r="7657">
          <cell r="B7657"/>
          <cell r="C7657"/>
          <cell r="E7657"/>
          <cell r="F7657"/>
          <cell r="G7657"/>
          <cell r="H7657"/>
          <cell r="J7657"/>
          <cell r="L7657"/>
          <cell r="M7657"/>
        </row>
        <row r="7658">
          <cell r="B7658"/>
          <cell r="C7658"/>
          <cell r="E7658"/>
          <cell r="F7658"/>
          <cell r="G7658"/>
          <cell r="H7658"/>
          <cell r="J7658"/>
          <cell r="L7658"/>
          <cell r="M7658"/>
        </row>
        <row r="7659">
          <cell r="B7659"/>
          <cell r="C7659"/>
          <cell r="E7659"/>
          <cell r="F7659"/>
          <cell r="G7659"/>
          <cell r="H7659"/>
          <cell r="J7659"/>
          <cell r="L7659"/>
          <cell r="M7659"/>
        </row>
        <row r="7660">
          <cell r="B7660"/>
          <cell r="C7660"/>
          <cell r="E7660"/>
          <cell r="F7660"/>
          <cell r="G7660"/>
          <cell r="H7660"/>
          <cell r="J7660"/>
          <cell r="L7660"/>
          <cell r="M7660"/>
        </row>
        <row r="7661">
          <cell r="B7661"/>
          <cell r="C7661"/>
          <cell r="E7661"/>
          <cell r="F7661"/>
          <cell r="G7661"/>
          <cell r="H7661"/>
          <cell r="J7661"/>
          <cell r="L7661"/>
          <cell r="M7661"/>
        </row>
        <row r="7662">
          <cell r="B7662"/>
          <cell r="C7662"/>
          <cell r="E7662"/>
          <cell r="F7662"/>
          <cell r="G7662"/>
          <cell r="H7662"/>
          <cell r="J7662"/>
          <cell r="L7662"/>
          <cell r="M7662"/>
        </row>
        <row r="7663">
          <cell r="B7663"/>
          <cell r="C7663"/>
          <cell r="E7663"/>
          <cell r="F7663"/>
          <cell r="G7663"/>
          <cell r="H7663"/>
          <cell r="J7663"/>
          <cell r="L7663"/>
          <cell r="M7663"/>
        </row>
        <row r="7664">
          <cell r="B7664"/>
          <cell r="C7664"/>
          <cell r="E7664"/>
          <cell r="F7664"/>
          <cell r="G7664"/>
          <cell r="H7664"/>
          <cell r="J7664"/>
          <cell r="L7664"/>
          <cell r="M7664"/>
        </row>
        <row r="7665">
          <cell r="B7665"/>
          <cell r="C7665"/>
          <cell r="E7665"/>
          <cell r="F7665"/>
          <cell r="G7665"/>
          <cell r="H7665"/>
          <cell r="J7665"/>
          <cell r="L7665"/>
          <cell r="M7665"/>
        </row>
        <row r="7666">
          <cell r="B7666"/>
          <cell r="C7666"/>
          <cell r="E7666"/>
          <cell r="F7666"/>
          <cell r="G7666"/>
          <cell r="H7666"/>
          <cell r="J7666"/>
          <cell r="L7666"/>
          <cell r="M7666"/>
        </row>
        <row r="7667">
          <cell r="B7667"/>
          <cell r="C7667"/>
          <cell r="E7667"/>
          <cell r="F7667"/>
          <cell r="G7667"/>
          <cell r="H7667"/>
          <cell r="J7667"/>
          <cell r="L7667"/>
          <cell r="M7667"/>
        </row>
        <row r="7668">
          <cell r="B7668"/>
          <cell r="C7668"/>
          <cell r="E7668"/>
          <cell r="F7668"/>
          <cell r="G7668"/>
          <cell r="H7668"/>
          <cell r="J7668"/>
          <cell r="L7668"/>
          <cell r="M7668"/>
        </row>
        <row r="7669">
          <cell r="B7669"/>
          <cell r="C7669"/>
          <cell r="E7669"/>
          <cell r="F7669"/>
          <cell r="G7669"/>
          <cell r="H7669"/>
          <cell r="J7669"/>
          <cell r="L7669"/>
          <cell r="M7669"/>
        </row>
        <row r="7670">
          <cell r="B7670"/>
          <cell r="C7670"/>
          <cell r="E7670"/>
          <cell r="F7670"/>
          <cell r="G7670"/>
          <cell r="H7670"/>
          <cell r="J7670"/>
          <cell r="L7670"/>
          <cell r="M7670"/>
        </row>
        <row r="7671">
          <cell r="B7671"/>
          <cell r="C7671"/>
          <cell r="E7671"/>
          <cell r="F7671"/>
          <cell r="G7671"/>
          <cell r="H7671"/>
          <cell r="J7671"/>
          <cell r="L7671"/>
          <cell r="M7671"/>
        </row>
        <row r="7672">
          <cell r="B7672"/>
          <cell r="C7672"/>
          <cell r="E7672"/>
          <cell r="F7672"/>
          <cell r="G7672"/>
          <cell r="H7672"/>
          <cell r="J7672"/>
          <cell r="L7672"/>
          <cell r="M7672"/>
        </row>
        <row r="7673">
          <cell r="B7673"/>
          <cell r="C7673"/>
          <cell r="E7673"/>
          <cell r="F7673"/>
          <cell r="G7673"/>
          <cell r="H7673"/>
          <cell r="J7673"/>
          <cell r="L7673"/>
          <cell r="M7673"/>
        </row>
        <row r="7674">
          <cell r="B7674"/>
          <cell r="C7674"/>
          <cell r="E7674"/>
          <cell r="F7674"/>
          <cell r="G7674"/>
          <cell r="H7674"/>
          <cell r="J7674"/>
          <cell r="L7674"/>
          <cell r="M7674"/>
        </row>
        <row r="7675">
          <cell r="B7675"/>
          <cell r="C7675"/>
          <cell r="E7675"/>
          <cell r="F7675"/>
          <cell r="G7675"/>
          <cell r="H7675"/>
          <cell r="J7675"/>
          <cell r="L7675"/>
          <cell r="M7675"/>
        </row>
        <row r="7676">
          <cell r="B7676"/>
          <cell r="C7676"/>
          <cell r="E7676"/>
          <cell r="F7676"/>
          <cell r="G7676"/>
          <cell r="H7676"/>
          <cell r="J7676"/>
          <cell r="L7676"/>
          <cell r="M7676"/>
        </row>
        <row r="7677">
          <cell r="B7677"/>
          <cell r="C7677"/>
          <cell r="E7677"/>
          <cell r="F7677"/>
          <cell r="G7677"/>
          <cell r="H7677"/>
          <cell r="J7677"/>
          <cell r="L7677"/>
          <cell r="M7677"/>
        </row>
        <row r="7678">
          <cell r="B7678"/>
          <cell r="C7678"/>
          <cell r="E7678"/>
          <cell r="F7678"/>
          <cell r="G7678"/>
          <cell r="H7678"/>
          <cell r="J7678"/>
          <cell r="L7678"/>
          <cell r="M7678"/>
        </row>
        <row r="7679">
          <cell r="B7679"/>
          <cell r="C7679"/>
          <cell r="E7679"/>
          <cell r="F7679"/>
          <cell r="G7679"/>
          <cell r="H7679"/>
          <cell r="J7679"/>
          <cell r="L7679"/>
          <cell r="M7679"/>
        </row>
        <row r="7680">
          <cell r="B7680"/>
          <cell r="C7680"/>
          <cell r="E7680"/>
          <cell r="F7680"/>
          <cell r="G7680"/>
          <cell r="H7680"/>
          <cell r="J7680"/>
          <cell r="L7680"/>
          <cell r="M7680"/>
        </row>
        <row r="7681">
          <cell r="B7681"/>
          <cell r="C7681"/>
          <cell r="E7681"/>
          <cell r="F7681"/>
          <cell r="G7681"/>
          <cell r="H7681"/>
          <cell r="J7681"/>
          <cell r="L7681"/>
          <cell r="M7681"/>
        </row>
        <row r="7682">
          <cell r="B7682"/>
          <cell r="C7682"/>
          <cell r="E7682"/>
          <cell r="F7682"/>
          <cell r="G7682"/>
          <cell r="H7682"/>
          <cell r="J7682"/>
          <cell r="L7682"/>
          <cell r="M7682"/>
        </row>
        <row r="7683">
          <cell r="B7683"/>
          <cell r="C7683"/>
          <cell r="E7683"/>
          <cell r="F7683"/>
          <cell r="G7683"/>
          <cell r="H7683"/>
          <cell r="J7683"/>
          <cell r="L7683"/>
          <cell r="M7683"/>
        </row>
        <row r="7684">
          <cell r="B7684"/>
          <cell r="C7684"/>
          <cell r="E7684"/>
          <cell r="F7684"/>
          <cell r="G7684"/>
          <cell r="H7684"/>
          <cell r="J7684"/>
          <cell r="L7684"/>
          <cell r="M7684"/>
        </row>
        <row r="7685">
          <cell r="B7685"/>
          <cell r="C7685"/>
          <cell r="E7685"/>
          <cell r="F7685"/>
          <cell r="G7685"/>
          <cell r="H7685"/>
          <cell r="J7685"/>
          <cell r="L7685"/>
          <cell r="M7685"/>
        </row>
        <row r="7686">
          <cell r="B7686"/>
          <cell r="C7686"/>
          <cell r="E7686"/>
          <cell r="F7686"/>
          <cell r="G7686"/>
          <cell r="H7686"/>
          <cell r="J7686"/>
          <cell r="L7686"/>
          <cell r="M7686"/>
        </row>
        <row r="7687">
          <cell r="B7687"/>
          <cell r="C7687"/>
          <cell r="E7687"/>
          <cell r="F7687"/>
          <cell r="G7687"/>
          <cell r="H7687"/>
          <cell r="J7687"/>
          <cell r="L7687"/>
          <cell r="M7687"/>
        </row>
        <row r="7688">
          <cell r="B7688"/>
          <cell r="C7688"/>
          <cell r="E7688"/>
          <cell r="F7688"/>
          <cell r="G7688"/>
          <cell r="H7688"/>
          <cell r="J7688"/>
          <cell r="L7688"/>
          <cell r="M7688"/>
        </row>
        <row r="7689">
          <cell r="B7689"/>
          <cell r="C7689"/>
          <cell r="E7689"/>
          <cell r="F7689"/>
          <cell r="G7689"/>
          <cell r="H7689"/>
          <cell r="J7689"/>
          <cell r="L7689"/>
          <cell r="M7689"/>
        </row>
        <row r="7690">
          <cell r="B7690"/>
          <cell r="C7690"/>
          <cell r="E7690"/>
          <cell r="F7690"/>
          <cell r="G7690"/>
          <cell r="H7690"/>
          <cell r="J7690"/>
          <cell r="L7690"/>
          <cell r="M7690"/>
        </row>
        <row r="7691">
          <cell r="B7691"/>
          <cell r="C7691"/>
          <cell r="E7691"/>
          <cell r="F7691"/>
          <cell r="G7691"/>
          <cell r="H7691"/>
          <cell r="J7691"/>
          <cell r="L7691"/>
          <cell r="M7691"/>
        </row>
        <row r="7692">
          <cell r="B7692"/>
          <cell r="C7692"/>
          <cell r="E7692"/>
          <cell r="F7692"/>
          <cell r="G7692"/>
          <cell r="H7692"/>
          <cell r="J7692"/>
          <cell r="L7692"/>
          <cell r="M7692"/>
        </row>
        <row r="7693">
          <cell r="B7693"/>
          <cell r="C7693"/>
          <cell r="E7693"/>
          <cell r="F7693"/>
          <cell r="G7693"/>
          <cell r="H7693"/>
          <cell r="J7693"/>
          <cell r="L7693"/>
          <cell r="M7693"/>
        </row>
        <row r="7694">
          <cell r="B7694"/>
          <cell r="C7694"/>
          <cell r="E7694"/>
          <cell r="F7694"/>
          <cell r="G7694"/>
          <cell r="H7694"/>
          <cell r="J7694"/>
          <cell r="L7694"/>
          <cell r="M7694"/>
        </row>
        <row r="7695">
          <cell r="B7695"/>
          <cell r="C7695"/>
          <cell r="E7695"/>
          <cell r="F7695"/>
          <cell r="G7695"/>
          <cell r="H7695"/>
          <cell r="J7695"/>
          <cell r="L7695"/>
          <cell r="M7695"/>
        </row>
        <row r="7696">
          <cell r="B7696"/>
          <cell r="C7696"/>
          <cell r="E7696"/>
          <cell r="F7696"/>
          <cell r="G7696"/>
          <cell r="H7696"/>
          <cell r="J7696"/>
          <cell r="L7696"/>
          <cell r="M7696"/>
        </row>
        <row r="7697">
          <cell r="B7697"/>
          <cell r="C7697"/>
          <cell r="E7697"/>
          <cell r="F7697"/>
          <cell r="G7697"/>
          <cell r="H7697"/>
          <cell r="J7697"/>
          <cell r="L7697"/>
          <cell r="M7697"/>
        </row>
        <row r="7698">
          <cell r="B7698"/>
          <cell r="C7698"/>
          <cell r="E7698"/>
          <cell r="F7698"/>
          <cell r="G7698"/>
          <cell r="H7698"/>
          <cell r="J7698"/>
          <cell r="L7698"/>
          <cell r="M7698"/>
        </row>
        <row r="7699">
          <cell r="B7699"/>
          <cell r="C7699"/>
          <cell r="E7699"/>
          <cell r="F7699"/>
          <cell r="G7699"/>
          <cell r="H7699"/>
          <cell r="J7699"/>
          <cell r="L7699"/>
          <cell r="M7699"/>
        </row>
        <row r="7700">
          <cell r="B7700"/>
          <cell r="C7700"/>
          <cell r="E7700"/>
          <cell r="F7700"/>
          <cell r="G7700"/>
          <cell r="H7700"/>
          <cell r="J7700"/>
          <cell r="L7700"/>
          <cell r="M7700"/>
        </row>
        <row r="7701">
          <cell r="B7701"/>
          <cell r="C7701"/>
          <cell r="E7701"/>
          <cell r="F7701"/>
          <cell r="G7701"/>
          <cell r="H7701"/>
          <cell r="J7701"/>
          <cell r="L7701"/>
          <cell r="M7701"/>
        </row>
        <row r="7702">
          <cell r="B7702"/>
          <cell r="C7702"/>
          <cell r="E7702"/>
          <cell r="F7702"/>
          <cell r="G7702"/>
          <cell r="H7702"/>
          <cell r="J7702"/>
          <cell r="L7702"/>
          <cell r="M7702"/>
        </row>
        <row r="7703">
          <cell r="B7703"/>
          <cell r="C7703"/>
          <cell r="E7703"/>
          <cell r="F7703"/>
          <cell r="G7703"/>
          <cell r="H7703"/>
          <cell r="J7703"/>
          <cell r="L7703"/>
          <cell r="M7703"/>
        </row>
        <row r="7704">
          <cell r="B7704"/>
          <cell r="C7704"/>
          <cell r="E7704"/>
          <cell r="F7704"/>
          <cell r="G7704"/>
          <cell r="H7704"/>
          <cell r="J7704"/>
          <cell r="L7704"/>
          <cell r="M7704"/>
        </row>
        <row r="7705">
          <cell r="B7705"/>
          <cell r="C7705"/>
          <cell r="E7705"/>
          <cell r="F7705"/>
          <cell r="G7705"/>
          <cell r="H7705"/>
          <cell r="J7705"/>
          <cell r="L7705"/>
          <cell r="M7705"/>
        </row>
        <row r="7706">
          <cell r="B7706"/>
          <cell r="C7706"/>
          <cell r="E7706"/>
          <cell r="F7706"/>
          <cell r="G7706"/>
          <cell r="H7706"/>
          <cell r="J7706"/>
          <cell r="L7706"/>
          <cell r="M7706"/>
        </row>
        <row r="7707">
          <cell r="B7707"/>
          <cell r="C7707"/>
          <cell r="E7707"/>
          <cell r="F7707"/>
          <cell r="G7707"/>
          <cell r="H7707"/>
          <cell r="J7707"/>
          <cell r="L7707"/>
          <cell r="M7707"/>
        </row>
        <row r="7708">
          <cell r="B7708"/>
          <cell r="C7708"/>
          <cell r="E7708"/>
          <cell r="F7708"/>
          <cell r="G7708"/>
          <cell r="H7708"/>
          <cell r="J7708"/>
          <cell r="L7708"/>
          <cell r="M7708"/>
        </row>
        <row r="7709">
          <cell r="B7709"/>
          <cell r="C7709"/>
          <cell r="E7709"/>
          <cell r="F7709"/>
          <cell r="G7709"/>
          <cell r="H7709"/>
          <cell r="J7709"/>
          <cell r="L7709"/>
          <cell r="M7709"/>
        </row>
        <row r="7710">
          <cell r="B7710"/>
          <cell r="C7710"/>
          <cell r="E7710"/>
          <cell r="F7710"/>
          <cell r="G7710"/>
          <cell r="H7710"/>
          <cell r="J7710"/>
          <cell r="L7710"/>
          <cell r="M7710"/>
        </row>
        <row r="7711">
          <cell r="B7711"/>
          <cell r="C7711"/>
          <cell r="E7711"/>
          <cell r="F7711"/>
          <cell r="G7711"/>
          <cell r="H7711"/>
          <cell r="J7711"/>
          <cell r="L7711"/>
          <cell r="M7711"/>
        </row>
        <row r="7712">
          <cell r="B7712"/>
          <cell r="C7712"/>
          <cell r="E7712"/>
          <cell r="F7712"/>
          <cell r="G7712"/>
          <cell r="H7712"/>
          <cell r="J7712"/>
          <cell r="L7712"/>
          <cell r="M7712"/>
        </row>
        <row r="7713">
          <cell r="B7713"/>
          <cell r="C7713"/>
          <cell r="E7713"/>
          <cell r="F7713"/>
          <cell r="G7713"/>
          <cell r="H7713"/>
          <cell r="J7713"/>
          <cell r="L7713"/>
          <cell r="M7713"/>
        </row>
        <row r="7714">
          <cell r="B7714"/>
          <cell r="C7714"/>
          <cell r="E7714"/>
          <cell r="F7714"/>
          <cell r="G7714"/>
          <cell r="H7714"/>
          <cell r="J7714"/>
          <cell r="L7714"/>
          <cell r="M7714"/>
        </row>
        <row r="7715">
          <cell r="B7715"/>
          <cell r="C7715"/>
          <cell r="E7715"/>
          <cell r="F7715"/>
          <cell r="G7715"/>
          <cell r="H7715"/>
          <cell r="J7715"/>
          <cell r="L7715"/>
          <cell r="M7715"/>
        </row>
        <row r="7716">
          <cell r="B7716"/>
          <cell r="C7716"/>
          <cell r="E7716"/>
          <cell r="F7716"/>
          <cell r="G7716"/>
          <cell r="H7716"/>
          <cell r="J7716"/>
          <cell r="L7716"/>
          <cell r="M7716"/>
        </row>
        <row r="7717">
          <cell r="B7717"/>
          <cell r="C7717"/>
          <cell r="E7717"/>
          <cell r="F7717"/>
          <cell r="G7717"/>
          <cell r="H7717"/>
          <cell r="J7717"/>
          <cell r="L7717"/>
          <cell r="M7717"/>
        </row>
        <row r="7718">
          <cell r="B7718"/>
          <cell r="C7718"/>
          <cell r="E7718"/>
          <cell r="F7718"/>
          <cell r="G7718"/>
          <cell r="H7718"/>
          <cell r="J7718"/>
          <cell r="L7718"/>
          <cell r="M7718"/>
        </row>
        <row r="7719">
          <cell r="B7719"/>
          <cell r="C7719"/>
          <cell r="E7719"/>
          <cell r="F7719"/>
          <cell r="G7719"/>
          <cell r="H7719"/>
          <cell r="J7719"/>
          <cell r="L7719"/>
          <cell r="M7719"/>
        </row>
        <row r="7720">
          <cell r="B7720"/>
          <cell r="C7720"/>
          <cell r="E7720"/>
          <cell r="F7720"/>
          <cell r="G7720"/>
          <cell r="H7720"/>
          <cell r="J7720"/>
          <cell r="L7720"/>
          <cell r="M7720"/>
        </row>
        <row r="7721">
          <cell r="B7721"/>
          <cell r="C7721"/>
          <cell r="E7721"/>
          <cell r="F7721"/>
          <cell r="G7721"/>
          <cell r="H7721"/>
          <cell r="J7721"/>
          <cell r="L7721"/>
          <cell r="M7721"/>
        </row>
        <row r="7722">
          <cell r="B7722"/>
          <cell r="C7722"/>
          <cell r="E7722"/>
          <cell r="F7722"/>
          <cell r="G7722"/>
          <cell r="H7722"/>
          <cell r="J7722"/>
          <cell r="L7722"/>
          <cell r="M7722"/>
        </row>
        <row r="7723">
          <cell r="B7723"/>
          <cell r="C7723"/>
          <cell r="E7723"/>
          <cell r="F7723"/>
          <cell r="G7723"/>
          <cell r="H7723"/>
          <cell r="J7723"/>
          <cell r="L7723"/>
          <cell r="M7723"/>
        </row>
        <row r="7724">
          <cell r="B7724"/>
          <cell r="C7724"/>
          <cell r="E7724"/>
          <cell r="F7724"/>
          <cell r="G7724"/>
          <cell r="H7724"/>
          <cell r="J7724"/>
          <cell r="L7724"/>
          <cell r="M7724"/>
        </row>
        <row r="7725">
          <cell r="B7725"/>
          <cell r="C7725"/>
          <cell r="E7725"/>
          <cell r="F7725"/>
          <cell r="G7725"/>
          <cell r="H7725"/>
          <cell r="J7725"/>
          <cell r="L7725"/>
          <cell r="M7725"/>
        </row>
        <row r="7726">
          <cell r="B7726"/>
          <cell r="C7726"/>
          <cell r="E7726"/>
          <cell r="F7726"/>
          <cell r="G7726"/>
          <cell r="H7726"/>
          <cell r="J7726"/>
          <cell r="L7726"/>
          <cell r="M7726"/>
        </row>
        <row r="7727">
          <cell r="B7727"/>
          <cell r="C7727"/>
          <cell r="E7727"/>
          <cell r="F7727"/>
          <cell r="G7727"/>
          <cell r="H7727"/>
          <cell r="J7727"/>
          <cell r="L7727"/>
          <cell r="M7727"/>
        </row>
        <row r="7728">
          <cell r="B7728"/>
          <cell r="C7728"/>
          <cell r="E7728"/>
          <cell r="F7728"/>
          <cell r="G7728"/>
          <cell r="H7728"/>
          <cell r="J7728"/>
          <cell r="L7728"/>
          <cell r="M7728"/>
        </row>
        <row r="7729">
          <cell r="B7729"/>
          <cell r="C7729"/>
          <cell r="E7729"/>
          <cell r="F7729"/>
          <cell r="G7729"/>
          <cell r="H7729"/>
          <cell r="J7729"/>
          <cell r="L7729"/>
          <cell r="M7729"/>
        </row>
        <row r="7730">
          <cell r="B7730"/>
          <cell r="C7730"/>
          <cell r="E7730"/>
          <cell r="F7730"/>
          <cell r="G7730"/>
          <cell r="H7730"/>
          <cell r="J7730"/>
          <cell r="L7730"/>
          <cell r="M7730"/>
        </row>
        <row r="7731">
          <cell r="B7731"/>
          <cell r="C7731"/>
          <cell r="E7731"/>
          <cell r="F7731"/>
          <cell r="G7731"/>
          <cell r="H7731"/>
          <cell r="J7731"/>
          <cell r="L7731"/>
          <cell r="M7731"/>
        </row>
        <row r="7732">
          <cell r="B7732"/>
          <cell r="C7732"/>
          <cell r="E7732"/>
          <cell r="F7732"/>
          <cell r="G7732"/>
          <cell r="H7732"/>
          <cell r="J7732"/>
          <cell r="L7732"/>
          <cell r="M7732"/>
        </row>
        <row r="7733">
          <cell r="B7733"/>
          <cell r="C7733"/>
          <cell r="E7733"/>
          <cell r="F7733"/>
          <cell r="G7733"/>
          <cell r="H7733"/>
          <cell r="J7733"/>
          <cell r="L7733"/>
          <cell r="M7733"/>
        </row>
        <row r="7734">
          <cell r="B7734"/>
          <cell r="C7734"/>
          <cell r="E7734"/>
          <cell r="F7734"/>
          <cell r="G7734"/>
          <cell r="H7734"/>
          <cell r="J7734"/>
          <cell r="L7734"/>
          <cell r="M7734"/>
        </row>
        <row r="7735">
          <cell r="B7735"/>
          <cell r="C7735"/>
          <cell r="E7735"/>
          <cell r="F7735"/>
          <cell r="G7735"/>
          <cell r="H7735"/>
          <cell r="J7735"/>
          <cell r="L7735"/>
          <cell r="M7735"/>
        </row>
        <row r="7736">
          <cell r="B7736"/>
          <cell r="C7736"/>
          <cell r="E7736"/>
          <cell r="F7736"/>
          <cell r="G7736"/>
          <cell r="H7736"/>
          <cell r="J7736"/>
          <cell r="L7736"/>
          <cell r="M7736"/>
        </row>
        <row r="7737">
          <cell r="B7737"/>
          <cell r="C7737"/>
          <cell r="E7737"/>
          <cell r="F7737"/>
          <cell r="G7737"/>
          <cell r="H7737"/>
          <cell r="J7737"/>
          <cell r="L7737"/>
          <cell r="M7737"/>
        </row>
        <row r="7738">
          <cell r="B7738"/>
          <cell r="C7738"/>
          <cell r="E7738"/>
          <cell r="F7738"/>
          <cell r="G7738"/>
          <cell r="H7738"/>
          <cell r="J7738"/>
          <cell r="L7738"/>
          <cell r="M7738"/>
        </row>
        <row r="7739">
          <cell r="B7739"/>
          <cell r="C7739"/>
          <cell r="E7739"/>
          <cell r="F7739"/>
          <cell r="G7739"/>
          <cell r="H7739"/>
          <cell r="J7739"/>
          <cell r="L7739"/>
          <cell r="M7739"/>
        </row>
        <row r="7740">
          <cell r="B7740"/>
          <cell r="C7740"/>
          <cell r="E7740"/>
          <cell r="F7740"/>
          <cell r="G7740"/>
          <cell r="H7740"/>
          <cell r="J7740"/>
          <cell r="L7740"/>
          <cell r="M7740"/>
        </row>
        <row r="7741">
          <cell r="B7741"/>
          <cell r="C7741"/>
          <cell r="E7741"/>
          <cell r="F7741"/>
          <cell r="G7741"/>
          <cell r="H7741"/>
          <cell r="J7741"/>
          <cell r="L7741"/>
          <cell r="M7741"/>
        </row>
        <row r="7742">
          <cell r="B7742"/>
          <cell r="C7742"/>
          <cell r="E7742"/>
          <cell r="F7742"/>
          <cell r="G7742"/>
          <cell r="H7742"/>
          <cell r="J7742"/>
          <cell r="L7742"/>
          <cell r="M7742"/>
        </row>
        <row r="7743">
          <cell r="B7743"/>
          <cell r="C7743"/>
          <cell r="E7743"/>
          <cell r="F7743"/>
          <cell r="G7743"/>
          <cell r="H7743"/>
          <cell r="J7743"/>
          <cell r="L7743"/>
          <cell r="M7743"/>
        </row>
        <row r="7744">
          <cell r="B7744"/>
          <cell r="C7744"/>
          <cell r="E7744"/>
          <cell r="F7744"/>
          <cell r="G7744"/>
          <cell r="H7744"/>
          <cell r="J7744"/>
          <cell r="L7744"/>
          <cell r="M7744"/>
        </row>
        <row r="7745">
          <cell r="B7745"/>
          <cell r="C7745"/>
          <cell r="E7745"/>
          <cell r="F7745"/>
          <cell r="G7745"/>
          <cell r="H7745"/>
          <cell r="J7745"/>
          <cell r="L7745"/>
          <cell r="M7745"/>
        </row>
        <row r="7746">
          <cell r="B7746"/>
          <cell r="C7746"/>
          <cell r="E7746"/>
          <cell r="F7746"/>
          <cell r="G7746"/>
          <cell r="H7746"/>
          <cell r="J7746"/>
          <cell r="L7746"/>
          <cell r="M7746"/>
        </row>
        <row r="7747">
          <cell r="B7747"/>
          <cell r="C7747"/>
          <cell r="E7747"/>
          <cell r="F7747"/>
          <cell r="G7747"/>
          <cell r="H7747"/>
          <cell r="J7747"/>
          <cell r="L7747"/>
          <cell r="M7747"/>
        </row>
        <row r="7748">
          <cell r="B7748"/>
          <cell r="C7748"/>
          <cell r="E7748"/>
          <cell r="F7748"/>
          <cell r="G7748"/>
          <cell r="H7748"/>
          <cell r="J7748"/>
          <cell r="L7748"/>
          <cell r="M7748"/>
        </row>
        <row r="7749">
          <cell r="B7749"/>
          <cell r="C7749"/>
          <cell r="E7749"/>
          <cell r="F7749"/>
          <cell r="G7749"/>
          <cell r="H7749"/>
          <cell r="J7749"/>
          <cell r="L7749"/>
          <cell r="M7749"/>
        </row>
        <row r="7750">
          <cell r="B7750"/>
          <cell r="C7750"/>
          <cell r="E7750"/>
          <cell r="F7750"/>
          <cell r="G7750"/>
          <cell r="H7750"/>
          <cell r="J7750"/>
          <cell r="L7750"/>
          <cell r="M7750"/>
        </row>
        <row r="7751">
          <cell r="B7751"/>
          <cell r="C7751"/>
          <cell r="E7751"/>
          <cell r="F7751"/>
          <cell r="G7751"/>
          <cell r="H7751"/>
          <cell r="J7751"/>
          <cell r="L7751"/>
          <cell r="M7751"/>
        </row>
        <row r="7752">
          <cell r="B7752"/>
          <cell r="C7752"/>
          <cell r="E7752"/>
          <cell r="F7752"/>
          <cell r="G7752"/>
          <cell r="H7752"/>
          <cell r="J7752"/>
          <cell r="L7752"/>
          <cell r="M7752"/>
        </row>
        <row r="7753">
          <cell r="B7753"/>
          <cell r="C7753"/>
          <cell r="E7753"/>
          <cell r="F7753"/>
          <cell r="G7753"/>
          <cell r="H7753"/>
          <cell r="J7753"/>
          <cell r="L7753"/>
          <cell r="M7753"/>
        </row>
        <row r="7754">
          <cell r="B7754"/>
          <cell r="C7754"/>
          <cell r="E7754"/>
          <cell r="F7754"/>
          <cell r="G7754"/>
          <cell r="H7754"/>
          <cell r="J7754"/>
          <cell r="L7754"/>
          <cell r="M7754"/>
        </row>
        <row r="7755">
          <cell r="B7755"/>
          <cell r="C7755"/>
          <cell r="E7755"/>
          <cell r="F7755"/>
          <cell r="G7755"/>
          <cell r="H7755"/>
          <cell r="J7755"/>
          <cell r="L7755"/>
          <cell r="M7755"/>
        </row>
        <row r="7756">
          <cell r="B7756"/>
          <cell r="C7756"/>
          <cell r="E7756"/>
          <cell r="F7756"/>
          <cell r="G7756"/>
          <cell r="H7756"/>
          <cell r="J7756"/>
          <cell r="L7756"/>
          <cell r="M7756"/>
        </row>
        <row r="7757">
          <cell r="B7757"/>
          <cell r="C7757"/>
          <cell r="E7757"/>
          <cell r="F7757"/>
          <cell r="G7757"/>
          <cell r="H7757"/>
          <cell r="J7757"/>
          <cell r="L7757"/>
          <cell r="M7757"/>
        </row>
        <row r="7758">
          <cell r="B7758"/>
          <cell r="C7758"/>
          <cell r="E7758"/>
          <cell r="F7758"/>
          <cell r="G7758"/>
          <cell r="H7758"/>
          <cell r="J7758"/>
          <cell r="L7758"/>
          <cell r="M7758"/>
        </row>
        <row r="7759">
          <cell r="B7759"/>
          <cell r="C7759"/>
          <cell r="E7759"/>
          <cell r="F7759"/>
          <cell r="G7759"/>
          <cell r="H7759"/>
          <cell r="J7759"/>
          <cell r="L7759"/>
          <cell r="M7759"/>
        </row>
        <row r="7760">
          <cell r="B7760"/>
          <cell r="C7760"/>
          <cell r="E7760"/>
          <cell r="F7760"/>
          <cell r="G7760"/>
          <cell r="H7760"/>
          <cell r="J7760"/>
          <cell r="L7760"/>
          <cell r="M7760"/>
        </row>
        <row r="7761">
          <cell r="B7761"/>
          <cell r="C7761"/>
          <cell r="E7761"/>
          <cell r="F7761"/>
          <cell r="G7761"/>
          <cell r="H7761"/>
          <cell r="J7761"/>
          <cell r="L7761"/>
          <cell r="M7761"/>
        </row>
        <row r="7762">
          <cell r="B7762"/>
          <cell r="C7762"/>
          <cell r="E7762"/>
          <cell r="F7762"/>
          <cell r="G7762"/>
          <cell r="H7762"/>
          <cell r="J7762"/>
          <cell r="L7762"/>
          <cell r="M7762"/>
        </row>
        <row r="7763">
          <cell r="B7763"/>
          <cell r="C7763"/>
          <cell r="E7763"/>
          <cell r="F7763"/>
          <cell r="G7763"/>
          <cell r="H7763"/>
          <cell r="J7763"/>
          <cell r="L7763"/>
          <cell r="M7763"/>
        </row>
        <row r="7764">
          <cell r="B7764"/>
          <cell r="C7764"/>
          <cell r="E7764"/>
          <cell r="F7764"/>
          <cell r="G7764"/>
          <cell r="H7764"/>
          <cell r="J7764"/>
          <cell r="L7764"/>
          <cell r="M7764"/>
        </row>
        <row r="7765">
          <cell r="B7765"/>
          <cell r="C7765"/>
          <cell r="E7765"/>
          <cell r="F7765"/>
          <cell r="G7765"/>
          <cell r="H7765"/>
          <cell r="J7765"/>
          <cell r="L7765"/>
          <cell r="M7765"/>
        </row>
        <row r="7766">
          <cell r="B7766"/>
          <cell r="C7766"/>
          <cell r="E7766"/>
          <cell r="F7766"/>
          <cell r="G7766"/>
          <cell r="H7766"/>
          <cell r="J7766"/>
          <cell r="L7766"/>
          <cell r="M7766"/>
        </row>
        <row r="7767">
          <cell r="B7767"/>
          <cell r="C7767"/>
          <cell r="E7767"/>
          <cell r="F7767"/>
          <cell r="G7767"/>
          <cell r="H7767"/>
          <cell r="J7767"/>
          <cell r="L7767"/>
          <cell r="M7767"/>
        </row>
        <row r="7768">
          <cell r="B7768"/>
          <cell r="C7768"/>
          <cell r="E7768"/>
          <cell r="F7768"/>
          <cell r="G7768"/>
          <cell r="H7768"/>
          <cell r="J7768"/>
          <cell r="L7768"/>
          <cell r="M7768"/>
        </row>
        <row r="7769">
          <cell r="B7769"/>
          <cell r="C7769"/>
          <cell r="E7769"/>
          <cell r="F7769"/>
          <cell r="G7769"/>
          <cell r="H7769"/>
          <cell r="J7769"/>
          <cell r="L7769"/>
          <cell r="M7769"/>
        </row>
        <row r="7770">
          <cell r="B7770"/>
          <cell r="C7770"/>
          <cell r="E7770"/>
          <cell r="F7770"/>
          <cell r="G7770"/>
          <cell r="H7770"/>
          <cell r="J7770"/>
          <cell r="L7770"/>
          <cell r="M7770"/>
        </row>
        <row r="7771">
          <cell r="B7771"/>
          <cell r="C7771"/>
          <cell r="E7771"/>
          <cell r="F7771"/>
          <cell r="G7771"/>
          <cell r="H7771"/>
          <cell r="J7771"/>
          <cell r="L7771"/>
          <cell r="M7771"/>
        </row>
        <row r="7772">
          <cell r="B7772"/>
          <cell r="C7772"/>
          <cell r="E7772"/>
          <cell r="F7772"/>
          <cell r="G7772"/>
          <cell r="H7772"/>
          <cell r="J7772"/>
          <cell r="L7772"/>
          <cell r="M7772"/>
        </row>
        <row r="7773">
          <cell r="B7773"/>
          <cell r="C7773"/>
          <cell r="E7773"/>
          <cell r="F7773"/>
          <cell r="G7773"/>
          <cell r="H7773"/>
          <cell r="J7773"/>
          <cell r="L7773"/>
          <cell r="M7773"/>
        </row>
        <row r="7774">
          <cell r="B7774"/>
          <cell r="C7774"/>
          <cell r="E7774"/>
          <cell r="F7774"/>
          <cell r="G7774"/>
          <cell r="H7774"/>
          <cell r="J7774"/>
          <cell r="L7774"/>
          <cell r="M7774"/>
        </row>
        <row r="7775">
          <cell r="B7775"/>
          <cell r="C7775"/>
          <cell r="E7775"/>
          <cell r="F7775"/>
          <cell r="G7775"/>
          <cell r="H7775"/>
          <cell r="J7775"/>
          <cell r="L7775"/>
          <cell r="M7775"/>
        </row>
        <row r="7776">
          <cell r="B7776"/>
          <cell r="C7776"/>
          <cell r="E7776"/>
          <cell r="F7776"/>
          <cell r="G7776"/>
          <cell r="H7776"/>
          <cell r="J7776"/>
          <cell r="L7776"/>
          <cell r="M7776"/>
        </row>
        <row r="7777">
          <cell r="B7777"/>
          <cell r="C7777"/>
          <cell r="E7777"/>
          <cell r="F7777"/>
          <cell r="G7777"/>
          <cell r="H7777"/>
          <cell r="J7777"/>
          <cell r="L7777"/>
          <cell r="M7777"/>
        </row>
        <row r="7778">
          <cell r="B7778"/>
          <cell r="C7778"/>
          <cell r="E7778"/>
          <cell r="F7778"/>
          <cell r="G7778"/>
          <cell r="H7778"/>
          <cell r="J7778"/>
          <cell r="L7778"/>
          <cell r="M7778"/>
        </row>
        <row r="7779">
          <cell r="B7779"/>
          <cell r="C7779"/>
          <cell r="E7779"/>
          <cell r="F7779"/>
          <cell r="G7779"/>
          <cell r="H7779"/>
          <cell r="J7779"/>
          <cell r="L7779"/>
          <cell r="M7779"/>
        </row>
        <row r="7780">
          <cell r="B7780"/>
          <cell r="C7780"/>
          <cell r="E7780"/>
          <cell r="F7780"/>
          <cell r="G7780"/>
          <cell r="H7780"/>
          <cell r="J7780"/>
          <cell r="L7780"/>
          <cell r="M7780"/>
        </row>
        <row r="7781">
          <cell r="B7781"/>
          <cell r="C7781"/>
          <cell r="E7781"/>
          <cell r="F7781"/>
          <cell r="G7781"/>
          <cell r="H7781"/>
          <cell r="J7781"/>
          <cell r="L7781"/>
          <cell r="M7781"/>
        </row>
        <row r="7782">
          <cell r="B7782"/>
          <cell r="C7782"/>
          <cell r="E7782"/>
          <cell r="F7782"/>
          <cell r="G7782"/>
          <cell r="H7782"/>
          <cell r="J7782"/>
          <cell r="L7782"/>
          <cell r="M7782"/>
        </row>
        <row r="7783">
          <cell r="B7783"/>
          <cell r="C7783"/>
          <cell r="E7783"/>
          <cell r="F7783"/>
          <cell r="G7783"/>
          <cell r="H7783"/>
          <cell r="J7783"/>
          <cell r="L7783"/>
          <cell r="M7783"/>
        </row>
        <row r="7784">
          <cell r="B7784"/>
          <cell r="C7784"/>
          <cell r="E7784"/>
          <cell r="F7784"/>
          <cell r="G7784"/>
          <cell r="H7784"/>
          <cell r="J7784"/>
          <cell r="L7784"/>
          <cell r="M7784"/>
        </row>
        <row r="7785">
          <cell r="B7785"/>
          <cell r="C7785"/>
          <cell r="E7785"/>
          <cell r="F7785"/>
          <cell r="G7785"/>
          <cell r="H7785"/>
          <cell r="J7785"/>
          <cell r="L7785"/>
          <cell r="M7785"/>
        </row>
        <row r="7786">
          <cell r="B7786"/>
          <cell r="C7786"/>
          <cell r="E7786"/>
          <cell r="F7786"/>
          <cell r="G7786"/>
          <cell r="H7786"/>
          <cell r="J7786"/>
          <cell r="L7786"/>
          <cell r="M7786"/>
        </row>
        <row r="7787">
          <cell r="B7787"/>
          <cell r="C7787"/>
          <cell r="E7787"/>
          <cell r="F7787"/>
          <cell r="G7787"/>
          <cell r="H7787"/>
          <cell r="J7787"/>
          <cell r="L7787"/>
          <cell r="M7787"/>
        </row>
        <row r="7788">
          <cell r="B7788"/>
          <cell r="C7788"/>
          <cell r="E7788"/>
          <cell r="F7788"/>
          <cell r="G7788"/>
          <cell r="H7788"/>
          <cell r="J7788"/>
          <cell r="L7788"/>
          <cell r="M7788"/>
        </row>
        <row r="7789">
          <cell r="B7789"/>
          <cell r="C7789"/>
          <cell r="E7789"/>
          <cell r="F7789"/>
          <cell r="G7789"/>
          <cell r="H7789"/>
          <cell r="J7789"/>
          <cell r="L7789"/>
          <cell r="M7789"/>
        </row>
        <row r="7790">
          <cell r="B7790"/>
          <cell r="C7790"/>
          <cell r="E7790"/>
          <cell r="F7790"/>
          <cell r="G7790"/>
          <cell r="H7790"/>
          <cell r="J7790"/>
          <cell r="L7790"/>
          <cell r="M7790"/>
        </row>
        <row r="7791">
          <cell r="B7791"/>
          <cell r="C7791"/>
          <cell r="E7791"/>
          <cell r="F7791"/>
          <cell r="G7791"/>
          <cell r="H7791"/>
          <cell r="J7791"/>
          <cell r="L7791"/>
          <cell r="M7791"/>
        </row>
        <row r="7792">
          <cell r="B7792"/>
          <cell r="C7792"/>
          <cell r="E7792"/>
          <cell r="F7792"/>
          <cell r="G7792"/>
          <cell r="H7792"/>
          <cell r="J7792"/>
          <cell r="L7792"/>
          <cell r="M7792"/>
        </row>
        <row r="7793">
          <cell r="B7793"/>
          <cell r="C7793"/>
          <cell r="E7793"/>
          <cell r="F7793"/>
          <cell r="G7793"/>
          <cell r="H7793"/>
          <cell r="J7793"/>
          <cell r="L7793"/>
          <cell r="M7793"/>
        </row>
        <row r="7794">
          <cell r="B7794"/>
          <cell r="C7794"/>
          <cell r="E7794"/>
          <cell r="F7794"/>
          <cell r="G7794"/>
          <cell r="H7794"/>
          <cell r="J7794"/>
          <cell r="L7794"/>
          <cell r="M7794"/>
        </row>
        <row r="7795">
          <cell r="B7795"/>
          <cell r="C7795"/>
          <cell r="E7795"/>
          <cell r="F7795"/>
          <cell r="G7795"/>
          <cell r="H7795"/>
          <cell r="J7795"/>
          <cell r="L7795"/>
          <cell r="M7795"/>
        </row>
        <row r="7796">
          <cell r="B7796"/>
          <cell r="C7796"/>
          <cell r="E7796"/>
          <cell r="F7796"/>
          <cell r="G7796"/>
          <cell r="H7796"/>
          <cell r="J7796"/>
          <cell r="L7796"/>
          <cell r="M7796"/>
        </row>
        <row r="7797">
          <cell r="B7797"/>
          <cell r="C7797"/>
          <cell r="E7797"/>
          <cell r="F7797"/>
          <cell r="G7797"/>
          <cell r="H7797"/>
          <cell r="J7797"/>
          <cell r="L7797"/>
          <cell r="M7797"/>
        </row>
        <row r="7798">
          <cell r="B7798"/>
          <cell r="C7798"/>
          <cell r="E7798"/>
          <cell r="F7798"/>
          <cell r="G7798"/>
          <cell r="H7798"/>
          <cell r="J7798"/>
          <cell r="L7798"/>
          <cell r="M7798"/>
        </row>
        <row r="7799">
          <cell r="B7799"/>
          <cell r="C7799"/>
          <cell r="E7799"/>
          <cell r="F7799"/>
          <cell r="G7799"/>
          <cell r="H7799"/>
          <cell r="J7799"/>
          <cell r="L7799"/>
          <cell r="M7799"/>
        </row>
        <row r="7800">
          <cell r="B7800"/>
          <cell r="C7800"/>
          <cell r="E7800"/>
          <cell r="F7800"/>
          <cell r="G7800"/>
          <cell r="H7800"/>
          <cell r="J7800"/>
          <cell r="L7800"/>
          <cell r="M7800"/>
        </row>
        <row r="7801">
          <cell r="B7801"/>
          <cell r="C7801"/>
          <cell r="E7801"/>
          <cell r="F7801"/>
          <cell r="G7801"/>
          <cell r="H7801"/>
          <cell r="J7801"/>
          <cell r="L7801"/>
          <cell r="M7801"/>
        </row>
        <row r="7802">
          <cell r="B7802"/>
          <cell r="C7802"/>
          <cell r="E7802"/>
          <cell r="F7802"/>
          <cell r="G7802"/>
          <cell r="H7802"/>
          <cell r="J7802"/>
          <cell r="L7802"/>
          <cell r="M7802"/>
        </row>
        <row r="7803">
          <cell r="B7803"/>
          <cell r="C7803"/>
          <cell r="E7803"/>
          <cell r="F7803"/>
          <cell r="G7803"/>
          <cell r="H7803"/>
          <cell r="J7803"/>
          <cell r="L7803"/>
          <cell r="M7803"/>
        </row>
        <row r="7804">
          <cell r="B7804"/>
          <cell r="C7804"/>
          <cell r="E7804"/>
          <cell r="F7804"/>
          <cell r="G7804"/>
          <cell r="H7804"/>
          <cell r="J7804"/>
          <cell r="L7804"/>
          <cell r="M7804"/>
        </row>
        <row r="7805">
          <cell r="B7805"/>
          <cell r="C7805"/>
          <cell r="E7805"/>
          <cell r="F7805"/>
          <cell r="G7805"/>
          <cell r="H7805"/>
          <cell r="J7805"/>
          <cell r="L7805"/>
          <cell r="M7805"/>
        </row>
        <row r="7806">
          <cell r="B7806"/>
          <cell r="C7806"/>
          <cell r="E7806"/>
          <cell r="F7806"/>
          <cell r="G7806"/>
          <cell r="H7806"/>
          <cell r="J7806"/>
          <cell r="L7806"/>
          <cell r="M7806"/>
        </row>
        <row r="7807">
          <cell r="B7807"/>
          <cell r="C7807"/>
          <cell r="E7807"/>
          <cell r="F7807"/>
          <cell r="G7807"/>
          <cell r="H7807"/>
          <cell r="J7807"/>
          <cell r="L7807"/>
          <cell r="M7807"/>
        </row>
        <row r="7808">
          <cell r="B7808"/>
          <cell r="C7808"/>
          <cell r="E7808"/>
          <cell r="F7808"/>
          <cell r="G7808"/>
          <cell r="H7808"/>
          <cell r="J7808"/>
          <cell r="L7808"/>
          <cell r="M7808"/>
        </row>
        <row r="7809">
          <cell r="B7809"/>
          <cell r="C7809"/>
          <cell r="E7809"/>
          <cell r="F7809"/>
          <cell r="G7809"/>
          <cell r="H7809"/>
          <cell r="J7809"/>
          <cell r="L7809"/>
          <cell r="M7809"/>
        </row>
        <row r="7810">
          <cell r="B7810"/>
          <cell r="C7810"/>
          <cell r="E7810"/>
          <cell r="F7810"/>
          <cell r="G7810"/>
          <cell r="H7810"/>
          <cell r="J7810"/>
          <cell r="L7810"/>
          <cell r="M7810"/>
        </row>
        <row r="7811">
          <cell r="B7811"/>
          <cell r="C7811"/>
          <cell r="E7811"/>
          <cell r="F7811"/>
          <cell r="G7811"/>
          <cell r="H7811"/>
          <cell r="J7811"/>
          <cell r="L7811"/>
          <cell r="M7811"/>
        </row>
        <row r="7812">
          <cell r="B7812"/>
          <cell r="C7812"/>
          <cell r="E7812"/>
          <cell r="F7812"/>
          <cell r="G7812"/>
          <cell r="H7812"/>
          <cell r="J7812"/>
          <cell r="L7812"/>
          <cell r="M7812"/>
        </row>
        <row r="7813">
          <cell r="B7813"/>
          <cell r="C7813"/>
          <cell r="E7813"/>
          <cell r="F7813"/>
          <cell r="G7813"/>
          <cell r="H7813"/>
          <cell r="J7813"/>
          <cell r="L7813"/>
          <cell r="M7813"/>
        </row>
        <row r="7814">
          <cell r="B7814"/>
          <cell r="C7814"/>
          <cell r="E7814"/>
          <cell r="F7814"/>
          <cell r="G7814"/>
          <cell r="H7814"/>
          <cell r="J7814"/>
          <cell r="L7814"/>
          <cell r="M7814"/>
        </row>
        <row r="7815">
          <cell r="B7815"/>
          <cell r="C7815"/>
          <cell r="E7815"/>
          <cell r="F7815"/>
          <cell r="G7815"/>
          <cell r="H7815"/>
          <cell r="J7815"/>
          <cell r="L7815"/>
          <cell r="M7815"/>
        </row>
        <row r="7816">
          <cell r="B7816"/>
          <cell r="C7816"/>
          <cell r="E7816"/>
          <cell r="F7816"/>
          <cell r="G7816"/>
          <cell r="H7816"/>
          <cell r="J7816"/>
          <cell r="L7816"/>
          <cell r="M7816"/>
        </row>
        <row r="7817">
          <cell r="B7817"/>
          <cell r="C7817"/>
          <cell r="E7817"/>
          <cell r="F7817"/>
          <cell r="G7817"/>
          <cell r="H7817"/>
          <cell r="J7817"/>
          <cell r="L7817"/>
          <cell r="M7817"/>
        </row>
        <row r="7818">
          <cell r="B7818"/>
          <cell r="C7818"/>
          <cell r="E7818"/>
          <cell r="F7818"/>
          <cell r="G7818"/>
          <cell r="H7818"/>
          <cell r="J7818"/>
          <cell r="L7818"/>
          <cell r="M7818"/>
        </row>
        <row r="7819">
          <cell r="B7819"/>
          <cell r="C7819"/>
          <cell r="E7819"/>
          <cell r="F7819"/>
          <cell r="G7819"/>
          <cell r="H7819"/>
          <cell r="J7819"/>
          <cell r="L7819"/>
          <cell r="M7819"/>
        </row>
        <row r="7820">
          <cell r="B7820"/>
          <cell r="C7820"/>
          <cell r="E7820"/>
          <cell r="F7820"/>
          <cell r="G7820"/>
          <cell r="H7820"/>
          <cell r="J7820"/>
          <cell r="L7820"/>
          <cell r="M7820"/>
        </row>
        <row r="7821">
          <cell r="B7821"/>
          <cell r="C7821"/>
          <cell r="E7821"/>
          <cell r="F7821"/>
          <cell r="G7821"/>
          <cell r="H7821"/>
          <cell r="J7821"/>
          <cell r="L7821"/>
          <cell r="M7821"/>
        </row>
        <row r="7822">
          <cell r="B7822"/>
          <cell r="C7822"/>
          <cell r="E7822"/>
          <cell r="F7822"/>
          <cell r="G7822"/>
          <cell r="H7822"/>
          <cell r="J7822"/>
          <cell r="L7822"/>
          <cell r="M7822"/>
        </row>
        <row r="7823">
          <cell r="B7823"/>
          <cell r="C7823"/>
          <cell r="E7823"/>
          <cell r="F7823"/>
          <cell r="G7823"/>
          <cell r="H7823"/>
          <cell r="J7823"/>
          <cell r="L7823"/>
          <cell r="M7823"/>
        </row>
        <row r="7824">
          <cell r="B7824"/>
          <cell r="C7824"/>
          <cell r="E7824"/>
          <cell r="F7824"/>
          <cell r="G7824"/>
          <cell r="H7824"/>
          <cell r="J7824"/>
          <cell r="L7824"/>
          <cell r="M7824"/>
        </row>
        <row r="7825">
          <cell r="B7825"/>
          <cell r="C7825"/>
          <cell r="E7825"/>
          <cell r="F7825"/>
          <cell r="G7825"/>
          <cell r="H7825"/>
          <cell r="J7825"/>
          <cell r="L7825"/>
          <cell r="M7825"/>
        </row>
        <row r="7826">
          <cell r="B7826"/>
          <cell r="C7826"/>
          <cell r="E7826"/>
          <cell r="F7826"/>
          <cell r="G7826"/>
          <cell r="H7826"/>
          <cell r="J7826"/>
          <cell r="L7826"/>
          <cell r="M7826"/>
        </row>
        <row r="7827">
          <cell r="B7827"/>
          <cell r="C7827"/>
          <cell r="E7827"/>
          <cell r="F7827"/>
          <cell r="G7827"/>
          <cell r="H7827"/>
          <cell r="J7827"/>
          <cell r="L7827"/>
          <cell r="M7827"/>
        </row>
        <row r="7828">
          <cell r="B7828"/>
          <cell r="C7828"/>
          <cell r="E7828"/>
          <cell r="F7828"/>
          <cell r="G7828"/>
          <cell r="H7828"/>
          <cell r="J7828"/>
          <cell r="L7828"/>
          <cell r="M7828"/>
        </row>
        <row r="7829">
          <cell r="B7829"/>
          <cell r="C7829"/>
          <cell r="E7829"/>
          <cell r="F7829"/>
          <cell r="G7829"/>
          <cell r="H7829"/>
          <cell r="J7829"/>
          <cell r="L7829"/>
          <cell r="M7829"/>
        </row>
        <row r="7830">
          <cell r="B7830"/>
          <cell r="C7830"/>
          <cell r="E7830"/>
          <cell r="F7830"/>
          <cell r="G7830"/>
          <cell r="H7830"/>
          <cell r="J7830"/>
          <cell r="L7830"/>
          <cell r="M7830"/>
        </row>
        <row r="7831">
          <cell r="B7831"/>
          <cell r="C7831"/>
          <cell r="E7831"/>
          <cell r="F7831"/>
          <cell r="G7831"/>
          <cell r="H7831"/>
          <cell r="J7831"/>
          <cell r="L7831"/>
          <cell r="M7831"/>
        </row>
        <row r="7832">
          <cell r="B7832"/>
          <cell r="C7832"/>
          <cell r="E7832"/>
          <cell r="F7832"/>
          <cell r="G7832"/>
          <cell r="H7832"/>
          <cell r="J7832"/>
          <cell r="L7832"/>
          <cell r="M7832"/>
        </row>
        <row r="7833">
          <cell r="B7833"/>
          <cell r="C7833"/>
          <cell r="E7833"/>
          <cell r="F7833"/>
          <cell r="G7833"/>
          <cell r="H7833"/>
          <cell r="J7833"/>
          <cell r="L7833"/>
          <cell r="M7833"/>
        </row>
        <row r="7834">
          <cell r="B7834"/>
          <cell r="C7834"/>
          <cell r="E7834"/>
          <cell r="F7834"/>
          <cell r="G7834"/>
          <cell r="H7834"/>
          <cell r="J7834"/>
          <cell r="L7834"/>
          <cell r="M7834"/>
        </row>
        <row r="7835">
          <cell r="B7835"/>
          <cell r="C7835"/>
          <cell r="E7835"/>
          <cell r="F7835"/>
          <cell r="G7835"/>
          <cell r="H7835"/>
          <cell r="J7835"/>
          <cell r="L7835"/>
          <cell r="M7835"/>
        </row>
        <row r="7836">
          <cell r="B7836"/>
          <cell r="C7836"/>
          <cell r="E7836"/>
          <cell r="F7836"/>
          <cell r="G7836"/>
          <cell r="H7836"/>
          <cell r="J7836"/>
          <cell r="L7836"/>
          <cell r="M7836"/>
        </row>
        <row r="7837">
          <cell r="B7837"/>
          <cell r="C7837"/>
          <cell r="E7837"/>
          <cell r="F7837"/>
          <cell r="G7837"/>
          <cell r="H7837"/>
          <cell r="J7837"/>
          <cell r="L7837"/>
          <cell r="M7837"/>
        </row>
        <row r="7838">
          <cell r="B7838"/>
          <cell r="C7838"/>
          <cell r="E7838"/>
          <cell r="F7838"/>
          <cell r="G7838"/>
          <cell r="H7838"/>
          <cell r="J7838"/>
          <cell r="L7838"/>
          <cell r="M7838"/>
        </row>
        <row r="7839">
          <cell r="B7839"/>
          <cell r="C7839"/>
          <cell r="E7839"/>
          <cell r="F7839"/>
          <cell r="G7839"/>
          <cell r="H7839"/>
          <cell r="J7839"/>
          <cell r="L7839"/>
          <cell r="M7839"/>
        </row>
        <row r="7840">
          <cell r="B7840"/>
          <cell r="C7840"/>
          <cell r="E7840"/>
          <cell r="F7840"/>
          <cell r="G7840"/>
          <cell r="H7840"/>
          <cell r="J7840"/>
          <cell r="L7840"/>
          <cell r="M7840"/>
        </row>
        <row r="7841">
          <cell r="B7841"/>
          <cell r="C7841"/>
          <cell r="E7841"/>
          <cell r="F7841"/>
          <cell r="G7841"/>
          <cell r="H7841"/>
          <cell r="J7841"/>
          <cell r="L7841"/>
          <cell r="M7841"/>
        </row>
        <row r="7842">
          <cell r="B7842"/>
          <cell r="C7842"/>
          <cell r="E7842"/>
          <cell r="F7842"/>
          <cell r="G7842"/>
          <cell r="H7842"/>
          <cell r="J7842"/>
          <cell r="L7842"/>
          <cell r="M7842"/>
        </row>
        <row r="7843">
          <cell r="B7843"/>
          <cell r="C7843"/>
          <cell r="E7843"/>
          <cell r="F7843"/>
          <cell r="G7843"/>
          <cell r="H7843"/>
          <cell r="J7843"/>
          <cell r="L7843"/>
          <cell r="M7843"/>
        </row>
        <row r="7844">
          <cell r="B7844"/>
          <cell r="C7844"/>
          <cell r="E7844"/>
          <cell r="F7844"/>
          <cell r="G7844"/>
          <cell r="H7844"/>
          <cell r="J7844"/>
          <cell r="L7844"/>
          <cell r="M7844"/>
        </row>
        <row r="7845">
          <cell r="B7845"/>
          <cell r="C7845"/>
          <cell r="E7845"/>
          <cell r="F7845"/>
          <cell r="G7845"/>
          <cell r="H7845"/>
          <cell r="J7845"/>
          <cell r="L7845"/>
          <cell r="M7845"/>
        </row>
        <row r="7846">
          <cell r="B7846"/>
          <cell r="C7846"/>
          <cell r="E7846"/>
          <cell r="F7846"/>
          <cell r="G7846"/>
          <cell r="H7846"/>
          <cell r="J7846"/>
          <cell r="L7846"/>
          <cell r="M7846"/>
        </row>
        <row r="7847">
          <cell r="B7847"/>
          <cell r="C7847"/>
          <cell r="E7847"/>
          <cell r="F7847"/>
          <cell r="G7847"/>
          <cell r="H7847"/>
          <cell r="J7847"/>
          <cell r="L7847"/>
          <cell r="M7847"/>
        </row>
        <row r="7848">
          <cell r="B7848"/>
          <cell r="C7848"/>
          <cell r="E7848"/>
          <cell r="F7848"/>
          <cell r="G7848"/>
          <cell r="H7848"/>
          <cell r="J7848"/>
          <cell r="L7848"/>
          <cell r="M7848"/>
        </row>
        <row r="7849">
          <cell r="B7849"/>
          <cell r="C7849"/>
          <cell r="E7849"/>
          <cell r="F7849"/>
          <cell r="G7849"/>
          <cell r="H7849"/>
          <cell r="J7849"/>
          <cell r="L7849"/>
          <cell r="M7849"/>
        </row>
        <row r="7850">
          <cell r="B7850"/>
          <cell r="C7850"/>
          <cell r="E7850"/>
          <cell r="F7850"/>
          <cell r="G7850"/>
          <cell r="H7850"/>
          <cell r="J7850"/>
          <cell r="L7850"/>
          <cell r="M7850"/>
        </row>
        <row r="7851">
          <cell r="B7851"/>
          <cell r="C7851"/>
          <cell r="E7851"/>
          <cell r="F7851"/>
          <cell r="G7851"/>
          <cell r="H7851"/>
          <cell r="J7851"/>
          <cell r="L7851"/>
          <cell r="M7851"/>
        </row>
        <row r="7852">
          <cell r="B7852"/>
          <cell r="C7852"/>
          <cell r="E7852"/>
          <cell r="F7852"/>
          <cell r="G7852"/>
          <cell r="H7852"/>
          <cell r="J7852"/>
          <cell r="L7852"/>
          <cell r="M7852"/>
        </row>
        <row r="7853">
          <cell r="B7853"/>
          <cell r="C7853"/>
          <cell r="E7853"/>
          <cell r="F7853"/>
          <cell r="G7853"/>
          <cell r="H7853"/>
          <cell r="J7853"/>
          <cell r="L7853"/>
          <cell r="M7853"/>
        </row>
        <row r="7854">
          <cell r="B7854"/>
          <cell r="C7854"/>
          <cell r="E7854"/>
          <cell r="F7854"/>
          <cell r="G7854"/>
          <cell r="H7854"/>
          <cell r="J7854"/>
          <cell r="L7854"/>
          <cell r="M7854"/>
        </row>
        <row r="7855">
          <cell r="B7855"/>
          <cell r="C7855"/>
          <cell r="E7855"/>
          <cell r="F7855"/>
          <cell r="G7855"/>
          <cell r="H7855"/>
          <cell r="J7855"/>
          <cell r="L7855"/>
          <cell r="M7855"/>
        </row>
        <row r="7856">
          <cell r="B7856"/>
          <cell r="C7856"/>
          <cell r="E7856"/>
          <cell r="F7856"/>
          <cell r="G7856"/>
          <cell r="H7856"/>
          <cell r="J7856"/>
          <cell r="L7856"/>
          <cell r="M7856"/>
        </row>
        <row r="7857">
          <cell r="B7857"/>
          <cell r="C7857"/>
          <cell r="E7857"/>
          <cell r="F7857"/>
          <cell r="G7857"/>
          <cell r="H7857"/>
          <cell r="J7857"/>
          <cell r="L7857"/>
          <cell r="M7857"/>
        </row>
        <row r="7858">
          <cell r="B7858"/>
          <cell r="C7858"/>
          <cell r="E7858"/>
          <cell r="F7858"/>
          <cell r="G7858"/>
          <cell r="H7858"/>
          <cell r="J7858"/>
          <cell r="L7858"/>
          <cell r="M7858"/>
        </row>
        <row r="7859">
          <cell r="B7859"/>
          <cell r="C7859"/>
          <cell r="E7859"/>
          <cell r="F7859"/>
          <cell r="G7859"/>
          <cell r="H7859"/>
          <cell r="J7859"/>
          <cell r="L7859"/>
          <cell r="M7859"/>
        </row>
        <row r="7860">
          <cell r="B7860"/>
          <cell r="C7860"/>
          <cell r="E7860"/>
          <cell r="F7860"/>
          <cell r="G7860"/>
          <cell r="H7860"/>
          <cell r="J7860"/>
          <cell r="L7860"/>
          <cell r="M7860"/>
        </row>
        <row r="7861">
          <cell r="B7861"/>
          <cell r="C7861"/>
          <cell r="E7861"/>
          <cell r="F7861"/>
          <cell r="G7861"/>
          <cell r="H7861"/>
          <cell r="J7861"/>
          <cell r="L7861"/>
          <cell r="M7861"/>
        </row>
        <row r="7862">
          <cell r="B7862"/>
          <cell r="C7862"/>
          <cell r="E7862"/>
          <cell r="F7862"/>
          <cell r="G7862"/>
          <cell r="H7862"/>
          <cell r="J7862"/>
          <cell r="L7862"/>
          <cell r="M7862"/>
        </row>
        <row r="7863">
          <cell r="B7863"/>
          <cell r="C7863"/>
          <cell r="E7863"/>
          <cell r="F7863"/>
          <cell r="G7863"/>
          <cell r="H7863"/>
          <cell r="J7863"/>
          <cell r="L7863"/>
          <cell r="M7863"/>
        </row>
        <row r="7864">
          <cell r="B7864"/>
          <cell r="C7864"/>
          <cell r="E7864"/>
          <cell r="F7864"/>
          <cell r="G7864"/>
          <cell r="H7864"/>
          <cell r="J7864"/>
          <cell r="L7864"/>
          <cell r="M7864"/>
        </row>
        <row r="7865">
          <cell r="B7865"/>
          <cell r="C7865"/>
          <cell r="E7865"/>
          <cell r="F7865"/>
          <cell r="G7865"/>
          <cell r="H7865"/>
          <cell r="J7865"/>
          <cell r="L7865"/>
          <cell r="M7865"/>
        </row>
        <row r="7866">
          <cell r="B7866"/>
          <cell r="C7866"/>
          <cell r="E7866"/>
          <cell r="F7866"/>
          <cell r="G7866"/>
          <cell r="H7866"/>
          <cell r="J7866"/>
          <cell r="L7866"/>
          <cell r="M7866"/>
        </row>
        <row r="7867">
          <cell r="B7867"/>
          <cell r="C7867"/>
          <cell r="E7867"/>
          <cell r="F7867"/>
          <cell r="G7867"/>
          <cell r="H7867"/>
          <cell r="J7867"/>
          <cell r="L7867"/>
          <cell r="M7867"/>
        </row>
        <row r="7868">
          <cell r="B7868"/>
          <cell r="C7868"/>
          <cell r="E7868"/>
          <cell r="F7868"/>
          <cell r="G7868"/>
          <cell r="H7868"/>
          <cell r="J7868"/>
          <cell r="L7868"/>
          <cell r="M7868"/>
        </row>
        <row r="7869">
          <cell r="B7869"/>
          <cell r="C7869"/>
          <cell r="E7869"/>
          <cell r="F7869"/>
          <cell r="G7869"/>
          <cell r="H7869"/>
          <cell r="J7869"/>
          <cell r="L7869"/>
          <cell r="M7869"/>
        </row>
        <row r="7870">
          <cell r="B7870"/>
          <cell r="C7870"/>
          <cell r="E7870"/>
          <cell r="F7870"/>
          <cell r="G7870"/>
          <cell r="H7870"/>
          <cell r="J7870"/>
          <cell r="L7870"/>
          <cell r="M7870"/>
        </row>
        <row r="7871">
          <cell r="B7871"/>
          <cell r="C7871"/>
          <cell r="E7871"/>
          <cell r="F7871"/>
          <cell r="G7871"/>
          <cell r="H7871"/>
          <cell r="J7871"/>
          <cell r="L7871"/>
          <cell r="M7871"/>
        </row>
        <row r="7872">
          <cell r="B7872"/>
          <cell r="C7872"/>
          <cell r="E7872"/>
          <cell r="F7872"/>
          <cell r="G7872"/>
          <cell r="H7872"/>
          <cell r="J7872"/>
          <cell r="L7872"/>
          <cell r="M7872"/>
        </row>
        <row r="7873">
          <cell r="B7873"/>
          <cell r="C7873"/>
          <cell r="E7873"/>
          <cell r="F7873"/>
          <cell r="G7873"/>
          <cell r="H7873"/>
          <cell r="J7873"/>
          <cell r="L7873"/>
          <cell r="M7873"/>
        </row>
        <row r="7874">
          <cell r="B7874"/>
          <cell r="C7874"/>
          <cell r="E7874"/>
          <cell r="F7874"/>
          <cell r="G7874"/>
          <cell r="H7874"/>
          <cell r="J7874"/>
          <cell r="L7874"/>
          <cell r="M7874"/>
        </row>
        <row r="7875">
          <cell r="B7875"/>
          <cell r="C7875"/>
          <cell r="E7875"/>
          <cell r="F7875"/>
          <cell r="G7875"/>
          <cell r="H7875"/>
          <cell r="J7875"/>
          <cell r="L7875"/>
          <cell r="M7875"/>
        </row>
        <row r="7876">
          <cell r="B7876"/>
          <cell r="C7876"/>
          <cell r="E7876"/>
          <cell r="F7876"/>
          <cell r="G7876"/>
          <cell r="H7876"/>
          <cell r="J7876"/>
          <cell r="L7876"/>
          <cell r="M7876"/>
        </row>
        <row r="7877">
          <cell r="B7877"/>
          <cell r="C7877"/>
          <cell r="E7877"/>
          <cell r="F7877"/>
          <cell r="G7877"/>
          <cell r="H7877"/>
          <cell r="J7877"/>
          <cell r="L7877"/>
          <cell r="M7877"/>
        </row>
        <row r="7878">
          <cell r="B7878"/>
          <cell r="C7878"/>
          <cell r="E7878"/>
          <cell r="F7878"/>
          <cell r="G7878"/>
          <cell r="H7878"/>
          <cell r="J7878"/>
          <cell r="L7878"/>
          <cell r="M7878"/>
        </row>
        <row r="7879">
          <cell r="B7879"/>
          <cell r="C7879"/>
          <cell r="E7879"/>
          <cell r="F7879"/>
          <cell r="G7879"/>
          <cell r="H7879"/>
          <cell r="J7879"/>
          <cell r="L7879"/>
          <cell r="M7879"/>
        </row>
        <row r="7880">
          <cell r="B7880"/>
          <cell r="C7880"/>
          <cell r="E7880"/>
          <cell r="F7880"/>
          <cell r="G7880"/>
          <cell r="H7880"/>
          <cell r="J7880"/>
          <cell r="L7880"/>
          <cell r="M7880"/>
        </row>
        <row r="7881">
          <cell r="B7881"/>
          <cell r="C7881"/>
          <cell r="E7881"/>
          <cell r="F7881"/>
          <cell r="G7881"/>
          <cell r="H7881"/>
          <cell r="J7881"/>
          <cell r="L7881"/>
          <cell r="M7881"/>
        </row>
        <row r="7882">
          <cell r="B7882"/>
          <cell r="C7882"/>
          <cell r="E7882"/>
          <cell r="F7882"/>
          <cell r="G7882"/>
          <cell r="H7882"/>
          <cell r="J7882"/>
          <cell r="L7882"/>
          <cell r="M7882"/>
        </row>
        <row r="7883">
          <cell r="B7883"/>
          <cell r="C7883"/>
          <cell r="E7883"/>
          <cell r="F7883"/>
          <cell r="G7883"/>
          <cell r="H7883"/>
          <cell r="J7883"/>
          <cell r="L7883"/>
          <cell r="M7883"/>
        </row>
        <row r="7884">
          <cell r="B7884"/>
          <cell r="C7884"/>
          <cell r="E7884"/>
          <cell r="F7884"/>
          <cell r="G7884"/>
          <cell r="H7884"/>
          <cell r="J7884"/>
          <cell r="L7884"/>
          <cell r="M7884"/>
        </row>
        <row r="7885">
          <cell r="B7885"/>
          <cell r="C7885"/>
          <cell r="E7885"/>
          <cell r="F7885"/>
          <cell r="G7885"/>
          <cell r="H7885"/>
          <cell r="J7885"/>
          <cell r="L7885"/>
          <cell r="M7885"/>
        </row>
        <row r="7886">
          <cell r="B7886"/>
          <cell r="C7886"/>
          <cell r="E7886"/>
          <cell r="F7886"/>
          <cell r="G7886"/>
          <cell r="H7886"/>
          <cell r="J7886"/>
          <cell r="L7886"/>
          <cell r="M7886"/>
        </row>
        <row r="7887">
          <cell r="B7887"/>
          <cell r="C7887"/>
          <cell r="E7887"/>
          <cell r="F7887"/>
          <cell r="G7887"/>
          <cell r="H7887"/>
          <cell r="J7887"/>
          <cell r="L7887"/>
          <cell r="M7887"/>
        </row>
        <row r="7888">
          <cell r="B7888"/>
          <cell r="C7888"/>
          <cell r="E7888"/>
          <cell r="F7888"/>
          <cell r="G7888"/>
          <cell r="H7888"/>
          <cell r="J7888"/>
          <cell r="L7888"/>
          <cell r="M7888"/>
        </row>
        <row r="7889">
          <cell r="B7889"/>
          <cell r="C7889"/>
          <cell r="E7889"/>
          <cell r="F7889"/>
          <cell r="G7889"/>
          <cell r="H7889"/>
          <cell r="J7889"/>
          <cell r="L7889"/>
          <cell r="M7889"/>
        </row>
        <row r="7890">
          <cell r="B7890"/>
          <cell r="C7890"/>
          <cell r="E7890"/>
          <cell r="F7890"/>
          <cell r="G7890"/>
          <cell r="H7890"/>
          <cell r="J7890"/>
          <cell r="L7890"/>
          <cell r="M7890"/>
        </row>
        <row r="7891">
          <cell r="B7891"/>
          <cell r="C7891"/>
          <cell r="E7891"/>
          <cell r="F7891"/>
          <cell r="G7891"/>
          <cell r="H7891"/>
          <cell r="J7891"/>
          <cell r="L7891"/>
          <cell r="M7891"/>
        </row>
        <row r="7892">
          <cell r="B7892"/>
          <cell r="C7892"/>
          <cell r="E7892"/>
          <cell r="F7892"/>
          <cell r="G7892"/>
          <cell r="H7892"/>
          <cell r="J7892"/>
          <cell r="L7892"/>
          <cell r="M7892"/>
        </row>
        <row r="7893">
          <cell r="B7893"/>
          <cell r="C7893"/>
          <cell r="E7893"/>
          <cell r="F7893"/>
          <cell r="G7893"/>
          <cell r="H7893"/>
          <cell r="J7893"/>
          <cell r="L7893"/>
          <cell r="M7893"/>
        </row>
        <row r="7894">
          <cell r="B7894"/>
          <cell r="C7894"/>
          <cell r="E7894"/>
          <cell r="F7894"/>
          <cell r="G7894"/>
          <cell r="H7894"/>
          <cell r="J7894"/>
          <cell r="L7894"/>
          <cell r="M7894"/>
        </row>
        <row r="7895">
          <cell r="B7895"/>
          <cell r="C7895"/>
          <cell r="E7895"/>
          <cell r="F7895"/>
          <cell r="G7895"/>
          <cell r="H7895"/>
          <cell r="J7895"/>
          <cell r="L7895"/>
          <cell r="M7895"/>
        </row>
        <row r="7896">
          <cell r="B7896"/>
          <cell r="C7896"/>
          <cell r="E7896"/>
          <cell r="F7896"/>
          <cell r="G7896"/>
          <cell r="H7896"/>
          <cell r="J7896"/>
          <cell r="L7896"/>
          <cell r="M7896"/>
        </row>
        <row r="7897">
          <cell r="B7897"/>
          <cell r="C7897"/>
          <cell r="E7897"/>
          <cell r="F7897"/>
          <cell r="G7897"/>
          <cell r="H7897"/>
          <cell r="J7897"/>
          <cell r="L7897"/>
          <cell r="M7897"/>
        </row>
        <row r="7898">
          <cell r="B7898"/>
          <cell r="C7898"/>
          <cell r="E7898"/>
          <cell r="F7898"/>
          <cell r="G7898"/>
          <cell r="H7898"/>
          <cell r="J7898"/>
          <cell r="L7898"/>
          <cell r="M7898"/>
        </row>
        <row r="7899">
          <cell r="B7899"/>
          <cell r="C7899"/>
          <cell r="E7899"/>
          <cell r="F7899"/>
          <cell r="G7899"/>
          <cell r="H7899"/>
          <cell r="J7899"/>
          <cell r="L7899"/>
          <cell r="M7899"/>
        </row>
        <row r="7900">
          <cell r="B7900"/>
          <cell r="C7900"/>
          <cell r="E7900"/>
          <cell r="F7900"/>
          <cell r="G7900"/>
          <cell r="H7900"/>
          <cell r="J7900"/>
          <cell r="L7900"/>
          <cell r="M7900"/>
        </row>
        <row r="7901">
          <cell r="B7901"/>
          <cell r="C7901"/>
          <cell r="E7901"/>
          <cell r="F7901"/>
          <cell r="G7901"/>
          <cell r="H7901"/>
          <cell r="J7901"/>
          <cell r="L7901"/>
          <cell r="M7901"/>
        </row>
        <row r="7902">
          <cell r="B7902"/>
          <cell r="C7902"/>
          <cell r="E7902"/>
          <cell r="F7902"/>
          <cell r="G7902"/>
          <cell r="H7902"/>
          <cell r="J7902"/>
          <cell r="L7902"/>
          <cell r="M7902"/>
        </row>
        <row r="7903">
          <cell r="B7903"/>
          <cell r="C7903"/>
          <cell r="E7903"/>
          <cell r="F7903"/>
          <cell r="G7903"/>
          <cell r="H7903"/>
          <cell r="J7903"/>
          <cell r="L7903"/>
          <cell r="M7903"/>
        </row>
        <row r="7904">
          <cell r="B7904"/>
          <cell r="C7904"/>
          <cell r="E7904"/>
          <cell r="F7904"/>
          <cell r="G7904"/>
          <cell r="H7904"/>
          <cell r="J7904"/>
          <cell r="L7904"/>
          <cell r="M7904"/>
        </row>
        <row r="7905">
          <cell r="B7905"/>
          <cell r="C7905"/>
          <cell r="E7905"/>
          <cell r="F7905"/>
          <cell r="G7905"/>
          <cell r="H7905"/>
          <cell r="J7905"/>
          <cell r="L7905"/>
          <cell r="M7905"/>
        </row>
        <row r="7906">
          <cell r="B7906"/>
          <cell r="C7906"/>
          <cell r="E7906"/>
          <cell r="F7906"/>
          <cell r="G7906"/>
          <cell r="H7906"/>
          <cell r="J7906"/>
          <cell r="L7906"/>
          <cell r="M7906"/>
        </row>
        <row r="7907">
          <cell r="B7907"/>
          <cell r="C7907"/>
          <cell r="E7907"/>
          <cell r="F7907"/>
          <cell r="G7907"/>
          <cell r="H7907"/>
          <cell r="J7907"/>
          <cell r="L7907"/>
          <cell r="M7907"/>
        </row>
        <row r="7908">
          <cell r="B7908"/>
          <cell r="C7908"/>
          <cell r="E7908"/>
          <cell r="F7908"/>
          <cell r="G7908"/>
          <cell r="H7908"/>
          <cell r="J7908"/>
          <cell r="L7908"/>
          <cell r="M7908"/>
        </row>
        <row r="7909">
          <cell r="B7909"/>
          <cell r="C7909"/>
          <cell r="E7909"/>
          <cell r="F7909"/>
          <cell r="G7909"/>
          <cell r="H7909"/>
          <cell r="J7909"/>
          <cell r="L7909"/>
          <cell r="M7909"/>
        </row>
        <row r="7910">
          <cell r="B7910"/>
          <cell r="C7910"/>
          <cell r="E7910"/>
          <cell r="F7910"/>
          <cell r="G7910"/>
          <cell r="H7910"/>
          <cell r="J7910"/>
          <cell r="L7910"/>
          <cell r="M7910"/>
        </row>
        <row r="7911">
          <cell r="B7911"/>
          <cell r="C7911"/>
          <cell r="E7911"/>
          <cell r="F7911"/>
          <cell r="G7911"/>
          <cell r="H7911"/>
          <cell r="J7911"/>
          <cell r="L7911"/>
          <cell r="M7911"/>
        </row>
        <row r="7912">
          <cell r="B7912"/>
          <cell r="C7912"/>
          <cell r="E7912"/>
          <cell r="F7912"/>
          <cell r="G7912"/>
          <cell r="H7912"/>
          <cell r="J7912"/>
          <cell r="L7912"/>
          <cell r="M7912"/>
        </row>
        <row r="7913">
          <cell r="B7913"/>
          <cell r="C7913"/>
          <cell r="E7913"/>
          <cell r="F7913"/>
          <cell r="G7913"/>
          <cell r="H7913"/>
          <cell r="J7913"/>
          <cell r="L7913"/>
          <cell r="M7913"/>
        </row>
        <row r="7914">
          <cell r="B7914"/>
          <cell r="C7914"/>
          <cell r="E7914"/>
          <cell r="F7914"/>
          <cell r="G7914"/>
          <cell r="H7914"/>
          <cell r="J7914"/>
          <cell r="L7914"/>
          <cell r="M7914"/>
        </row>
        <row r="7915">
          <cell r="B7915"/>
          <cell r="C7915"/>
          <cell r="E7915"/>
          <cell r="F7915"/>
          <cell r="G7915"/>
          <cell r="H7915"/>
          <cell r="J7915"/>
          <cell r="L7915"/>
          <cell r="M7915"/>
        </row>
        <row r="7916">
          <cell r="B7916"/>
          <cell r="C7916"/>
          <cell r="E7916"/>
          <cell r="F7916"/>
          <cell r="G7916"/>
          <cell r="H7916"/>
          <cell r="J7916"/>
          <cell r="L7916"/>
          <cell r="M7916"/>
        </row>
        <row r="7917">
          <cell r="B7917"/>
          <cell r="C7917"/>
          <cell r="E7917"/>
          <cell r="F7917"/>
          <cell r="G7917"/>
          <cell r="H7917"/>
          <cell r="J7917"/>
          <cell r="L7917"/>
          <cell r="M7917"/>
        </row>
        <row r="7918">
          <cell r="B7918"/>
          <cell r="C7918"/>
          <cell r="E7918"/>
          <cell r="F7918"/>
          <cell r="G7918"/>
          <cell r="H7918"/>
          <cell r="J7918"/>
          <cell r="L7918"/>
          <cell r="M7918"/>
        </row>
        <row r="7919">
          <cell r="B7919"/>
          <cell r="C7919"/>
          <cell r="E7919"/>
          <cell r="F7919"/>
          <cell r="G7919"/>
          <cell r="H7919"/>
          <cell r="J7919"/>
          <cell r="L7919"/>
          <cell r="M7919"/>
        </row>
        <row r="7920">
          <cell r="B7920"/>
          <cell r="C7920"/>
          <cell r="E7920"/>
          <cell r="F7920"/>
          <cell r="G7920"/>
          <cell r="H7920"/>
          <cell r="J7920"/>
          <cell r="L7920"/>
          <cell r="M7920"/>
        </row>
        <row r="7921">
          <cell r="B7921"/>
          <cell r="C7921"/>
          <cell r="E7921"/>
          <cell r="F7921"/>
          <cell r="G7921"/>
          <cell r="H7921"/>
          <cell r="J7921"/>
          <cell r="L7921"/>
          <cell r="M7921"/>
        </row>
        <row r="7922">
          <cell r="B7922"/>
          <cell r="C7922"/>
          <cell r="E7922"/>
          <cell r="F7922"/>
          <cell r="G7922"/>
          <cell r="H7922"/>
          <cell r="J7922"/>
          <cell r="L7922"/>
          <cell r="M7922"/>
        </row>
        <row r="7923">
          <cell r="B7923"/>
          <cell r="C7923"/>
          <cell r="E7923"/>
          <cell r="F7923"/>
          <cell r="G7923"/>
          <cell r="H7923"/>
          <cell r="J7923"/>
          <cell r="L7923"/>
          <cell r="M7923"/>
        </row>
        <row r="7924">
          <cell r="B7924"/>
          <cell r="C7924"/>
          <cell r="E7924"/>
          <cell r="F7924"/>
          <cell r="G7924"/>
          <cell r="H7924"/>
          <cell r="J7924"/>
          <cell r="L7924"/>
          <cell r="M7924"/>
        </row>
        <row r="7925">
          <cell r="B7925"/>
          <cell r="C7925"/>
          <cell r="E7925"/>
          <cell r="F7925"/>
          <cell r="G7925"/>
          <cell r="H7925"/>
          <cell r="J7925"/>
          <cell r="L7925"/>
          <cell r="M7925"/>
        </row>
        <row r="7926">
          <cell r="B7926"/>
          <cell r="C7926"/>
          <cell r="E7926"/>
          <cell r="F7926"/>
          <cell r="G7926"/>
          <cell r="H7926"/>
          <cell r="J7926"/>
          <cell r="L7926"/>
          <cell r="M7926"/>
        </row>
        <row r="7927">
          <cell r="B7927"/>
          <cell r="C7927"/>
          <cell r="E7927"/>
          <cell r="F7927"/>
          <cell r="G7927"/>
          <cell r="H7927"/>
          <cell r="J7927"/>
          <cell r="L7927"/>
          <cell r="M7927"/>
        </row>
        <row r="7928">
          <cell r="B7928"/>
          <cell r="C7928"/>
          <cell r="E7928"/>
          <cell r="F7928"/>
          <cell r="G7928"/>
          <cell r="H7928"/>
          <cell r="J7928"/>
          <cell r="L7928"/>
          <cell r="M7928"/>
        </row>
        <row r="7929">
          <cell r="B7929"/>
          <cell r="C7929"/>
          <cell r="E7929"/>
          <cell r="F7929"/>
          <cell r="G7929"/>
          <cell r="H7929"/>
          <cell r="J7929"/>
          <cell r="L7929"/>
          <cell r="M7929"/>
        </row>
        <row r="7930">
          <cell r="B7930"/>
          <cell r="C7930"/>
          <cell r="E7930"/>
          <cell r="F7930"/>
          <cell r="G7930"/>
          <cell r="H7930"/>
          <cell r="J7930"/>
          <cell r="L7930"/>
          <cell r="M7930"/>
        </row>
        <row r="7931">
          <cell r="B7931"/>
          <cell r="C7931"/>
          <cell r="E7931"/>
          <cell r="F7931"/>
          <cell r="G7931"/>
          <cell r="H7931"/>
          <cell r="J7931"/>
          <cell r="L7931"/>
          <cell r="M7931"/>
        </row>
        <row r="7932">
          <cell r="B7932"/>
          <cell r="C7932"/>
          <cell r="E7932"/>
          <cell r="F7932"/>
          <cell r="G7932"/>
          <cell r="H7932"/>
          <cell r="J7932"/>
          <cell r="L7932"/>
          <cell r="M7932"/>
        </row>
        <row r="7933">
          <cell r="B7933"/>
          <cell r="C7933"/>
          <cell r="E7933"/>
          <cell r="F7933"/>
          <cell r="G7933"/>
          <cell r="H7933"/>
          <cell r="J7933"/>
          <cell r="L7933"/>
          <cell r="M7933"/>
        </row>
        <row r="7934">
          <cell r="B7934"/>
          <cell r="C7934"/>
          <cell r="E7934"/>
          <cell r="F7934"/>
          <cell r="G7934"/>
          <cell r="H7934"/>
          <cell r="J7934"/>
          <cell r="L7934"/>
          <cell r="M7934"/>
        </row>
        <row r="7935">
          <cell r="B7935"/>
          <cell r="C7935"/>
          <cell r="E7935"/>
          <cell r="F7935"/>
          <cell r="G7935"/>
          <cell r="H7935"/>
          <cell r="J7935"/>
          <cell r="L7935"/>
          <cell r="M7935"/>
        </row>
        <row r="7936">
          <cell r="B7936"/>
          <cell r="C7936"/>
          <cell r="E7936"/>
          <cell r="F7936"/>
          <cell r="G7936"/>
          <cell r="H7936"/>
          <cell r="J7936"/>
          <cell r="L7936"/>
          <cell r="M7936"/>
        </row>
        <row r="7937">
          <cell r="B7937"/>
          <cell r="C7937"/>
          <cell r="E7937"/>
          <cell r="F7937"/>
          <cell r="G7937"/>
          <cell r="H7937"/>
          <cell r="J7937"/>
          <cell r="L7937"/>
          <cell r="M7937"/>
        </row>
        <row r="7938">
          <cell r="B7938"/>
          <cell r="C7938"/>
          <cell r="E7938"/>
          <cell r="F7938"/>
          <cell r="G7938"/>
          <cell r="H7938"/>
          <cell r="J7938"/>
          <cell r="L7938"/>
          <cell r="M7938"/>
        </row>
        <row r="7939">
          <cell r="B7939"/>
          <cell r="C7939"/>
          <cell r="E7939"/>
          <cell r="F7939"/>
          <cell r="G7939"/>
          <cell r="H7939"/>
          <cell r="J7939"/>
          <cell r="L7939"/>
          <cell r="M7939"/>
        </row>
        <row r="7940">
          <cell r="B7940"/>
          <cell r="C7940"/>
          <cell r="E7940"/>
          <cell r="F7940"/>
          <cell r="G7940"/>
          <cell r="H7940"/>
          <cell r="J7940"/>
          <cell r="L7940"/>
          <cell r="M7940"/>
        </row>
        <row r="7941">
          <cell r="B7941"/>
          <cell r="C7941"/>
          <cell r="E7941"/>
          <cell r="F7941"/>
          <cell r="G7941"/>
          <cell r="H7941"/>
          <cell r="J7941"/>
          <cell r="L7941"/>
          <cell r="M7941"/>
        </row>
        <row r="7942">
          <cell r="B7942"/>
          <cell r="C7942"/>
          <cell r="E7942"/>
          <cell r="F7942"/>
          <cell r="G7942"/>
          <cell r="H7942"/>
          <cell r="J7942"/>
          <cell r="L7942"/>
          <cell r="M7942"/>
        </row>
        <row r="7943">
          <cell r="B7943"/>
          <cell r="C7943"/>
          <cell r="E7943"/>
          <cell r="F7943"/>
          <cell r="G7943"/>
          <cell r="H7943"/>
          <cell r="J7943"/>
          <cell r="L7943"/>
          <cell r="M7943"/>
        </row>
        <row r="7944">
          <cell r="B7944"/>
          <cell r="C7944"/>
          <cell r="E7944"/>
          <cell r="F7944"/>
          <cell r="G7944"/>
          <cell r="H7944"/>
          <cell r="J7944"/>
          <cell r="L7944"/>
          <cell r="M7944"/>
        </row>
        <row r="7945">
          <cell r="B7945"/>
          <cell r="C7945"/>
          <cell r="E7945"/>
          <cell r="F7945"/>
          <cell r="G7945"/>
          <cell r="H7945"/>
          <cell r="J7945"/>
          <cell r="L7945"/>
          <cell r="M7945"/>
        </row>
        <row r="7946">
          <cell r="B7946"/>
          <cell r="C7946"/>
          <cell r="E7946"/>
          <cell r="F7946"/>
          <cell r="G7946"/>
          <cell r="H7946"/>
          <cell r="J7946"/>
          <cell r="L7946"/>
          <cell r="M7946"/>
        </row>
        <row r="7947">
          <cell r="B7947"/>
          <cell r="C7947"/>
          <cell r="E7947"/>
          <cell r="F7947"/>
          <cell r="G7947"/>
          <cell r="H7947"/>
          <cell r="J7947"/>
          <cell r="L7947"/>
          <cell r="M7947"/>
        </row>
        <row r="7948">
          <cell r="B7948"/>
          <cell r="C7948"/>
          <cell r="E7948"/>
          <cell r="F7948"/>
          <cell r="G7948"/>
          <cell r="H7948"/>
          <cell r="J7948"/>
          <cell r="L7948"/>
          <cell r="M7948"/>
        </row>
        <row r="7949">
          <cell r="B7949"/>
          <cell r="C7949"/>
          <cell r="E7949"/>
          <cell r="F7949"/>
          <cell r="G7949"/>
          <cell r="H7949"/>
          <cell r="J7949"/>
          <cell r="L7949"/>
          <cell r="M7949"/>
        </row>
        <row r="7950">
          <cell r="B7950"/>
          <cell r="C7950"/>
          <cell r="E7950"/>
          <cell r="F7950"/>
          <cell r="G7950"/>
          <cell r="H7950"/>
          <cell r="J7950"/>
          <cell r="L7950"/>
          <cell r="M7950"/>
        </row>
        <row r="7951">
          <cell r="B7951"/>
          <cell r="C7951"/>
          <cell r="E7951"/>
          <cell r="F7951"/>
          <cell r="G7951"/>
          <cell r="H7951"/>
          <cell r="J7951"/>
          <cell r="L7951"/>
          <cell r="M7951"/>
        </row>
        <row r="7952">
          <cell r="B7952"/>
          <cell r="C7952"/>
          <cell r="E7952"/>
          <cell r="F7952"/>
          <cell r="G7952"/>
          <cell r="H7952"/>
          <cell r="J7952"/>
          <cell r="L7952"/>
          <cell r="M7952"/>
        </row>
        <row r="7953">
          <cell r="B7953"/>
          <cell r="C7953"/>
          <cell r="E7953"/>
          <cell r="F7953"/>
          <cell r="G7953"/>
          <cell r="H7953"/>
          <cell r="J7953"/>
          <cell r="L7953"/>
          <cell r="M7953"/>
        </row>
        <row r="7954">
          <cell r="B7954"/>
          <cell r="C7954"/>
          <cell r="E7954"/>
          <cell r="F7954"/>
          <cell r="G7954"/>
          <cell r="H7954"/>
          <cell r="J7954"/>
          <cell r="L7954"/>
          <cell r="M7954"/>
        </row>
        <row r="7955">
          <cell r="B7955"/>
          <cell r="C7955"/>
          <cell r="E7955"/>
          <cell r="F7955"/>
          <cell r="G7955"/>
          <cell r="H7955"/>
          <cell r="J7955"/>
          <cell r="L7955"/>
          <cell r="M7955"/>
        </row>
        <row r="7956">
          <cell r="B7956"/>
          <cell r="C7956"/>
          <cell r="E7956"/>
          <cell r="F7956"/>
          <cell r="G7956"/>
          <cell r="H7956"/>
          <cell r="J7956"/>
          <cell r="L7956"/>
          <cell r="M7956"/>
        </row>
        <row r="7957">
          <cell r="B7957"/>
          <cell r="C7957"/>
          <cell r="E7957"/>
          <cell r="F7957"/>
          <cell r="G7957"/>
          <cell r="H7957"/>
          <cell r="J7957"/>
          <cell r="L7957"/>
          <cell r="M7957"/>
        </row>
        <row r="7958">
          <cell r="B7958"/>
          <cell r="C7958"/>
          <cell r="E7958"/>
          <cell r="F7958"/>
          <cell r="G7958"/>
          <cell r="H7958"/>
          <cell r="J7958"/>
          <cell r="L7958"/>
          <cell r="M7958"/>
        </row>
        <row r="7959">
          <cell r="B7959"/>
          <cell r="C7959"/>
          <cell r="E7959"/>
          <cell r="F7959"/>
          <cell r="G7959"/>
          <cell r="H7959"/>
          <cell r="J7959"/>
          <cell r="L7959"/>
          <cell r="M7959"/>
        </row>
        <row r="7960">
          <cell r="B7960"/>
          <cell r="C7960"/>
          <cell r="E7960"/>
          <cell r="F7960"/>
          <cell r="G7960"/>
          <cell r="H7960"/>
          <cell r="J7960"/>
          <cell r="L7960"/>
          <cell r="M7960"/>
        </row>
        <row r="7961">
          <cell r="B7961"/>
          <cell r="C7961"/>
          <cell r="E7961"/>
          <cell r="F7961"/>
          <cell r="G7961"/>
          <cell r="H7961"/>
          <cell r="J7961"/>
          <cell r="L7961"/>
          <cell r="M7961"/>
        </row>
        <row r="7962">
          <cell r="B7962"/>
          <cell r="C7962"/>
          <cell r="E7962"/>
          <cell r="F7962"/>
          <cell r="G7962"/>
          <cell r="H7962"/>
          <cell r="J7962"/>
          <cell r="L7962"/>
          <cell r="M7962"/>
        </row>
        <row r="7963">
          <cell r="B7963"/>
          <cell r="C7963"/>
          <cell r="E7963"/>
          <cell r="F7963"/>
          <cell r="G7963"/>
          <cell r="H7963"/>
          <cell r="J7963"/>
          <cell r="L7963"/>
          <cell r="M7963"/>
        </row>
        <row r="7964">
          <cell r="B7964"/>
          <cell r="C7964"/>
          <cell r="E7964"/>
          <cell r="F7964"/>
          <cell r="G7964"/>
          <cell r="H7964"/>
          <cell r="J7964"/>
          <cell r="L7964"/>
          <cell r="M7964"/>
        </row>
        <row r="7965">
          <cell r="B7965"/>
          <cell r="C7965"/>
          <cell r="E7965"/>
          <cell r="F7965"/>
          <cell r="G7965"/>
          <cell r="H7965"/>
          <cell r="J7965"/>
          <cell r="L7965"/>
          <cell r="M7965"/>
        </row>
        <row r="7966">
          <cell r="B7966"/>
          <cell r="C7966"/>
          <cell r="E7966"/>
          <cell r="F7966"/>
          <cell r="G7966"/>
          <cell r="H7966"/>
          <cell r="J7966"/>
          <cell r="L7966"/>
          <cell r="M7966"/>
        </row>
        <row r="7967">
          <cell r="B7967"/>
          <cell r="C7967"/>
          <cell r="E7967"/>
          <cell r="F7967"/>
          <cell r="G7967"/>
          <cell r="H7967"/>
          <cell r="J7967"/>
          <cell r="L7967"/>
          <cell r="M7967"/>
        </row>
        <row r="7968">
          <cell r="B7968"/>
          <cell r="C7968"/>
          <cell r="E7968"/>
          <cell r="F7968"/>
          <cell r="G7968"/>
          <cell r="H7968"/>
          <cell r="J7968"/>
          <cell r="L7968"/>
          <cell r="M7968"/>
        </row>
        <row r="7969">
          <cell r="B7969"/>
          <cell r="C7969"/>
          <cell r="E7969"/>
          <cell r="F7969"/>
          <cell r="G7969"/>
          <cell r="H7969"/>
          <cell r="J7969"/>
          <cell r="L7969"/>
          <cell r="M7969"/>
        </row>
        <row r="7970">
          <cell r="B7970"/>
          <cell r="C7970"/>
          <cell r="E7970"/>
          <cell r="F7970"/>
          <cell r="G7970"/>
          <cell r="H7970"/>
          <cell r="J7970"/>
          <cell r="L7970"/>
          <cell r="M7970"/>
        </row>
        <row r="7971">
          <cell r="B7971"/>
          <cell r="C7971"/>
          <cell r="E7971"/>
          <cell r="F7971"/>
          <cell r="G7971"/>
          <cell r="H7971"/>
          <cell r="J7971"/>
          <cell r="L7971"/>
          <cell r="M7971"/>
        </row>
        <row r="7972">
          <cell r="B7972"/>
          <cell r="C7972"/>
          <cell r="E7972"/>
          <cell r="F7972"/>
          <cell r="G7972"/>
          <cell r="H7972"/>
          <cell r="J7972"/>
          <cell r="L7972"/>
          <cell r="M7972"/>
        </row>
        <row r="7973">
          <cell r="B7973"/>
          <cell r="C7973"/>
          <cell r="E7973"/>
          <cell r="F7973"/>
          <cell r="G7973"/>
          <cell r="H7973"/>
          <cell r="J7973"/>
          <cell r="L7973"/>
          <cell r="M7973"/>
        </row>
        <row r="7974">
          <cell r="B7974"/>
          <cell r="C7974"/>
          <cell r="E7974"/>
          <cell r="F7974"/>
          <cell r="G7974"/>
          <cell r="H7974"/>
          <cell r="J7974"/>
          <cell r="L7974"/>
          <cell r="M7974"/>
        </row>
        <row r="7975">
          <cell r="B7975"/>
          <cell r="C7975"/>
          <cell r="E7975"/>
          <cell r="F7975"/>
          <cell r="G7975"/>
          <cell r="H7975"/>
          <cell r="J7975"/>
          <cell r="L7975"/>
          <cell r="M7975"/>
        </row>
        <row r="7976">
          <cell r="B7976"/>
          <cell r="C7976"/>
          <cell r="E7976"/>
          <cell r="F7976"/>
          <cell r="G7976"/>
          <cell r="H7976"/>
          <cell r="J7976"/>
          <cell r="L7976"/>
          <cell r="M7976"/>
        </row>
        <row r="7977">
          <cell r="B7977"/>
          <cell r="C7977"/>
          <cell r="E7977"/>
          <cell r="F7977"/>
          <cell r="G7977"/>
          <cell r="H7977"/>
          <cell r="J7977"/>
          <cell r="L7977"/>
          <cell r="M7977"/>
        </row>
        <row r="7978">
          <cell r="B7978"/>
          <cell r="C7978"/>
          <cell r="E7978"/>
          <cell r="F7978"/>
          <cell r="G7978"/>
          <cell r="H7978"/>
          <cell r="J7978"/>
          <cell r="L7978"/>
          <cell r="M7978"/>
        </row>
        <row r="7979">
          <cell r="B7979"/>
          <cell r="C7979"/>
          <cell r="E7979"/>
          <cell r="F7979"/>
          <cell r="G7979"/>
          <cell r="H7979"/>
          <cell r="J7979"/>
          <cell r="L7979"/>
          <cell r="M7979"/>
        </row>
        <row r="7980">
          <cell r="B7980"/>
          <cell r="C7980"/>
          <cell r="E7980"/>
          <cell r="F7980"/>
          <cell r="G7980"/>
          <cell r="H7980"/>
          <cell r="J7980"/>
          <cell r="L7980"/>
          <cell r="M7980"/>
        </row>
        <row r="7981">
          <cell r="B7981"/>
          <cell r="C7981"/>
          <cell r="E7981"/>
          <cell r="F7981"/>
          <cell r="G7981"/>
          <cell r="H7981"/>
          <cell r="J7981"/>
          <cell r="L7981"/>
          <cell r="M7981"/>
        </row>
        <row r="7982">
          <cell r="B7982"/>
          <cell r="C7982"/>
          <cell r="E7982"/>
          <cell r="F7982"/>
          <cell r="G7982"/>
          <cell r="H7982"/>
          <cell r="J7982"/>
          <cell r="L7982"/>
          <cell r="M7982"/>
        </row>
        <row r="7983">
          <cell r="B7983"/>
          <cell r="C7983"/>
          <cell r="E7983"/>
          <cell r="F7983"/>
          <cell r="G7983"/>
          <cell r="H7983"/>
          <cell r="J7983"/>
          <cell r="L7983"/>
          <cell r="M7983"/>
        </row>
        <row r="7984">
          <cell r="B7984"/>
          <cell r="C7984"/>
          <cell r="E7984"/>
          <cell r="F7984"/>
          <cell r="G7984"/>
          <cell r="H7984"/>
          <cell r="J7984"/>
          <cell r="L7984"/>
          <cell r="M7984"/>
        </row>
        <row r="7985">
          <cell r="B7985"/>
          <cell r="C7985"/>
          <cell r="E7985"/>
          <cell r="F7985"/>
          <cell r="G7985"/>
          <cell r="H7985"/>
          <cell r="J7985"/>
          <cell r="L7985"/>
          <cell r="M7985"/>
        </row>
        <row r="7986">
          <cell r="B7986"/>
          <cell r="C7986"/>
          <cell r="E7986"/>
          <cell r="F7986"/>
          <cell r="G7986"/>
          <cell r="H7986"/>
          <cell r="J7986"/>
          <cell r="L7986"/>
          <cell r="M7986"/>
        </row>
        <row r="7987">
          <cell r="B7987"/>
          <cell r="C7987"/>
          <cell r="E7987"/>
          <cell r="F7987"/>
          <cell r="G7987"/>
          <cell r="H7987"/>
          <cell r="J7987"/>
          <cell r="L7987"/>
          <cell r="M7987"/>
        </row>
        <row r="7988">
          <cell r="B7988"/>
          <cell r="C7988"/>
          <cell r="E7988"/>
          <cell r="F7988"/>
          <cell r="G7988"/>
          <cell r="H7988"/>
          <cell r="J7988"/>
          <cell r="L7988"/>
          <cell r="M7988"/>
        </row>
        <row r="7989">
          <cell r="B7989"/>
          <cell r="C7989"/>
          <cell r="E7989"/>
          <cell r="F7989"/>
          <cell r="G7989"/>
          <cell r="H7989"/>
          <cell r="J7989"/>
          <cell r="L7989"/>
          <cell r="M7989"/>
        </row>
        <row r="7990">
          <cell r="B7990"/>
          <cell r="C7990"/>
          <cell r="E7990"/>
          <cell r="F7990"/>
          <cell r="G7990"/>
          <cell r="H7990"/>
          <cell r="J7990"/>
          <cell r="L7990"/>
          <cell r="M7990"/>
        </row>
        <row r="7991">
          <cell r="B7991"/>
          <cell r="C7991"/>
          <cell r="E7991"/>
          <cell r="F7991"/>
          <cell r="G7991"/>
          <cell r="H7991"/>
          <cell r="J7991"/>
          <cell r="L7991"/>
          <cell r="M7991"/>
        </row>
        <row r="7992">
          <cell r="B7992"/>
          <cell r="C7992"/>
          <cell r="E7992"/>
          <cell r="F7992"/>
          <cell r="G7992"/>
          <cell r="H7992"/>
          <cell r="J7992"/>
          <cell r="L7992"/>
          <cell r="M7992"/>
        </row>
        <row r="7993">
          <cell r="B7993"/>
          <cell r="C7993"/>
          <cell r="E7993"/>
          <cell r="F7993"/>
          <cell r="G7993"/>
          <cell r="H7993"/>
          <cell r="J7993"/>
          <cell r="L7993"/>
          <cell r="M7993"/>
        </row>
        <row r="7994">
          <cell r="B7994"/>
          <cell r="C7994"/>
          <cell r="E7994"/>
          <cell r="F7994"/>
          <cell r="G7994"/>
          <cell r="H7994"/>
          <cell r="J7994"/>
          <cell r="L7994"/>
          <cell r="M7994"/>
        </row>
        <row r="7995">
          <cell r="B7995"/>
          <cell r="C7995"/>
          <cell r="E7995"/>
          <cell r="F7995"/>
          <cell r="G7995"/>
          <cell r="H7995"/>
          <cell r="J7995"/>
          <cell r="L7995"/>
          <cell r="M7995"/>
        </row>
        <row r="7996">
          <cell r="B7996"/>
          <cell r="C7996"/>
          <cell r="E7996"/>
          <cell r="F7996"/>
          <cell r="G7996"/>
          <cell r="H7996"/>
          <cell r="J7996"/>
          <cell r="L7996"/>
          <cell r="M7996"/>
        </row>
        <row r="7997">
          <cell r="B7997"/>
          <cell r="C7997"/>
          <cell r="E7997"/>
          <cell r="F7997"/>
          <cell r="G7997"/>
          <cell r="H7997"/>
          <cell r="J7997"/>
          <cell r="L7997"/>
          <cell r="M7997"/>
        </row>
        <row r="7998">
          <cell r="B7998"/>
          <cell r="C7998"/>
          <cell r="E7998"/>
          <cell r="F7998"/>
          <cell r="G7998"/>
          <cell r="H7998"/>
          <cell r="J7998"/>
          <cell r="L7998"/>
          <cell r="M7998"/>
        </row>
        <row r="7999">
          <cell r="B7999"/>
          <cell r="C7999"/>
          <cell r="E7999"/>
          <cell r="F7999"/>
          <cell r="G7999"/>
          <cell r="H7999"/>
          <cell r="J7999"/>
          <cell r="L7999"/>
          <cell r="M7999"/>
        </row>
        <row r="8000">
          <cell r="B8000"/>
          <cell r="C8000"/>
          <cell r="E8000"/>
          <cell r="F8000"/>
          <cell r="G8000"/>
          <cell r="H8000"/>
          <cell r="J8000"/>
          <cell r="L8000"/>
          <cell r="M8000"/>
        </row>
        <row r="8001">
          <cell r="B8001"/>
          <cell r="C8001"/>
          <cell r="E8001"/>
          <cell r="F8001"/>
          <cell r="G8001"/>
          <cell r="H8001"/>
          <cell r="J8001"/>
          <cell r="L8001"/>
          <cell r="M8001"/>
        </row>
        <row r="8002">
          <cell r="B8002"/>
          <cell r="C8002"/>
          <cell r="E8002"/>
          <cell r="F8002"/>
          <cell r="G8002"/>
          <cell r="H8002"/>
          <cell r="J8002"/>
          <cell r="L8002"/>
          <cell r="M8002"/>
        </row>
        <row r="8003">
          <cell r="B8003"/>
          <cell r="C8003"/>
          <cell r="E8003"/>
          <cell r="F8003"/>
          <cell r="G8003"/>
          <cell r="H8003"/>
          <cell r="J8003"/>
          <cell r="L8003"/>
          <cell r="M8003"/>
        </row>
        <row r="8004">
          <cell r="B8004"/>
          <cell r="C8004"/>
          <cell r="E8004"/>
          <cell r="F8004"/>
          <cell r="G8004"/>
          <cell r="H8004"/>
          <cell r="J8004"/>
          <cell r="L8004"/>
          <cell r="M8004"/>
        </row>
        <row r="8005">
          <cell r="B8005"/>
          <cell r="C8005"/>
          <cell r="E8005"/>
          <cell r="F8005"/>
          <cell r="G8005"/>
          <cell r="H8005"/>
          <cell r="J8005"/>
          <cell r="L8005"/>
          <cell r="M8005"/>
        </row>
        <row r="8006">
          <cell r="B8006"/>
          <cell r="C8006"/>
          <cell r="E8006"/>
          <cell r="F8006"/>
          <cell r="G8006"/>
          <cell r="H8006"/>
          <cell r="J8006"/>
          <cell r="L8006"/>
          <cell r="M8006"/>
        </row>
        <row r="8007">
          <cell r="B8007"/>
          <cell r="C8007"/>
          <cell r="E8007"/>
          <cell r="F8007"/>
          <cell r="G8007"/>
          <cell r="H8007"/>
          <cell r="J8007"/>
          <cell r="L8007"/>
          <cell r="M8007"/>
        </row>
        <row r="8008">
          <cell r="B8008"/>
          <cell r="C8008"/>
          <cell r="E8008"/>
          <cell r="F8008"/>
          <cell r="G8008"/>
          <cell r="H8008"/>
          <cell r="J8008"/>
          <cell r="L8008"/>
          <cell r="M8008"/>
        </row>
        <row r="8009">
          <cell r="B8009"/>
          <cell r="C8009"/>
          <cell r="E8009"/>
          <cell r="F8009"/>
          <cell r="G8009"/>
          <cell r="H8009"/>
          <cell r="J8009"/>
          <cell r="L8009"/>
          <cell r="M8009"/>
        </row>
        <row r="8010">
          <cell r="B8010"/>
          <cell r="C8010"/>
          <cell r="E8010"/>
          <cell r="F8010"/>
          <cell r="G8010"/>
          <cell r="H8010"/>
          <cell r="J8010"/>
          <cell r="L8010"/>
          <cell r="M8010"/>
        </row>
        <row r="8011">
          <cell r="B8011"/>
          <cell r="C8011"/>
          <cell r="E8011"/>
          <cell r="F8011"/>
          <cell r="G8011"/>
          <cell r="H8011"/>
          <cell r="J8011"/>
          <cell r="L8011"/>
          <cell r="M8011"/>
        </row>
        <row r="8012">
          <cell r="B8012"/>
          <cell r="C8012"/>
          <cell r="E8012"/>
          <cell r="F8012"/>
          <cell r="G8012"/>
          <cell r="H8012"/>
          <cell r="J8012"/>
          <cell r="L8012"/>
          <cell r="M8012"/>
        </row>
        <row r="8013">
          <cell r="B8013"/>
          <cell r="C8013"/>
          <cell r="E8013"/>
          <cell r="F8013"/>
          <cell r="G8013"/>
          <cell r="H8013"/>
          <cell r="J8013"/>
          <cell r="L8013"/>
          <cell r="M8013"/>
        </row>
        <row r="8014">
          <cell r="B8014"/>
          <cell r="C8014"/>
          <cell r="E8014"/>
          <cell r="F8014"/>
          <cell r="G8014"/>
          <cell r="H8014"/>
          <cell r="J8014"/>
          <cell r="L8014"/>
          <cell r="M8014"/>
        </row>
        <row r="8015">
          <cell r="B8015"/>
          <cell r="C8015"/>
          <cell r="E8015"/>
          <cell r="F8015"/>
          <cell r="G8015"/>
          <cell r="H8015"/>
          <cell r="J8015"/>
          <cell r="L8015"/>
          <cell r="M8015"/>
        </row>
        <row r="8016">
          <cell r="B8016"/>
          <cell r="C8016"/>
          <cell r="E8016"/>
          <cell r="F8016"/>
          <cell r="G8016"/>
          <cell r="H8016"/>
          <cell r="J8016"/>
          <cell r="L8016"/>
          <cell r="M8016"/>
        </row>
        <row r="8017">
          <cell r="B8017"/>
          <cell r="C8017"/>
          <cell r="E8017"/>
          <cell r="F8017"/>
          <cell r="G8017"/>
          <cell r="H8017"/>
          <cell r="J8017"/>
          <cell r="L8017"/>
          <cell r="M8017"/>
        </row>
        <row r="8018">
          <cell r="B8018"/>
          <cell r="C8018"/>
          <cell r="E8018"/>
          <cell r="F8018"/>
          <cell r="G8018"/>
          <cell r="H8018"/>
          <cell r="J8018"/>
          <cell r="L8018"/>
          <cell r="M8018"/>
        </row>
        <row r="8019">
          <cell r="B8019"/>
          <cell r="C8019"/>
          <cell r="E8019"/>
          <cell r="F8019"/>
          <cell r="G8019"/>
          <cell r="H8019"/>
          <cell r="J8019"/>
          <cell r="L8019"/>
          <cell r="M8019"/>
        </row>
        <row r="8020">
          <cell r="B8020"/>
          <cell r="C8020"/>
          <cell r="E8020"/>
          <cell r="F8020"/>
          <cell r="G8020"/>
          <cell r="H8020"/>
          <cell r="J8020"/>
          <cell r="L8020"/>
          <cell r="M8020"/>
        </row>
        <row r="8021">
          <cell r="B8021"/>
          <cell r="C8021"/>
          <cell r="E8021"/>
          <cell r="F8021"/>
          <cell r="G8021"/>
          <cell r="H8021"/>
          <cell r="J8021"/>
          <cell r="L8021"/>
          <cell r="M8021"/>
        </row>
        <row r="8022">
          <cell r="B8022"/>
          <cell r="C8022"/>
          <cell r="E8022"/>
          <cell r="F8022"/>
          <cell r="G8022"/>
          <cell r="H8022"/>
          <cell r="J8022"/>
          <cell r="L8022"/>
          <cell r="M8022"/>
        </row>
        <row r="8023">
          <cell r="B8023"/>
          <cell r="C8023"/>
          <cell r="E8023"/>
          <cell r="F8023"/>
          <cell r="G8023"/>
          <cell r="H8023"/>
          <cell r="J8023"/>
          <cell r="L8023"/>
          <cell r="M8023"/>
        </row>
        <row r="8024">
          <cell r="B8024"/>
          <cell r="C8024"/>
          <cell r="E8024"/>
          <cell r="F8024"/>
          <cell r="G8024"/>
          <cell r="H8024"/>
          <cell r="J8024"/>
          <cell r="L8024"/>
          <cell r="M8024"/>
        </row>
        <row r="8025">
          <cell r="B8025"/>
          <cell r="C8025"/>
          <cell r="E8025"/>
          <cell r="F8025"/>
          <cell r="G8025"/>
          <cell r="H8025"/>
          <cell r="J8025"/>
          <cell r="L8025"/>
          <cell r="M8025"/>
        </row>
        <row r="8026">
          <cell r="B8026"/>
          <cell r="C8026"/>
          <cell r="E8026"/>
          <cell r="F8026"/>
          <cell r="G8026"/>
          <cell r="H8026"/>
          <cell r="J8026"/>
          <cell r="L8026"/>
          <cell r="M8026"/>
        </row>
        <row r="8027">
          <cell r="B8027"/>
          <cell r="C8027"/>
          <cell r="E8027"/>
          <cell r="F8027"/>
          <cell r="G8027"/>
          <cell r="H8027"/>
          <cell r="J8027"/>
          <cell r="L8027"/>
          <cell r="M8027"/>
        </row>
        <row r="8028">
          <cell r="B8028"/>
          <cell r="C8028"/>
          <cell r="E8028"/>
          <cell r="F8028"/>
          <cell r="G8028"/>
          <cell r="H8028"/>
          <cell r="J8028"/>
          <cell r="L8028"/>
          <cell r="M8028"/>
        </row>
        <row r="8029">
          <cell r="B8029"/>
          <cell r="C8029"/>
          <cell r="E8029"/>
          <cell r="F8029"/>
          <cell r="G8029"/>
          <cell r="H8029"/>
          <cell r="J8029"/>
          <cell r="L8029"/>
          <cell r="M8029"/>
        </row>
        <row r="8030">
          <cell r="B8030"/>
          <cell r="C8030"/>
          <cell r="E8030"/>
          <cell r="F8030"/>
          <cell r="G8030"/>
          <cell r="H8030"/>
          <cell r="J8030"/>
          <cell r="L8030"/>
          <cell r="M8030"/>
        </row>
        <row r="8031">
          <cell r="B8031"/>
          <cell r="C8031"/>
          <cell r="E8031"/>
          <cell r="F8031"/>
          <cell r="G8031"/>
          <cell r="H8031"/>
          <cell r="J8031"/>
          <cell r="L8031"/>
          <cell r="M8031"/>
        </row>
        <row r="8032">
          <cell r="B8032"/>
          <cell r="C8032"/>
          <cell r="E8032"/>
          <cell r="F8032"/>
          <cell r="G8032"/>
          <cell r="H8032"/>
          <cell r="J8032"/>
          <cell r="L8032"/>
          <cell r="M8032"/>
        </row>
        <row r="8033">
          <cell r="B8033"/>
          <cell r="C8033"/>
          <cell r="E8033"/>
          <cell r="F8033"/>
          <cell r="G8033"/>
          <cell r="H8033"/>
          <cell r="J8033"/>
          <cell r="L8033"/>
          <cell r="M8033"/>
        </row>
        <row r="8034">
          <cell r="B8034"/>
          <cell r="C8034"/>
          <cell r="E8034"/>
          <cell r="F8034"/>
          <cell r="G8034"/>
          <cell r="H8034"/>
          <cell r="J8034"/>
          <cell r="L8034"/>
          <cell r="M8034"/>
        </row>
        <row r="8035">
          <cell r="B8035"/>
          <cell r="C8035"/>
          <cell r="E8035"/>
          <cell r="F8035"/>
          <cell r="G8035"/>
          <cell r="H8035"/>
          <cell r="J8035"/>
          <cell r="L8035"/>
          <cell r="M8035"/>
        </row>
        <row r="8036">
          <cell r="B8036"/>
          <cell r="C8036"/>
          <cell r="E8036"/>
          <cell r="F8036"/>
          <cell r="G8036"/>
          <cell r="H8036"/>
          <cell r="J8036"/>
          <cell r="L8036"/>
          <cell r="M8036"/>
        </row>
        <row r="8037">
          <cell r="B8037"/>
          <cell r="C8037"/>
          <cell r="E8037"/>
          <cell r="F8037"/>
          <cell r="G8037"/>
          <cell r="H8037"/>
          <cell r="J8037"/>
          <cell r="L8037"/>
          <cell r="M8037"/>
        </row>
        <row r="8038">
          <cell r="B8038"/>
          <cell r="C8038"/>
          <cell r="E8038"/>
          <cell r="F8038"/>
          <cell r="G8038"/>
          <cell r="H8038"/>
          <cell r="J8038"/>
          <cell r="L8038"/>
          <cell r="M8038"/>
        </row>
        <row r="8039">
          <cell r="B8039"/>
          <cell r="C8039"/>
          <cell r="E8039"/>
          <cell r="F8039"/>
          <cell r="G8039"/>
          <cell r="H8039"/>
          <cell r="J8039"/>
          <cell r="L8039"/>
          <cell r="M8039"/>
        </row>
        <row r="8040">
          <cell r="B8040"/>
          <cell r="C8040"/>
          <cell r="E8040"/>
          <cell r="F8040"/>
          <cell r="G8040"/>
          <cell r="H8040"/>
          <cell r="J8040"/>
          <cell r="L8040"/>
          <cell r="M8040"/>
        </row>
        <row r="8041">
          <cell r="B8041"/>
          <cell r="C8041"/>
          <cell r="E8041"/>
          <cell r="F8041"/>
          <cell r="G8041"/>
          <cell r="H8041"/>
          <cell r="J8041"/>
          <cell r="L8041"/>
          <cell r="M8041"/>
        </row>
        <row r="8042">
          <cell r="B8042"/>
          <cell r="C8042"/>
          <cell r="E8042"/>
          <cell r="F8042"/>
          <cell r="G8042"/>
          <cell r="H8042"/>
          <cell r="J8042"/>
          <cell r="L8042"/>
          <cell r="M8042"/>
        </row>
        <row r="8043">
          <cell r="B8043"/>
          <cell r="C8043"/>
          <cell r="E8043"/>
          <cell r="F8043"/>
          <cell r="G8043"/>
          <cell r="H8043"/>
          <cell r="J8043"/>
          <cell r="L8043"/>
          <cell r="M8043"/>
        </row>
        <row r="8044">
          <cell r="B8044"/>
          <cell r="C8044"/>
          <cell r="E8044"/>
          <cell r="F8044"/>
          <cell r="G8044"/>
          <cell r="H8044"/>
          <cell r="J8044"/>
          <cell r="L8044"/>
          <cell r="M8044"/>
        </row>
        <row r="8045">
          <cell r="B8045"/>
          <cell r="C8045"/>
          <cell r="E8045"/>
          <cell r="F8045"/>
          <cell r="G8045"/>
          <cell r="H8045"/>
          <cell r="J8045"/>
          <cell r="L8045"/>
          <cell r="M8045"/>
        </row>
        <row r="8046">
          <cell r="B8046"/>
          <cell r="C8046"/>
          <cell r="E8046"/>
          <cell r="F8046"/>
          <cell r="G8046"/>
          <cell r="H8046"/>
          <cell r="J8046"/>
          <cell r="L8046"/>
          <cell r="M8046"/>
        </row>
        <row r="8047">
          <cell r="B8047"/>
          <cell r="C8047"/>
          <cell r="E8047"/>
          <cell r="F8047"/>
          <cell r="G8047"/>
          <cell r="H8047"/>
          <cell r="J8047"/>
          <cell r="L8047"/>
          <cell r="M8047"/>
        </row>
        <row r="8048">
          <cell r="B8048"/>
          <cell r="C8048"/>
          <cell r="E8048"/>
          <cell r="F8048"/>
          <cell r="G8048"/>
          <cell r="H8048"/>
          <cell r="J8048"/>
          <cell r="L8048"/>
          <cell r="M8048"/>
        </row>
        <row r="8049">
          <cell r="B8049"/>
          <cell r="C8049"/>
          <cell r="E8049"/>
          <cell r="F8049"/>
          <cell r="G8049"/>
          <cell r="H8049"/>
          <cell r="J8049"/>
          <cell r="L8049"/>
          <cell r="M8049"/>
        </row>
        <row r="8050">
          <cell r="B8050"/>
          <cell r="C8050"/>
          <cell r="E8050"/>
          <cell r="F8050"/>
          <cell r="G8050"/>
          <cell r="H8050"/>
          <cell r="J8050"/>
          <cell r="L8050"/>
          <cell r="M8050"/>
        </row>
        <row r="8051">
          <cell r="B8051"/>
          <cell r="C8051"/>
          <cell r="E8051"/>
          <cell r="F8051"/>
          <cell r="G8051"/>
          <cell r="H8051"/>
          <cell r="J8051"/>
          <cell r="L8051"/>
          <cell r="M8051"/>
        </row>
        <row r="8052">
          <cell r="B8052"/>
          <cell r="C8052"/>
          <cell r="E8052"/>
          <cell r="F8052"/>
          <cell r="G8052"/>
          <cell r="H8052"/>
          <cell r="J8052"/>
          <cell r="L8052"/>
          <cell r="M8052"/>
        </row>
        <row r="8053">
          <cell r="B8053"/>
          <cell r="C8053"/>
          <cell r="E8053"/>
          <cell r="F8053"/>
          <cell r="G8053"/>
          <cell r="H8053"/>
          <cell r="J8053"/>
          <cell r="L8053"/>
          <cell r="M8053"/>
        </row>
        <row r="8054">
          <cell r="B8054"/>
          <cell r="C8054"/>
          <cell r="E8054"/>
          <cell r="F8054"/>
          <cell r="G8054"/>
          <cell r="H8054"/>
          <cell r="J8054"/>
          <cell r="L8054"/>
          <cell r="M8054"/>
        </row>
        <row r="8055">
          <cell r="B8055"/>
          <cell r="C8055"/>
          <cell r="E8055"/>
          <cell r="F8055"/>
          <cell r="G8055"/>
          <cell r="H8055"/>
          <cell r="J8055"/>
          <cell r="L8055"/>
          <cell r="M8055"/>
        </row>
        <row r="8056">
          <cell r="B8056"/>
          <cell r="C8056"/>
          <cell r="E8056"/>
          <cell r="F8056"/>
          <cell r="G8056"/>
          <cell r="H8056"/>
          <cell r="J8056"/>
          <cell r="L8056"/>
          <cell r="M8056"/>
        </row>
        <row r="8057">
          <cell r="B8057"/>
          <cell r="C8057"/>
          <cell r="E8057"/>
          <cell r="F8057"/>
          <cell r="G8057"/>
          <cell r="H8057"/>
          <cell r="J8057"/>
          <cell r="L8057"/>
          <cell r="M8057"/>
        </row>
        <row r="8058">
          <cell r="B8058"/>
          <cell r="C8058"/>
          <cell r="E8058"/>
          <cell r="F8058"/>
          <cell r="G8058"/>
          <cell r="H8058"/>
          <cell r="J8058"/>
          <cell r="L8058"/>
          <cell r="M8058"/>
        </row>
        <row r="8059">
          <cell r="B8059"/>
          <cell r="C8059"/>
          <cell r="E8059"/>
          <cell r="F8059"/>
          <cell r="G8059"/>
          <cell r="H8059"/>
          <cell r="J8059"/>
          <cell r="L8059"/>
          <cell r="M8059"/>
        </row>
        <row r="8060">
          <cell r="B8060"/>
          <cell r="C8060"/>
          <cell r="E8060"/>
          <cell r="F8060"/>
          <cell r="G8060"/>
          <cell r="H8060"/>
          <cell r="J8060"/>
          <cell r="L8060"/>
          <cell r="M8060"/>
        </row>
        <row r="8061">
          <cell r="B8061"/>
          <cell r="C8061"/>
          <cell r="E8061"/>
          <cell r="F8061"/>
          <cell r="G8061"/>
          <cell r="H8061"/>
          <cell r="J8061"/>
          <cell r="L8061"/>
          <cell r="M8061"/>
        </row>
        <row r="8062">
          <cell r="B8062"/>
          <cell r="C8062"/>
          <cell r="E8062"/>
          <cell r="F8062"/>
          <cell r="G8062"/>
          <cell r="H8062"/>
          <cell r="J8062"/>
          <cell r="L8062"/>
          <cell r="M8062"/>
        </row>
        <row r="8063">
          <cell r="B8063"/>
          <cell r="C8063"/>
          <cell r="E8063"/>
          <cell r="F8063"/>
          <cell r="G8063"/>
          <cell r="H8063"/>
          <cell r="J8063"/>
          <cell r="L8063"/>
          <cell r="M8063"/>
        </row>
        <row r="8064">
          <cell r="B8064"/>
          <cell r="C8064"/>
          <cell r="E8064"/>
          <cell r="F8064"/>
          <cell r="G8064"/>
          <cell r="H8064"/>
          <cell r="J8064"/>
          <cell r="L8064"/>
          <cell r="M8064"/>
        </row>
        <row r="8065">
          <cell r="B8065"/>
          <cell r="C8065"/>
          <cell r="E8065"/>
          <cell r="F8065"/>
          <cell r="G8065"/>
          <cell r="H8065"/>
          <cell r="J8065"/>
          <cell r="L8065"/>
          <cell r="M8065"/>
        </row>
        <row r="8066">
          <cell r="B8066"/>
          <cell r="C8066"/>
          <cell r="E8066"/>
          <cell r="F8066"/>
          <cell r="G8066"/>
          <cell r="H8066"/>
          <cell r="J8066"/>
          <cell r="L8066"/>
          <cell r="M8066"/>
        </row>
        <row r="8067">
          <cell r="B8067"/>
          <cell r="C8067"/>
          <cell r="E8067"/>
          <cell r="F8067"/>
          <cell r="G8067"/>
          <cell r="H8067"/>
          <cell r="J8067"/>
          <cell r="L8067"/>
          <cell r="M8067"/>
        </row>
        <row r="8068">
          <cell r="B8068"/>
          <cell r="C8068"/>
          <cell r="E8068"/>
          <cell r="F8068"/>
          <cell r="G8068"/>
          <cell r="H8068"/>
          <cell r="J8068"/>
          <cell r="L8068"/>
          <cell r="M8068"/>
        </row>
        <row r="8069">
          <cell r="B8069"/>
          <cell r="C8069"/>
          <cell r="E8069"/>
          <cell r="F8069"/>
          <cell r="G8069"/>
          <cell r="H8069"/>
          <cell r="J8069"/>
          <cell r="L8069"/>
          <cell r="M8069"/>
        </row>
        <row r="8070">
          <cell r="B8070"/>
          <cell r="C8070"/>
          <cell r="E8070"/>
          <cell r="F8070"/>
          <cell r="G8070"/>
          <cell r="H8070"/>
          <cell r="J8070"/>
          <cell r="L8070"/>
          <cell r="M8070"/>
        </row>
        <row r="8071">
          <cell r="B8071"/>
          <cell r="C8071"/>
          <cell r="E8071"/>
          <cell r="F8071"/>
          <cell r="G8071"/>
          <cell r="H8071"/>
          <cell r="J8071"/>
          <cell r="L8071"/>
          <cell r="M8071"/>
        </row>
        <row r="8072">
          <cell r="B8072"/>
          <cell r="C8072"/>
          <cell r="E8072"/>
          <cell r="F8072"/>
          <cell r="G8072"/>
          <cell r="H8072"/>
          <cell r="J8072"/>
          <cell r="L8072"/>
          <cell r="M8072"/>
        </row>
        <row r="8073">
          <cell r="B8073"/>
          <cell r="C8073"/>
          <cell r="E8073"/>
          <cell r="F8073"/>
          <cell r="G8073"/>
          <cell r="H8073"/>
          <cell r="J8073"/>
          <cell r="L8073"/>
          <cell r="M8073"/>
        </row>
        <row r="8074">
          <cell r="B8074"/>
          <cell r="C8074"/>
          <cell r="E8074"/>
          <cell r="F8074"/>
          <cell r="G8074"/>
          <cell r="H8074"/>
          <cell r="J8074"/>
          <cell r="L8074"/>
          <cell r="M8074"/>
        </row>
        <row r="8075">
          <cell r="B8075"/>
          <cell r="C8075"/>
          <cell r="E8075"/>
          <cell r="F8075"/>
          <cell r="G8075"/>
          <cell r="H8075"/>
          <cell r="J8075"/>
          <cell r="L8075"/>
          <cell r="M8075"/>
        </row>
        <row r="8076">
          <cell r="B8076"/>
          <cell r="C8076"/>
          <cell r="E8076"/>
          <cell r="F8076"/>
          <cell r="G8076"/>
          <cell r="H8076"/>
          <cell r="J8076"/>
          <cell r="L8076"/>
          <cell r="M8076"/>
        </row>
        <row r="8077">
          <cell r="B8077"/>
          <cell r="C8077"/>
          <cell r="E8077"/>
          <cell r="F8077"/>
          <cell r="G8077"/>
          <cell r="H8077"/>
          <cell r="J8077"/>
          <cell r="L8077"/>
          <cell r="M8077"/>
        </row>
        <row r="8078">
          <cell r="B8078"/>
          <cell r="C8078"/>
          <cell r="E8078"/>
          <cell r="F8078"/>
          <cell r="G8078"/>
          <cell r="H8078"/>
          <cell r="J8078"/>
          <cell r="L8078"/>
          <cell r="M8078"/>
        </row>
        <row r="8079">
          <cell r="B8079"/>
          <cell r="C8079"/>
          <cell r="E8079"/>
          <cell r="F8079"/>
          <cell r="G8079"/>
          <cell r="H8079"/>
          <cell r="J8079"/>
          <cell r="L8079"/>
          <cell r="M8079"/>
        </row>
        <row r="8080">
          <cell r="B8080"/>
          <cell r="C8080"/>
          <cell r="E8080"/>
          <cell r="F8080"/>
          <cell r="G8080"/>
          <cell r="H8080"/>
          <cell r="J8080"/>
          <cell r="L8080"/>
          <cell r="M8080"/>
        </row>
        <row r="8081">
          <cell r="B8081"/>
          <cell r="C8081"/>
          <cell r="E8081"/>
          <cell r="F8081"/>
          <cell r="G8081"/>
          <cell r="H8081"/>
          <cell r="J8081"/>
          <cell r="L8081"/>
          <cell r="M8081"/>
        </row>
        <row r="8082">
          <cell r="B8082"/>
          <cell r="C8082"/>
          <cell r="E8082"/>
          <cell r="F8082"/>
          <cell r="G8082"/>
          <cell r="H8082"/>
          <cell r="J8082"/>
          <cell r="L8082"/>
          <cell r="M8082"/>
        </row>
        <row r="8083">
          <cell r="B8083"/>
          <cell r="C8083"/>
          <cell r="E8083"/>
          <cell r="F8083"/>
          <cell r="G8083"/>
          <cell r="H8083"/>
          <cell r="J8083"/>
          <cell r="L8083"/>
          <cell r="M8083"/>
        </row>
        <row r="8084">
          <cell r="B8084"/>
          <cell r="C8084"/>
          <cell r="E8084"/>
          <cell r="F8084"/>
          <cell r="G8084"/>
          <cell r="H8084"/>
          <cell r="J8084"/>
          <cell r="L8084"/>
          <cell r="M8084"/>
        </row>
        <row r="8085">
          <cell r="B8085"/>
          <cell r="C8085"/>
          <cell r="E8085"/>
          <cell r="F8085"/>
          <cell r="G8085"/>
          <cell r="H8085"/>
          <cell r="J8085"/>
          <cell r="L8085"/>
          <cell r="M8085"/>
        </row>
        <row r="8086">
          <cell r="B8086"/>
          <cell r="C8086"/>
          <cell r="E8086"/>
          <cell r="F8086"/>
          <cell r="G8086"/>
          <cell r="H8086"/>
          <cell r="J8086"/>
          <cell r="L8086"/>
          <cell r="M8086"/>
        </row>
        <row r="8087">
          <cell r="B8087"/>
          <cell r="C8087"/>
          <cell r="E8087"/>
          <cell r="F8087"/>
          <cell r="G8087"/>
          <cell r="H8087"/>
          <cell r="J8087"/>
          <cell r="L8087"/>
          <cell r="M8087"/>
        </row>
        <row r="8088">
          <cell r="B8088"/>
          <cell r="C8088"/>
          <cell r="E8088"/>
          <cell r="F8088"/>
          <cell r="G8088"/>
          <cell r="H8088"/>
          <cell r="J8088"/>
          <cell r="L8088"/>
          <cell r="M8088"/>
        </row>
        <row r="8089">
          <cell r="B8089"/>
          <cell r="C8089"/>
          <cell r="E8089"/>
          <cell r="F8089"/>
          <cell r="G8089"/>
          <cell r="H8089"/>
          <cell r="J8089"/>
          <cell r="L8089"/>
          <cell r="M8089"/>
        </row>
        <row r="8090">
          <cell r="B8090"/>
          <cell r="C8090"/>
          <cell r="E8090"/>
          <cell r="F8090"/>
          <cell r="G8090"/>
          <cell r="H8090"/>
          <cell r="J8090"/>
          <cell r="L8090"/>
          <cell r="M8090"/>
        </row>
        <row r="8091">
          <cell r="B8091"/>
          <cell r="C8091"/>
          <cell r="E8091"/>
          <cell r="F8091"/>
          <cell r="G8091"/>
          <cell r="H8091"/>
          <cell r="J8091"/>
          <cell r="L8091"/>
          <cell r="M8091"/>
        </row>
        <row r="8092">
          <cell r="B8092"/>
          <cell r="C8092"/>
          <cell r="E8092"/>
          <cell r="F8092"/>
          <cell r="G8092"/>
          <cell r="H8092"/>
          <cell r="J8092"/>
          <cell r="L8092"/>
          <cell r="M8092"/>
        </row>
        <row r="8093">
          <cell r="B8093"/>
          <cell r="C8093"/>
          <cell r="E8093"/>
          <cell r="F8093"/>
          <cell r="G8093"/>
          <cell r="H8093"/>
          <cell r="J8093"/>
          <cell r="L8093"/>
          <cell r="M8093"/>
        </row>
        <row r="8094">
          <cell r="B8094"/>
          <cell r="C8094"/>
          <cell r="E8094"/>
          <cell r="F8094"/>
          <cell r="G8094"/>
          <cell r="H8094"/>
          <cell r="J8094"/>
          <cell r="L8094"/>
          <cell r="M8094"/>
        </row>
        <row r="8095">
          <cell r="B8095"/>
          <cell r="C8095"/>
          <cell r="E8095"/>
          <cell r="F8095"/>
          <cell r="G8095"/>
          <cell r="H8095"/>
          <cell r="J8095"/>
          <cell r="L8095"/>
          <cell r="M8095"/>
        </row>
        <row r="8096">
          <cell r="B8096"/>
          <cell r="C8096"/>
          <cell r="E8096"/>
          <cell r="F8096"/>
          <cell r="G8096"/>
          <cell r="H8096"/>
          <cell r="J8096"/>
          <cell r="L8096"/>
          <cell r="M8096"/>
        </row>
        <row r="8097">
          <cell r="B8097"/>
          <cell r="C8097"/>
          <cell r="E8097"/>
          <cell r="F8097"/>
          <cell r="G8097"/>
          <cell r="H8097"/>
          <cell r="J8097"/>
          <cell r="L8097"/>
          <cell r="M8097"/>
        </row>
        <row r="8098">
          <cell r="B8098"/>
          <cell r="C8098"/>
          <cell r="E8098"/>
          <cell r="F8098"/>
          <cell r="G8098"/>
          <cell r="H8098"/>
          <cell r="J8098"/>
          <cell r="L8098"/>
          <cell r="M8098"/>
        </row>
        <row r="8099">
          <cell r="B8099"/>
          <cell r="C8099"/>
          <cell r="E8099"/>
          <cell r="F8099"/>
          <cell r="G8099"/>
          <cell r="H8099"/>
          <cell r="J8099"/>
          <cell r="L8099"/>
          <cell r="M8099"/>
        </row>
        <row r="8100">
          <cell r="B8100"/>
          <cell r="C8100"/>
          <cell r="E8100"/>
          <cell r="F8100"/>
          <cell r="G8100"/>
          <cell r="H8100"/>
          <cell r="J8100"/>
          <cell r="L8100"/>
          <cell r="M8100"/>
        </row>
        <row r="8101">
          <cell r="B8101"/>
          <cell r="C8101"/>
          <cell r="E8101"/>
          <cell r="F8101"/>
          <cell r="G8101"/>
          <cell r="H8101"/>
          <cell r="J8101"/>
          <cell r="L8101"/>
          <cell r="M8101"/>
        </row>
        <row r="8102">
          <cell r="B8102"/>
          <cell r="C8102"/>
          <cell r="E8102"/>
          <cell r="F8102"/>
          <cell r="G8102"/>
          <cell r="H8102"/>
          <cell r="J8102"/>
          <cell r="L8102"/>
          <cell r="M8102"/>
        </row>
        <row r="8103">
          <cell r="B8103"/>
          <cell r="C8103"/>
          <cell r="E8103"/>
          <cell r="F8103"/>
          <cell r="G8103"/>
          <cell r="H8103"/>
          <cell r="J8103"/>
          <cell r="L8103"/>
          <cell r="M8103"/>
        </row>
        <row r="8104">
          <cell r="B8104"/>
          <cell r="C8104"/>
          <cell r="E8104"/>
          <cell r="F8104"/>
          <cell r="G8104"/>
          <cell r="H8104"/>
          <cell r="J8104"/>
          <cell r="L8104"/>
          <cell r="M8104"/>
        </row>
        <row r="8105">
          <cell r="B8105"/>
          <cell r="C8105"/>
          <cell r="E8105"/>
          <cell r="F8105"/>
          <cell r="G8105"/>
          <cell r="H8105"/>
          <cell r="J8105"/>
          <cell r="L8105"/>
          <cell r="M8105"/>
        </row>
        <row r="8106">
          <cell r="B8106"/>
          <cell r="C8106"/>
          <cell r="E8106"/>
          <cell r="F8106"/>
          <cell r="G8106"/>
          <cell r="H8106"/>
          <cell r="J8106"/>
          <cell r="L8106"/>
          <cell r="M8106"/>
        </row>
        <row r="8107">
          <cell r="B8107"/>
          <cell r="C8107"/>
          <cell r="E8107"/>
          <cell r="F8107"/>
          <cell r="G8107"/>
          <cell r="H8107"/>
          <cell r="J8107"/>
          <cell r="L8107"/>
          <cell r="M8107"/>
        </row>
        <row r="8108">
          <cell r="B8108"/>
          <cell r="C8108"/>
          <cell r="E8108"/>
          <cell r="F8108"/>
          <cell r="G8108"/>
          <cell r="H8108"/>
          <cell r="J8108"/>
          <cell r="L8108"/>
          <cell r="M8108"/>
        </row>
        <row r="8109">
          <cell r="B8109"/>
          <cell r="C8109"/>
          <cell r="E8109"/>
          <cell r="F8109"/>
          <cell r="G8109"/>
          <cell r="H8109"/>
          <cell r="J8109"/>
          <cell r="L8109"/>
          <cell r="M8109"/>
        </row>
        <row r="8110">
          <cell r="B8110"/>
          <cell r="C8110"/>
          <cell r="E8110"/>
          <cell r="F8110"/>
          <cell r="G8110"/>
          <cell r="H8110"/>
          <cell r="J8110"/>
          <cell r="L8110"/>
          <cell r="M8110"/>
        </row>
        <row r="8111">
          <cell r="B8111"/>
          <cell r="C8111"/>
          <cell r="E8111"/>
          <cell r="F8111"/>
          <cell r="G8111"/>
          <cell r="H8111"/>
          <cell r="J8111"/>
          <cell r="L8111"/>
          <cell r="M8111"/>
        </row>
        <row r="8112">
          <cell r="B8112"/>
          <cell r="C8112"/>
          <cell r="E8112"/>
          <cell r="F8112"/>
          <cell r="G8112"/>
          <cell r="H8112"/>
          <cell r="J8112"/>
          <cell r="L8112"/>
          <cell r="M8112"/>
        </row>
        <row r="8113">
          <cell r="B8113"/>
          <cell r="C8113"/>
          <cell r="E8113"/>
          <cell r="F8113"/>
          <cell r="G8113"/>
          <cell r="H8113"/>
          <cell r="J8113"/>
          <cell r="L8113"/>
          <cell r="M8113"/>
        </row>
        <row r="8114">
          <cell r="B8114"/>
          <cell r="C8114"/>
          <cell r="E8114"/>
          <cell r="F8114"/>
          <cell r="G8114"/>
          <cell r="H8114"/>
          <cell r="J8114"/>
          <cell r="L8114"/>
          <cell r="M8114"/>
        </row>
        <row r="8115">
          <cell r="B8115"/>
          <cell r="C8115"/>
          <cell r="E8115"/>
          <cell r="F8115"/>
          <cell r="G8115"/>
          <cell r="H8115"/>
          <cell r="J8115"/>
          <cell r="L8115"/>
          <cell r="M8115"/>
        </row>
        <row r="8116">
          <cell r="B8116"/>
          <cell r="C8116"/>
          <cell r="E8116"/>
          <cell r="F8116"/>
          <cell r="G8116"/>
          <cell r="H8116"/>
          <cell r="J8116"/>
          <cell r="L8116"/>
          <cell r="M8116"/>
        </row>
        <row r="8117">
          <cell r="B8117"/>
          <cell r="C8117"/>
          <cell r="E8117"/>
          <cell r="F8117"/>
          <cell r="G8117"/>
          <cell r="H8117"/>
          <cell r="J8117"/>
          <cell r="L8117"/>
          <cell r="M8117"/>
        </row>
        <row r="8118">
          <cell r="B8118"/>
          <cell r="C8118"/>
          <cell r="E8118"/>
          <cell r="F8118"/>
          <cell r="G8118"/>
          <cell r="H8118"/>
          <cell r="J8118"/>
          <cell r="L8118"/>
          <cell r="M8118"/>
        </row>
        <row r="8119">
          <cell r="B8119"/>
          <cell r="C8119"/>
          <cell r="E8119"/>
          <cell r="F8119"/>
          <cell r="G8119"/>
          <cell r="H8119"/>
          <cell r="J8119"/>
          <cell r="L8119"/>
          <cell r="M8119"/>
        </row>
        <row r="8120">
          <cell r="B8120"/>
          <cell r="C8120"/>
          <cell r="E8120"/>
          <cell r="F8120"/>
          <cell r="G8120"/>
          <cell r="H8120"/>
          <cell r="J8120"/>
          <cell r="L8120"/>
          <cell r="M8120"/>
        </row>
        <row r="8121">
          <cell r="B8121"/>
          <cell r="C8121"/>
          <cell r="E8121"/>
          <cell r="F8121"/>
          <cell r="G8121"/>
          <cell r="H8121"/>
          <cell r="J8121"/>
          <cell r="L8121"/>
          <cell r="M8121"/>
        </row>
        <row r="8122">
          <cell r="B8122"/>
          <cell r="C8122"/>
          <cell r="E8122"/>
          <cell r="F8122"/>
          <cell r="G8122"/>
          <cell r="H8122"/>
          <cell r="J8122"/>
          <cell r="L8122"/>
          <cell r="M8122"/>
        </row>
        <row r="8123">
          <cell r="B8123"/>
          <cell r="C8123"/>
          <cell r="E8123"/>
          <cell r="F8123"/>
          <cell r="G8123"/>
          <cell r="H8123"/>
          <cell r="J8123"/>
          <cell r="L8123"/>
          <cell r="M8123"/>
        </row>
        <row r="8124">
          <cell r="B8124"/>
          <cell r="C8124"/>
          <cell r="E8124"/>
          <cell r="F8124"/>
          <cell r="G8124"/>
          <cell r="H8124"/>
          <cell r="J8124"/>
          <cell r="L8124"/>
          <cell r="M8124"/>
        </row>
        <row r="8125">
          <cell r="B8125"/>
          <cell r="C8125"/>
          <cell r="E8125"/>
          <cell r="F8125"/>
          <cell r="G8125"/>
          <cell r="H8125"/>
          <cell r="J8125"/>
          <cell r="L8125"/>
          <cell r="M8125"/>
        </row>
        <row r="8126">
          <cell r="B8126"/>
          <cell r="C8126"/>
          <cell r="E8126"/>
          <cell r="F8126"/>
          <cell r="G8126"/>
          <cell r="H8126"/>
          <cell r="J8126"/>
          <cell r="L8126"/>
          <cell r="M8126"/>
        </row>
        <row r="8127">
          <cell r="B8127"/>
          <cell r="C8127"/>
          <cell r="E8127"/>
          <cell r="F8127"/>
          <cell r="G8127"/>
          <cell r="H8127"/>
          <cell r="J8127"/>
          <cell r="L8127"/>
          <cell r="M8127"/>
        </row>
        <row r="8128">
          <cell r="B8128"/>
          <cell r="C8128"/>
          <cell r="E8128"/>
          <cell r="F8128"/>
          <cell r="G8128"/>
          <cell r="H8128"/>
          <cell r="J8128"/>
          <cell r="L8128"/>
          <cell r="M8128"/>
        </row>
        <row r="8129">
          <cell r="B8129"/>
          <cell r="C8129"/>
          <cell r="E8129"/>
          <cell r="F8129"/>
          <cell r="G8129"/>
          <cell r="H8129"/>
          <cell r="J8129"/>
          <cell r="L8129"/>
          <cell r="M8129"/>
        </row>
        <row r="8130">
          <cell r="B8130"/>
          <cell r="C8130"/>
          <cell r="E8130"/>
          <cell r="F8130"/>
          <cell r="G8130"/>
          <cell r="H8130"/>
          <cell r="J8130"/>
          <cell r="L8130"/>
          <cell r="M8130"/>
        </row>
        <row r="8131">
          <cell r="B8131"/>
          <cell r="C8131"/>
          <cell r="E8131"/>
          <cell r="F8131"/>
          <cell r="G8131"/>
          <cell r="H8131"/>
          <cell r="J8131"/>
          <cell r="L8131"/>
          <cell r="M8131"/>
        </row>
        <row r="8132">
          <cell r="B8132"/>
          <cell r="C8132"/>
          <cell r="E8132"/>
          <cell r="F8132"/>
          <cell r="G8132"/>
          <cell r="H8132"/>
          <cell r="J8132"/>
          <cell r="L8132"/>
          <cell r="M8132"/>
        </row>
        <row r="8133">
          <cell r="B8133"/>
          <cell r="C8133"/>
          <cell r="E8133"/>
          <cell r="F8133"/>
          <cell r="G8133"/>
          <cell r="H8133"/>
          <cell r="J8133"/>
          <cell r="L8133"/>
          <cell r="M8133"/>
        </row>
        <row r="8134">
          <cell r="B8134"/>
          <cell r="C8134"/>
          <cell r="E8134"/>
          <cell r="F8134"/>
          <cell r="G8134"/>
          <cell r="H8134"/>
          <cell r="J8134"/>
          <cell r="L8134"/>
          <cell r="M8134"/>
        </row>
        <row r="8135">
          <cell r="B8135"/>
          <cell r="C8135"/>
          <cell r="E8135"/>
          <cell r="F8135"/>
          <cell r="G8135"/>
          <cell r="H8135"/>
          <cell r="J8135"/>
          <cell r="L8135"/>
          <cell r="M8135"/>
        </row>
        <row r="8136">
          <cell r="B8136"/>
          <cell r="C8136"/>
          <cell r="E8136"/>
          <cell r="F8136"/>
          <cell r="G8136"/>
          <cell r="H8136"/>
          <cell r="J8136"/>
          <cell r="L8136"/>
          <cell r="M8136"/>
        </row>
        <row r="8137">
          <cell r="B8137"/>
          <cell r="C8137"/>
          <cell r="E8137"/>
          <cell r="F8137"/>
          <cell r="G8137"/>
          <cell r="H8137"/>
          <cell r="J8137"/>
          <cell r="L8137"/>
          <cell r="M8137"/>
        </row>
        <row r="8138">
          <cell r="B8138"/>
          <cell r="C8138"/>
          <cell r="E8138"/>
          <cell r="F8138"/>
          <cell r="G8138"/>
          <cell r="H8138"/>
          <cell r="J8138"/>
          <cell r="L8138"/>
          <cell r="M8138"/>
        </row>
        <row r="8139">
          <cell r="B8139"/>
          <cell r="C8139"/>
          <cell r="E8139"/>
          <cell r="F8139"/>
          <cell r="G8139"/>
          <cell r="H8139"/>
          <cell r="J8139"/>
          <cell r="L8139"/>
          <cell r="M8139"/>
        </row>
        <row r="8140">
          <cell r="B8140"/>
          <cell r="C8140"/>
          <cell r="E8140"/>
          <cell r="F8140"/>
          <cell r="G8140"/>
          <cell r="H8140"/>
          <cell r="J8140"/>
          <cell r="L8140"/>
          <cell r="M8140"/>
        </row>
        <row r="8141">
          <cell r="B8141"/>
          <cell r="C8141"/>
          <cell r="E8141"/>
          <cell r="F8141"/>
          <cell r="G8141"/>
          <cell r="H8141"/>
          <cell r="J8141"/>
          <cell r="L8141"/>
          <cell r="M8141"/>
        </row>
        <row r="8142">
          <cell r="B8142"/>
          <cell r="C8142"/>
          <cell r="E8142"/>
          <cell r="F8142"/>
          <cell r="G8142"/>
          <cell r="H8142"/>
          <cell r="J8142"/>
          <cell r="L8142"/>
          <cell r="M8142"/>
        </row>
        <row r="8143">
          <cell r="B8143"/>
          <cell r="C8143"/>
          <cell r="E8143"/>
          <cell r="F8143"/>
          <cell r="G8143"/>
          <cell r="H8143"/>
          <cell r="J8143"/>
          <cell r="L8143"/>
          <cell r="M8143"/>
        </row>
        <row r="8144">
          <cell r="B8144"/>
          <cell r="C8144"/>
          <cell r="E8144"/>
          <cell r="F8144"/>
          <cell r="G8144"/>
          <cell r="H8144"/>
          <cell r="J8144"/>
          <cell r="L8144"/>
          <cell r="M8144"/>
        </row>
        <row r="8145">
          <cell r="B8145"/>
          <cell r="C8145"/>
          <cell r="E8145"/>
          <cell r="F8145"/>
          <cell r="G8145"/>
          <cell r="H8145"/>
          <cell r="J8145"/>
          <cell r="L8145"/>
          <cell r="M8145"/>
        </row>
        <row r="8146">
          <cell r="B8146"/>
          <cell r="C8146"/>
          <cell r="E8146"/>
          <cell r="F8146"/>
          <cell r="G8146"/>
          <cell r="H8146"/>
          <cell r="J8146"/>
          <cell r="L8146"/>
          <cell r="M8146"/>
        </row>
        <row r="8147">
          <cell r="B8147"/>
          <cell r="C8147"/>
          <cell r="E8147"/>
          <cell r="F8147"/>
          <cell r="G8147"/>
          <cell r="H8147"/>
          <cell r="J8147"/>
          <cell r="L8147"/>
          <cell r="M8147"/>
        </row>
        <row r="8148">
          <cell r="B8148"/>
          <cell r="C8148"/>
          <cell r="E8148"/>
          <cell r="F8148"/>
          <cell r="G8148"/>
          <cell r="H8148"/>
          <cell r="J8148"/>
          <cell r="L8148"/>
          <cell r="M8148"/>
        </row>
        <row r="8149">
          <cell r="B8149"/>
          <cell r="C8149"/>
          <cell r="E8149"/>
          <cell r="F8149"/>
          <cell r="G8149"/>
          <cell r="H8149"/>
          <cell r="J8149"/>
          <cell r="L8149"/>
          <cell r="M8149"/>
        </row>
        <row r="8150">
          <cell r="B8150"/>
          <cell r="C8150"/>
          <cell r="E8150"/>
          <cell r="F8150"/>
          <cell r="G8150"/>
          <cell r="H8150"/>
          <cell r="J8150"/>
          <cell r="L8150"/>
          <cell r="M8150"/>
        </row>
        <row r="8151">
          <cell r="B8151"/>
          <cell r="C8151"/>
          <cell r="E8151"/>
          <cell r="F8151"/>
          <cell r="G8151"/>
          <cell r="H8151"/>
          <cell r="J8151"/>
          <cell r="L8151"/>
          <cell r="M8151"/>
        </row>
        <row r="8152">
          <cell r="B8152"/>
          <cell r="C8152"/>
          <cell r="E8152"/>
          <cell r="F8152"/>
          <cell r="G8152"/>
          <cell r="H8152"/>
          <cell r="J8152"/>
          <cell r="L8152"/>
          <cell r="M8152"/>
        </row>
        <row r="8153">
          <cell r="B8153"/>
          <cell r="C8153"/>
          <cell r="E8153"/>
          <cell r="F8153"/>
          <cell r="G8153"/>
          <cell r="H8153"/>
          <cell r="J8153"/>
          <cell r="L8153"/>
          <cell r="M8153"/>
        </row>
        <row r="8154">
          <cell r="B8154"/>
          <cell r="C8154"/>
          <cell r="E8154"/>
          <cell r="F8154"/>
          <cell r="G8154"/>
          <cell r="H8154"/>
          <cell r="J8154"/>
          <cell r="L8154"/>
          <cell r="M8154"/>
        </row>
        <row r="8155">
          <cell r="B8155"/>
          <cell r="C8155"/>
          <cell r="E8155"/>
          <cell r="F8155"/>
          <cell r="G8155"/>
          <cell r="H8155"/>
          <cell r="J8155"/>
          <cell r="L8155"/>
          <cell r="M8155"/>
        </row>
        <row r="8156">
          <cell r="B8156"/>
          <cell r="C8156"/>
          <cell r="E8156"/>
          <cell r="F8156"/>
          <cell r="G8156"/>
          <cell r="H8156"/>
          <cell r="J8156"/>
          <cell r="L8156"/>
          <cell r="M8156"/>
        </row>
        <row r="8157">
          <cell r="B8157"/>
          <cell r="C8157"/>
          <cell r="E8157"/>
          <cell r="F8157"/>
          <cell r="G8157"/>
          <cell r="H8157"/>
          <cell r="J8157"/>
          <cell r="L8157"/>
          <cell r="M8157"/>
        </row>
        <row r="8158">
          <cell r="B8158"/>
          <cell r="C8158"/>
          <cell r="E8158"/>
          <cell r="F8158"/>
          <cell r="G8158"/>
          <cell r="H8158"/>
          <cell r="J8158"/>
          <cell r="L8158"/>
          <cell r="M8158"/>
        </row>
        <row r="8159">
          <cell r="B8159"/>
          <cell r="C8159"/>
          <cell r="E8159"/>
          <cell r="F8159"/>
          <cell r="G8159"/>
          <cell r="H8159"/>
          <cell r="J8159"/>
          <cell r="L8159"/>
          <cell r="M8159"/>
        </row>
        <row r="8160">
          <cell r="B8160"/>
          <cell r="C8160"/>
          <cell r="E8160"/>
          <cell r="F8160"/>
          <cell r="G8160"/>
          <cell r="H8160"/>
          <cell r="J8160"/>
          <cell r="L8160"/>
          <cell r="M8160"/>
        </row>
        <row r="8161">
          <cell r="B8161"/>
          <cell r="C8161"/>
          <cell r="E8161"/>
          <cell r="F8161"/>
          <cell r="G8161"/>
          <cell r="H8161"/>
          <cell r="J8161"/>
          <cell r="L8161"/>
          <cell r="M8161"/>
        </row>
        <row r="8162">
          <cell r="B8162"/>
          <cell r="C8162"/>
          <cell r="E8162"/>
          <cell r="F8162"/>
          <cell r="G8162"/>
          <cell r="H8162"/>
          <cell r="J8162"/>
          <cell r="L8162"/>
          <cell r="M8162"/>
        </row>
        <row r="8163">
          <cell r="B8163"/>
          <cell r="C8163"/>
          <cell r="E8163"/>
          <cell r="F8163"/>
          <cell r="G8163"/>
          <cell r="H8163"/>
          <cell r="J8163"/>
          <cell r="L8163"/>
          <cell r="M8163"/>
        </row>
        <row r="8164">
          <cell r="B8164"/>
          <cell r="C8164"/>
          <cell r="E8164"/>
          <cell r="F8164"/>
          <cell r="G8164"/>
          <cell r="H8164"/>
          <cell r="J8164"/>
          <cell r="L8164"/>
          <cell r="M8164"/>
        </row>
        <row r="8165">
          <cell r="B8165"/>
          <cell r="C8165"/>
          <cell r="E8165"/>
          <cell r="F8165"/>
          <cell r="G8165"/>
          <cell r="H8165"/>
          <cell r="J8165"/>
          <cell r="L8165"/>
          <cell r="M8165"/>
        </row>
        <row r="8166">
          <cell r="B8166"/>
          <cell r="C8166"/>
          <cell r="E8166"/>
          <cell r="F8166"/>
          <cell r="G8166"/>
          <cell r="H8166"/>
          <cell r="J8166"/>
          <cell r="L8166"/>
          <cell r="M8166"/>
        </row>
        <row r="8167">
          <cell r="B8167"/>
          <cell r="C8167"/>
          <cell r="E8167"/>
          <cell r="F8167"/>
          <cell r="G8167"/>
          <cell r="H8167"/>
          <cell r="J8167"/>
          <cell r="L8167"/>
          <cell r="M8167"/>
        </row>
        <row r="8168">
          <cell r="B8168"/>
          <cell r="C8168"/>
          <cell r="E8168"/>
          <cell r="F8168"/>
          <cell r="G8168"/>
          <cell r="H8168"/>
          <cell r="J8168"/>
          <cell r="L8168"/>
          <cell r="M8168"/>
        </row>
        <row r="8169">
          <cell r="B8169"/>
          <cell r="C8169"/>
          <cell r="E8169"/>
          <cell r="F8169"/>
          <cell r="G8169"/>
          <cell r="H8169"/>
          <cell r="J8169"/>
          <cell r="L8169"/>
          <cell r="M8169"/>
        </row>
        <row r="8170">
          <cell r="B8170"/>
          <cell r="C8170"/>
          <cell r="E8170"/>
          <cell r="F8170"/>
          <cell r="G8170"/>
          <cell r="H8170"/>
          <cell r="J8170"/>
          <cell r="L8170"/>
          <cell r="M8170"/>
        </row>
        <row r="8171">
          <cell r="B8171"/>
          <cell r="C8171"/>
          <cell r="E8171"/>
          <cell r="F8171"/>
          <cell r="G8171"/>
          <cell r="H8171"/>
          <cell r="J8171"/>
          <cell r="L8171"/>
          <cell r="M8171"/>
        </row>
        <row r="8172">
          <cell r="B8172"/>
          <cell r="C8172"/>
          <cell r="E8172"/>
          <cell r="F8172"/>
          <cell r="G8172"/>
          <cell r="H8172"/>
          <cell r="J8172"/>
          <cell r="L8172"/>
          <cell r="M8172"/>
        </row>
        <row r="8173">
          <cell r="B8173"/>
          <cell r="C8173"/>
          <cell r="E8173"/>
          <cell r="F8173"/>
          <cell r="G8173"/>
          <cell r="H8173"/>
          <cell r="J8173"/>
          <cell r="L8173"/>
          <cell r="M8173"/>
        </row>
        <row r="8174">
          <cell r="B8174"/>
          <cell r="C8174"/>
          <cell r="E8174"/>
          <cell r="F8174"/>
          <cell r="G8174"/>
          <cell r="H8174"/>
          <cell r="J8174"/>
          <cell r="L8174"/>
          <cell r="M8174"/>
        </row>
        <row r="8175">
          <cell r="B8175"/>
          <cell r="C8175"/>
          <cell r="E8175"/>
          <cell r="F8175"/>
          <cell r="G8175"/>
          <cell r="H8175"/>
          <cell r="J8175"/>
          <cell r="L8175"/>
          <cell r="M8175"/>
        </row>
        <row r="8176">
          <cell r="B8176"/>
          <cell r="C8176"/>
          <cell r="E8176"/>
          <cell r="F8176"/>
          <cell r="G8176"/>
          <cell r="H8176"/>
          <cell r="J8176"/>
          <cell r="L8176"/>
          <cell r="M8176"/>
        </row>
        <row r="8177">
          <cell r="B8177"/>
          <cell r="C8177"/>
          <cell r="E8177"/>
          <cell r="F8177"/>
          <cell r="G8177"/>
          <cell r="H8177"/>
          <cell r="J8177"/>
          <cell r="L8177"/>
          <cell r="M8177"/>
        </row>
        <row r="8178">
          <cell r="B8178"/>
          <cell r="C8178"/>
          <cell r="E8178"/>
          <cell r="F8178"/>
          <cell r="G8178"/>
          <cell r="H8178"/>
          <cell r="J8178"/>
          <cell r="L8178"/>
          <cell r="M8178"/>
        </row>
        <row r="8179">
          <cell r="B8179"/>
          <cell r="C8179"/>
          <cell r="E8179"/>
          <cell r="F8179"/>
          <cell r="G8179"/>
          <cell r="H8179"/>
          <cell r="J8179"/>
          <cell r="L8179"/>
          <cell r="M8179"/>
        </row>
        <row r="8180">
          <cell r="B8180"/>
          <cell r="C8180"/>
          <cell r="E8180"/>
          <cell r="F8180"/>
          <cell r="G8180"/>
          <cell r="H8180"/>
          <cell r="J8180"/>
          <cell r="L8180"/>
          <cell r="M8180"/>
        </row>
        <row r="8181">
          <cell r="B8181"/>
          <cell r="C8181"/>
          <cell r="E8181"/>
          <cell r="F8181"/>
          <cell r="G8181"/>
          <cell r="H8181"/>
          <cell r="J8181"/>
          <cell r="L8181"/>
          <cell r="M8181"/>
        </row>
        <row r="8182">
          <cell r="B8182"/>
          <cell r="C8182"/>
          <cell r="E8182"/>
          <cell r="F8182"/>
          <cell r="G8182"/>
          <cell r="H8182"/>
          <cell r="J8182"/>
          <cell r="L8182"/>
          <cell r="M8182"/>
        </row>
        <row r="8183">
          <cell r="B8183"/>
          <cell r="C8183"/>
          <cell r="E8183"/>
          <cell r="F8183"/>
          <cell r="G8183"/>
          <cell r="H8183"/>
          <cell r="J8183"/>
          <cell r="L8183"/>
          <cell r="M8183"/>
        </row>
        <row r="8184">
          <cell r="B8184"/>
          <cell r="C8184"/>
          <cell r="E8184"/>
          <cell r="F8184"/>
          <cell r="G8184"/>
          <cell r="H8184"/>
          <cell r="J8184"/>
          <cell r="L8184"/>
          <cell r="M8184"/>
        </row>
        <row r="8185">
          <cell r="B8185"/>
          <cell r="C8185"/>
          <cell r="E8185"/>
          <cell r="F8185"/>
          <cell r="G8185"/>
          <cell r="H8185"/>
          <cell r="J8185"/>
          <cell r="L8185"/>
          <cell r="M8185"/>
        </row>
        <row r="8186">
          <cell r="B8186"/>
          <cell r="C8186"/>
          <cell r="E8186"/>
          <cell r="F8186"/>
          <cell r="G8186"/>
          <cell r="H8186"/>
          <cell r="J8186"/>
          <cell r="L8186"/>
          <cell r="M8186"/>
        </row>
        <row r="8187">
          <cell r="B8187"/>
          <cell r="C8187"/>
          <cell r="E8187"/>
          <cell r="F8187"/>
          <cell r="G8187"/>
          <cell r="H8187"/>
          <cell r="J8187"/>
          <cell r="L8187"/>
          <cell r="M8187"/>
        </row>
        <row r="8188">
          <cell r="B8188"/>
          <cell r="C8188"/>
          <cell r="E8188"/>
          <cell r="F8188"/>
          <cell r="G8188"/>
          <cell r="H8188"/>
          <cell r="J8188"/>
          <cell r="L8188"/>
          <cell r="M8188"/>
        </row>
        <row r="8189">
          <cell r="B8189"/>
          <cell r="C8189"/>
          <cell r="E8189"/>
          <cell r="F8189"/>
          <cell r="G8189"/>
          <cell r="H8189"/>
          <cell r="J8189"/>
          <cell r="L8189"/>
          <cell r="M8189"/>
        </row>
        <row r="8190">
          <cell r="B8190"/>
          <cell r="C8190"/>
          <cell r="E8190"/>
          <cell r="F8190"/>
          <cell r="G8190"/>
          <cell r="H8190"/>
          <cell r="J8190"/>
          <cell r="L8190"/>
          <cell r="M8190"/>
        </row>
        <row r="8191">
          <cell r="B8191"/>
          <cell r="C8191"/>
          <cell r="E8191"/>
          <cell r="F8191"/>
          <cell r="G8191"/>
          <cell r="H8191"/>
          <cell r="J8191"/>
          <cell r="L8191"/>
          <cell r="M8191"/>
        </row>
        <row r="8192">
          <cell r="B8192"/>
          <cell r="C8192"/>
          <cell r="E8192"/>
          <cell r="F8192"/>
          <cell r="G8192"/>
          <cell r="H8192"/>
          <cell r="J8192"/>
          <cell r="L8192"/>
          <cell r="M8192"/>
        </row>
        <row r="8193">
          <cell r="B8193"/>
          <cell r="C8193"/>
          <cell r="E8193"/>
          <cell r="F8193"/>
          <cell r="G8193"/>
          <cell r="H8193"/>
          <cell r="J8193"/>
          <cell r="L8193"/>
          <cell r="M8193"/>
        </row>
        <row r="8194">
          <cell r="B8194"/>
          <cell r="C8194"/>
          <cell r="E8194"/>
          <cell r="F8194"/>
          <cell r="G8194"/>
          <cell r="H8194"/>
          <cell r="J8194"/>
          <cell r="L8194"/>
          <cell r="M8194"/>
        </row>
        <row r="8195">
          <cell r="B8195"/>
          <cell r="C8195"/>
          <cell r="E8195"/>
          <cell r="F8195"/>
          <cell r="G8195"/>
          <cell r="H8195"/>
          <cell r="J8195"/>
          <cell r="L8195"/>
          <cell r="M8195"/>
        </row>
        <row r="8196">
          <cell r="B8196"/>
          <cell r="C8196"/>
          <cell r="E8196"/>
          <cell r="F8196"/>
          <cell r="G8196"/>
          <cell r="H8196"/>
          <cell r="J8196"/>
          <cell r="L8196"/>
          <cell r="M8196"/>
        </row>
        <row r="8197">
          <cell r="B8197"/>
          <cell r="C8197"/>
          <cell r="E8197"/>
          <cell r="F8197"/>
          <cell r="G8197"/>
          <cell r="H8197"/>
          <cell r="J8197"/>
          <cell r="L8197"/>
          <cell r="M8197"/>
        </row>
        <row r="8198">
          <cell r="B8198"/>
          <cell r="C8198"/>
          <cell r="E8198"/>
          <cell r="F8198"/>
          <cell r="G8198"/>
          <cell r="H8198"/>
          <cell r="J8198"/>
          <cell r="L8198"/>
          <cell r="M8198"/>
        </row>
        <row r="8199">
          <cell r="B8199"/>
          <cell r="C8199"/>
          <cell r="E8199"/>
          <cell r="F8199"/>
          <cell r="G8199"/>
          <cell r="H8199"/>
          <cell r="J8199"/>
          <cell r="L8199"/>
          <cell r="M8199"/>
        </row>
        <row r="8200">
          <cell r="B8200"/>
          <cell r="C8200"/>
          <cell r="E8200"/>
          <cell r="F8200"/>
          <cell r="G8200"/>
          <cell r="H8200"/>
          <cell r="J8200"/>
          <cell r="L8200"/>
          <cell r="M8200"/>
        </row>
        <row r="8201">
          <cell r="B8201"/>
          <cell r="C8201"/>
          <cell r="E8201"/>
          <cell r="F8201"/>
          <cell r="G8201"/>
          <cell r="H8201"/>
          <cell r="J8201"/>
          <cell r="L8201"/>
          <cell r="M8201"/>
        </row>
        <row r="8202">
          <cell r="B8202"/>
          <cell r="C8202"/>
          <cell r="E8202"/>
          <cell r="F8202"/>
          <cell r="G8202"/>
          <cell r="H8202"/>
          <cell r="J8202"/>
          <cell r="L8202"/>
          <cell r="M8202"/>
        </row>
        <row r="8203">
          <cell r="B8203"/>
          <cell r="C8203"/>
          <cell r="E8203"/>
          <cell r="F8203"/>
          <cell r="G8203"/>
          <cell r="H8203"/>
          <cell r="J8203"/>
          <cell r="L8203"/>
          <cell r="M8203"/>
        </row>
        <row r="8204">
          <cell r="B8204"/>
          <cell r="C8204"/>
          <cell r="E8204"/>
          <cell r="F8204"/>
          <cell r="G8204"/>
          <cell r="H8204"/>
          <cell r="J8204"/>
          <cell r="L8204"/>
          <cell r="M8204"/>
        </row>
        <row r="8205">
          <cell r="B8205"/>
          <cell r="C8205"/>
          <cell r="E8205"/>
          <cell r="F8205"/>
          <cell r="G8205"/>
          <cell r="H8205"/>
          <cell r="J8205"/>
          <cell r="L8205"/>
          <cell r="M8205"/>
        </row>
        <row r="8206">
          <cell r="B8206"/>
          <cell r="C8206"/>
          <cell r="E8206"/>
          <cell r="F8206"/>
          <cell r="G8206"/>
          <cell r="H8206"/>
          <cell r="J8206"/>
          <cell r="L8206"/>
          <cell r="M8206"/>
        </row>
        <row r="8207">
          <cell r="B8207"/>
          <cell r="C8207"/>
          <cell r="E8207"/>
          <cell r="F8207"/>
          <cell r="G8207"/>
          <cell r="H8207"/>
          <cell r="J8207"/>
          <cell r="L8207"/>
          <cell r="M8207"/>
        </row>
        <row r="8208">
          <cell r="B8208"/>
          <cell r="C8208"/>
          <cell r="E8208"/>
          <cell r="F8208"/>
          <cell r="G8208"/>
          <cell r="H8208"/>
          <cell r="J8208"/>
          <cell r="L8208"/>
          <cell r="M8208"/>
        </row>
        <row r="8209">
          <cell r="B8209"/>
          <cell r="C8209"/>
          <cell r="E8209"/>
          <cell r="F8209"/>
          <cell r="G8209"/>
          <cell r="H8209"/>
          <cell r="J8209"/>
          <cell r="L8209"/>
          <cell r="M8209"/>
        </row>
        <row r="8210">
          <cell r="B8210"/>
          <cell r="C8210"/>
          <cell r="E8210"/>
          <cell r="F8210"/>
          <cell r="G8210"/>
          <cell r="H8210"/>
          <cell r="J8210"/>
          <cell r="L8210"/>
          <cell r="M8210"/>
        </row>
        <row r="8211">
          <cell r="B8211"/>
          <cell r="C8211"/>
          <cell r="E8211"/>
          <cell r="F8211"/>
          <cell r="G8211"/>
          <cell r="H8211"/>
          <cell r="J8211"/>
          <cell r="L8211"/>
          <cell r="M8211"/>
        </row>
        <row r="8212">
          <cell r="B8212"/>
          <cell r="C8212"/>
          <cell r="E8212"/>
          <cell r="F8212"/>
          <cell r="G8212"/>
          <cell r="H8212"/>
          <cell r="J8212"/>
          <cell r="L8212"/>
          <cell r="M8212"/>
        </row>
        <row r="8213">
          <cell r="B8213"/>
          <cell r="C8213"/>
          <cell r="E8213"/>
          <cell r="F8213"/>
          <cell r="G8213"/>
          <cell r="H8213"/>
          <cell r="J8213"/>
          <cell r="L8213"/>
          <cell r="M8213"/>
        </row>
        <row r="8214">
          <cell r="B8214"/>
          <cell r="C8214"/>
          <cell r="E8214"/>
          <cell r="F8214"/>
          <cell r="G8214"/>
          <cell r="H8214"/>
          <cell r="J8214"/>
          <cell r="L8214"/>
          <cell r="M8214"/>
        </row>
        <row r="8215">
          <cell r="B8215"/>
          <cell r="C8215"/>
          <cell r="E8215"/>
          <cell r="F8215"/>
          <cell r="G8215"/>
          <cell r="H8215"/>
          <cell r="J8215"/>
          <cell r="L8215"/>
          <cell r="M8215"/>
        </row>
        <row r="8216">
          <cell r="B8216"/>
          <cell r="C8216"/>
          <cell r="E8216"/>
          <cell r="F8216"/>
          <cell r="G8216"/>
          <cell r="H8216"/>
          <cell r="J8216"/>
          <cell r="L8216"/>
          <cell r="M8216"/>
        </row>
        <row r="8217">
          <cell r="B8217"/>
          <cell r="C8217"/>
          <cell r="E8217"/>
          <cell r="F8217"/>
          <cell r="G8217"/>
          <cell r="H8217"/>
          <cell r="J8217"/>
          <cell r="L8217"/>
          <cell r="M8217"/>
        </row>
        <row r="8218">
          <cell r="B8218"/>
          <cell r="C8218"/>
          <cell r="E8218"/>
          <cell r="F8218"/>
          <cell r="G8218"/>
          <cell r="H8218"/>
          <cell r="J8218"/>
          <cell r="L8218"/>
          <cell r="M8218"/>
        </row>
        <row r="8219">
          <cell r="B8219"/>
          <cell r="C8219"/>
          <cell r="E8219"/>
          <cell r="F8219"/>
          <cell r="G8219"/>
          <cell r="H8219"/>
          <cell r="J8219"/>
          <cell r="L8219"/>
          <cell r="M8219"/>
        </row>
        <row r="8220">
          <cell r="B8220"/>
          <cell r="C8220"/>
          <cell r="E8220"/>
          <cell r="F8220"/>
          <cell r="G8220"/>
          <cell r="H8220"/>
          <cell r="J8220"/>
          <cell r="L8220"/>
          <cell r="M8220"/>
        </row>
        <row r="8221">
          <cell r="B8221"/>
          <cell r="C8221"/>
          <cell r="E8221"/>
          <cell r="F8221"/>
          <cell r="G8221"/>
          <cell r="H8221"/>
          <cell r="J8221"/>
          <cell r="L8221"/>
          <cell r="M8221"/>
        </row>
        <row r="8222">
          <cell r="B8222"/>
          <cell r="C8222"/>
          <cell r="E8222"/>
          <cell r="F8222"/>
          <cell r="G8222"/>
          <cell r="H8222"/>
          <cell r="J8222"/>
          <cell r="L8222"/>
          <cell r="M8222"/>
        </row>
        <row r="8223">
          <cell r="B8223"/>
          <cell r="C8223"/>
          <cell r="E8223"/>
          <cell r="F8223"/>
          <cell r="G8223"/>
          <cell r="H8223"/>
          <cell r="J8223"/>
          <cell r="L8223"/>
          <cell r="M8223"/>
        </row>
        <row r="8224">
          <cell r="B8224"/>
          <cell r="C8224"/>
          <cell r="E8224"/>
          <cell r="F8224"/>
          <cell r="G8224"/>
          <cell r="H8224"/>
          <cell r="J8224"/>
          <cell r="L8224"/>
          <cell r="M8224"/>
        </row>
        <row r="8225">
          <cell r="B8225"/>
          <cell r="C8225"/>
          <cell r="E8225"/>
          <cell r="F8225"/>
          <cell r="G8225"/>
          <cell r="H8225"/>
          <cell r="J8225"/>
          <cell r="L8225"/>
          <cell r="M8225"/>
        </row>
        <row r="8226">
          <cell r="B8226"/>
          <cell r="C8226"/>
          <cell r="E8226"/>
          <cell r="F8226"/>
          <cell r="G8226"/>
          <cell r="H8226"/>
          <cell r="J8226"/>
          <cell r="L8226"/>
          <cell r="M8226"/>
        </row>
        <row r="8227">
          <cell r="B8227"/>
          <cell r="C8227"/>
          <cell r="E8227"/>
          <cell r="F8227"/>
          <cell r="G8227"/>
          <cell r="H8227"/>
          <cell r="J8227"/>
          <cell r="L8227"/>
          <cell r="M8227"/>
        </row>
        <row r="8228">
          <cell r="B8228"/>
          <cell r="C8228"/>
          <cell r="E8228"/>
          <cell r="F8228"/>
          <cell r="G8228"/>
          <cell r="H8228"/>
          <cell r="J8228"/>
          <cell r="L8228"/>
          <cell r="M8228"/>
        </row>
        <row r="8229">
          <cell r="B8229"/>
          <cell r="C8229"/>
          <cell r="E8229"/>
          <cell r="F8229"/>
          <cell r="G8229"/>
          <cell r="H8229"/>
          <cell r="J8229"/>
          <cell r="L8229"/>
          <cell r="M8229"/>
        </row>
        <row r="8230">
          <cell r="B8230"/>
          <cell r="C8230"/>
          <cell r="E8230"/>
          <cell r="F8230"/>
          <cell r="G8230"/>
          <cell r="H8230"/>
          <cell r="J8230"/>
          <cell r="L8230"/>
          <cell r="M8230"/>
        </row>
        <row r="8231">
          <cell r="B8231"/>
          <cell r="C8231"/>
          <cell r="E8231"/>
          <cell r="F8231"/>
          <cell r="G8231"/>
          <cell r="H8231"/>
          <cell r="J8231"/>
          <cell r="L8231"/>
          <cell r="M8231"/>
        </row>
        <row r="8232">
          <cell r="B8232"/>
          <cell r="C8232"/>
          <cell r="E8232"/>
          <cell r="F8232"/>
          <cell r="G8232"/>
          <cell r="H8232"/>
          <cell r="J8232"/>
          <cell r="L8232"/>
          <cell r="M8232"/>
        </row>
        <row r="8233">
          <cell r="B8233"/>
          <cell r="C8233"/>
          <cell r="E8233"/>
          <cell r="F8233"/>
          <cell r="G8233"/>
          <cell r="H8233"/>
          <cell r="J8233"/>
          <cell r="L8233"/>
          <cell r="M8233"/>
        </row>
        <row r="8234">
          <cell r="B8234"/>
          <cell r="C8234"/>
          <cell r="E8234"/>
          <cell r="F8234"/>
          <cell r="G8234"/>
          <cell r="H8234"/>
          <cell r="J8234"/>
          <cell r="L8234"/>
          <cell r="M8234"/>
        </row>
        <row r="8235">
          <cell r="B8235"/>
          <cell r="C8235"/>
          <cell r="E8235"/>
          <cell r="F8235"/>
          <cell r="G8235"/>
          <cell r="H8235"/>
          <cell r="J8235"/>
          <cell r="L8235"/>
          <cell r="M8235"/>
        </row>
        <row r="8236">
          <cell r="B8236"/>
          <cell r="C8236"/>
          <cell r="E8236"/>
          <cell r="F8236"/>
          <cell r="G8236"/>
          <cell r="H8236"/>
          <cell r="J8236"/>
          <cell r="L8236"/>
          <cell r="M8236"/>
        </row>
        <row r="8237">
          <cell r="B8237"/>
          <cell r="C8237"/>
          <cell r="E8237"/>
          <cell r="F8237"/>
          <cell r="G8237"/>
          <cell r="H8237"/>
          <cell r="J8237"/>
          <cell r="L8237"/>
          <cell r="M8237"/>
        </row>
        <row r="8238">
          <cell r="B8238"/>
          <cell r="C8238"/>
          <cell r="E8238"/>
          <cell r="F8238"/>
          <cell r="G8238"/>
          <cell r="H8238"/>
          <cell r="J8238"/>
          <cell r="L8238"/>
          <cell r="M8238"/>
        </row>
        <row r="8239">
          <cell r="B8239"/>
          <cell r="C8239"/>
          <cell r="E8239"/>
          <cell r="F8239"/>
          <cell r="G8239"/>
          <cell r="H8239"/>
          <cell r="J8239"/>
          <cell r="L8239"/>
          <cell r="M8239"/>
        </row>
        <row r="8240">
          <cell r="B8240"/>
          <cell r="C8240"/>
          <cell r="E8240"/>
          <cell r="F8240"/>
          <cell r="G8240"/>
          <cell r="H8240"/>
          <cell r="J8240"/>
          <cell r="L8240"/>
          <cell r="M8240"/>
        </row>
        <row r="8241">
          <cell r="B8241"/>
          <cell r="C8241"/>
          <cell r="E8241"/>
          <cell r="F8241"/>
          <cell r="G8241"/>
          <cell r="H8241"/>
          <cell r="J8241"/>
          <cell r="L8241"/>
          <cell r="M8241"/>
        </row>
        <row r="8242">
          <cell r="B8242"/>
          <cell r="C8242"/>
          <cell r="E8242"/>
          <cell r="F8242"/>
          <cell r="G8242"/>
          <cell r="H8242"/>
          <cell r="J8242"/>
          <cell r="L8242"/>
          <cell r="M8242"/>
        </row>
        <row r="8243">
          <cell r="B8243"/>
          <cell r="C8243"/>
          <cell r="E8243"/>
          <cell r="F8243"/>
          <cell r="G8243"/>
          <cell r="H8243"/>
          <cell r="J8243"/>
          <cell r="L8243"/>
          <cell r="M8243"/>
        </row>
        <row r="8244">
          <cell r="B8244"/>
          <cell r="C8244"/>
          <cell r="E8244"/>
          <cell r="F8244"/>
          <cell r="G8244"/>
          <cell r="H8244"/>
          <cell r="J8244"/>
          <cell r="L8244"/>
          <cell r="M8244"/>
        </row>
        <row r="8245">
          <cell r="B8245"/>
          <cell r="C8245"/>
          <cell r="E8245"/>
          <cell r="F8245"/>
          <cell r="G8245"/>
          <cell r="H8245"/>
          <cell r="J8245"/>
          <cell r="L8245"/>
          <cell r="M8245"/>
        </row>
        <row r="8246">
          <cell r="B8246"/>
          <cell r="C8246"/>
          <cell r="E8246"/>
          <cell r="F8246"/>
          <cell r="G8246"/>
          <cell r="H8246"/>
          <cell r="J8246"/>
          <cell r="L8246"/>
          <cell r="M8246"/>
        </row>
        <row r="8247">
          <cell r="B8247"/>
          <cell r="C8247"/>
          <cell r="E8247"/>
          <cell r="F8247"/>
          <cell r="G8247"/>
          <cell r="H8247"/>
          <cell r="J8247"/>
          <cell r="L8247"/>
          <cell r="M8247"/>
        </row>
        <row r="8248">
          <cell r="B8248"/>
          <cell r="C8248"/>
          <cell r="E8248"/>
          <cell r="F8248"/>
          <cell r="G8248"/>
          <cell r="H8248"/>
          <cell r="J8248"/>
          <cell r="L8248"/>
          <cell r="M8248"/>
        </row>
        <row r="8249">
          <cell r="B8249"/>
          <cell r="C8249"/>
          <cell r="E8249"/>
          <cell r="F8249"/>
          <cell r="G8249"/>
          <cell r="H8249"/>
          <cell r="J8249"/>
          <cell r="L8249"/>
          <cell r="M8249"/>
        </row>
        <row r="8250">
          <cell r="B8250"/>
          <cell r="C8250"/>
          <cell r="E8250"/>
          <cell r="F8250"/>
          <cell r="G8250"/>
          <cell r="H8250"/>
          <cell r="J8250"/>
          <cell r="L8250"/>
          <cell r="M8250"/>
        </row>
        <row r="8251">
          <cell r="B8251"/>
          <cell r="C8251"/>
          <cell r="E8251"/>
          <cell r="F8251"/>
          <cell r="G8251"/>
          <cell r="H8251"/>
          <cell r="J8251"/>
          <cell r="L8251"/>
          <cell r="M8251"/>
        </row>
        <row r="8252">
          <cell r="B8252"/>
          <cell r="C8252"/>
          <cell r="E8252"/>
          <cell r="F8252"/>
          <cell r="G8252"/>
          <cell r="H8252"/>
          <cell r="J8252"/>
          <cell r="L8252"/>
          <cell r="M8252"/>
        </row>
        <row r="8253">
          <cell r="B8253"/>
          <cell r="C8253"/>
          <cell r="E8253"/>
          <cell r="F8253"/>
          <cell r="G8253"/>
          <cell r="H8253"/>
          <cell r="J8253"/>
          <cell r="L8253"/>
          <cell r="M8253"/>
        </row>
        <row r="8254">
          <cell r="B8254"/>
          <cell r="C8254"/>
          <cell r="E8254"/>
          <cell r="F8254"/>
          <cell r="G8254"/>
          <cell r="H8254"/>
          <cell r="J8254"/>
          <cell r="L8254"/>
          <cell r="M8254"/>
        </row>
        <row r="8255">
          <cell r="B8255"/>
          <cell r="C8255"/>
          <cell r="E8255"/>
          <cell r="F8255"/>
          <cell r="G8255"/>
          <cell r="H8255"/>
          <cell r="J8255"/>
          <cell r="L8255"/>
          <cell r="M8255"/>
        </row>
        <row r="8256">
          <cell r="B8256"/>
          <cell r="C8256"/>
          <cell r="E8256"/>
          <cell r="F8256"/>
          <cell r="G8256"/>
          <cell r="H8256"/>
          <cell r="J8256"/>
          <cell r="L8256"/>
          <cell r="M8256"/>
        </row>
        <row r="8257">
          <cell r="B8257"/>
          <cell r="C8257"/>
          <cell r="E8257"/>
          <cell r="F8257"/>
          <cell r="G8257"/>
          <cell r="H8257"/>
          <cell r="J8257"/>
          <cell r="L8257"/>
          <cell r="M8257"/>
        </row>
        <row r="8258">
          <cell r="B8258"/>
          <cell r="C8258"/>
          <cell r="E8258"/>
          <cell r="F8258"/>
          <cell r="G8258"/>
          <cell r="H8258"/>
          <cell r="J8258"/>
          <cell r="L8258"/>
          <cell r="M8258"/>
        </row>
        <row r="8259">
          <cell r="B8259"/>
          <cell r="C8259"/>
          <cell r="E8259"/>
          <cell r="F8259"/>
          <cell r="G8259"/>
          <cell r="H8259"/>
          <cell r="J8259"/>
          <cell r="L8259"/>
          <cell r="M8259"/>
        </row>
        <row r="8260">
          <cell r="B8260"/>
          <cell r="C8260"/>
          <cell r="E8260"/>
          <cell r="F8260"/>
          <cell r="G8260"/>
          <cell r="H8260"/>
          <cell r="J8260"/>
          <cell r="L8260"/>
          <cell r="M8260"/>
        </row>
        <row r="8261">
          <cell r="B8261"/>
          <cell r="C8261"/>
          <cell r="E8261"/>
          <cell r="F8261"/>
          <cell r="G8261"/>
          <cell r="H8261"/>
          <cell r="J8261"/>
          <cell r="L8261"/>
          <cell r="M8261"/>
        </row>
        <row r="8262">
          <cell r="B8262"/>
          <cell r="C8262"/>
          <cell r="E8262"/>
          <cell r="F8262"/>
          <cell r="G8262"/>
          <cell r="H8262"/>
          <cell r="J8262"/>
          <cell r="L8262"/>
          <cell r="M8262"/>
        </row>
        <row r="8263">
          <cell r="B8263"/>
          <cell r="C8263"/>
          <cell r="E8263"/>
          <cell r="F8263"/>
          <cell r="G8263"/>
          <cell r="H8263"/>
          <cell r="J8263"/>
          <cell r="L8263"/>
          <cell r="M8263"/>
        </row>
        <row r="8264">
          <cell r="B8264"/>
          <cell r="C8264"/>
          <cell r="E8264"/>
          <cell r="F8264"/>
          <cell r="G8264"/>
          <cell r="H8264"/>
          <cell r="J8264"/>
          <cell r="L8264"/>
          <cell r="M8264"/>
        </row>
        <row r="8265">
          <cell r="B8265"/>
          <cell r="C8265"/>
          <cell r="E8265"/>
          <cell r="F8265"/>
          <cell r="G8265"/>
          <cell r="H8265"/>
          <cell r="J8265"/>
          <cell r="L8265"/>
          <cell r="M8265"/>
        </row>
        <row r="8266">
          <cell r="B8266"/>
          <cell r="C8266"/>
          <cell r="E8266"/>
          <cell r="F8266"/>
          <cell r="G8266"/>
          <cell r="H8266"/>
          <cell r="J8266"/>
          <cell r="L8266"/>
          <cell r="M8266"/>
        </row>
        <row r="8267">
          <cell r="B8267"/>
          <cell r="C8267"/>
          <cell r="E8267"/>
          <cell r="F8267"/>
          <cell r="G8267"/>
          <cell r="H8267"/>
          <cell r="J8267"/>
          <cell r="L8267"/>
          <cell r="M8267"/>
        </row>
        <row r="8268">
          <cell r="B8268"/>
          <cell r="C8268"/>
          <cell r="E8268"/>
          <cell r="F8268"/>
          <cell r="G8268"/>
          <cell r="H8268"/>
          <cell r="J8268"/>
          <cell r="L8268"/>
          <cell r="M8268"/>
        </row>
        <row r="8269">
          <cell r="B8269"/>
          <cell r="C8269"/>
          <cell r="E8269"/>
          <cell r="F8269"/>
          <cell r="G8269"/>
          <cell r="H8269"/>
          <cell r="J8269"/>
          <cell r="L8269"/>
          <cell r="M8269"/>
        </row>
        <row r="8270">
          <cell r="B8270"/>
          <cell r="C8270"/>
          <cell r="E8270"/>
          <cell r="F8270"/>
          <cell r="G8270"/>
          <cell r="H8270"/>
          <cell r="J8270"/>
          <cell r="L8270"/>
          <cell r="M8270"/>
        </row>
        <row r="8271">
          <cell r="B8271"/>
          <cell r="C8271"/>
          <cell r="E8271"/>
          <cell r="F8271"/>
          <cell r="G8271"/>
          <cell r="H8271"/>
          <cell r="J8271"/>
          <cell r="L8271"/>
          <cell r="M8271"/>
        </row>
        <row r="8272">
          <cell r="B8272"/>
          <cell r="C8272"/>
          <cell r="E8272"/>
          <cell r="F8272"/>
          <cell r="G8272"/>
          <cell r="H8272"/>
          <cell r="J8272"/>
          <cell r="L8272"/>
          <cell r="M8272"/>
        </row>
        <row r="8273">
          <cell r="B8273"/>
          <cell r="C8273"/>
          <cell r="E8273"/>
          <cell r="F8273"/>
          <cell r="G8273"/>
          <cell r="H8273"/>
          <cell r="J8273"/>
          <cell r="L8273"/>
          <cell r="M8273"/>
        </row>
        <row r="8274">
          <cell r="B8274"/>
          <cell r="C8274"/>
          <cell r="E8274"/>
          <cell r="F8274"/>
          <cell r="G8274"/>
          <cell r="H8274"/>
          <cell r="J8274"/>
          <cell r="L8274"/>
          <cell r="M8274"/>
        </row>
        <row r="8275">
          <cell r="B8275"/>
          <cell r="C8275"/>
          <cell r="E8275"/>
          <cell r="F8275"/>
          <cell r="G8275"/>
          <cell r="H8275"/>
          <cell r="J8275"/>
          <cell r="L8275"/>
          <cell r="M8275"/>
        </row>
        <row r="8276">
          <cell r="B8276"/>
          <cell r="C8276"/>
          <cell r="E8276"/>
          <cell r="F8276"/>
          <cell r="G8276"/>
          <cell r="H8276"/>
          <cell r="J8276"/>
          <cell r="L8276"/>
          <cell r="M8276"/>
        </row>
        <row r="8277">
          <cell r="B8277"/>
          <cell r="C8277"/>
          <cell r="E8277"/>
          <cell r="F8277"/>
          <cell r="G8277"/>
          <cell r="H8277"/>
          <cell r="J8277"/>
          <cell r="L8277"/>
          <cell r="M8277"/>
        </row>
        <row r="8278">
          <cell r="B8278"/>
          <cell r="C8278"/>
          <cell r="E8278"/>
          <cell r="F8278"/>
          <cell r="G8278"/>
          <cell r="H8278"/>
          <cell r="J8278"/>
          <cell r="L8278"/>
          <cell r="M8278"/>
        </row>
        <row r="8279">
          <cell r="B8279"/>
          <cell r="C8279"/>
          <cell r="E8279"/>
          <cell r="F8279"/>
          <cell r="G8279"/>
          <cell r="H8279"/>
          <cell r="J8279"/>
          <cell r="L8279"/>
          <cell r="M8279"/>
        </row>
        <row r="8280">
          <cell r="B8280"/>
          <cell r="C8280"/>
          <cell r="E8280"/>
          <cell r="F8280"/>
          <cell r="G8280"/>
          <cell r="H8280"/>
          <cell r="J8280"/>
          <cell r="L8280"/>
          <cell r="M8280"/>
        </row>
        <row r="8281">
          <cell r="B8281"/>
          <cell r="C8281"/>
          <cell r="E8281"/>
          <cell r="F8281"/>
          <cell r="G8281"/>
          <cell r="H8281"/>
          <cell r="J8281"/>
          <cell r="L8281"/>
          <cell r="M8281"/>
        </row>
        <row r="8282">
          <cell r="B8282"/>
          <cell r="C8282"/>
          <cell r="E8282"/>
          <cell r="F8282"/>
          <cell r="G8282"/>
          <cell r="H8282"/>
          <cell r="J8282"/>
          <cell r="L8282"/>
          <cell r="M8282"/>
        </row>
        <row r="8283">
          <cell r="B8283"/>
          <cell r="C8283"/>
          <cell r="E8283"/>
          <cell r="F8283"/>
          <cell r="G8283"/>
          <cell r="H8283"/>
          <cell r="J8283"/>
          <cell r="L8283"/>
          <cell r="M8283"/>
        </row>
        <row r="8284">
          <cell r="B8284"/>
          <cell r="C8284"/>
          <cell r="E8284"/>
          <cell r="F8284"/>
          <cell r="G8284"/>
          <cell r="H8284"/>
          <cell r="J8284"/>
          <cell r="L8284"/>
          <cell r="M8284"/>
        </row>
        <row r="8285">
          <cell r="B8285"/>
          <cell r="C8285"/>
          <cell r="E8285"/>
          <cell r="F8285"/>
          <cell r="G8285"/>
          <cell r="H8285"/>
          <cell r="J8285"/>
          <cell r="L8285"/>
          <cell r="M8285"/>
        </row>
        <row r="8286">
          <cell r="B8286"/>
          <cell r="C8286"/>
          <cell r="E8286"/>
          <cell r="F8286"/>
          <cell r="G8286"/>
          <cell r="H8286"/>
          <cell r="J8286"/>
          <cell r="L8286"/>
          <cell r="M8286"/>
        </row>
        <row r="8287">
          <cell r="B8287"/>
          <cell r="C8287"/>
          <cell r="E8287"/>
          <cell r="F8287"/>
          <cell r="G8287"/>
          <cell r="H8287"/>
          <cell r="J8287"/>
          <cell r="L8287"/>
          <cell r="M8287"/>
        </row>
        <row r="8288">
          <cell r="B8288"/>
          <cell r="C8288"/>
          <cell r="E8288"/>
          <cell r="F8288"/>
          <cell r="G8288"/>
          <cell r="H8288"/>
          <cell r="J8288"/>
          <cell r="L8288"/>
          <cell r="M8288"/>
        </row>
        <row r="8289">
          <cell r="B8289"/>
          <cell r="C8289"/>
          <cell r="E8289"/>
          <cell r="F8289"/>
          <cell r="G8289"/>
          <cell r="H8289"/>
          <cell r="J8289"/>
          <cell r="L8289"/>
          <cell r="M8289"/>
        </row>
        <row r="8290">
          <cell r="B8290"/>
          <cell r="C8290"/>
          <cell r="E8290"/>
          <cell r="F8290"/>
          <cell r="G8290"/>
          <cell r="H8290"/>
          <cell r="J8290"/>
          <cell r="L8290"/>
          <cell r="M8290"/>
        </row>
        <row r="8291">
          <cell r="B8291"/>
          <cell r="C8291"/>
          <cell r="E8291"/>
          <cell r="F8291"/>
          <cell r="G8291"/>
          <cell r="H8291"/>
          <cell r="J8291"/>
          <cell r="L8291"/>
          <cell r="M8291"/>
        </row>
        <row r="8292">
          <cell r="B8292"/>
          <cell r="C8292"/>
          <cell r="E8292"/>
          <cell r="F8292"/>
          <cell r="G8292"/>
          <cell r="H8292"/>
          <cell r="J8292"/>
          <cell r="L8292"/>
          <cell r="M8292"/>
        </row>
        <row r="8293">
          <cell r="B8293"/>
          <cell r="C8293"/>
          <cell r="E8293"/>
          <cell r="F8293"/>
          <cell r="G8293"/>
          <cell r="H8293"/>
          <cell r="J8293"/>
          <cell r="L8293"/>
          <cell r="M8293"/>
        </row>
        <row r="8294">
          <cell r="B8294"/>
          <cell r="C8294"/>
          <cell r="E8294"/>
          <cell r="F8294"/>
          <cell r="G8294"/>
          <cell r="H8294"/>
          <cell r="J8294"/>
          <cell r="L8294"/>
          <cell r="M8294"/>
        </row>
        <row r="8295">
          <cell r="B8295"/>
          <cell r="C8295"/>
          <cell r="E8295"/>
          <cell r="F8295"/>
          <cell r="G8295"/>
          <cell r="H8295"/>
          <cell r="J8295"/>
          <cell r="L8295"/>
          <cell r="M8295"/>
        </row>
        <row r="8296">
          <cell r="B8296"/>
          <cell r="C8296"/>
          <cell r="E8296"/>
          <cell r="F8296"/>
          <cell r="G8296"/>
          <cell r="H8296"/>
          <cell r="J8296"/>
          <cell r="L8296"/>
          <cell r="M8296"/>
        </row>
        <row r="8297">
          <cell r="B8297"/>
          <cell r="C8297"/>
          <cell r="E8297"/>
          <cell r="F8297"/>
          <cell r="G8297"/>
          <cell r="H8297"/>
          <cell r="J8297"/>
          <cell r="L8297"/>
          <cell r="M8297"/>
        </row>
        <row r="8298">
          <cell r="B8298"/>
          <cell r="C8298"/>
          <cell r="E8298"/>
          <cell r="F8298"/>
          <cell r="G8298"/>
          <cell r="H8298"/>
          <cell r="J8298"/>
          <cell r="L8298"/>
          <cell r="M8298"/>
        </row>
        <row r="8299">
          <cell r="B8299"/>
          <cell r="C8299"/>
          <cell r="E8299"/>
          <cell r="F8299"/>
          <cell r="G8299"/>
          <cell r="H8299"/>
          <cell r="J8299"/>
          <cell r="L8299"/>
          <cell r="M8299"/>
        </row>
        <row r="8300">
          <cell r="B8300"/>
          <cell r="C8300"/>
          <cell r="E8300"/>
          <cell r="F8300"/>
          <cell r="G8300"/>
          <cell r="H8300"/>
          <cell r="J8300"/>
          <cell r="L8300"/>
          <cell r="M8300"/>
        </row>
        <row r="8301">
          <cell r="B8301"/>
          <cell r="C8301"/>
          <cell r="E8301"/>
          <cell r="F8301"/>
          <cell r="G8301"/>
          <cell r="H8301"/>
          <cell r="J8301"/>
          <cell r="L8301"/>
          <cell r="M8301"/>
        </row>
        <row r="8302">
          <cell r="B8302"/>
          <cell r="C8302"/>
          <cell r="E8302"/>
          <cell r="F8302"/>
          <cell r="G8302"/>
          <cell r="H8302"/>
          <cell r="J8302"/>
          <cell r="L8302"/>
          <cell r="M8302"/>
        </row>
        <row r="8303">
          <cell r="B8303"/>
          <cell r="C8303"/>
          <cell r="E8303"/>
          <cell r="F8303"/>
          <cell r="G8303"/>
          <cell r="H8303"/>
          <cell r="J8303"/>
          <cell r="L8303"/>
          <cell r="M8303"/>
        </row>
        <row r="8304">
          <cell r="B8304"/>
          <cell r="C8304"/>
          <cell r="E8304"/>
          <cell r="F8304"/>
          <cell r="G8304"/>
          <cell r="H8304"/>
          <cell r="J8304"/>
          <cell r="L8304"/>
          <cell r="M8304"/>
        </row>
        <row r="8305">
          <cell r="B8305"/>
          <cell r="C8305"/>
          <cell r="E8305"/>
          <cell r="F8305"/>
          <cell r="G8305"/>
          <cell r="H8305"/>
          <cell r="J8305"/>
          <cell r="L8305"/>
          <cell r="M8305"/>
        </row>
        <row r="8306">
          <cell r="B8306"/>
          <cell r="C8306"/>
          <cell r="E8306"/>
          <cell r="F8306"/>
          <cell r="G8306"/>
          <cell r="H8306"/>
          <cell r="J8306"/>
          <cell r="L8306"/>
          <cell r="M8306"/>
        </row>
        <row r="8307">
          <cell r="B8307"/>
          <cell r="C8307"/>
          <cell r="E8307"/>
          <cell r="F8307"/>
          <cell r="G8307"/>
          <cell r="H8307"/>
          <cell r="J8307"/>
          <cell r="L8307"/>
          <cell r="M8307"/>
        </row>
        <row r="8308">
          <cell r="B8308"/>
          <cell r="C8308"/>
          <cell r="E8308"/>
          <cell r="F8308"/>
          <cell r="G8308"/>
          <cell r="H8308"/>
          <cell r="J8308"/>
          <cell r="L8308"/>
          <cell r="M8308"/>
        </row>
        <row r="8309">
          <cell r="B8309"/>
          <cell r="C8309"/>
          <cell r="E8309"/>
          <cell r="F8309"/>
          <cell r="G8309"/>
          <cell r="H8309"/>
          <cell r="J8309"/>
          <cell r="L8309"/>
          <cell r="M8309"/>
        </row>
        <row r="8310">
          <cell r="B8310"/>
          <cell r="C8310"/>
          <cell r="E8310"/>
          <cell r="F8310"/>
          <cell r="G8310"/>
          <cell r="H8310"/>
          <cell r="J8310"/>
          <cell r="L8310"/>
          <cell r="M8310"/>
        </row>
        <row r="8311">
          <cell r="B8311"/>
          <cell r="C8311"/>
          <cell r="E8311"/>
          <cell r="F8311"/>
          <cell r="G8311"/>
          <cell r="H8311"/>
          <cell r="J8311"/>
          <cell r="L8311"/>
          <cell r="M8311"/>
        </row>
        <row r="8312">
          <cell r="B8312"/>
          <cell r="C8312"/>
          <cell r="E8312"/>
          <cell r="F8312"/>
          <cell r="G8312"/>
          <cell r="H8312"/>
          <cell r="J8312"/>
          <cell r="L8312"/>
          <cell r="M8312"/>
        </row>
        <row r="8313">
          <cell r="B8313"/>
          <cell r="C8313"/>
          <cell r="E8313"/>
          <cell r="F8313"/>
          <cell r="G8313"/>
          <cell r="H8313"/>
          <cell r="J8313"/>
          <cell r="L8313"/>
          <cell r="M8313"/>
        </row>
        <row r="8314">
          <cell r="B8314"/>
          <cell r="C8314"/>
          <cell r="E8314"/>
          <cell r="F8314"/>
          <cell r="G8314"/>
          <cell r="H8314"/>
          <cell r="J8314"/>
          <cell r="L8314"/>
          <cell r="M8314"/>
        </row>
        <row r="8315">
          <cell r="B8315"/>
          <cell r="C8315"/>
          <cell r="E8315"/>
          <cell r="F8315"/>
          <cell r="G8315"/>
          <cell r="H8315"/>
          <cell r="J8315"/>
          <cell r="L8315"/>
          <cell r="M8315"/>
        </row>
        <row r="8316">
          <cell r="B8316"/>
          <cell r="C8316"/>
          <cell r="E8316"/>
          <cell r="F8316"/>
          <cell r="G8316"/>
          <cell r="H8316"/>
          <cell r="J8316"/>
          <cell r="L8316"/>
          <cell r="M8316"/>
        </row>
        <row r="8317">
          <cell r="B8317"/>
          <cell r="C8317"/>
          <cell r="E8317"/>
          <cell r="F8317"/>
          <cell r="G8317"/>
          <cell r="H8317"/>
          <cell r="J8317"/>
          <cell r="L8317"/>
          <cell r="M8317"/>
        </row>
        <row r="8318">
          <cell r="B8318"/>
          <cell r="C8318"/>
          <cell r="E8318"/>
          <cell r="F8318"/>
          <cell r="G8318"/>
          <cell r="H8318"/>
          <cell r="J8318"/>
          <cell r="L8318"/>
          <cell r="M8318"/>
        </row>
        <row r="8319">
          <cell r="B8319"/>
          <cell r="C8319"/>
          <cell r="E8319"/>
          <cell r="F8319"/>
          <cell r="G8319"/>
          <cell r="H8319"/>
          <cell r="J8319"/>
          <cell r="L8319"/>
          <cell r="M8319"/>
        </row>
        <row r="8320">
          <cell r="B8320"/>
          <cell r="C8320"/>
          <cell r="E8320"/>
          <cell r="F8320"/>
          <cell r="G8320"/>
          <cell r="H8320"/>
          <cell r="J8320"/>
          <cell r="L8320"/>
          <cell r="M8320"/>
        </row>
        <row r="8321">
          <cell r="B8321"/>
          <cell r="C8321"/>
          <cell r="E8321"/>
          <cell r="F8321"/>
          <cell r="G8321"/>
          <cell r="H8321"/>
          <cell r="J8321"/>
          <cell r="L8321"/>
          <cell r="M8321"/>
        </row>
        <row r="8322">
          <cell r="B8322"/>
          <cell r="C8322"/>
          <cell r="E8322"/>
          <cell r="F8322"/>
          <cell r="G8322"/>
          <cell r="H8322"/>
          <cell r="J8322"/>
          <cell r="L8322"/>
          <cell r="M8322"/>
        </row>
        <row r="8323">
          <cell r="B8323"/>
          <cell r="C8323"/>
          <cell r="E8323"/>
          <cell r="F8323"/>
          <cell r="G8323"/>
          <cell r="H8323"/>
          <cell r="J8323"/>
          <cell r="L8323"/>
          <cell r="M8323"/>
        </row>
        <row r="8324">
          <cell r="B8324"/>
          <cell r="C8324"/>
          <cell r="E8324"/>
          <cell r="F8324"/>
          <cell r="G8324"/>
          <cell r="H8324"/>
          <cell r="J8324"/>
          <cell r="L8324"/>
          <cell r="M8324"/>
        </row>
        <row r="8325">
          <cell r="B8325"/>
          <cell r="C8325"/>
          <cell r="E8325"/>
          <cell r="F8325"/>
          <cell r="G8325"/>
          <cell r="H8325"/>
          <cell r="J8325"/>
          <cell r="L8325"/>
          <cell r="M8325"/>
        </row>
        <row r="8326">
          <cell r="B8326"/>
          <cell r="C8326"/>
          <cell r="E8326"/>
          <cell r="F8326"/>
          <cell r="G8326"/>
          <cell r="H8326"/>
          <cell r="J8326"/>
          <cell r="L8326"/>
          <cell r="M8326"/>
        </row>
        <row r="8327">
          <cell r="B8327"/>
          <cell r="C8327"/>
          <cell r="E8327"/>
          <cell r="F8327"/>
          <cell r="G8327"/>
          <cell r="H8327"/>
          <cell r="J8327"/>
          <cell r="L8327"/>
          <cell r="M8327"/>
        </row>
        <row r="8328">
          <cell r="B8328"/>
          <cell r="C8328"/>
          <cell r="E8328"/>
          <cell r="F8328"/>
          <cell r="G8328"/>
          <cell r="H8328"/>
          <cell r="J8328"/>
          <cell r="L8328"/>
          <cell r="M8328"/>
        </row>
        <row r="8329">
          <cell r="B8329"/>
          <cell r="C8329"/>
          <cell r="E8329"/>
          <cell r="F8329"/>
          <cell r="G8329"/>
          <cell r="H8329"/>
          <cell r="J8329"/>
          <cell r="L8329"/>
          <cell r="M8329"/>
        </row>
        <row r="8330">
          <cell r="B8330"/>
          <cell r="C8330"/>
          <cell r="E8330"/>
          <cell r="F8330"/>
          <cell r="G8330"/>
          <cell r="H8330"/>
          <cell r="J8330"/>
          <cell r="L8330"/>
          <cell r="M8330"/>
        </row>
        <row r="8331">
          <cell r="B8331"/>
          <cell r="C8331"/>
          <cell r="E8331"/>
          <cell r="F8331"/>
          <cell r="G8331"/>
          <cell r="H8331"/>
          <cell r="J8331"/>
          <cell r="L8331"/>
          <cell r="M8331"/>
        </row>
        <row r="8332">
          <cell r="B8332"/>
          <cell r="C8332"/>
          <cell r="E8332"/>
          <cell r="F8332"/>
          <cell r="G8332"/>
          <cell r="H8332"/>
          <cell r="J8332"/>
          <cell r="L8332"/>
          <cell r="M8332"/>
        </row>
        <row r="8333">
          <cell r="B8333"/>
          <cell r="C8333"/>
          <cell r="E8333"/>
          <cell r="F8333"/>
          <cell r="G8333"/>
          <cell r="H8333"/>
          <cell r="J8333"/>
          <cell r="L8333"/>
          <cell r="M8333"/>
        </row>
        <row r="8334">
          <cell r="B8334"/>
          <cell r="C8334"/>
          <cell r="E8334"/>
          <cell r="F8334"/>
          <cell r="G8334"/>
          <cell r="H8334"/>
          <cell r="J8334"/>
          <cell r="L8334"/>
          <cell r="M8334"/>
        </row>
        <row r="8335">
          <cell r="B8335"/>
          <cell r="C8335"/>
          <cell r="E8335"/>
          <cell r="F8335"/>
          <cell r="G8335"/>
          <cell r="H8335"/>
          <cell r="J8335"/>
          <cell r="L8335"/>
          <cell r="M8335"/>
        </row>
        <row r="8336">
          <cell r="B8336"/>
          <cell r="C8336"/>
          <cell r="E8336"/>
          <cell r="F8336"/>
          <cell r="G8336"/>
          <cell r="H8336"/>
          <cell r="J8336"/>
          <cell r="L8336"/>
          <cell r="M8336"/>
        </row>
        <row r="8337">
          <cell r="B8337"/>
          <cell r="C8337"/>
          <cell r="E8337"/>
          <cell r="F8337"/>
          <cell r="G8337"/>
          <cell r="H8337"/>
          <cell r="J8337"/>
          <cell r="L8337"/>
          <cell r="M8337"/>
        </row>
        <row r="8338">
          <cell r="B8338"/>
          <cell r="C8338"/>
          <cell r="E8338"/>
          <cell r="F8338"/>
          <cell r="G8338"/>
          <cell r="H8338"/>
          <cell r="J8338"/>
          <cell r="L8338"/>
          <cell r="M8338"/>
        </row>
        <row r="8339">
          <cell r="B8339"/>
          <cell r="C8339"/>
          <cell r="E8339"/>
          <cell r="F8339"/>
          <cell r="G8339"/>
          <cell r="H8339"/>
          <cell r="J8339"/>
          <cell r="L8339"/>
          <cell r="M8339"/>
        </row>
        <row r="8340">
          <cell r="B8340"/>
          <cell r="C8340"/>
          <cell r="E8340"/>
          <cell r="F8340"/>
          <cell r="G8340"/>
          <cell r="H8340"/>
          <cell r="J8340"/>
          <cell r="L8340"/>
          <cell r="M8340"/>
        </row>
        <row r="8341">
          <cell r="B8341"/>
          <cell r="C8341"/>
          <cell r="E8341"/>
          <cell r="F8341"/>
          <cell r="G8341"/>
          <cell r="H8341"/>
          <cell r="J8341"/>
          <cell r="L8341"/>
          <cell r="M8341"/>
        </row>
        <row r="8342">
          <cell r="B8342"/>
          <cell r="C8342"/>
          <cell r="E8342"/>
          <cell r="F8342"/>
          <cell r="G8342"/>
          <cell r="H8342"/>
          <cell r="J8342"/>
          <cell r="L8342"/>
          <cell r="M8342"/>
        </row>
        <row r="8343">
          <cell r="B8343"/>
          <cell r="C8343"/>
          <cell r="E8343"/>
          <cell r="F8343"/>
          <cell r="G8343"/>
          <cell r="H8343"/>
          <cell r="J8343"/>
          <cell r="L8343"/>
          <cell r="M8343"/>
        </row>
        <row r="8344">
          <cell r="B8344"/>
          <cell r="C8344"/>
          <cell r="E8344"/>
          <cell r="F8344"/>
          <cell r="G8344"/>
          <cell r="H8344"/>
          <cell r="J8344"/>
          <cell r="L8344"/>
          <cell r="M8344"/>
        </row>
        <row r="8345">
          <cell r="B8345"/>
          <cell r="C8345"/>
          <cell r="E8345"/>
          <cell r="F8345"/>
          <cell r="G8345"/>
          <cell r="H8345"/>
          <cell r="J8345"/>
          <cell r="L8345"/>
          <cell r="M8345"/>
        </row>
        <row r="8346">
          <cell r="B8346"/>
          <cell r="C8346"/>
          <cell r="E8346"/>
          <cell r="F8346"/>
          <cell r="G8346"/>
          <cell r="H8346"/>
          <cell r="J8346"/>
          <cell r="L8346"/>
          <cell r="M8346"/>
        </row>
        <row r="8347">
          <cell r="B8347"/>
          <cell r="C8347"/>
          <cell r="E8347"/>
          <cell r="F8347"/>
          <cell r="G8347"/>
          <cell r="H8347"/>
          <cell r="J8347"/>
          <cell r="L8347"/>
          <cell r="M8347"/>
        </row>
        <row r="8348">
          <cell r="B8348"/>
          <cell r="C8348"/>
          <cell r="E8348"/>
          <cell r="F8348"/>
          <cell r="G8348"/>
          <cell r="H8348"/>
          <cell r="J8348"/>
          <cell r="L8348"/>
          <cell r="M8348"/>
        </row>
        <row r="8349">
          <cell r="B8349"/>
          <cell r="C8349"/>
          <cell r="E8349"/>
          <cell r="F8349"/>
          <cell r="G8349"/>
          <cell r="H8349"/>
          <cell r="J8349"/>
          <cell r="L8349"/>
          <cell r="M8349"/>
        </row>
        <row r="8350">
          <cell r="B8350"/>
          <cell r="C8350"/>
          <cell r="E8350"/>
          <cell r="F8350"/>
          <cell r="G8350"/>
          <cell r="H8350"/>
          <cell r="J8350"/>
          <cell r="L8350"/>
          <cell r="M8350"/>
        </row>
        <row r="8351">
          <cell r="B8351"/>
          <cell r="C8351"/>
          <cell r="E8351"/>
          <cell r="F8351"/>
          <cell r="G8351"/>
          <cell r="H8351"/>
          <cell r="J8351"/>
          <cell r="L8351"/>
          <cell r="M8351"/>
        </row>
        <row r="8352">
          <cell r="B8352"/>
          <cell r="C8352"/>
          <cell r="E8352"/>
          <cell r="F8352"/>
          <cell r="G8352"/>
          <cell r="H8352"/>
          <cell r="J8352"/>
          <cell r="L8352"/>
          <cell r="M8352"/>
        </row>
        <row r="8353">
          <cell r="B8353"/>
          <cell r="C8353"/>
          <cell r="E8353"/>
          <cell r="F8353"/>
          <cell r="G8353"/>
          <cell r="H8353"/>
          <cell r="J8353"/>
          <cell r="L8353"/>
          <cell r="M8353"/>
        </row>
        <row r="8354">
          <cell r="B8354"/>
          <cell r="C8354"/>
          <cell r="E8354"/>
          <cell r="F8354"/>
          <cell r="G8354"/>
          <cell r="H8354"/>
          <cell r="J8354"/>
          <cell r="L8354"/>
          <cell r="M8354"/>
        </row>
        <row r="8355">
          <cell r="B8355"/>
          <cell r="C8355"/>
          <cell r="E8355"/>
          <cell r="F8355"/>
          <cell r="G8355"/>
          <cell r="H8355"/>
          <cell r="J8355"/>
          <cell r="L8355"/>
          <cell r="M8355"/>
        </row>
        <row r="8356">
          <cell r="B8356"/>
          <cell r="C8356"/>
          <cell r="E8356"/>
          <cell r="F8356"/>
          <cell r="G8356"/>
          <cell r="H8356"/>
          <cell r="J8356"/>
          <cell r="L8356"/>
          <cell r="M8356"/>
        </row>
        <row r="8357">
          <cell r="B8357"/>
          <cell r="C8357"/>
          <cell r="E8357"/>
          <cell r="F8357"/>
          <cell r="G8357"/>
          <cell r="H8357"/>
          <cell r="J8357"/>
          <cell r="L8357"/>
          <cell r="M8357"/>
        </row>
        <row r="8358">
          <cell r="B8358"/>
          <cell r="C8358"/>
          <cell r="E8358"/>
          <cell r="F8358"/>
          <cell r="G8358"/>
          <cell r="H8358"/>
          <cell r="J8358"/>
          <cell r="L8358"/>
          <cell r="M8358"/>
        </row>
        <row r="8359">
          <cell r="B8359"/>
          <cell r="C8359"/>
          <cell r="E8359"/>
          <cell r="F8359"/>
          <cell r="G8359"/>
          <cell r="H8359"/>
          <cell r="J8359"/>
          <cell r="L8359"/>
          <cell r="M8359"/>
        </row>
        <row r="8360">
          <cell r="B8360"/>
          <cell r="C8360"/>
          <cell r="E8360"/>
          <cell r="F8360"/>
          <cell r="G8360"/>
          <cell r="H8360"/>
          <cell r="J8360"/>
          <cell r="L8360"/>
          <cell r="M8360"/>
        </row>
        <row r="8361">
          <cell r="B8361"/>
          <cell r="C8361"/>
          <cell r="E8361"/>
          <cell r="F8361"/>
          <cell r="G8361"/>
          <cell r="H8361"/>
          <cell r="J8361"/>
          <cell r="L8361"/>
          <cell r="M8361"/>
        </row>
        <row r="8362">
          <cell r="B8362"/>
          <cell r="C8362"/>
          <cell r="E8362"/>
          <cell r="F8362"/>
          <cell r="G8362"/>
          <cell r="H8362"/>
          <cell r="J8362"/>
          <cell r="L8362"/>
          <cell r="M8362"/>
        </row>
        <row r="8363">
          <cell r="B8363"/>
          <cell r="C8363"/>
          <cell r="E8363"/>
          <cell r="F8363"/>
          <cell r="G8363"/>
          <cell r="H8363"/>
          <cell r="J8363"/>
          <cell r="L8363"/>
          <cell r="M8363"/>
        </row>
        <row r="8364">
          <cell r="B8364"/>
          <cell r="C8364"/>
          <cell r="E8364"/>
          <cell r="F8364"/>
          <cell r="G8364"/>
          <cell r="H8364"/>
          <cell r="J8364"/>
          <cell r="L8364"/>
          <cell r="M8364"/>
        </row>
        <row r="8365">
          <cell r="B8365"/>
          <cell r="C8365"/>
          <cell r="E8365"/>
          <cell r="F8365"/>
          <cell r="G8365"/>
          <cell r="H8365"/>
          <cell r="J8365"/>
          <cell r="L8365"/>
          <cell r="M8365"/>
        </row>
        <row r="8366">
          <cell r="B8366"/>
          <cell r="C8366"/>
          <cell r="E8366"/>
          <cell r="F8366"/>
          <cell r="G8366"/>
          <cell r="H8366"/>
          <cell r="J8366"/>
          <cell r="L8366"/>
          <cell r="M8366"/>
        </row>
        <row r="8367">
          <cell r="B8367"/>
          <cell r="C8367"/>
          <cell r="E8367"/>
          <cell r="F8367"/>
          <cell r="G8367"/>
          <cell r="H8367"/>
          <cell r="J8367"/>
          <cell r="L8367"/>
          <cell r="M8367"/>
        </row>
        <row r="8368">
          <cell r="B8368"/>
          <cell r="C8368"/>
          <cell r="E8368"/>
          <cell r="F8368"/>
          <cell r="G8368"/>
          <cell r="H8368"/>
          <cell r="J8368"/>
          <cell r="L8368"/>
          <cell r="M8368"/>
        </row>
        <row r="8369">
          <cell r="B8369"/>
          <cell r="C8369"/>
          <cell r="E8369"/>
          <cell r="F8369"/>
          <cell r="G8369"/>
          <cell r="H8369"/>
          <cell r="J8369"/>
          <cell r="L8369"/>
          <cell r="M8369"/>
        </row>
        <row r="8370">
          <cell r="B8370"/>
          <cell r="C8370"/>
          <cell r="E8370"/>
          <cell r="F8370"/>
          <cell r="G8370"/>
          <cell r="H8370"/>
          <cell r="J8370"/>
          <cell r="L8370"/>
          <cell r="M8370"/>
        </row>
        <row r="8371">
          <cell r="B8371"/>
          <cell r="C8371"/>
          <cell r="E8371"/>
          <cell r="F8371"/>
          <cell r="G8371"/>
          <cell r="H8371"/>
          <cell r="J8371"/>
          <cell r="L8371"/>
          <cell r="M8371"/>
        </row>
        <row r="8372">
          <cell r="B8372"/>
          <cell r="C8372"/>
          <cell r="E8372"/>
          <cell r="F8372"/>
          <cell r="G8372"/>
          <cell r="H8372"/>
          <cell r="J8372"/>
          <cell r="L8372"/>
          <cell r="M8372"/>
        </row>
        <row r="8373">
          <cell r="B8373"/>
          <cell r="C8373"/>
          <cell r="E8373"/>
          <cell r="F8373"/>
          <cell r="G8373"/>
          <cell r="H8373"/>
          <cell r="J8373"/>
          <cell r="L8373"/>
          <cell r="M8373"/>
        </row>
        <row r="8374">
          <cell r="B8374"/>
          <cell r="C8374"/>
          <cell r="E8374"/>
          <cell r="F8374"/>
          <cell r="G8374"/>
          <cell r="H8374"/>
          <cell r="J8374"/>
          <cell r="L8374"/>
          <cell r="M8374"/>
        </row>
        <row r="8375">
          <cell r="B8375"/>
          <cell r="C8375"/>
          <cell r="E8375"/>
          <cell r="F8375"/>
          <cell r="G8375"/>
          <cell r="H8375"/>
          <cell r="J8375"/>
          <cell r="L8375"/>
          <cell r="M8375"/>
        </row>
        <row r="8376">
          <cell r="B8376"/>
          <cell r="C8376"/>
          <cell r="E8376"/>
          <cell r="F8376"/>
          <cell r="G8376"/>
          <cell r="H8376"/>
          <cell r="J8376"/>
          <cell r="L8376"/>
          <cell r="M8376"/>
        </row>
        <row r="8377">
          <cell r="B8377"/>
          <cell r="C8377"/>
          <cell r="E8377"/>
          <cell r="F8377"/>
          <cell r="G8377"/>
          <cell r="H8377"/>
          <cell r="J8377"/>
          <cell r="L8377"/>
          <cell r="M8377"/>
        </row>
        <row r="8378">
          <cell r="B8378"/>
          <cell r="C8378"/>
          <cell r="E8378"/>
          <cell r="F8378"/>
          <cell r="G8378"/>
          <cell r="H8378"/>
          <cell r="J8378"/>
          <cell r="L8378"/>
          <cell r="M8378"/>
        </row>
        <row r="8379">
          <cell r="B8379"/>
          <cell r="C8379"/>
          <cell r="E8379"/>
          <cell r="F8379"/>
          <cell r="G8379"/>
          <cell r="H8379"/>
          <cell r="J8379"/>
          <cell r="L8379"/>
          <cell r="M8379"/>
        </row>
        <row r="8380">
          <cell r="B8380"/>
          <cell r="C8380"/>
          <cell r="E8380"/>
          <cell r="F8380"/>
          <cell r="G8380"/>
          <cell r="H8380"/>
          <cell r="J8380"/>
          <cell r="L8380"/>
          <cell r="M8380"/>
        </row>
        <row r="8381">
          <cell r="B8381"/>
          <cell r="C8381"/>
          <cell r="E8381"/>
          <cell r="F8381"/>
          <cell r="G8381"/>
          <cell r="H8381"/>
          <cell r="J8381"/>
          <cell r="L8381"/>
          <cell r="M8381"/>
        </row>
        <row r="8382">
          <cell r="B8382"/>
          <cell r="C8382"/>
          <cell r="E8382"/>
          <cell r="F8382"/>
          <cell r="G8382"/>
          <cell r="H8382"/>
          <cell r="J8382"/>
          <cell r="L8382"/>
          <cell r="M8382"/>
        </row>
        <row r="8383">
          <cell r="B8383"/>
          <cell r="C8383"/>
          <cell r="E8383"/>
          <cell r="F8383"/>
          <cell r="G8383"/>
          <cell r="H8383"/>
          <cell r="J8383"/>
          <cell r="L8383"/>
          <cell r="M8383"/>
        </row>
        <row r="8384">
          <cell r="B8384"/>
          <cell r="C8384"/>
          <cell r="E8384"/>
          <cell r="F8384"/>
          <cell r="G8384"/>
          <cell r="H8384"/>
          <cell r="J8384"/>
          <cell r="L8384"/>
          <cell r="M8384"/>
        </row>
        <row r="8385">
          <cell r="B8385"/>
          <cell r="C8385"/>
          <cell r="E8385"/>
          <cell r="F8385"/>
          <cell r="G8385"/>
          <cell r="H8385"/>
          <cell r="J8385"/>
          <cell r="L8385"/>
          <cell r="M8385"/>
        </row>
        <row r="8386">
          <cell r="B8386"/>
          <cell r="C8386"/>
          <cell r="E8386"/>
          <cell r="F8386"/>
          <cell r="G8386"/>
          <cell r="H8386"/>
          <cell r="J8386"/>
          <cell r="L8386"/>
          <cell r="M8386"/>
        </row>
        <row r="8387">
          <cell r="B8387"/>
          <cell r="C8387"/>
          <cell r="E8387"/>
          <cell r="F8387"/>
          <cell r="G8387"/>
          <cell r="H8387"/>
          <cell r="J8387"/>
          <cell r="L8387"/>
          <cell r="M8387"/>
        </row>
        <row r="8388">
          <cell r="B8388"/>
          <cell r="C8388"/>
          <cell r="E8388"/>
          <cell r="F8388"/>
          <cell r="G8388"/>
          <cell r="H8388"/>
          <cell r="J8388"/>
          <cell r="L8388"/>
          <cell r="M8388"/>
        </row>
        <row r="8389">
          <cell r="B8389"/>
          <cell r="C8389"/>
          <cell r="E8389"/>
          <cell r="F8389"/>
          <cell r="G8389"/>
          <cell r="H8389"/>
          <cell r="J8389"/>
          <cell r="L8389"/>
          <cell r="M8389"/>
        </row>
        <row r="8390">
          <cell r="B8390"/>
          <cell r="C8390"/>
          <cell r="E8390"/>
          <cell r="F8390"/>
          <cell r="G8390"/>
          <cell r="H8390"/>
          <cell r="J8390"/>
          <cell r="L8390"/>
          <cell r="M8390"/>
        </row>
        <row r="8391">
          <cell r="B8391"/>
          <cell r="C8391"/>
          <cell r="E8391"/>
          <cell r="F8391"/>
          <cell r="G8391"/>
          <cell r="H8391"/>
          <cell r="J8391"/>
          <cell r="L8391"/>
          <cell r="M8391"/>
        </row>
        <row r="8392">
          <cell r="B8392"/>
          <cell r="C8392"/>
          <cell r="E8392"/>
          <cell r="F8392"/>
          <cell r="G8392"/>
          <cell r="H8392"/>
          <cell r="J8392"/>
          <cell r="L8392"/>
          <cell r="M8392"/>
        </row>
        <row r="8393">
          <cell r="B8393"/>
          <cell r="C8393"/>
          <cell r="E8393"/>
          <cell r="F8393"/>
          <cell r="G8393"/>
          <cell r="H8393"/>
          <cell r="J8393"/>
          <cell r="L8393"/>
          <cell r="M8393"/>
        </row>
        <row r="8394">
          <cell r="B8394"/>
          <cell r="C8394"/>
          <cell r="E8394"/>
          <cell r="F8394"/>
          <cell r="G8394"/>
          <cell r="H8394"/>
          <cell r="J8394"/>
          <cell r="L8394"/>
          <cell r="M8394"/>
        </row>
        <row r="8395">
          <cell r="B8395"/>
          <cell r="C8395"/>
          <cell r="E8395"/>
          <cell r="F8395"/>
          <cell r="G8395"/>
          <cell r="H8395"/>
          <cell r="J8395"/>
          <cell r="L8395"/>
          <cell r="M8395"/>
        </row>
        <row r="8396">
          <cell r="B8396"/>
          <cell r="C8396"/>
          <cell r="E8396"/>
          <cell r="F8396"/>
          <cell r="G8396"/>
          <cell r="H8396"/>
          <cell r="J8396"/>
          <cell r="L8396"/>
          <cell r="M8396"/>
        </row>
        <row r="8397">
          <cell r="B8397"/>
          <cell r="C8397"/>
          <cell r="E8397"/>
          <cell r="F8397"/>
          <cell r="G8397"/>
          <cell r="H8397"/>
          <cell r="J8397"/>
          <cell r="L8397"/>
          <cell r="M8397"/>
        </row>
        <row r="8398">
          <cell r="B8398"/>
          <cell r="C8398"/>
          <cell r="E8398"/>
          <cell r="F8398"/>
          <cell r="G8398"/>
          <cell r="H8398"/>
          <cell r="J8398"/>
          <cell r="L8398"/>
          <cell r="M8398"/>
        </row>
        <row r="8399">
          <cell r="B8399"/>
          <cell r="C8399"/>
          <cell r="E8399"/>
          <cell r="F8399"/>
          <cell r="G8399"/>
          <cell r="H8399"/>
          <cell r="J8399"/>
          <cell r="L8399"/>
          <cell r="M8399"/>
        </row>
        <row r="8400">
          <cell r="B8400"/>
          <cell r="C8400"/>
          <cell r="E8400"/>
          <cell r="F8400"/>
          <cell r="G8400"/>
          <cell r="H8400"/>
          <cell r="J8400"/>
          <cell r="L8400"/>
          <cell r="M8400"/>
        </row>
        <row r="8401">
          <cell r="B8401"/>
          <cell r="C8401"/>
          <cell r="E8401"/>
          <cell r="F8401"/>
          <cell r="G8401"/>
          <cell r="H8401"/>
          <cell r="J8401"/>
          <cell r="L8401"/>
          <cell r="M8401"/>
        </row>
        <row r="8402">
          <cell r="B8402"/>
          <cell r="C8402"/>
          <cell r="E8402"/>
          <cell r="F8402"/>
          <cell r="G8402"/>
          <cell r="H8402"/>
          <cell r="J8402"/>
          <cell r="L8402"/>
          <cell r="M8402"/>
        </row>
        <row r="8403">
          <cell r="B8403"/>
          <cell r="C8403"/>
          <cell r="E8403"/>
          <cell r="F8403"/>
          <cell r="G8403"/>
          <cell r="H8403"/>
          <cell r="J8403"/>
          <cell r="L8403"/>
          <cell r="M8403"/>
        </row>
        <row r="8404">
          <cell r="B8404"/>
          <cell r="C8404"/>
          <cell r="E8404"/>
          <cell r="F8404"/>
          <cell r="G8404"/>
          <cell r="H8404"/>
          <cell r="J8404"/>
          <cell r="L8404"/>
          <cell r="M8404"/>
        </row>
        <row r="8405">
          <cell r="B8405"/>
          <cell r="C8405"/>
          <cell r="E8405"/>
          <cell r="F8405"/>
          <cell r="G8405"/>
          <cell r="H8405"/>
          <cell r="J8405"/>
          <cell r="L8405"/>
          <cell r="M8405"/>
        </row>
        <row r="8406">
          <cell r="B8406"/>
          <cell r="C8406"/>
          <cell r="E8406"/>
          <cell r="F8406"/>
          <cell r="G8406"/>
          <cell r="H8406"/>
          <cell r="J8406"/>
          <cell r="L8406"/>
          <cell r="M8406"/>
        </row>
        <row r="8407">
          <cell r="B8407"/>
          <cell r="C8407"/>
          <cell r="E8407"/>
          <cell r="F8407"/>
          <cell r="G8407"/>
          <cell r="H8407"/>
          <cell r="J8407"/>
          <cell r="L8407"/>
          <cell r="M8407"/>
        </row>
        <row r="8408">
          <cell r="B8408"/>
          <cell r="C8408"/>
          <cell r="E8408"/>
          <cell r="F8408"/>
          <cell r="G8408"/>
          <cell r="H8408"/>
          <cell r="J8408"/>
          <cell r="L8408"/>
          <cell r="M8408"/>
        </row>
        <row r="8409">
          <cell r="B8409"/>
          <cell r="C8409"/>
          <cell r="E8409"/>
          <cell r="F8409"/>
          <cell r="G8409"/>
          <cell r="H8409"/>
          <cell r="J8409"/>
          <cell r="L8409"/>
          <cell r="M8409"/>
        </row>
        <row r="8410">
          <cell r="B8410"/>
          <cell r="C8410"/>
          <cell r="E8410"/>
          <cell r="F8410"/>
          <cell r="G8410"/>
          <cell r="H8410"/>
          <cell r="J8410"/>
          <cell r="L8410"/>
          <cell r="M8410"/>
        </row>
        <row r="8411">
          <cell r="B8411"/>
          <cell r="C8411"/>
          <cell r="E8411"/>
          <cell r="F8411"/>
          <cell r="G8411"/>
          <cell r="H8411"/>
          <cell r="J8411"/>
          <cell r="L8411"/>
          <cell r="M8411"/>
        </row>
        <row r="8412">
          <cell r="B8412"/>
          <cell r="C8412"/>
          <cell r="E8412"/>
          <cell r="F8412"/>
          <cell r="G8412"/>
          <cell r="H8412"/>
          <cell r="J8412"/>
          <cell r="L8412"/>
          <cell r="M8412"/>
        </row>
        <row r="8413">
          <cell r="B8413"/>
          <cell r="C8413"/>
          <cell r="E8413"/>
          <cell r="F8413"/>
          <cell r="G8413"/>
          <cell r="H8413"/>
          <cell r="J8413"/>
          <cell r="L8413"/>
          <cell r="M8413"/>
        </row>
        <row r="8414">
          <cell r="B8414"/>
          <cell r="C8414"/>
          <cell r="E8414"/>
          <cell r="F8414"/>
          <cell r="G8414"/>
          <cell r="H8414"/>
          <cell r="J8414"/>
          <cell r="L8414"/>
          <cell r="M8414"/>
        </row>
        <row r="8415">
          <cell r="B8415"/>
          <cell r="C8415"/>
          <cell r="E8415"/>
          <cell r="F8415"/>
          <cell r="G8415"/>
          <cell r="H8415"/>
          <cell r="J8415"/>
          <cell r="L8415"/>
          <cell r="M8415"/>
        </row>
        <row r="8416">
          <cell r="B8416"/>
          <cell r="C8416"/>
          <cell r="E8416"/>
          <cell r="F8416"/>
          <cell r="G8416"/>
          <cell r="H8416"/>
          <cell r="J8416"/>
          <cell r="L8416"/>
          <cell r="M8416"/>
        </row>
        <row r="8417">
          <cell r="B8417"/>
          <cell r="C8417"/>
          <cell r="E8417"/>
          <cell r="F8417"/>
          <cell r="G8417"/>
          <cell r="H8417"/>
          <cell r="J8417"/>
          <cell r="L8417"/>
          <cell r="M8417"/>
        </row>
        <row r="8418">
          <cell r="B8418"/>
          <cell r="C8418"/>
          <cell r="E8418"/>
          <cell r="F8418"/>
          <cell r="G8418"/>
          <cell r="H8418"/>
          <cell r="J8418"/>
          <cell r="L8418"/>
          <cell r="M8418"/>
        </row>
        <row r="8419">
          <cell r="B8419"/>
          <cell r="C8419"/>
          <cell r="E8419"/>
          <cell r="F8419"/>
          <cell r="G8419"/>
          <cell r="H8419"/>
          <cell r="J8419"/>
          <cell r="L8419"/>
          <cell r="M8419"/>
        </row>
        <row r="8420">
          <cell r="B8420"/>
          <cell r="C8420"/>
          <cell r="E8420"/>
          <cell r="F8420"/>
          <cell r="G8420"/>
          <cell r="H8420"/>
          <cell r="J8420"/>
          <cell r="L8420"/>
          <cell r="M8420"/>
        </row>
        <row r="8421">
          <cell r="B8421"/>
          <cell r="C8421"/>
          <cell r="E8421"/>
          <cell r="F8421"/>
          <cell r="G8421"/>
          <cell r="H8421"/>
          <cell r="J8421"/>
          <cell r="L8421"/>
          <cell r="M8421"/>
        </row>
        <row r="8422">
          <cell r="B8422"/>
          <cell r="C8422"/>
          <cell r="E8422"/>
          <cell r="F8422"/>
          <cell r="G8422"/>
          <cell r="H8422"/>
          <cell r="J8422"/>
          <cell r="L8422"/>
          <cell r="M8422"/>
        </row>
        <row r="8423">
          <cell r="B8423"/>
          <cell r="C8423"/>
          <cell r="E8423"/>
          <cell r="F8423"/>
          <cell r="G8423"/>
          <cell r="H8423"/>
          <cell r="J8423"/>
          <cell r="L8423"/>
          <cell r="M8423"/>
        </row>
        <row r="8424">
          <cell r="B8424"/>
          <cell r="C8424"/>
          <cell r="E8424"/>
          <cell r="F8424"/>
          <cell r="G8424"/>
          <cell r="H8424"/>
          <cell r="J8424"/>
          <cell r="L8424"/>
          <cell r="M8424"/>
        </row>
        <row r="8425">
          <cell r="B8425"/>
          <cell r="C8425"/>
          <cell r="E8425"/>
          <cell r="F8425"/>
          <cell r="G8425"/>
          <cell r="H8425"/>
          <cell r="J8425"/>
          <cell r="L8425"/>
          <cell r="M8425"/>
        </row>
        <row r="8426">
          <cell r="B8426"/>
          <cell r="C8426"/>
          <cell r="E8426"/>
          <cell r="F8426"/>
          <cell r="G8426"/>
          <cell r="H8426"/>
          <cell r="J8426"/>
          <cell r="L8426"/>
          <cell r="M8426"/>
        </row>
        <row r="8427">
          <cell r="B8427"/>
          <cell r="C8427"/>
          <cell r="E8427"/>
          <cell r="F8427"/>
          <cell r="G8427"/>
          <cell r="H8427"/>
          <cell r="J8427"/>
          <cell r="L8427"/>
          <cell r="M8427"/>
        </row>
        <row r="8428">
          <cell r="B8428"/>
          <cell r="C8428"/>
          <cell r="E8428"/>
          <cell r="F8428"/>
          <cell r="G8428"/>
          <cell r="H8428"/>
          <cell r="J8428"/>
          <cell r="L8428"/>
          <cell r="M8428"/>
        </row>
        <row r="8429">
          <cell r="B8429"/>
          <cell r="C8429"/>
          <cell r="E8429"/>
          <cell r="F8429"/>
          <cell r="G8429"/>
          <cell r="H8429"/>
          <cell r="J8429"/>
          <cell r="L8429"/>
          <cell r="M8429"/>
        </row>
        <row r="8430">
          <cell r="B8430"/>
          <cell r="C8430"/>
          <cell r="E8430"/>
          <cell r="F8430"/>
          <cell r="G8430"/>
          <cell r="H8430"/>
          <cell r="J8430"/>
          <cell r="L8430"/>
          <cell r="M8430"/>
        </row>
        <row r="8431">
          <cell r="B8431"/>
          <cell r="C8431"/>
          <cell r="E8431"/>
          <cell r="F8431"/>
          <cell r="G8431"/>
          <cell r="H8431"/>
          <cell r="J8431"/>
          <cell r="L8431"/>
          <cell r="M8431"/>
        </row>
        <row r="8432">
          <cell r="B8432"/>
          <cell r="C8432"/>
          <cell r="E8432"/>
          <cell r="F8432"/>
          <cell r="G8432"/>
          <cell r="H8432"/>
          <cell r="J8432"/>
          <cell r="L8432"/>
          <cell r="M8432"/>
        </row>
        <row r="8433">
          <cell r="B8433"/>
          <cell r="C8433"/>
          <cell r="E8433"/>
          <cell r="F8433"/>
          <cell r="G8433"/>
          <cell r="H8433"/>
          <cell r="J8433"/>
          <cell r="L8433"/>
          <cell r="M8433"/>
        </row>
        <row r="8434">
          <cell r="B8434"/>
          <cell r="C8434"/>
          <cell r="E8434"/>
          <cell r="F8434"/>
          <cell r="G8434"/>
          <cell r="H8434"/>
          <cell r="J8434"/>
          <cell r="L8434"/>
          <cell r="M8434"/>
        </row>
        <row r="8435">
          <cell r="B8435"/>
          <cell r="C8435"/>
          <cell r="E8435"/>
          <cell r="F8435"/>
          <cell r="G8435"/>
          <cell r="H8435"/>
          <cell r="J8435"/>
          <cell r="L8435"/>
          <cell r="M8435"/>
        </row>
        <row r="8436">
          <cell r="B8436"/>
          <cell r="C8436"/>
          <cell r="E8436"/>
          <cell r="F8436"/>
          <cell r="G8436"/>
          <cell r="H8436"/>
          <cell r="J8436"/>
          <cell r="L8436"/>
          <cell r="M8436"/>
        </row>
        <row r="8437">
          <cell r="B8437"/>
          <cell r="C8437"/>
          <cell r="E8437"/>
          <cell r="F8437"/>
          <cell r="G8437"/>
          <cell r="H8437"/>
          <cell r="J8437"/>
          <cell r="L8437"/>
          <cell r="M8437"/>
        </row>
        <row r="8438">
          <cell r="B8438"/>
          <cell r="C8438"/>
          <cell r="E8438"/>
          <cell r="F8438"/>
          <cell r="G8438"/>
          <cell r="H8438"/>
          <cell r="J8438"/>
          <cell r="L8438"/>
          <cell r="M8438"/>
        </row>
        <row r="8439">
          <cell r="B8439"/>
          <cell r="C8439"/>
          <cell r="E8439"/>
          <cell r="F8439"/>
          <cell r="G8439"/>
          <cell r="H8439"/>
          <cell r="J8439"/>
          <cell r="L8439"/>
          <cell r="M8439"/>
        </row>
        <row r="8440">
          <cell r="B8440"/>
          <cell r="C8440"/>
          <cell r="E8440"/>
          <cell r="F8440"/>
          <cell r="G8440"/>
          <cell r="H8440"/>
          <cell r="J8440"/>
          <cell r="L8440"/>
          <cell r="M8440"/>
        </row>
        <row r="8441">
          <cell r="B8441"/>
          <cell r="C8441"/>
          <cell r="E8441"/>
          <cell r="F8441"/>
          <cell r="G8441"/>
          <cell r="H8441"/>
          <cell r="J8441"/>
          <cell r="L8441"/>
          <cell r="M8441"/>
        </row>
        <row r="8442">
          <cell r="B8442"/>
          <cell r="C8442"/>
          <cell r="E8442"/>
          <cell r="F8442"/>
          <cell r="G8442"/>
          <cell r="H8442"/>
          <cell r="J8442"/>
          <cell r="L8442"/>
          <cell r="M8442"/>
        </row>
        <row r="8443">
          <cell r="B8443"/>
          <cell r="C8443"/>
          <cell r="E8443"/>
          <cell r="F8443"/>
          <cell r="G8443"/>
          <cell r="H8443"/>
          <cell r="J8443"/>
          <cell r="L8443"/>
          <cell r="M8443"/>
        </row>
        <row r="8444">
          <cell r="B8444"/>
          <cell r="C8444"/>
          <cell r="E8444"/>
          <cell r="F8444"/>
          <cell r="G8444"/>
          <cell r="H8444"/>
          <cell r="J8444"/>
          <cell r="L8444"/>
          <cell r="M8444"/>
        </row>
        <row r="8445">
          <cell r="B8445"/>
          <cell r="C8445"/>
          <cell r="E8445"/>
          <cell r="F8445"/>
          <cell r="G8445"/>
          <cell r="H8445"/>
          <cell r="J8445"/>
          <cell r="L8445"/>
          <cell r="M8445"/>
        </row>
        <row r="8446">
          <cell r="B8446"/>
          <cell r="C8446"/>
          <cell r="E8446"/>
          <cell r="F8446"/>
          <cell r="G8446"/>
          <cell r="H8446"/>
          <cell r="J8446"/>
          <cell r="L8446"/>
          <cell r="M8446"/>
        </row>
        <row r="8447">
          <cell r="B8447"/>
          <cell r="C8447"/>
          <cell r="E8447"/>
          <cell r="F8447"/>
          <cell r="G8447"/>
          <cell r="H8447"/>
          <cell r="J8447"/>
          <cell r="L8447"/>
          <cell r="M8447"/>
        </row>
        <row r="8448">
          <cell r="B8448"/>
          <cell r="C8448"/>
          <cell r="E8448"/>
          <cell r="F8448"/>
          <cell r="G8448"/>
          <cell r="H8448"/>
          <cell r="J8448"/>
          <cell r="L8448"/>
          <cell r="M8448"/>
        </row>
        <row r="8449">
          <cell r="B8449"/>
          <cell r="C8449"/>
          <cell r="E8449"/>
          <cell r="F8449"/>
          <cell r="G8449"/>
          <cell r="H8449"/>
          <cell r="J8449"/>
          <cell r="L8449"/>
          <cell r="M8449"/>
        </row>
        <row r="8450">
          <cell r="B8450"/>
          <cell r="C8450"/>
          <cell r="E8450"/>
          <cell r="F8450"/>
          <cell r="G8450"/>
          <cell r="H8450"/>
          <cell r="J8450"/>
          <cell r="L8450"/>
          <cell r="M8450"/>
        </row>
        <row r="8451">
          <cell r="B8451"/>
          <cell r="C8451"/>
          <cell r="E8451"/>
          <cell r="F8451"/>
          <cell r="G8451"/>
          <cell r="H8451"/>
          <cell r="J8451"/>
          <cell r="L8451"/>
          <cell r="M8451"/>
        </row>
        <row r="8452">
          <cell r="B8452"/>
          <cell r="C8452"/>
          <cell r="E8452"/>
          <cell r="F8452"/>
          <cell r="G8452"/>
          <cell r="H8452"/>
          <cell r="J8452"/>
          <cell r="L8452"/>
          <cell r="M8452"/>
        </row>
        <row r="8453">
          <cell r="B8453"/>
          <cell r="C8453"/>
          <cell r="E8453"/>
          <cell r="F8453"/>
          <cell r="G8453"/>
          <cell r="H8453"/>
          <cell r="J8453"/>
          <cell r="L8453"/>
          <cell r="M8453"/>
        </row>
        <row r="8454">
          <cell r="B8454"/>
          <cell r="C8454"/>
          <cell r="E8454"/>
          <cell r="F8454"/>
          <cell r="G8454"/>
          <cell r="H8454"/>
          <cell r="J8454"/>
          <cell r="L8454"/>
          <cell r="M8454"/>
        </row>
        <row r="8455">
          <cell r="B8455"/>
          <cell r="C8455"/>
          <cell r="E8455"/>
          <cell r="F8455"/>
          <cell r="G8455"/>
          <cell r="H8455"/>
          <cell r="J8455"/>
          <cell r="L8455"/>
          <cell r="M8455"/>
        </row>
        <row r="8456">
          <cell r="B8456"/>
          <cell r="C8456"/>
          <cell r="E8456"/>
          <cell r="F8456"/>
          <cell r="G8456"/>
          <cell r="H8456"/>
          <cell r="J8456"/>
          <cell r="L8456"/>
          <cell r="M8456"/>
        </row>
        <row r="8457">
          <cell r="B8457"/>
          <cell r="C8457"/>
          <cell r="E8457"/>
          <cell r="F8457"/>
          <cell r="G8457"/>
          <cell r="H8457"/>
          <cell r="J8457"/>
          <cell r="L8457"/>
          <cell r="M8457"/>
        </row>
        <row r="8458">
          <cell r="B8458"/>
          <cell r="C8458"/>
          <cell r="E8458"/>
          <cell r="F8458"/>
          <cell r="G8458"/>
          <cell r="H8458"/>
          <cell r="J8458"/>
          <cell r="L8458"/>
          <cell r="M8458"/>
        </row>
        <row r="8459">
          <cell r="B8459"/>
          <cell r="C8459"/>
          <cell r="E8459"/>
          <cell r="F8459"/>
          <cell r="G8459"/>
          <cell r="H8459"/>
          <cell r="J8459"/>
          <cell r="L8459"/>
          <cell r="M8459"/>
        </row>
        <row r="8460">
          <cell r="B8460"/>
          <cell r="C8460"/>
          <cell r="E8460"/>
          <cell r="F8460"/>
          <cell r="G8460"/>
          <cell r="H8460"/>
          <cell r="J8460"/>
          <cell r="L8460"/>
          <cell r="M8460"/>
        </row>
        <row r="8461">
          <cell r="B8461"/>
          <cell r="C8461"/>
          <cell r="E8461"/>
          <cell r="F8461"/>
          <cell r="G8461"/>
          <cell r="H8461"/>
          <cell r="J8461"/>
          <cell r="L8461"/>
          <cell r="M8461"/>
        </row>
        <row r="8462">
          <cell r="B8462"/>
          <cell r="C8462"/>
          <cell r="E8462"/>
          <cell r="F8462"/>
          <cell r="G8462"/>
          <cell r="H8462"/>
          <cell r="J8462"/>
          <cell r="L8462"/>
          <cell r="M8462"/>
        </row>
        <row r="8463">
          <cell r="B8463"/>
          <cell r="C8463"/>
          <cell r="E8463"/>
          <cell r="F8463"/>
          <cell r="G8463"/>
          <cell r="H8463"/>
          <cell r="J8463"/>
          <cell r="L8463"/>
          <cell r="M8463"/>
        </row>
        <row r="8464">
          <cell r="B8464"/>
          <cell r="C8464"/>
          <cell r="E8464"/>
          <cell r="F8464"/>
          <cell r="G8464"/>
          <cell r="H8464"/>
          <cell r="J8464"/>
          <cell r="L8464"/>
          <cell r="M8464"/>
        </row>
        <row r="8465">
          <cell r="B8465"/>
          <cell r="C8465"/>
          <cell r="E8465"/>
          <cell r="F8465"/>
          <cell r="G8465"/>
          <cell r="H8465"/>
          <cell r="J8465"/>
          <cell r="L8465"/>
          <cell r="M8465"/>
        </row>
        <row r="8466">
          <cell r="B8466"/>
          <cell r="C8466"/>
          <cell r="E8466"/>
          <cell r="F8466"/>
          <cell r="G8466"/>
          <cell r="H8466"/>
          <cell r="J8466"/>
          <cell r="L8466"/>
          <cell r="M8466"/>
        </row>
        <row r="8467">
          <cell r="B8467"/>
          <cell r="C8467"/>
          <cell r="E8467"/>
          <cell r="F8467"/>
          <cell r="G8467"/>
          <cell r="H8467"/>
          <cell r="J8467"/>
          <cell r="L8467"/>
          <cell r="M8467"/>
        </row>
        <row r="8468">
          <cell r="B8468"/>
          <cell r="C8468"/>
          <cell r="E8468"/>
          <cell r="F8468"/>
          <cell r="G8468"/>
          <cell r="H8468"/>
          <cell r="J8468"/>
          <cell r="L8468"/>
          <cell r="M8468"/>
        </row>
        <row r="8469">
          <cell r="B8469"/>
          <cell r="C8469"/>
          <cell r="E8469"/>
          <cell r="F8469"/>
          <cell r="G8469"/>
          <cell r="H8469"/>
          <cell r="J8469"/>
          <cell r="L8469"/>
          <cell r="M8469"/>
        </row>
        <row r="8470">
          <cell r="B8470"/>
          <cell r="C8470"/>
          <cell r="E8470"/>
          <cell r="F8470"/>
          <cell r="G8470"/>
          <cell r="H8470"/>
          <cell r="J8470"/>
          <cell r="L8470"/>
          <cell r="M8470"/>
        </row>
        <row r="8471">
          <cell r="B8471"/>
          <cell r="C8471"/>
          <cell r="E8471"/>
          <cell r="F8471"/>
          <cell r="G8471"/>
          <cell r="H8471"/>
          <cell r="J8471"/>
          <cell r="L8471"/>
          <cell r="M8471"/>
        </row>
        <row r="8472">
          <cell r="B8472"/>
          <cell r="C8472"/>
          <cell r="E8472"/>
          <cell r="F8472"/>
          <cell r="G8472"/>
          <cell r="H8472"/>
          <cell r="J8472"/>
          <cell r="L8472"/>
          <cell r="M8472"/>
        </row>
        <row r="8473">
          <cell r="B8473"/>
          <cell r="C8473"/>
          <cell r="E8473"/>
          <cell r="F8473"/>
          <cell r="G8473"/>
          <cell r="H8473"/>
          <cell r="J8473"/>
          <cell r="L8473"/>
          <cell r="M8473"/>
        </row>
        <row r="8474">
          <cell r="B8474"/>
          <cell r="C8474"/>
          <cell r="E8474"/>
          <cell r="F8474"/>
          <cell r="G8474"/>
          <cell r="H8474"/>
          <cell r="J8474"/>
          <cell r="L8474"/>
          <cell r="M8474"/>
        </row>
        <row r="8475">
          <cell r="B8475"/>
          <cell r="C8475"/>
          <cell r="E8475"/>
          <cell r="F8475"/>
          <cell r="G8475"/>
          <cell r="H8475"/>
          <cell r="J8475"/>
          <cell r="L8475"/>
          <cell r="M8475"/>
        </row>
        <row r="8476">
          <cell r="B8476"/>
          <cell r="C8476"/>
          <cell r="E8476"/>
          <cell r="F8476"/>
          <cell r="G8476"/>
          <cell r="H8476"/>
          <cell r="J8476"/>
          <cell r="L8476"/>
          <cell r="M8476"/>
        </row>
        <row r="8477">
          <cell r="B8477"/>
          <cell r="C8477"/>
          <cell r="E8477"/>
          <cell r="F8477"/>
          <cell r="G8477"/>
          <cell r="H8477"/>
          <cell r="J8477"/>
          <cell r="L8477"/>
          <cell r="M8477"/>
        </row>
        <row r="8478">
          <cell r="B8478"/>
          <cell r="C8478"/>
          <cell r="E8478"/>
          <cell r="F8478"/>
          <cell r="G8478"/>
          <cell r="H8478"/>
          <cell r="J8478"/>
          <cell r="L8478"/>
          <cell r="M8478"/>
        </row>
        <row r="8479">
          <cell r="B8479"/>
          <cell r="C8479"/>
          <cell r="E8479"/>
          <cell r="F8479"/>
          <cell r="G8479"/>
          <cell r="H8479"/>
          <cell r="J8479"/>
          <cell r="L8479"/>
          <cell r="M8479"/>
        </row>
        <row r="8480">
          <cell r="B8480"/>
          <cell r="C8480"/>
          <cell r="E8480"/>
          <cell r="F8480"/>
          <cell r="G8480"/>
          <cell r="H8480"/>
          <cell r="J8480"/>
          <cell r="L8480"/>
          <cell r="M8480"/>
        </row>
        <row r="8481">
          <cell r="B8481"/>
          <cell r="C8481"/>
          <cell r="E8481"/>
          <cell r="F8481"/>
          <cell r="G8481"/>
          <cell r="H8481"/>
          <cell r="J8481"/>
          <cell r="L8481"/>
          <cell r="M8481"/>
        </row>
        <row r="8482">
          <cell r="B8482"/>
          <cell r="C8482"/>
          <cell r="E8482"/>
          <cell r="F8482"/>
          <cell r="G8482"/>
          <cell r="H8482"/>
          <cell r="J8482"/>
          <cell r="L8482"/>
          <cell r="M8482"/>
        </row>
        <row r="8483">
          <cell r="B8483"/>
          <cell r="C8483"/>
          <cell r="E8483"/>
          <cell r="F8483"/>
          <cell r="G8483"/>
          <cell r="H8483"/>
          <cell r="J8483"/>
          <cell r="L8483"/>
          <cell r="M8483"/>
        </row>
        <row r="8484">
          <cell r="B8484"/>
          <cell r="C8484"/>
          <cell r="E8484"/>
          <cell r="F8484"/>
          <cell r="G8484"/>
          <cell r="H8484"/>
          <cell r="J8484"/>
          <cell r="L8484"/>
          <cell r="M8484"/>
        </row>
        <row r="8485">
          <cell r="B8485"/>
          <cell r="C8485"/>
          <cell r="E8485"/>
          <cell r="F8485"/>
          <cell r="G8485"/>
          <cell r="H8485"/>
          <cell r="J8485"/>
          <cell r="L8485"/>
          <cell r="M8485"/>
        </row>
        <row r="8486">
          <cell r="B8486"/>
          <cell r="C8486"/>
          <cell r="E8486"/>
          <cell r="F8486"/>
          <cell r="G8486"/>
          <cell r="H8486"/>
          <cell r="J8486"/>
          <cell r="L8486"/>
          <cell r="M8486"/>
        </row>
        <row r="8487">
          <cell r="B8487"/>
          <cell r="C8487"/>
          <cell r="E8487"/>
          <cell r="F8487"/>
          <cell r="G8487"/>
          <cell r="H8487"/>
          <cell r="J8487"/>
          <cell r="L8487"/>
          <cell r="M8487"/>
        </row>
        <row r="8488">
          <cell r="B8488"/>
          <cell r="C8488"/>
          <cell r="E8488"/>
          <cell r="F8488"/>
          <cell r="G8488"/>
          <cell r="H8488"/>
          <cell r="J8488"/>
          <cell r="L8488"/>
          <cell r="M8488"/>
        </row>
        <row r="8489">
          <cell r="B8489"/>
          <cell r="C8489"/>
          <cell r="E8489"/>
          <cell r="F8489"/>
          <cell r="G8489"/>
          <cell r="H8489"/>
          <cell r="J8489"/>
          <cell r="L8489"/>
          <cell r="M8489"/>
        </row>
        <row r="8490">
          <cell r="B8490"/>
          <cell r="C8490"/>
          <cell r="E8490"/>
          <cell r="F8490"/>
          <cell r="G8490"/>
          <cell r="H8490"/>
          <cell r="J8490"/>
          <cell r="L8490"/>
          <cell r="M8490"/>
        </row>
        <row r="8491">
          <cell r="B8491"/>
          <cell r="C8491"/>
          <cell r="E8491"/>
          <cell r="F8491"/>
          <cell r="G8491"/>
          <cell r="H8491"/>
          <cell r="J8491"/>
          <cell r="L8491"/>
          <cell r="M8491"/>
        </row>
        <row r="8492">
          <cell r="B8492"/>
          <cell r="C8492"/>
          <cell r="E8492"/>
          <cell r="F8492"/>
          <cell r="G8492"/>
          <cell r="H8492"/>
          <cell r="J8492"/>
          <cell r="L8492"/>
          <cell r="M8492"/>
        </row>
        <row r="8493">
          <cell r="B8493"/>
          <cell r="C8493"/>
          <cell r="E8493"/>
          <cell r="F8493"/>
          <cell r="G8493"/>
          <cell r="H8493"/>
          <cell r="J8493"/>
          <cell r="L8493"/>
          <cell r="M8493"/>
        </row>
        <row r="8494">
          <cell r="B8494"/>
          <cell r="C8494"/>
          <cell r="E8494"/>
          <cell r="F8494"/>
          <cell r="G8494"/>
          <cell r="H8494"/>
          <cell r="J8494"/>
          <cell r="L8494"/>
          <cell r="M8494"/>
        </row>
        <row r="8495">
          <cell r="B8495"/>
          <cell r="C8495"/>
          <cell r="E8495"/>
          <cell r="F8495"/>
          <cell r="G8495"/>
          <cell r="H8495"/>
          <cell r="J8495"/>
          <cell r="L8495"/>
          <cell r="M8495"/>
        </row>
        <row r="8496">
          <cell r="B8496"/>
          <cell r="C8496"/>
          <cell r="E8496"/>
          <cell r="F8496"/>
          <cell r="G8496"/>
          <cell r="H8496"/>
          <cell r="J8496"/>
          <cell r="L8496"/>
          <cell r="M8496"/>
        </row>
        <row r="8497">
          <cell r="B8497"/>
          <cell r="C8497"/>
          <cell r="E8497"/>
          <cell r="F8497"/>
          <cell r="G8497"/>
          <cell r="H8497"/>
          <cell r="J8497"/>
          <cell r="L8497"/>
          <cell r="M8497"/>
        </row>
        <row r="8498">
          <cell r="B8498"/>
          <cell r="C8498"/>
          <cell r="E8498"/>
          <cell r="F8498"/>
          <cell r="G8498"/>
          <cell r="H8498"/>
          <cell r="J8498"/>
          <cell r="L8498"/>
          <cell r="M8498"/>
        </row>
        <row r="8499">
          <cell r="B8499"/>
          <cell r="C8499"/>
          <cell r="E8499"/>
          <cell r="F8499"/>
          <cell r="G8499"/>
          <cell r="H8499"/>
          <cell r="J8499"/>
          <cell r="L8499"/>
          <cell r="M8499"/>
        </row>
        <row r="8500">
          <cell r="B8500"/>
          <cell r="C8500"/>
          <cell r="E8500"/>
          <cell r="F8500"/>
          <cell r="G8500"/>
          <cell r="H8500"/>
          <cell r="J8500"/>
          <cell r="L8500"/>
          <cell r="M8500"/>
        </row>
        <row r="8501">
          <cell r="B8501"/>
          <cell r="C8501"/>
          <cell r="E8501"/>
          <cell r="F8501"/>
          <cell r="G8501"/>
          <cell r="H8501"/>
          <cell r="J8501"/>
          <cell r="L8501"/>
          <cell r="M8501"/>
        </row>
        <row r="8502">
          <cell r="B8502"/>
          <cell r="C8502"/>
          <cell r="E8502"/>
          <cell r="F8502"/>
          <cell r="G8502"/>
          <cell r="H8502"/>
          <cell r="J8502"/>
          <cell r="L8502"/>
          <cell r="M8502"/>
        </row>
        <row r="8503">
          <cell r="B8503"/>
          <cell r="C8503"/>
          <cell r="E8503"/>
          <cell r="F8503"/>
          <cell r="G8503"/>
          <cell r="H8503"/>
          <cell r="J8503"/>
          <cell r="L8503"/>
          <cell r="M8503"/>
        </row>
        <row r="8504">
          <cell r="B8504"/>
          <cell r="C8504"/>
          <cell r="E8504"/>
          <cell r="F8504"/>
          <cell r="G8504"/>
          <cell r="H8504"/>
          <cell r="J8504"/>
          <cell r="L8504"/>
          <cell r="M8504"/>
        </row>
        <row r="8505">
          <cell r="B8505"/>
          <cell r="C8505"/>
          <cell r="E8505"/>
          <cell r="F8505"/>
          <cell r="G8505"/>
          <cell r="H8505"/>
          <cell r="J8505"/>
          <cell r="L8505"/>
          <cell r="M8505"/>
        </row>
        <row r="8506">
          <cell r="B8506"/>
          <cell r="C8506"/>
          <cell r="E8506"/>
          <cell r="F8506"/>
          <cell r="G8506"/>
          <cell r="H8506"/>
          <cell r="J8506"/>
          <cell r="L8506"/>
          <cell r="M8506"/>
        </row>
        <row r="8507">
          <cell r="B8507"/>
          <cell r="C8507"/>
          <cell r="E8507"/>
          <cell r="F8507"/>
          <cell r="G8507"/>
          <cell r="H8507"/>
          <cell r="J8507"/>
          <cell r="L8507"/>
          <cell r="M8507"/>
        </row>
        <row r="8508">
          <cell r="B8508"/>
          <cell r="C8508"/>
          <cell r="E8508"/>
          <cell r="F8508"/>
          <cell r="G8508"/>
          <cell r="H8508"/>
          <cell r="J8508"/>
          <cell r="L8508"/>
          <cell r="M8508"/>
        </row>
        <row r="8509">
          <cell r="B8509"/>
          <cell r="C8509"/>
          <cell r="E8509"/>
          <cell r="F8509"/>
          <cell r="G8509"/>
          <cell r="H8509"/>
          <cell r="J8509"/>
          <cell r="L8509"/>
          <cell r="M8509"/>
        </row>
        <row r="8510">
          <cell r="B8510"/>
          <cell r="C8510"/>
          <cell r="E8510"/>
          <cell r="F8510"/>
          <cell r="G8510"/>
          <cell r="H8510"/>
          <cell r="J8510"/>
          <cell r="L8510"/>
          <cell r="M8510"/>
        </row>
        <row r="8511">
          <cell r="B8511"/>
          <cell r="C8511"/>
          <cell r="E8511"/>
          <cell r="F8511"/>
          <cell r="G8511"/>
          <cell r="H8511"/>
          <cell r="J8511"/>
          <cell r="L8511"/>
          <cell r="M8511"/>
        </row>
        <row r="8512">
          <cell r="B8512"/>
          <cell r="C8512"/>
          <cell r="E8512"/>
          <cell r="F8512"/>
          <cell r="G8512"/>
          <cell r="H8512"/>
          <cell r="J8512"/>
          <cell r="L8512"/>
          <cell r="M8512"/>
        </row>
        <row r="8513">
          <cell r="B8513"/>
          <cell r="C8513"/>
          <cell r="E8513"/>
          <cell r="F8513"/>
          <cell r="G8513"/>
          <cell r="H8513"/>
          <cell r="J8513"/>
          <cell r="L8513"/>
          <cell r="M8513"/>
        </row>
        <row r="8514">
          <cell r="B8514"/>
          <cell r="C8514"/>
          <cell r="E8514"/>
          <cell r="F8514"/>
          <cell r="G8514"/>
          <cell r="H8514"/>
          <cell r="J8514"/>
          <cell r="L8514"/>
          <cell r="M8514"/>
        </row>
        <row r="8515">
          <cell r="B8515"/>
          <cell r="C8515"/>
          <cell r="E8515"/>
          <cell r="F8515"/>
          <cell r="G8515"/>
          <cell r="H8515"/>
          <cell r="J8515"/>
          <cell r="L8515"/>
          <cell r="M8515"/>
        </row>
        <row r="8516">
          <cell r="B8516"/>
          <cell r="C8516"/>
          <cell r="E8516"/>
          <cell r="F8516"/>
          <cell r="G8516"/>
          <cell r="H8516"/>
          <cell r="J8516"/>
          <cell r="L8516"/>
          <cell r="M8516"/>
        </row>
        <row r="8517">
          <cell r="B8517"/>
          <cell r="C8517"/>
          <cell r="E8517"/>
          <cell r="F8517"/>
          <cell r="G8517"/>
          <cell r="H8517"/>
          <cell r="J8517"/>
          <cell r="L8517"/>
          <cell r="M8517"/>
        </row>
        <row r="8518">
          <cell r="B8518"/>
          <cell r="C8518"/>
          <cell r="E8518"/>
          <cell r="F8518"/>
          <cell r="G8518"/>
          <cell r="H8518"/>
          <cell r="J8518"/>
          <cell r="L8518"/>
          <cell r="M8518"/>
        </row>
        <row r="8519">
          <cell r="B8519"/>
          <cell r="C8519"/>
          <cell r="E8519"/>
          <cell r="F8519"/>
          <cell r="G8519"/>
          <cell r="H8519"/>
          <cell r="J8519"/>
          <cell r="L8519"/>
          <cell r="M8519"/>
        </row>
        <row r="8520">
          <cell r="B8520"/>
          <cell r="C8520"/>
          <cell r="E8520"/>
          <cell r="F8520"/>
          <cell r="G8520"/>
          <cell r="H8520"/>
          <cell r="J8520"/>
          <cell r="L8520"/>
          <cell r="M8520"/>
        </row>
        <row r="8521">
          <cell r="B8521"/>
          <cell r="C8521"/>
          <cell r="E8521"/>
          <cell r="F8521"/>
          <cell r="G8521"/>
          <cell r="H8521"/>
          <cell r="J8521"/>
          <cell r="L8521"/>
          <cell r="M8521"/>
        </row>
        <row r="8522">
          <cell r="B8522"/>
          <cell r="C8522"/>
          <cell r="E8522"/>
          <cell r="F8522"/>
          <cell r="G8522"/>
          <cell r="H8522"/>
          <cell r="J8522"/>
          <cell r="L8522"/>
          <cell r="M8522"/>
        </row>
        <row r="8523">
          <cell r="B8523"/>
          <cell r="C8523"/>
          <cell r="E8523"/>
          <cell r="F8523"/>
          <cell r="G8523"/>
          <cell r="H8523"/>
          <cell r="J8523"/>
          <cell r="L8523"/>
          <cell r="M8523"/>
        </row>
        <row r="8524">
          <cell r="B8524"/>
          <cell r="C8524"/>
          <cell r="E8524"/>
          <cell r="F8524"/>
          <cell r="G8524"/>
          <cell r="H8524"/>
          <cell r="J8524"/>
          <cell r="L8524"/>
          <cell r="M8524"/>
        </row>
        <row r="8525">
          <cell r="B8525"/>
          <cell r="C8525"/>
          <cell r="E8525"/>
          <cell r="F8525"/>
          <cell r="G8525"/>
          <cell r="H8525"/>
          <cell r="J8525"/>
          <cell r="L8525"/>
          <cell r="M8525"/>
        </row>
        <row r="8526">
          <cell r="B8526"/>
          <cell r="C8526"/>
          <cell r="E8526"/>
          <cell r="F8526"/>
          <cell r="G8526"/>
          <cell r="H8526"/>
          <cell r="J8526"/>
          <cell r="L8526"/>
          <cell r="M8526"/>
        </row>
        <row r="8527">
          <cell r="B8527"/>
          <cell r="C8527"/>
          <cell r="E8527"/>
          <cell r="F8527"/>
          <cell r="G8527"/>
          <cell r="H8527"/>
          <cell r="J8527"/>
          <cell r="L8527"/>
          <cell r="M8527"/>
        </row>
        <row r="8528">
          <cell r="B8528"/>
          <cell r="C8528"/>
          <cell r="E8528"/>
          <cell r="F8528"/>
          <cell r="G8528"/>
          <cell r="H8528"/>
          <cell r="J8528"/>
          <cell r="L8528"/>
          <cell r="M8528"/>
        </row>
        <row r="8529">
          <cell r="B8529"/>
          <cell r="C8529"/>
          <cell r="E8529"/>
          <cell r="F8529"/>
          <cell r="G8529"/>
          <cell r="H8529"/>
          <cell r="J8529"/>
          <cell r="L8529"/>
          <cell r="M8529"/>
        </row>
        <row r="8530">
          <cell r="B8530"/>
          <cell r="C8530"/>
          <cell r="E8530"/>
          <cell r="F8530"/>
          <cell r="G8530"/>
          <cell r="H8530"/>
          <cell r="J8530"/>
          <cell r="L8530"/>
          <cell r="M8530"/>
        </row>
        <row r="8531">
          <cell r="B8531"/>
          <cell r="C8531"/>
          <cell r="E8531"/>
          <cell r="F8531"/>
          <cell r="G8531"/>
          <cell r="H8531"/>
          <cell r="J8531"/>
          <cell r="L8531"/>
          <cell r="M8531"/>
        </row>
        <row r="8532">
          <cell r="B8532"/>
          <cell r="C8532"/>
          <cell r="E8532"/>
          <cell r="F8532"/>
          <cell r="G8532"/>
          <cell r="H8532"/>
          <cell r="J8532"/>
          <cell r="L8532"/>
          <cell r="M8532"/>
        </row>
        <row r="8533">
          <cell r="B8533"/>
          <cell r="C8533"/>
          <cell r="E8533"/>
          <cell r="F8533"/>
          <cell r="G8533"/>
          <cell r="H8533"/>
          <cell r="J8533"/>
          <cell r="L8533"/>
          <cell r="M8533"/>
        </row>
        <row r="8534">
          <cell r="B8534"/>
          <cell r="C8534"/>
          <cell r="E8534"/>
          <cell r="F8534"/>
          <cell r="G8534"/>
          <cell r="H8534"/>
          <cell r="J8534"/>
          <cell r="L8534"/>
          <cell r="M8534"/>
        </row>
        <row r="8535">
          <cell r="B8535"/>
          <cell r="C8535"/>
          <cell r="E8535"/>
          <cell r="F8535"/>
          <cell r="G8535"/>
          <cell r="H8535"/>
          <cell r="J8535"/>
          <cell r="L8535"/>
          <cell r="M8535"/>
        </row>
        <row r="8536">
          <cell r="B8536"/>
          <cell r="C8536"/>
          <cell r="E8536"/>
          <cell r="F8536"/>
          <cell r="G8536"/>
          <cell r="H8536"/>
          <cell r="J8536"/>
          <cell r="L8536"/>
          <cell r="M8536"/>
        </row>
        <row r="8537">
          <cell r="B8537"/>
          <cell r="C8537"/>
          <cell r="E8537"/>
          <cell r="F8537"/>
          <cell r="G8537"/>
          <cell r="H8537"/>
          <cell r="J8537"/>
          <cell r="L8537"/>
          <cell r="M8537"/>
        </row>
        <row r="8538">
          <cell r="B8538"/>
          <cell r="C8538"/>
          <cell r="E8538"/>
          <cell r="F8538"/>
          <cell r="G8538"/>
          <cell r="H8538"/>
          <cell r="J8538"/>
          <cell r="L8538"/>
          <cell r="M8538"/>
        </row>
        <row r="8539">
          <cell r="B8539"/>
          <cell r="C8539"/>
          <cell r="E8539"/>
          <cell r="F8539"/>
          <cell r="G8539"/>
          <cell r="H8539"/>
          <cell r="J8539"/>
          <cell r="L8539"/>
          <cell r="M8539"/>
        </row>
        <row r="8540">
          <cell r="B8540"/>
          <cell r="C8540"/>
          <cell r="E8540"/>
          <cell r="F8540"/>
          <cell r="G8540"/>
          <cell r="H8540"/>
          <cell r="J8540"/>
          <cell r="L8540"/>
          <cell r="M8540"/>
        </row>
        <row r="8541">
          <cell r="B8541"/>
          <cell r="C8541"/>
          <cell r="E8541"/>
          <cell r="F8541"/>
          <cell r="G8541"/>
          <cell r="H8541"/>
          <cell r="J8541"/>
          <cell r="L8541"/>
          <cell r="M8541"/>
        </row>
        <row r="8542">
          <cell r="B8542"/>
          <cell r="C8542"/>
          <cell r="E8542"/>
          <cell r="F8542"/>
          <cell r="G8542"/>
          <cell r="H8542"/>
          <cell r="J8542"/>
          <cell r="L8542"/>
          <cell r="M8542"/>
        </row>
        <row r="8543">
          <cell r="B8543"/>
          <cell r="C8543"/>
          <cell r="E8543"/>
          <cell r="F8543"/>
          <cell r="G8543"/>
          <cell r="H8543"/>
          <cell r="J8543"/>
          <cell r="L8543"/>
          <cell r="M8543"/>
        </row>
        <row r="8544">
          <cell r="B8544"/>
          <cell r="C8544"/>
          <cell r="E8544"/>
          <cell r="F8544"/>
          <cell r="G8544"/>
          <cell r="H8544"/>
          <cell r="J8544"/>
          <cell r="L8544"/>
          <cell r="M8544"/>
        </row>
        <row r="8545">
          <cell r="B8545"/>
          <cell r="C8545"/>
          <cell r="E8545"/>
          <cell r="F8545"/>
          <cell r="G8545"/>
          <cell r="H8545"/>
          <cell r="J8545"/>
          <cell r="L8545"/>
          <cell r="M8545"/>
        </row>
        <row r="8546">
          <cell r="B8546"/>
          <cell r="C8546"/>
          <cell r="E8546"/>
          <cell r="F8546"/>
          <cell r="G8546"/>
          <cell r="H8546"/>
          <cell r="J8546"/>
          <cell r="L8546"/>
          <cell r="M8546"/>
        </row>
        <row r="8547">
          <cell r="B8547"/>
          <cell r="C8547"/>
          <cell r="E8547"/>
          <cell r="F8547"/>
          <cell r="G8547"/>
          <cell r="H8547"/>
          <cell r="J8547"/>
          <cell r="L8547"/>
          <cell r="M8547"/>
        </row>
        <row r="8548">
          <cell r="B8548"/>
          <cell r="C8548"/>
          <cell r="E8548"/>
          <cell r="F8548"/>
          <cell r="G8548"/>
          <cell r="H8548"/>
          <cell r="J8548"/>
          <cell r="L8548"/>
          <cell r="M8548"/>
        </row>
        <row r="8549">
          <cell r="B8549"/>
          <cell r="C8549"/>
          <cell r="E8549"/>
          <cell r="F8549"/>
          <cell r="G8549"/>
          <cell r="H8549"/>
          <cell r="J8549"/>
          <cell r="L8549"/>
          <cell r="M8549"/>
        </row>
        <row r="8550">
          <cell r="B8550"/>
          <cell r="C8550"/>
          <cell r="E8550"/>
          <cell r="F8550"/>
          <cell r="G8550"/>
          <cell r="H8550"/>
          <cell r="J8550"/>
          <cell r="L8550"/>
          <cell r="M8550"/>
        </row>
        <row r="8551">
          <cell r="B8551"/>
          <cell r="C8551"/>
          <cell r="E8551"/>
          <cell r="F8551"/>
          <cell r="G8551"/>
          <cell r="H8551"/>
          <cell r="J8551"/>
          <cell r="L8551"/>
          <cell r="M8551"/>
        </row>
        <row r="8552">
          <cell r="B8552"/>
          <cell r="C8552"/>
          <cell r="E8552"/>
          <cell r="F8552"/>
          <cell r="G8552"/>
          <cell r="H8552"/>
          <cell r="J8552"/>
          <cell r="L8552"/>
          <cell r="M8552"/>
        </row>
        <row r="8553">
          <cell r="B8553"/>
          <cell r="C8553"/>
          <cell r="E8553"/>
          <cell r="F8553"/>
          <cell r="G8553"/>
          <cell r="H8553"/>
          <cell r="J8553"/>
          <cell r="L8553"/>
          <cell r="M8553"/>
        </row>
        <row r="8554">
          <cell r="B8554"/>
          <cell r="C8554"/>
          <cell r="E8554"/>
          <cell r="F8554"/>
          <cell r="G8554"/>
          <cell r="H8554"/>
          <cell r="J8554"/>
          <cell r="L8554"/>
          <cell r="M8554"/>
        </row>
        <row r="8555">
          <cell r="B8555"/>
          <cell r="C8555"/>
          <cell r="E8555"/>
          <cell r="F8555"/>
          <cell r="G8555"/>
          <cell r="H8555"/>
          <cell r="J8555"/>
          <cell r="L8555"/>
          <cell r="M8555"/>
        </row>
        <row r="8556">
          <cell r="B8556"/>
          <cell r="C8556"/>
          <cell r="E8556"/>
          <cell r="F8556"/>
          <cell r="G8556"/>
          <cell r="H8556"/>
          <cell r="J8556"/>
          <cell r="L8556"/>
          <cell r="M8556"/>
        </row>
        <row r="8557">
          <cell r="B8557"/>
          <cell r="C8557"/>
          <cell r="E8557"/>
          <cell r="F8557"/>
          <cell r="G8557"/>
          <cell r="H8557"/>
          <cell r="J8557"/>
          <cell r="L8557"/>
          <cell r="M8557"/>
        </row>
        <row r="8558">
          <cell r="B8558"/>
          <cell r="C8558"/>
          <cell r="E8558"/>
          <cell r="F8558"/>
          <cell r="G8558"/>
          <cell r="H8558"/>
          <cell r="J8558"/>
          <cell r="L8558"/>
          <cell r="M8558"/>
        </row>
        <row r="8559">
          <cell r="B8559"/>
          <cell r="C8559"/>
          <cell r="E8559"/>
          <cell r="F8559"/>
          <cell r="G8559"/>
          <cell r="H8559"/>
          <cell r="J8559"/>
          <cell r="L8559"/>
          <cell r="M8559"/>
        </row>
        <row r="8560">
          <cell r="B8560"/>
          <cell r="C8560"/>
          <cell r="E8560"/>
          <cell r="F8560"/>
          <cell r="G8560"/>
          <cell r="H8560"/>
          <cell r="J8560"/>
          <cell r="L8560"/>
          <cell r="M8560"/>
        </row>
        <row r="8561">
          <cell r="B8561"/>
          <cell r="C8561"/>
          <cell r="E8561"/>
          <cell r="F8561"/>
          <cell r="G8561"/>
          <cell r="H8561"/>
          <cell r="J8561"/>
          <cell r="L8561"/>
          <cell r="M8561"/>
        </row>
        <row r="8562">
          <cell r="B8562"/>
          <cell r="C8562"/>
          <cell r="E8562"/>
          <cell r="F8562"/>
          <cell r="G8562"/>
          <cell r="H8562"/>
          <cell r="J8562"/>
          <cell r="L8562"/>
          <cell r="M8562"/>
        </row>
        <row r="8563">
          <cell r="B8563"/>
          <cell r="C8563"/>
          <cell r="E8563"/>
          <cell r="F8563"/>
          <cell r="G8563"/>
          <cell r="H8563"/>
          <cell r="J8563"/>
          <cell r="L8563"/>
          <cell r="M8563"/>
        </row>
        <row r="8564">
          <cell r="B8564"/>
          <cell r="C8564"/>
          <cell r="E8564"/>
          <cell r="F8564"/>
          <cell r="G8564"/>
          <cell r="H8564"/>
          <cell r="J8564"/>
          <cell r="L8564"/>
          <cell r="M8564"/>
        </row>
        <row r="8565">
          <cell r="B8565"/>
          <cell r="C8565"/>
          <cell r="E8565"/>
          <cell r="F8565"/>
          <cell r="G8565"/>
          <cell r="H8565"/>
          <cell r="J8565"/>
          <cell r="L8565"/>
          <cell r="M8565"/>
        </row>
        <row r="8566">
          <cell r="B8566"/>
          <cell r="C8566"/>
          <cell r="E8566"/>
          <cell r="F8566"/>
          <cell r="G8566"/>
          <cell r="H8566"/>
          <cell r="J8566"/>
          <cell r="L8566"/>
          <cell r="M8566"/>
        </row>
        <row r="8567">
          <cell r="B8567"/>
          <cell r="C8567"/>
          <cell r="E8567"/>
          <cell r="F8567"/>
          <cell r="G8567"/>
          <cell r="H8567"/>
          <cell r="J8567"/>
          <cell r="L8567"/>
          <cell r="M8567"/>
        </row>
        <row r="8568">
          <cell r="B8568"/>
          <cell r="C8568"/>
          <cell r="E8568"/>
          <cell r="F8568"/>
          <cell r="G8568"/>
          <cell r="H8568"/>
          <cell r="J8568"/>
          <cell r="L8568"/>
          <cell r="M8568"/>
        </row>
        <row r="8569">
          <cell r="B8569"/>
          <cell r="C8569"/>
          <cell r="E8569"/>
          <cell r="F8569"/>
          <cell r="G8569"/>
          <cell r="H8569"/>
          <cell r="J8569"/>
          <cell r="L8569"/>
          <cell r="M8569"/>
        </row>
        <row r="8570">
          <cell r="B8570"/>
          <cell r="C8570"/>
          <cell r="E8570"/>
          <cell r="F8570"/>
          <cell r="G8570"/>
          <cell r="H8570"/>
          <cell r="J8570"/>
          <cell r="L8570"/>
          <cell r="M8570"/>
        </row>
        <row r="8571">
          <cell r="B8571"/>
          <cell r="C8571"/>
          <cell r="E8571"/>
          <cell r="F8571"/>
          <cell r="G8571"/>
          <cell r="H8571"/>
          <cell r="J8571"/>
          <cell r="L8571"/>
          <cell r="M8571"/>
        </row>
        <row r="8572">
          <cell r="B8572"/>
          <cell r="C8572"/>
          <cell r="E8572"/>
          <cell r="F8572"/>
          <cell r="G8572"/>
          <cell r="H8572"/>
          <cell r="J8572"/>
          <cell r="L8572"/>
          <cell r="M8572"/>
        </row>
        <row r="8573">
          <cell r="B8573"/>
          <cell r="C8573"/>
          <cell r="E8573"/>
          <cell r="F8573"/>
          <cell r="G8573"/>
          <cell r="H8573"/>
          <cell r="J8573"/>
          <cell r="L8573"/>
          <cell r="M8573"/>
        </row>
        <row r="8574">
          <cell r="B8574"/>
          <cell r="C8574"/>
          <cell r="E8574"/>
          <cell r="F8574"/>
          <cell r="G8574"/>
          <cell r="H8574"/>
          <cell r="J8574"/>
          <cell r="L8574"/>
          <cell r="M8574"/>
        </row>
        <row r="8575">
          <cell r="B8575"/>
          <cell r="C8575"/>
          <cell r="E8575"/>
          <cell r="F8575"/>
          <cell r="G8575"/>
          <cell r="H8575"/>
          <cell r="J8575"/>
          <cell r="L8575"/>
          <cell r="M8575"/>
        </row>
        <row r="8576">
          <cell r="B8576"/>
          <cell r="C8576"/>
          <cell r="E8576"/>
          <cell r="F8576"/>
          <cell r="G8576"/>
          <cell r="H8576"/>
          <cell r="J8576"/>
          <cell r="L8576"/>
          <cell r="M8576"/>
        </row>
        <row r="8577">
          <cell r="B8577"/>
          <cell r="C8577"/>
          <cell r="E8577"/>
          <cell r="F8577"/>
          <cell r="G8577"/>
          <cell r="H8577"/>
          <cell r="J8577"/>
          <cell r="L8577"/>
          <cell r="M8577"/>
        </row>
        <row r="8578">
          <cell r="B8578"/>
          <cell r="C8578"/>
          <cell r="E8578"/>
          <cell r="F8578"/>
          <cell r="G8578"/>
          <cell r="H8578"/>
          <cell r="J8578"/>
          <cell r="L8578"/>
          <cell r="M8578"/>
        </row>
        <row r="8579">
          <cell r="B8579"/>
          <cell r="C8579"/>
          <cell r="E8579"/>
          <cell r="F8579"/>
          <cell r="G8579"/>
          <cell r="H8579"/>
          <cell r="J8579"/>
          <cell r="L8579"/>
          <cell r="M8579"/>
        </row>
        <row r="8580">
          <cell r="B8580"/>
          <cell r="C8580"/>
          <cell r="E8580"/>
          <cell r="F8580"/>
          <cell r="G8580"/>
          <cell r="H8580"/>
          <cell r="J8580"/>
          <cell r="L8580"/>
          <cell r="M8580"/>
        </row>
        <row r="8581">
          <cell r="B8581"/>
          <cell r="C8581"/>
          <cell r="E8581"/>
          <cell r="F8581"/>
          <cell r="G8581"/>
          <cell r="H8581"/>
          <cell r="J8581"/>
          <cell r="L8581"/>
          <cell r="M8581"/>
        </row>
        <row r="8582">
          <cell r="B8582"/>
          <cell r="C8582"/>
          <cell r="E8582"/>
          <cell r="F8582"/>
          <cell r="G8582"/>
          <cell r="H8582"/>
          <cell r="J8582"/>
          <cell r="L8582"/>
          <cell r="M8582"/>
        </row>
        <row r="8583">
          <cell r="B8583"/>
          <cell r="C8583"/>
          <cell r="E8583"/>
          <cell r="F8583"/>
          <cell r="G8583"/>
          <cell r="H8583"/>
          <cell r="J8583"/>
          <cell r="L8583"/>
          <cell r="M8583"/>
        </row>
        <row r="8584">
          <cell r="B8584"/>
          <cell r="C8584"/>
          <cell r="E8584"/>
          <cell r="F8584"/>
          <cell r="G8584"/>
          <cell r="H8584"/>
          <cell r="J8584"/>
          <cell r="L8584"/>
          <cell r="M8584"/>
        </row>
        <row r="8585">
          <cell r="B8585"/>
          <cell r="C8585"/>
          <cell r="E8585"/>
          <cell r="F8585"/>
          <cell r="G8585"/>
          <cell r="H8585"/>
          <cell r="J8585"/>
          <cell r="L8585"/>
          <cell r="M8585"/>
        </row>
        <row r="8586">
          <cell r="B8586"/>
          <cell r="C8586"/>
          <cell r="E8586"/>
          <cell r="F8586"/>
          <cell r="G8586"/>
          <cell r="H8586"/>
          <cell r="J8586"/>
          <cell r="L8586"/>
          <cell r="M8586"/>
        </row>
        <row r="8587">
          <cell r="B8587"/>
          <cell r="C8587"/>
          <cell r="E8587"/>
          <cell r="F8587"/>
          <cell r="G8587"/>
          <cell r="H8587"/>
          <cell r="J8587"/>
          <cell r="L8587"/>
          <cell r="M8587"/>
        </row>
        <row r="8588">
          <cell r="B8588"/>
          <cell r="C8588"/>
          <cell r="E8588"/>
          <cell r="F8588"/>
          <cell r="G8588"/>
          <cell r="H8588"/>
          <cell r="J8588"/>
          <cell r="L8588"/>
          <cell r="M8588"/>
        </row>
        <row r="8589">
          <cell r="B8589"/>
          <cell r="C8589"/>
          <cell r="E8589"/>
          <cell r="F8589"/>
          <cell r="G8589"/>
          <cell r="H8589"/>
          <cell r="J8589"/>
          <cell r="L8589"/>
          <cell r="M8589"/>
        </row>
        <row r="8590">
          <cell r="B8590"/>
          <cell r="C8590"/>
          <cell r="E8590"/>
          <cell r="F8590"/>
          <cell r="G8590"/>
          <cell r="H8590"/>
          <cell r="J8590"/>
          <cell r="L8590"/>
          <cell r="M8590"/>
        </row>
        <row r="8591">
          <cell r="B8591"/>
          <cell r="C8591"/>
          <cell r="E8591"/>
          <cell r="F8591"/>
          <cell r="G8591"/>
          <cell r="H8591"/>
          <cell r="J8591"/>
          <cell r="L8591"/>
          <cell r="M8591"/>
        </row>
        <row r="8592">
          <cell r="B8592"/>
          <cell r="C8592"/>
          <cell r="E8592"/>
          <cell r="F8592"/>
          <cell r="G8592"/>
          <cell r="H8592"/>
          <cell r="J8592"/>
          <cell r="L8592"/>
          <cell r="M8592"/>
        </row>
        <row r="8593">
          <cell r="B8593"/>
          <cell r="C8593"/>
          <cell r="E8593"/>
          <cell r="F8593"/>
          <cell r="G8593"/>
          <cell r="H8593"/>
          <cell r="J8593"/>
          <cell r="L8593"/>
          <cell r="M8593"/>
        </row>
        <row r="8594">
          <cell r="B8594"/>
          <cell r="C8594"/>
          <cell r="E8594"/>
          <cell r="F8594"/>
          <cell r="G8594"/>
          <cell r="H8594"/>
          <cell r="J8594"/>
          <cell r="L8594"/>
          <cell r="M8594"/>
        </row>
        <row r="8595">
          <cell r="B8595"/>
          <cell r="C8595"/>
          <cell r="E8595"/>
          <cell r="F8595"/>
          <cell r="G8595"/>
          <cell r="H8595"/>
          <cell r="J8595"/>
          <cell r="L8595"/>
          <cell r="M8595"/>
        </row>
        <row r="8596">
          <cell r="B8596"/>
          <cell r="C8596"/>
          <cell r="E8596"/>
          <cell r="F8596"/>
          <cell r="G8596"/>
          <cell r="H8596"/>
          <cell r="J8596"/>
          <cell r="L8596"/>
          <cell r="M8596"/>
        </row>
        <row r="8597">
          <cell r="B8597"/>
          <cell r="C8597"/>
          <cell r="E8597"/>
          <cell r="F8597"/>
          <cell r="G8597"/>
          <cell r="H8597"/>
          <cell r="J8597"/>
          <cell r="L8597"/>
          <cell r="M8597"/>
        </row>
        <row r="8598">
          <cell r="B8598"/>
          <cell r="C8598"/>
          <cell r="E8598"/>
          <cell r="F8598"/>
          <cell r="G8598"/>
          <cell r="H8598"/>
          <cell r="J8598"/>
          <cell r="L8598"/>
          <cell r="M8598"/>
        </row>
        <row r="8599">
          <cell r="B8599"/>
          <cell r="C8599"/>
          <cell r="E8599"/>
          <cell r="F8599"/>
          <cell r="G8599"/>
          <cell r="H8599"/>
          <cell r="J8599"/>
          <cell r="L8599"/>
          <cell r="M8599"/>
        </row>
        <row r="8600">
          <cell r="B8600"/>
          <cell r="C8600"/>
          <cell r="E8600"/>
          <cell r="F8600"/>
          <cell r="G8600"/>
          <cell r="H8600"/>
          <cell r="J8600"/>
          <cell r="L8600"/>
          <cell r="M8600"/>
        </row>
        <row r="8601">
          <cell r="B8601"/>
          <cell r="C8601"/>
          <cell r="E8601"/>
          <cell r="F8601"/>
          <cell r="G8601"/>
          <cell r="H8601"/>
          <cell r="J8601"/>
          <cell r="L8601"/>
          <cell r="M8601"/>
        </row>
        <row r="8602">
          <cell r="B8602"/>
          <cell r="C8602"/>
          <cell r="E8602"/>
          <cell r="F8602"/>
          <cell r="G8602"/>
          <cell r="H8602"/>
          <cell r="J8602"/>
          <cell r="L8602"/>
          <cell r="M8602"/>
        </row>
        <row r="8603">
          <cell r="B8603"/>
          <cell r="C8603"/>
          <cell r="E8603"/>
          <cell r="F8603"/>
          <cell r="G8603"/>
          <cell r="H8603"/>
          <cell r="J8603"/>
          <cell r="L8603"/>
          <cell r="M8603"/>
        </row>
        <row r="8604">
          <cell r="B8604"/>
          <cell r="C8604"/>
          <cell r="E8604"/>
          <cell r="F8604"/>
          <cell r="G8604"/>
          <cell r="H8604"/>
          <cell r="J8604"/>
          <cell r="L8604"/>
          <cell r="M8604"/>
        </row>
        <row r="8605">
          <cell r="B8605"/>
          <cell r="C8605"/>
          <cell r="E8605"/>
          <cell r="F8605"/>
          <cell r="G8605"/>
          <cell r="H8605"/>
          <cell r="J8605"/>
          <cell r="L8605"/>
          <cell r="M8605"/>
        </row>
        <row r="8606">
          <cell r="B8606"/>
          <cell r="C8606"/>
          <cell r="E8606"/>
          <cell r="F8606"/>
          <cell r="G8606"/>
          <cell r="H8606"/>
          <cell r="J8606"/>
          <cell r="L8606"/>
          <cell r="M8606"/>
        </row>
        <row r="8607">
          <cell r="B8607"/>
          <cell r="C8607"/>
          <cell r="E8607"/>
          <cell r="F8607"/>
          <cell r="G8607"/>
          <cell r="H8607"/>
          <cell r="J8607"/>
          <cell r="L8607"/>
          <cell r="M8607"/>
        </row>
        <row r="8608">
          <cell r="B8608"/>
          <cell r="C8608"/>
          <cell r="E8608"/>
          <cell r="F8608"/>
          <cell r="G8608"/>
          <cell r="H8608"/>
          <cell r="J8608"/>
          <cell r="L8608"/>
          <cell r="M8608"/>
        </row>
        <row r="8609">
          <cell r="B8609"/>
          <cell r="C8609"/>
          <cell r="E8609"/>
          <cell r="F8609"/>
          <cell r="G8609"/>
          <cell r="H8609"/>
          <cell r="J8609"/>
          <cell r="L8609"/>
          <cell r="M8609"/>
        </row>
        <row r="8610">
          <cell r="B8610"/>
          <cell r="C8610"/>
          <cell r="E8610"/>
          <cell r="F8610"/>
          <cell r="G8610"/>
          <cell r="H8610"/>
          <cell r="J8610"/>
          <cell r="L8610"/>
          <cell r="M8610"/>
        </row>
        <row r="8611">
          <cell r="B8611"/>
          <cell r="C8611"/>
          <cell r="E8611"/>
          <cell r="F8611"/>
          <cell r="G8611"/>
          <cell r="H8611"/>
          <cell r="J8611"/>
          <cell r="L8611"/>
          <cell r="M8611"/>
        </row>
        <row r="8612">
          <cell r="B8612"/>
          <cell r="C8612"/>
          <cell r="E8612"/>
          <cell r="F8612"/>
          <cell r="G8612"/>
          <cell r="H8612"/>
          <cell r="J8612"/>
          <cell r="L8612"/>
          <cell r="M8612"/>
        </row>
        <row r="8613">
          <cell r="B8613"/>
          <cell r="C8613"/>
          <cell r="E8613"/>
          <cell r="F8613"/>
          <cell r="G8613"/>
          <cell r="H8613"/>
          <cell r="J8613"/>
          <cell r="L8613"/>
          <cell r="M8613"/>
        </row>
        <row r="8614">
          <cell r="B8614"/>
          <cell r="C8614"/>
          <cell r="E8614"/>
          <cell r="F8614"/>
          <cell r="G8614"/>
          <cell r="H8614"/>
          <cell r="J8614"/>
          <cell r="L8614"/>
          <cell r="M8614"/>
        </row>
        <row r="8615">
          <cell r="B8615"/>
          <cell r="C8615"/>
          <cell r="E8615"/>
          <cell r="F8615"/>
          <cell r="G8615"/>
          <cell r="H8615"/>
          <cell r="J8615"/>
          <cell r="L8615"/>
          <cell r="M8615"/>
        </row>
        <row r="8616">
          <cell r="B8616"/>
          <cell r="C8616"/>
          <cell r="E8616"/>
          <cell r="F8616"/>
          <cell r="G8616"/>
          <cell r="H8616"/>
          <cell r="J8616"/>
          <cell r="L8616"/>
          <cell r="M8616"/>
        </row>
        <row r="8617">
          <cell r="B8617"/>
          <cell r="C8617"/>
          <cell r="E8617"/>
          <cell r="F8617"/>
          <cell r="G8617"/>
          <cell r="H8617"/>
          <cell r="J8617"/>
          <cell r="L8617"/>
          <cell r="M8617"/>
        </row>
        <row r="8618">
          <cell r="B8618"/>
          <cell r="C8618"/>
          <cell r="E8618"/>
          <cell r="F8618"/>
          <cell r="G8618"/>
          <cell r="H8618"/>
          <cell r="J8618"/>
          <cell r="L8618"/>
          <cell r="M8618"/>
        </row>
        <row r="8619">
          <cell r="B8619"/>
          <cell r="C8619"/>
          <cell r="E8619"/>
          <cell r="F8619"/>
          <cell r="G8619"/>
          <cell r="H8619"/>
          <cell r="J8619"/>
          <cell r="L8619"/>
          <cell r="M8619"/>
        </row>
        <row r="8620">
          <cell r="B8620"/>
          <cell r="C8620"/>
          <cell r="E8620"/>
          <cell r="F8620"/>
          <cell r="G8620"/>
          <cell r="H8620"/>
          <cell r="J8620"/>
          <cell r="L8620"/>
          <cell r="M8620"/>
        </row>
        <row r="8621">
          <cell r="B8621"/>
          <cell r="C8621"/>
          <cell r="E8621"/>
          <cell r="F8621"/>
          <cell r="G8621"/>
          <cell r="H8621"/>
          <cell r="J8621"/>
          <cell r="L8621"/>
          <cell r="M8621"/>
        </row>
        <row r="8622">
          <cell r="B8622"/>
          <cell r="C8622"/>
          <cell r="E8622"/>
          <cell r="F8622"/>
          <cell r="G8622"/>
          <cell r="H8622"/>
          <cell r="J8622"/>
          <cell r="L8622"/>
          <cell r="M8622"/>
        </row>
        <row r="8623">
          <cell r="B8623"/>
          <cell r="C8623"/>
          <cell r="E8623"/>
          <cell r="F8623"/>
          <cell r="G8623"/>
          <cell r="H8623"/>
          <cell r="J8623"/>
          <cell r="L8623"/>
          <cell r="M8623"/>
        </row>
        <row r="8624">
          <cell r="B8624"/>
          <cell r="C8624"/>
          <cell r="E8624"/>
          <cell r="F8624"/>
          <cell r="G8624"/>
          <cell r="H8624"/>
          <cell r="J8624"/>
          <cell r="L8624"/>
          <cell r="M8624"/>
        </row>
        <row r="8625">
          <cell r="B8625"/>
          <cell r="C8625"/>
          <cell r="E8625"/>
          <cell r="F8625"/>
          <cell r="G8625"/>
          <cell r="H8625"/>
          <cell r="J8625"/>
          <cell r="L8625"/>
          <cell r="M8625"/>
        </row>
        <row r="8626">
          <cell r="B8626"/>
          <cell r="C8626"/>
          <cell r="E8626"/>
          <cell r="F8626"/>
          <cell r="G8626"/>
          <cell r="H8626"/>
          <cell r="J8626"/>
          <cell r="L8626"/>
          <cell r="M8626"/>
        </row>
        <row r="8627">
          <cell r="B8627"/>
          <cell r="C8627"/>
          <cell r="E8627"/>
          <cell r="F8627"/>
          <cell r="G8627"/>
          <cell r="H8627"/>
          <cell r="J8627"/>
          <cell r="L8627"/>
          <cell r="M8627"/>
        </row>
        <row r="8628">
          <cell r="B8628"/>
          <cell r="C8628"/>
          <cell r="E8628"/>
          <cell r="F8628"/>
          <cell r="G8628"/>
          <cell r="H8628"/>
          <cell r="J8628"/>
          <cell r="L8628"/>
          <cell r="M8628"/>
        </row>
        <row r="8629">
          <cell r="B8629"/>
          <cell r="C8629"/>
          <cell r="E8629"/>
          <cell r="F8629"/>
          <cell r="G8629"/>
          <cell r="H8629"/>
          <cell r="J8629"/>
          <cell r="L8629"/>
          <cell r="M8629"/>
        </row>
        <row r="8630">
          <cell r="B8630"/>
          <cell r="C8630"/>
          <cell r="E8630"/>
          <cell r="F8630"/>
          <cell r="G8630"/>
          <cell r="H8630"/>
          <cell r="J8630"/>
          <cell r="L8630"/>
          <cell r="M8630"/>
        </row>
        <row r="8631">
          <cell r="B8631"/>
          <cell r="C8631"/>
          <cell r="E8631"/>
          <cell r="F8631"/>
          <cell r="G8631"/>
          <cell r="H8631"/>
          <cell r="J8631"/>
          <cell r="L8631"/>
          <cell r="M8631"/>
        </row>
        <row r="8632">
          <cell r="B8632"/>
          <cell r="C8632"/>
          <cell r="E8632"/>
          <cell r="F8632"/>
          <cell r="G8632"/>
          <cell r="H8632"/>
          <cell r="J8632"/>
          <cell r="L8632"/>
          <cell r="M8632"/>
        </row>
        <row r="8633">
          <cell r="B8633"/>
          <cell r="C8633"/>
          <cell r="E8633"/>
          <cell r="F8633"/>
          <cell r="G8633"/>
          <cell r="H8633"/>
          <cell r="J8633"/>
          <cell r="L8633"/>
          <cell r="M8633"/>
        </row>
        <row r="8634">
          <cell r="B8634"/>
          <cell r="C8634"/>
          <cell r="E8634"/>
          <cell r="F8634"/>
          <cell r="G8634"/>
          <cell r="H8634"/>
          <cell r="J8634"/>
          <cell r="L8634"/>
          <cell r="M8634"/>
        </row>
        <row r="8635">
          <cell r="B8635"/>
          <cell r="C8635"/>
          <cell r="E8635"/>
          <cell r="F8635"/>
          <cell r="G8635"/>
          <cell r="H8635"/>
          <cell r="J8635"/>
          <cell r="L8635"/>
          <cell r="M8635"/>
        </row>
        <row r="8636">
          <cell r="B8636"/>
          <cell r="C8636"/>
          <cell r="E8636"/>
          <cell r="F8636"/>
          <cell r="G8636"/>
          <cell r="H8636"/>
          <cell r="J8636"/>
          <cell r="L8636"/>
          <cell r="M8636"/>
        </row>
        <row r="8637">
          <cell r="B8637"/>
          <cell r="C8637"/>
          <cell r="E8637"/>
          <cell r="F8637"/>
          <cell r="G8637"/>
          <cell r="H8637"/>
          <cell r="J8637"/>
          <cell r="L8637"/>
          <cell r="M8637"/>
        </row>
        <row r="8638">
          <cell r="B8638"/>
          <cell r="C8638"/>
          <cell r="E8638"/>
          <cell r="F8638"/>
          <cell r="G8638"/>
          <cell r="H8638"/>
          <cell r="J8638"/>
          <cell r="L8638"/>
          <cell r="M8638"/>
        </row>
        <row r="8639">
          <cell r="B8639"/>
          <cell r="C8639"/>
          <cell r="E8639"/>
          <cell r="F8639"/>
          <cell r="G8639"/>
          <cell r="H8639"/>
          <cell r="J8639"/>
          <cell r="L8639"/>
          <cell r="M8639"/>
        </row>
        <row r="8640">
          <cell r="B8640"/>
          <cell r="C8640"/>
          <cell r="E8640"/>
          <cell r="F8640"/>
          <cell r="G8640"/>
          <cell r="H8640"/>
          <cell r="J8640"/>
          <cell r="L8640"/>
          <cell r="M8640"/>
        </row>
        <row r="8641">
          <cell r="B8641"/>
          <cell r="C8641"/>
          <cell r="E8641"/>
          <cell r="F8641"/>
          <cell r="G8641"/>
          <cell r="H8641"/>
          <cell r="J8641"/>
          <cell r="L8641"/>
          <cell r="M8641"/>
        </row>
        <row r="8642">
          <cell r="B8642"/>
          <cell r="C8642"/>
          <cell r="E8642"/>
          <cell r="F8642"/>
          <cell r="G8642"/>
          <cell r="H8642"/>
          <cell r="J8642"/>
          <cell r="L8642"/>
          <cell r="M8642"/>
        </row>
        <row r="8643">
          <cell r="B8643"/>
          <cell r="C8643"/>
          <cell r="E8643"/>
          <cell r="F8643"/>
          <cell r="G8643"/>
          <cell r="H8643"/>
          <cell r="J8643"/>
          <cell r="L8643"/>
          <cell r="M8643"/>
        </row>
        <row r="8644">
          <cell r="B8644"/>
          <cell r="C8644"/>
          <cell r="E8644"/>
          <cell r="F8644"/>
          <cell r="G8644"/>
          <cell r="H8644"/>
          <cell r="J8644"/>
          <cell r="L8644"/>
          <cell r="M8644"/>
        </row>
        <row r="8645">
          <cell r="B8645"/>
          <cell r="C8645"/>
          <cell r="E8645"/>
          <cell r="F8645"/>
          <cell r="G8645"/>
          <cell r="H8645"/>
          <cell r="J8645"/>
          <cell r="L8645"/>
          <cell r="M8645"/>
        </row>
        <row r="8646">
          <cell r="B8646"/>
          <cell r="C8646"/>
          <cell r="E8646"/>
          <cell r="F8646"/>
          <cell r="G8646"/>
          <cell r="H8646"/>
          <cell r="J8646"/>
          <cell r="L8646"/>
          <cell r="M8646"/>
        </row>
        <row r="8647">
          <cell r="B8647"/>
          <cell r="C8647"/>
          <cell r="E8647"/>
          <cell r="F8647"/>
          <cell r="G8647"/>
          <cell r="H8647"/>
          <cell r="J8647"/>
          <cell r="L8647"/>
          <cell r="M8647"/>
        </row>
        <row r="8648">
          <cell r="B8648"/>
          <cell r="C8648"/>
          <cell r="E8648"/>
          <cell r="F8648"/>
          <cell r="G8648"/>
          <cell r="H8648"/>
          <cell r="J8648"/>
          <cell r="L8648"/>
          <cell r="M8648"/>
        </row>
        <row r="8649">
          <cell r="B8649"/>
          <cell r="C8649"/>
          <cell r="E8649"/>
          <cell r="F8649"/>
          <cell r="G8649"/>
          <cell r="H8649"/>
          <cell r="J8649"/>
          <cell r="L8649"/>
          <cell r="M8649"/>
        </row>
        <row r="8650">
          <cell r="B8650"/>
          <cell r="C8650"/>
          <cell r="E8650"/>
          <cell r="F8650"/>
          <cell r="G8650"/>
          <cell r="H8650"/>
          <cell r="J8650"/>
          <cell r="L8650"/>
          <cell r="M8650"/>
        </row>
        <row r="8651">
          <cell r="B8651"/>
          <cell r="C8651"/>
          <cell r="E8651"/>
          <cell r="F8651"/>
          <cell r="G8651"/>
          <cell r="H8651"/>
          <cell r="J8651"/>
          <cell r="L8651"/>
          <cell r="M8651"/>
        </row>
        <row r="8652">
          <cell r="B8652"/>
          <cell r="C8652"/>
          <cell r="E8652"/>
          <cell r="F8652"/>
          <cell r="G8652"/>
          <cell r="H8652"/>
          <cell r="J8652"/>
          <cell r="L8652"/>
          <cell r="M8652"/>
        </row>
        <row r="8653">
          <cell r="B8653"/>
          <cell r="C8653"/>
          <cell r="E8653"/>
          <cell r="F8653"/>
          <cell r="G8653"/>
          <cell r="H8653"/>
          <cell r="J8653"/>
          <cell r="L8653"/>
          <cell r="M8653"/>
        </row>
        <row r="8654">
          <cell r="B8654"/>
          <cell r="C8654"/>
          <cell r="E8654"/>
          <cell r="F8654"/>
          <cell r="G8654"/>
          <cell r="H8654"/>
          <cell r="J8654"/>
          <cell r="L8654"/>
          <cell r="M8654"/>
        </row>
        <row r="8655">
          <cell r="B8655"/>
          <cell r="C8655"/>
          <cell r="E8655"/>
          <cell r="F8655"/>
          <cell r="G8655"/>
          <cell r="H8655"/>
          <cell r="J8655"/>
          <cell r="L8655"/>
          <cell r="M8655"/>
        </row>
        <row r="8656">
          <cell r="B8656"/>
          <cell r="C8656"/>
          <cell r="E8656"/>
          <cell r="F8656"/>
          <cell r="G8656"/>
          <cell r="H8656"/>
          <cell r="J8656"/>
          <cell r="L8656"/>
          <cell r="M8656"/>
        </row>
        <row r="8657">
          <cell r="B8657"/>
          <cell r="C8657"/>
          <cell r="E8657"/>
          <cell r="F8657"/>
          <cell r="G8657"/>
          <cell r="H8657"/>
          <cell r="J8657"/>
          <cell r="L8657"/>
          <cell r="M8657"/>
        </row>
        <row r="8658">
          <cell r="B8658"/>
          <cell r="C8658"/>
          <cell r="E8658"/>
          <cell r="F8658"/>
          <cell r="G8658"/>
          <cell r="H8658"/>
          <cell r="J8658"/>
          <cell r="L8658"/>
          <cell r="M8658"/>
        </row>
        <row r="8659">
          <cell r="B8659"/>
          <cell r="C8659"/>
          <cell r="E8659"/>
          <cell r="F8659"/>
          <cell r="G8659"/>
          <cell r="H8659"/>
          <cell r="J8659"/>
          <cell r="L8659"/>
          <cell r="M8659"/>
        </row>
        <row r="8660">
          <cell r="B8660"/>
          <cell r="C8660"/>
          <cell r="E8660"/>
          <cell r="F8660"/>
          <cell r="G8660"/>
          <cell r="H8660"/>
          <cell r="J8660"/>
          <cell r="L8660"/>
          <cell r="M8660"/>
        </row>
        <row r="8661">
          <cell r="B8661"/>
          <cell r="C8661"/>
          <cell r="E8661"/>
          <cell r="F8661"/>
          <cell r="G8661"/>
          <cell r="H8661"/>
          <cell r="J8661"/>
          <cell r="L8661"/>
          <cell r="M8661"/>
        </row>
        <row r="8662">
          <cell r="B8662"/>
          <cell r="C8662"/>
          <cell r="E8662"/>
          <cell r="F8662"/>
          <cell r="G8662"/>
          <cell r="H8662"/>
          <cell r="J8662"/>
          <cell r="L8662"/>
          <cell r="M8662"/>
        </row>
        <row r="8663">
          <cell r="B8663"/>
          <cell r="C8663"/>
          <cell r="E8663"/>
          <cell r="F8663"/>
          <cell r="G8663"/>
          <cell r="H8663"/>
          <cell r="J8663"/>
          <cell r="L8663"/>
          <cell r="M8663"/>
        </row>
        <row r="8664">
          <cell r="B8664"/>
          <cell r="C8664"/>
          <cell r="E8664"/>
          <cell r="F8664"/>
          <cell r="G8664"/>
          <cell r="H8664"/>
          <cell r="J8664"/>
          <cell r="L8664"/>
          <cell r="M8664"/>
        </row>
        <row r="8665">
          <cell r="B8665"/>
          <cell r="C8665"/>
          <cell r="E8665"/>
          <cell r="F8665"/>
          <cell r="G8665"/>
          <cell r="H8665"/>
          <cell r="J8665"/>
          <cell r="L8665"/>
          <cell r="M8665"/>
        </row>
        <row r="8666">
          <cell r="B8666"/>
          <cell r="C8666"/>
          <cell r="E8666"/>
          <cell r="F8666"/>
          <cell r="G8666"/>
          <cell r="H8666"/>
          <cell r="J8666"/>
          <cell r="L8666"/>
          <cell r="M8666"/>
        </row>
        <row r="8667">
          <cell r="B8667"/>
          <cell r="C8667"/>
          <cell r="E8667"/>
          <cell r="F8667"/>
          <cell r="G8667"/>
          <cell r="H8667"/>
          <cell r="J8667"/>
          <cell r="L8667"/>
          <cell r="M8667"/>
        </row>
        <row r="8668">
          <cell r="B8668"/>
          <cell r="C8668"/>
          <cell r="E8668"/>
          <cell r="F8668"/>
          <cell r="G8668"/>
          <cell r="H8668"/>
          <cell r="J8668"/>
          <cell r="L8668"/>
          <cell r="M8668"/>
        </row>
        <row r="8669">
          <cell r="B8669"/>
          <cell r="C8669"/>
          <cell r="E8669"/>
          <cell r="F8669"/>
          <cell r="G8669"/>
          <cell r="H8669"/>
          <cell r="J8669"/>
          <cell r="L8669"/>
          <cell r="M8669"/>
        </row>
        <row r="8670">
          <cell r="B8670"/>
          <cell r="C8670"/>
          <cell r="E8670"/>
          <cell r="F8670"/>
          <cell r="G8670"/>
          <cell r="H8670"/>
          <cell r="J8670"/>
          <cell r="L8670"/>
          <cell r="M8670"/>
        </row>
        <row r="8671">
          <cell r="B8671"/>
          <cell r="C8671"/>
          <cell r="E8671"/>
          <cell r="F8671"/>
          <cell r="G8671"/>
          <cell r="H8671"/>
          <cell r="J8671"/>
          <cell r="L8671"/>
          <cell r="M8671"/>
        </row>
        <row r="8672">
          <cell r="B8672"/>
          <cell r="C8672"/>
          <cell r="E8672"/>
          <cell r="F8672"/>
          <cell r="G8672"/>
          <cell r="H8672"/>
          <cell r="J8672"/>
          <cell r="L8672"/>
          <cell r="M8672"/>
        </row>
        <row r="8673">
          <cell r="B8673"/>
          <cell r="C8673"/>
          <cell r="E8673"/>
          <cell r="F8673"/>
          <cell r="G8673"/>
          <cell r="H8673"/>
          <cell r="J8673"/>
          <cell r="L8673"/>
          <cell r="M8673"/>
        </row>
        <row r="8674">
          <cell r="B8674"/>
          <cell r="C8674"/>
          <cell r="E8674"/>
          <cell r="F8674"/>
          <cell r="G8674"/>
          <cell r="H8674"/>
          <cell r="J8674"/>
          <cell r="L8674"/>
          <cell r="M8674"/>
        </row>
        <row r="8675">
          <cell r="B8675"/>
          <cell r="C8675"/>
          <cell r="E8675"/>
          <cell r="F8675"/>
          <cell r="G8675"/>
          <cell r="H8675"/>
          <cell r="J8675"/>
          <cell r="L8675"/>
          <cell r="M8675"/>
        </row>
        <row r="8676">
          <cell r="B8676"/>
          <cell r="C8676"/>
          <cell r="E8676"/>
          <cell r="F8676"/>
          <cell r="G8676"/>
          <cell r="H8676"/>
          <cell r="J8676"/>
          <cell r="L8676"/>
          <cell r="M8676"/>
        </row>
        <row r="8677">
          <cell r="B8677"/>
          <cell r="C8677"/>
          <cell r="E8677"/>
          <cell r="F8677"/>
          <cell r="G8677"/>
          <cell r="H8677"/>
          <cell r="J8677"/>
          <cell r="L8677"/>
          <cell r="M8677"/>
        </row>
        <row r="8678">
          <cell r="B8678"/>
          <cell r="C8678"/>
          <cell r="E8678"/>
          <cell r="F8678"/>
          <cell r="G8678"/>
          <cell r="H8678"/>
          <cell r="J8678"/>
          <cell r="L8678"/>
          <cell r="M8678"/>
        </row>
        <row r="8679">
          <cell r="B8679"/>
          <cell r="C8679"/>
          <cell r="E8679"/>
          <cell r="F8679"/>
          <cell r="G8679"/>
          <cell r="H8679"/>
          <cell r="J8679"/>
          <cell r="L8679"/>
          <cell r="M8679"/>
        </row>
        <row r="8680">
          <cell r="B8680"/>
          <cell r="C8680"/>
          <cell r="E8680"/>
          <cell r="F8680"/>
          <cell r="G8680"/>
          <cell r="H8680"/>
          <cell r="J8680"/>
          <cell r="L8680"/>
          <cell r="M8680"/>
        </row>
        <row r="8681">
          <cell r="B8681"/>
          <cell r="C8681"/>
          <cell r="E8681"/>
          <cell r="F8681"/>
          <cell r="G8681"/>
          <cell r="H8681"/>
          <cell r="J8681"/>
          <cell r="L8681"/>
          <cell r="M8681"/>
        </row>
        <row r="8682">
          <cell r="B8682"/>
          <cell r="C8682"/>
          <cell r="E8682"/>
          <cell r="F8682"/>
          <cell r="G8682"/>
          <cell r="H8682"/>
          <cell r="J8682"/>
          <cell r="L8682"/>
          <cell r="M8682"/>
        </row>
        <row r="8683">
          <cell r="B8683"/>
          <cell r="C8683"/>
          <cell r="E8683"/>
          <cell r="F8683"/>
          <cell r="G8683"/>
          <cell r="H8683"/>
          <cell r="J8683"/>
          <cell r="L8683"/>
          <cell r="M8683"/>
        </row>
        <row r="8684">
          <cell r="B8684"/>
          <cell r="C8684"/>
          <cell r="E8684"/>
          <cell r="F8684"/>
          <cell r="G8684"/>
          <cell r="H8684"/>
          <cell r="J8684"/>
          <cell r="L8684"/>
          <cell r="M8684"/>
        </row>
        <row r="8685">
          <cell r="B8685"/>
          <cell r="C8685"/>
          <cell r="E8685"/>
          <cell r="F8685"/>
          <cell r="G8685"/>
          <cell r="H8685"/>
          <cell r="J8685"/>
          <cell r="L8685"/>
          <cell r="M8685"/>
        </row>
        <row r="8686">
          <cell r="B8686"/>
          <cell r="C8686"/>
          <cell r="E8686"/>
          <cell r="F8686"/>
          <cell r="G8686"/>
          <cell r="H8686"/>
          <cell r="J8686"/>
          <cell r="L8686"/>
          <cell r="M8686"/>
        </row>
        <row r="8687">
          <cell r="B8687"/>
          <cell r="C8687"/>
          <cell r="E8687"/>
          <cell r="F8687"/>
          <cell r="G8687"/>
          <cell r="H8687"/>
          <cell r="J8687"/>
          <cell r="L8687"/>
          <cell r="M8687"/>
        </row>
        <row r="8688">
          <cell r="B8688"/>
          <cell r="C8688"/>
          <cell r="E8688"/>
          <cell r="F8688"/>
          <cell r="G8688"/>
          <cell r="H8688"/>
          <cell r="J8688"/>
          <cell r="L8688"/>
          <cell r="M8688"/>
        </row>
        <row r="8689">
          <cell r="B8689"/>
          <cell r="C8689"/>
          <cell r="E8689"/>
          <cell r="F8689"/>
          <cell r="G8689"/>
          <cell r="H8689"/>
          <cell r="J8689"/>
          <cell r="L8689"/>
          <cell r="M8689"/>
        </row>
        <row r="8690">
          <cell r="B8690"/>
          <cell r="C8690"/>
          <cell r="E8690"/>
          <cell r="F8690"/>
          <cell r="G8690"/>
          <cell r="H8690"/>
          <cell r="J8690"/>
          <cell r="L8690"/>
          <cell r="M8690"/>
        </row>
        <row r="8691">
          <cell r="B8691"/>
          <cell r="C8691"/>
          <cell r="E8691"/>
          <cell r="F8691"/>
          <cell r="G8691"/>
          <cell r="H8691"/>
          <cell r="J8691"/>
          <cell r="L8691"/>
          <cell r="M8691"/>
        </row>
        <row r="8692">
          <cell r="B8692"/>
          <cell r="C8692"/>
          <cell r="E8692"/>
          <cell r="F8692"/>
          <cell r="G8692"/>
          <cell r="H8692"/>
          <cell r="J8692"/>
          <cell r="L8692"/>
          <cell r="M8692"/>
        </row>
        <row r="8693">
          <cell r="B8693"/>
          <cell r="C8693"/>
          <cell r="E8693"/>
          <cell r="F8693"/>
          <cell r="G8693"/>
          <cell r="H8693"/>
          <cell r="J8693"/>
          <cell r="L8693"/>
          <cell r="M8693"/>
        </row>
        <row r="8694">
          <cell r="B8694"/>
          <cell r="C8694"/>
          <cell r="E8694"/>
          <cell r="F8694"/>
          <cell r="G8694"/>
          <cell r="H8694"/>
          <cell r="J8694"/>
          <cell r="L8694"/>
          <cell r="M8694"/>
        </row>
        <row r="8695">
          <cell r="B8695"/>
          <cell r="C8695"/>
          <cell r="E8695"/>
          <cell r="F8695"/>
          <cell r="G8695"/>
          <cell r="H8695"/>
          <cell r="J8695"/>
          <cell r="L8695"/>
          <cell r="M8695"/>
        </row>
        <row r="8696">
          <cell r="B8696"/>
          <cell r="C8696"/>
          <cell r="E8696"/>
          <cell r="F8696"/>
          <cell r="G8696"/>
          <cell r="H8696"/>
          <cell r="J8696"/>
          <cell r="L8696"/>
          <cell r="M8696"/>
        </row>
        <row r="8697">
          <cell r="B8697"/>
          <cell r="C8697"/>
          <cell r="E8697"/>
          <cell r="F8697"/>
          <cell r="G8697"/>
          <cell r="H8697"/>
          <cell r="J8697"/>
          <cell r="L8697"/>
          <cell r="M8697"/>
        </row>
        <row r="8698">
          <cell r="B8698"/>
          <cell r="C8698"/>
          <cell r="E8698"/>
          <cell r="F8698"/>
          <cell r="G8698"/>
          <cell r="H8698"/>
          <cell r="J8698"/>
          <cell r="L8698"/>
          <cell r="M8698"/>
        </row>
        <row r="8699">
          <cell r="B8699"/>
          <cell r="C8699"/>
          <cell r="E8699"/>
          <cell r="F8699"/>
          <cell r="G8699"/>
          <cell r="H8699"/>
          <cell r="J8699"/>
          <cell r="L8699"/>
          <cell r="M8699"/>
        </row>
        <row r="8700">
          <cell r="B8700"/>
          <cell r="C8700"/>
          <cell r="E8700"/>
          <cell r="F8700"/>
          <cell r="G8700"/>
          <cell r="H8700"/>
          <cell r="J8700"/>
          <cell r="L8700"/>
          <cell r="M8700"/>
        </row>
        <row r="8701">
          <cell r="B8701"/>
          <cell r="C8701"/>
          <cell r="E8701"/>
          <cell r="F8701"/>
          <cell r="G8701"/>
          <cell r="H8701"/>
          <cell r="J8701"/>
          <cell r="L8701"/>
          <cell r="M8701"/>
        </row>
        <row r="8702">
          <cell r="B8702"/>
          <cell r="C8702"/>
          <cell r="E8702"/>
          <cell r="F8702"/>
          <cell r="G8702"/>
          <cell r="H8702"/>
          <cell r="J8702"/>
          <cell r="L8702"/>
          <cell r="M8702"/>
        </row>
        <row r="8703">
          <cell r="B8703"/>
          <cell r="C8703"/>
          <cell r="E8703"/>
          <cell r="F8703"/>
          <cell r="G8703"/>
          <cell r="H8703"/>
          <cell r="J8703"/>
          <cell r="L8703"/>
          <cell r="M8703"/>
        </row>
        <row r="8704">
          <cell r="B8704"/>
          <cell r="C8704"/>
          <cell r="E8704"/>
          <cell r="F8704"/>
          <cell r="G8704"/>
          <cell r="H8704"/>
          <cell r="J8704"/>
          <cell r="L8704"/>
          <cell r="M8704"/>
        </row>
        <row r="8705">
          <cell r="B8705"/>
          <cell r="C8705"/>
          <cell r="E8705"/>
          <cell r="F8705"/>
          <cell r="G8705"/>
          <cell r="H8705"/>
          <cell r="J8705"/>
          <cell r="L8705"/>
          <cell r="M8705"/>
        </row>
        <row r="8706">
          <cell r="B8706"/>
          <cell r="C8706"/>
          <cell r="E8706"/>
          <cell r="F8706"/>
          <cell r="G8706"/>
          <cell r="H8706"/>
          <cell r="J8706"/>
          <cell r="L8706"/>
          <cell r="M8706"/>
        </row>
        <row r="8707">
          <cell r="B8707"/>
          <cell r="C8707"/>
          <cell r="E8707"/>
          <cell r="F8707"/>
          <cell r="G8707"/>
          <cell r="H8707"/>
          <cell r="J8707"/>
          <cell r="L8707"/>
          <cell r="M8707"/>
        </row>
        <row r="8708">
          <cell r="B8708"/>
          <cell r="C8708"/>
          <cell r="E8708"/>
          <cell r="F8708"/>
          <cell r="G8708"/>
          <cell r="H8708"/>
          <cell r="J8708"/>
          <cell r="L8708"/>
          <cell r="M8708"/>
        </row>
        <row r="8709">
          <cell r="B8709"/>
          <cell r="C8709"/>
          <cell r="E8709"/>
          <cell r="F8709"/>
          <cell r="G8709"/>
          <cell r="H8709"/>
          <cell r="J8709"/>
          <cell r="L8709"/>
          <cell r="M8709"/>
        </row>
        <row r="8710">
          <cell r="B8710"/>
          <cell r="C8710"/>
          <cell r="E8710"/>
          <cell r="F8710"/>
          <cell r="G8710"/>
          <cell r="H8710"/>
          <cell r="J8710"/>
          <cell r="L8710"/>
          <cell r="M8710"/>
        </row>
        <row r="8711">
          <cell r="B8711"/>
          <cell r="C8711"/>
          <cell r="E8711"/>
          <cell r="F8711"/>
          <cell r="G8711"/>
          <cell r="H8711"/>
          <cell r="J8711"/>
          <cell r="L8711"/>
          <cell r="M8711"/>
        </row>
        <row r="8712">
          <cell r="B8712"/>
          <cell r="C8712"/>
          <cell r="E8712"/>
          <cell r="F8712"/>
          <cell r="G8712"/>
          <cell r="H8712"/>
          <cell r="J8712"/>
          <cell r="L8712"/>
          <cell r="M8712"/>
        </row>
        <row r="8713">
          <cell r="B8713"/>
          <cell r="C8713"/>
          <cell r="E8713"/>
          <cell r="F8713"/>
          <cell r="G8713"/>
          <cell r="H8713"/>
          <cell r="J8713"/>
          <cell r="L8713"/>
          <cell r="M8713"/>
        </row>
        <row r="8714">
          <cell r="B8714"/>
          <cell r="C8714"/>
          <cell r="E8714"/>
          <cell r="F8714"/>
          <cell r="G8714"/>
          <cell r="H8714"/>
          <cell r="J8714"/>
          <cell r="L8714"/>
          <cell r="M8714"/>
        </row>
        <row r="8715">
          <cell r="B8715"/>
          <cell r="C8715"/>
          <cell r="E8715"/>
          <cell r="F8715"/>
          <cell r="G8715"/>
          <cell r="H8715"/>
          <cell r="J8715"/>
          <cell r="L8715"/>
          <cell r="M8715"/>
        </row>
        <row r="8716">
          <cell r="B8716"/>
          <cell r="C8716"/>
          <cell r="E8716"/>
          <cell r="F8716"/>
          <cell r="G8716"/>
          <cell r="H8716"/>
          <cell r="J8716"/>
          <cell r="L8716"/>
          <cell r="M8716"/>
        </row>
        <row r="8717">
          <cell r="B8717"/>
          <cell r="C8717"/>
          <cell r="E8717"/>
          <cell r="F8717"/>
          <cell r="G8717"/>
          <cell r="H8717"/>
          <cell r="J8717"/>
          <cell r="L8717"/>
          <cell r="M8717"/>
        </row>
        <row r="8718">
          <cell r="B8718"/>
          <cell r="C8718"/>
          <cell r="E8718"/>
          <cell r="F8718"/>
          <cell r="G8718"/>
          <cell r="H8718"/>
          <cell r="J8718"/>
          <cell r="L8718"/>
          <cell r="M8718"/>
        </row>
        <row r="8719">
          <cell r="B8719"/>
          <cell r="C8719"/>
          <cell r="E8719"/>
          <cell r="F8719"/>
          <cell r="G8719"/>
          <cell r="H8719"/>
          <cell r="J8719"/>
          <cell r="L8719"/>
          <cell r="M8719"/>
        </row>
        <row r="8720">
          <cell r="B8720"/>
          <cell r="C8720"/>
          <cell r="E8720"/>
          <cell r="F8720"/>
          <cell r="G8720"/>
          <cell r="H8720"/>
          <cell r="J8720"/>
          <cell r="L8720"/>
          <cell r="M8720"/>
        </row>
        <row r="8721">
          <cell r="B8721"/>
          <cell r="C8721"/>
          <cell r="E8721"/>
          <cell r="F8721"/>
          <cell r="G8721"/>
          <cell r="H8721"/>
          <cell r="J8721"/>
          <cell r="L8721"/>
          <cell r="M8721"/>
        </row>
        <row r="8722">
          <cell r="B8722"/>
          <cell r="C8722"/>
          <cell r="E8722"/>
          <cell r="F8722"/>
          <cell r="G8722"/>
          <cell r="H8722"/>
          <cell r="J8722"/>
          <cell r="L8722"/>
          <cell r="M8722"/>
        </row>
        <row r="8723">
          <cell r="B8723"/>
          <cell r="C8723"/>
          <cell r="E8723"/>
          <cell r="F8723"/>
          <cell r="G8723"/>
          <cell r="H8723"/>
          <cell r="J8723"/>
          <cell r="L8723"/>
          <cell r="M8723"/>
        </row>
        <row r="8724">
          <cell r="B8724"/>
          <cell r="C8724"/>
          <cell r="E8724"/>
          <cell r="F8724"/>
          <cell r="G8724"/>
          <cell r="H8724"/>
          <cell r="J8724"/>
          <cell r="L8724"/>
          <cell r="M8724"/>
        </row>
        <row r="8725">
          <cell r="B8725"/>
          <cell r="C8725"/>
          <cell r="E8725"/>
          <cell r="F8725"/>
          <cell r="G8725"/>
          <cell r="H8725"/>
          <cell r="J8725"/>
          <cell r="L8725"/>
          <cell r="M8725"/>
        </row>
        <row r="8726">
          <cell r="B8726"/>
          <cell r="C8726"/>
          <cell r="E8726"/>
          <cell r="F8726"/>
          <cell r="G8726"/>
          <cell r="H8726"/>
          <cell r="J8726"/>
          <cell r="L8726"/>
          <cell r="M8726"/>
        </row>
        <row r="8727">
          <cell r="B8727"/>
          <cell r="C8727"/>
          <cell r="E8727"/>
          <cell r="F8727"/>
          <cell r="G8727"/>
          <cell r="H8727"/>
          <cell r="J8727"/>
          <cell r="L8727"/>
          <cell r="M8727"/>
        </row>
        <row r="8728">
          <cell r="B8728"/>
          <cell r="C8728"/>
          <cell r="E8728"/>
          <cell r="F8728"/>
          <cell r="G8728"/>
          <cell r="H8728"/>
          <cell r="J8728"/>
          <cell r="L8728"/>
          <cell r="M8728"/>
        </row>
        <row r="8729">
          <cell r="B8729"/>
          <cell r="C8729"/>
          <cell r="E8729"/>
          <cell r="F8729"/>
          <cell r="G8729"/>
          <cell r="H8729"/>
          <cell r="J8729"/>
          <cell r="L8729"/>
          <cell r="M8729"/>
        </row>
        <row r="8730">
          <cell r="B8730"/>
          <cell r="C8730"/>
          <cell r="E8730"/>
          <cell r="F8730"/>
          <cell r="G8730"/>
          <cell r="H8730"/>
          <cell r="J8730"/>
          <cell r="L8730"/>
          <cell r="M8730"/>
        </row>
        <row r="8731">
          <cell r="B8731"/>
          <cell r="C8731"/>
          <cell r="E8731"/>
          <cell r="F8731"/>
          <cell r="G8731"/>
          <cell r="H8731"/>
          <cell r="J8731"/>
          <cell r="L8731"/>
          <cell r="M8731"/>
        </row>
        <row r="8732">
          <cell r="B8732"/>
          <cell r="C8732"/>
          <cell r="E8732"/>
          <cell r="F8732"/>
          <cell r="G8732"/>
          <cell r="H8732"/>
          <cell r="J8732"/>
          <cell r="L8732"/>
          <cell r="M8732"/>
        </row>
        <row r="8733">
          <cell r="B8733"/>
          <cell r="C8733"/>
          <cell r="E8733"/>
          <cell r="F8733"/>
          <cell r="G8733"/>
          <cell r="H8733"/>
          <cell r="J8733"/>
          <cell r="L8733"/>
          <cell r="M8733"/>
        </row>
        <row r="8734">
          <cell r="B8734"/>
          <cell r="C8734"/>
          <cell r="E8734"/>
          <cell r="F8734"/>
          <cell r="G8734"/>
          <cell r="H8734"/>
          <cell r="J8734"/>
          <cell r="L8734"/>
          <cell r="M8734"/>
        </row>
        <row r="8735">
          <cell r="B8735"/>
          <cell r="C8735"/>
          <cell r="E8735"/>
          <cell r="F8735"/>
          <cell r="G8735"/>
          <cell r="H8735"/>
          <cell r="J8735"/>
          <cell r="L8735"/>
          <cell r="M8735"/>
        </row>
        <row r="8736">
          <cell r="B8736"/>
          <cell r="C8736"/>
          <cell r="E8736"/>
          <cell r="F8736"/>
          <cell r="G8736"/>
          <cell r="H8736"/>
          <cell r="J8736"/>
          <cell r="L8736"/>
          <cell r="M8736"/>
        </row>
        <row r="8737">
          <cell r="B8737"/>
          <cell r="C8737"/>
          <cell r="E8737"/>
          <cell r="F8737"/>
          <cell r="G8737"/>
          <cell r="H8737"/>
          <cell r="J8737"/>
          <cell r="L8737"/>
          <cell r="M8737"/>
        </row>
        <row r="8738">
          <cell r="B8738"/>
          <cell r="C8738"/>
          <cell r="E8738"/>
          <cell r="F8738"/>
          <cell r="G8738"/>
          <cell r="H8738"/>
          <cell r="J8738"/>
          <cell r="L8738"/>
          <cell r="M8738"/>
        </row>
        <row r="8739">
          <cell r="B8739"/>
          <cell r="C8739"/>
          <cell r="E8739"/>
          <cell r="F8739"/>
          <cell r="G8739"/>
          <cell r="H8739"/>
          <cell r="J8739"/>
          <cell r="L8739"/>
          <cell r="M8739"/>
        </row>
        <row r="8740">
          <cell r="B8740"/>
          <cell r="C8740"/>
          <cell r="E8740"/>
          <cell r="F8740"/>
          <cell r="G8740"/>
          <cell r="H8740"/>
          <cell r="J8740"/>
          <cell r="L8740"/>
          <cell r="M8740"/>
        </row>
        <row r="8741">
          <cell r="B8741"/>
          <cell r="C8741"/>
          <cell r="E8741"/>
          <cell r="F8741"/>
          <cell r="G8741"/>
          <cell r="H8741"/>
          <cell r="J8741"/>
          <cell r="L8741"/>
          <cell r="M8741"/>
        </row>
        <row r="8742">
          <cell r="B8742"/>
          <cell r="C8742"/>
          <cell r="E8742"/>
          <cell r="F8742"/>
          <cell r="G8742"/>
          <cell r="H8742"/>
          <cell r="J8742"/>
          <cell r="L8742"/>
          <cell r="M8742"/>
        </row>
        <row r="8743">
          <cell r="B8743"/>
          <cell r="C8743"/>
          <cell r="E8743"/>
          <cell r="F8743"/>
          <cell r="G8743"/>
          <cell r="H8743"/>
          <cell r="J8743"/>
          <cell r="L8743"/>
          <cell r="M8743"/>
        </row>
        <row r="8744">
          <cell r="B8744"/>
          <cell r="C8744"/>
          <cell r="E8744"/>
          <cell r="F8744"/>
          <cell r="G8744"/>
          <cell r="H8744"/>
          <cell r="J8744"/>
          <cell r="L8744"/>
          <cell r="M8744"/>
        </row>
        <row r="8745">
          <cell r="B8745"/>
          <cell r="C8745"/>
          <cell r="E8745"/>
          <cell r="F8745"/>
          <cell r="G8745"/>
          <cell r="H8745"/>
          <cell r="J8745"/>
          <cell r="L8745"/>
          <cell r="M8745"/>
        </row>
        <row r="8746">
          <cell r="B8746"/>
          <cell r="C8746"/>
          <cell r="E8746"/>
          <cell r="F8746"/>
          <cell r="G8746"/>
          <cell r="H8746"/>
          <cell r="J8746"/>
          <cell r="L8746"/>
          <cell r="M8746"/>
        </row>
        <row r="8747">
          <cell r="B8747"/>
          <cell r="C8747"/>
          <cell r="E8747"/>
          <cell r="F8747"/>
          <cell r="G8747"/>
          <cell r="H8747"/>
          <cell r="J8747"/>
          <cell r="L8747"/>
          <cell r="M8747"/>
        </row>
        <row r="8748">
          <cell r="B8748"/>
          <cell r="C8748"/>
          <cell r="E8748"/>
          <cell r="F8748"/>
          <cell r="G8748"/>
          <cell r="H8748"/>
          <cell r="J8748"/>
          <cell r="L8748"/>
          <cell r="M8748"/>
        </row>
        <row r="8749">
          <cell r="B8749"/>
          <cell r="C8749"/>
          <cell r="E8749"/>
          <cell r="F8749"/>
          <cell r="G8749"/>
          <cell r="H8749"/>
          <cell r="J8749"/>
          <cell r="L8749"/>
          <cell r="M8749"/>
        </row>
        <row r="8750">
          <cell r="B8750"/>
          <cell r="C8750"/>
          <cell r="E8750"/>
          <cell r="F8750"/>
          <cell r="G8750"/>
          <cell r="H8750"/>
          <cell r="J8750"/>
          <cell r="L8750"/>
          <cell r="M8750"/>
        </row>
        <row r="8751">
          <cell r="B8751"/>
          <cell r="C8751"/>
          <cell r="E8751"/>
          <cell r="F8751"/>
          <cell r="G8751"/>
          <cell r="H8751"/>
          <cell r="J8751"/>
          <cell r="L8751"/>
          <cell r="M8751"/>
        </row>
        <row r="8752">
          <cell r="B8752"/>
          <cell r="C8752"/>
          <cell r="E8752"/>
          <cell r="F8752"/>
          <cell r="G8752"/>
          <cell r="H8752"/>
          <cell r="J8752"/>
          <cell r="L8752"/>
          <cell r="M8752"/>
        </row>
        <row r="8753">
          <cell r="B8753"/>
          <cell r="C8753"/>
          <cell r="E8753"/>
          <cell r="F8753"/>
          <cell r="G8753"/>
          <cell r="H8753"/>
          <cell r="J8753"/>
          <cell r="L8753"/>
          <cell r="M8753"/>
        </row>
        <row r="8754">
          <cell r="B8754"/>
          <cell r="C8754"/>
          <cell r="E8754"/>
          <cell r="F8754"/>
          <cell r="G8754"/>
          <cell r="H8754"/>
          <cell r="J8754"/>
          <cell r="L8754"/>
          <cell r="M8754"/>
        </row>
        <row r="8755">
          <cell r="B8755"/>
          <cell r="C8755"/>
          <cell r="E8755"/>
          <cell r="F8755"/>
          <cell r="G8755"/>
          <cell r="H8755"/>
          <cell r="J8755"/>
          <cell r="L8755"/>
          <cell r="M8755"/>
        </row>
        <row r="8756">
          <cell r="B8756"/>
          <cell r="C8756"/>
          <cell r="E8756"/>
          <cell r="F8756"/>
          <cell r="G8756"/>
          <cell r="H8756"/>
          <cell r="J8756"/>
          <cell r="L8756"/>
          <cell r="M8756"/>
        </row>
        <row r="8757">
          <cell r="B8757"/>
          <cell r="C8757"/>
          <cell r="E8757"/>
          <cell r="F8757"/>
          <cell r="G8757"/>
          <cell r="H8757"/>
          <cell r="J8757"/>
          <cell r="L8757"/>
          <cell r="M8757"/>
        </row>
        <row r="8758">
          <cell r="B8758"/>
          <cell r="C8758"/>
          <cell r="E8758"/>
          <cell r="F8758"/>
          <cell r="G8758"/>
          <cell r="H8758"/>
          <cell r="J8758"/>
          <cell r="L8758"/>
          <cell r="M8758"/>
        </row>
        <row r="8759">
          <cell r="B8759"/>
          <cell r="C8759"/>
          <cell r="E8759"/>
          <cell r="F8759"/>
          <cell r="G8759"/>
          <cell r="H8759"/>
          <cell r="J8759"/>
          <cell r="L8759"/>
          <cell r="M8759"/>
        </row>
        <row r="8760">
          <cell r="B8760"/>
          <cell r="C8760"/>
          <cell r="E8760"/>
          <cell r="F8760"/>
          <cell r="G8760"/>
          <cell r="H8760"/>
          <cell r="J8760"/>
          <cell r="L8760"/>
          <cell r="M8760"/>
        </row>
        <row r="8761">
          <cell r="B8761"/>
          <cell r="C8761"/>
          <cell r="E8761"/>
          <cell r="F8761"/>
          <cell r="G8761"/>
          <cell r="H8761"/>
          <cell r="J8761"/>
          <cell r="L8761"/>
          <cell r="M8761"/>
        </row>
        <row r="8762">
          <cell r="B8762"/>
          <cell r="C8762"/>
          <cell r="E8762"/>
          <cell r="F8762"/>
          <cell r="G8762"/>
          <cell r="H8762"/>
          <cell r="J8762"/>
          <cell r="L8762"/>
          <cell r="M8762"/>
        </row>
        <row r="8763">
          <cell r="B8763"/>
          <cell r="C8763"/>
          <cell r="E8763"/>
          <cell r="F8763"/>
          <cell r="G8763"/>
          <cell r="H8763"/>
          <cell r="J8763"/>
          <cell r="L8763"/>
          <cell r="M8763"/>
        </row>
        <row r="8764">
          <cell r="B8764"/>
          <cell r="C8764"/>
          <cell r="E8764"/>
          <cell r="F8764"/>
          <cell r="G8764"/>
          <cell r="H8764"/>
          <cell r="J8764"/>
          <cell r="L8764"/>
          <cell r="M8764"/>
        </row>
        <row r="8765">
          <cell r="B8765"/>
          <cell r="C8765"/>
          <cell r="E8765"/>
          <cell r="F8765"/>
          <cell r="G8765"/>
          <cell r="H8765"/>
          <cell r="J8765"/>
          <cell r="L8765"/>
          <cell r="M8765"/>
        </row>
        <row r="8766">
          <cell r="B8766"/>
          <cell r="C8766"/>
          <cell r="E8766"/>
          <cell r="F8766"/>
          <cell r="G8766"/>
          <cell r="H8766"/>
          <cell r="J8766"/>
          <cell r="L8766"/>
          <cell r="M8766"/>
        </row>
        <row r="8767">
          <cell r="B8767"/>
          <cell r="C8767"/>
          <cell r="E8767"/>
          <cell r="F8767"/>
          <cell r="G8767"/>
          <cell r="H8767"/>
          <cell r="J8767"/>
          <cell r="L8767"/>
          <cell r="M8767"/>
        </row>
        <row r="8768">
          <cell r="B8768"/>
          <cell r="C8768"/>
          <cell r="E8768"/>
          <cell r="F8768"/>
          <cell r="G8768"/>
          <cell r="H8768"/>
          <cell r="J8768"/>
          <cell r="L8768"/>
          <cell r="M8768"/>
        </row>
        <row r="8769">
          <cell r="B8769"/>
          <cell r="C8769"/>
          <cell r="E8769"/>
          <cell r="F8769"/>
          <cell r="G8769"/>
          <cell r="H8769"/>
          <cell r="J8769"/>
          <cell r="L8769"/>
          <cell r="M8769"/>
        </row>
        <row r="8770">
          <cell r="B8770"/>
          <cell r="C8770"/>
          <cell r="E8770"/>
          <cell r="F8770"/>
          <cell r="G8770"/>
          <cell r="H8770"/>
          <cell r="J8770"/>
          <cell r="L8770"/>
          <cell r="M8770"/>
        </row>
        <row r="8771">
          <cell r="B8771"/>
          <cell r="C8771"/>
          <cell r="E8771"/>
          <cell r="F8771"/>
          <cell r="G8771"/>
          <cell r="H8771"/>
          <cell r="J8771"/>
          <cell r="L8771"/>
          <cell r="M8771"/>
        </row>
        <row r="8772">
          <cell r="B8772"/>
          <cell r="C8772"/>
          <cell r="E8772"/>
          <cell r="F8772"/>
          <cell r="G8772"/>
          <cell r="H8772"/>
          <cell r="J8772"/>
          <cell r="L8772"/>
          <cell r="M8772"/>
        </row>
        <row r="8773">
          <cell r="B8773"/>
          <cell r="C8773"/>
          <cell r="E8773"/>
          <cell r="F8773"/>
          <cell r="G8773"/>
          <cell r="H8773"/>
          <cell r="J8773"/>
          <cell r="L8773"/>
          <cell r="M8773"/>
        </row>
        <row r="8774">
          <cell r="B8774"/>
          <cell r="C8774"/>
          <cell r="E8774"/>
          <cell r="F8774"/>
          <cell r="G8774"/>
          <cell r="H8774"/>
          <cell r="J8774"/>
          <cell r="L8774"/>
          <cell r="M8774"/>
        </row>
        <row r="8775">
          <cell r="B8775"/>
          <cell r="C8775"/>
          <cell r="E8775"/>
          <cell r="F8775"/>
          <cell r="G8775"/>
          <cell r="H8775"/>
          <cell r="J8775"/>
          <cell r="L8775"/>
          <cell r="M8775"/>
        </row>
        <row r="8776">
          <cell r="B8776"/>
          <cell r="C8776"/>
          <cell r="E8776"/>
          <cell r="F8776"/>
          <cell r="G8776"/>
          <cell r="H8776"/>
          <cell r="J8776"/>
          <cell r="L8776"/>
          <cell r="M8776"/>
        </row>
        <row r="8777">
          <cell r="B8777"/>
          <cell r="C8777"/>
          <cell r="E8777"/>
          <cell r="F8777"/>
          <cell r="G8777"/>
          <cell r="H8777"/>
          <cell r="J8777"/>
          <cell r="L8777"/>
          <cell r="M8777"/>
        </row>
        <row r="8778">
          <cell r="B8778"/>
          <cell r="C8778"/>
          <cell r="E8778"/>
          <cell r="F8778"/>
          <cell r="G8778"/>
          <cell r="H8778"/>
          <cell r="J8778"/>
          <cell r="L8778"/>
          <cell r="M8778"/>
        </row>
        <row r="8779">
          <cell r="B8779"/>
          <cell r="C8779"/>
          <cell r="E8779"/>
          <cell r="F8779"/>
          <cell r="G8779"/>
          <cell r="H8779"/>
          <cell r="J8779"/>
          <cell r="L8779"/>
          <cell r="M8779"/>
        </row>
        <row r="8780">
          <cell r="B8780"/>
          <cell r="C8780"/>
          <cell r="E8780"/>
          <cell r="F8780"/>
          <cell r="G8780"/>
          <cell r="H8780"/>
          <cell r="J8780"/>
          <cell r="L8780"/>
          <cell r="M8780"/>
        </row>
        <row r="8781">
          <cell r="B8781"/>
          <cell r="C8781"/>
          <cell r="E8781"/>
          <cell r="F8781"/>
          <cell r="G8781"/>
          <cell r="H8781"/>
          <cell r="J8781"/>
          <cell r="L8781"/>
          <cell r="M8781"/>
        </row>
        <row r="8782">
          <cell r="B8782"/>
          <cell r="C8782"/>
          <cell r="E8782"/>
          <cell r="F8782"/>
          <cell r="G8782"/>
          <cell r="H8782"/>
          <cell r="J8782"/>
          <cell r="L8782"/>
          <cell r="M8782"/>
        </row>
        <row r="8783">
          <cell r="B8783"/>
          <cell r="C8783"/>
          <cell r="E8783"/>
          <cell r="F8783"/>
          <cell r="G8783"/>
          <cell r="H8783"/>
          <cell r="J8783"/>
          <cell r="L8783"/>
          <cell r="M8783"/>
        </row>
        <row r="8784">
          <cell r="B8784"/>
          <cell r="C8784"/>
          <cell r="E8784"/>
          <cell r="F8784"/>
          <cell r="G8784"/>
          <cell r="H8784"/>
          <cell r="J8784"/>
          <cell r="L8784"/>
          <cell r="M8784"/>
        </row>
        <row r="8785">
          <cell r="B8785"/>
          <cell r="C8785"/>
          <cell r="E8785"/>
          <cell r="F8785"/>
          <cell r="G8785"/>
          <cell r="H8785"/>
          <cell r="J8785"/>
          <cell r="L8785"/>
          <cell r="M8785"/>
        </row>
        <row r="8786">
          <cell r="B8786"/>
          <cell r="C8786"/>
          <cell r="E8786"/>
          <cell r="F8786"/>
          <cell r="G8786"/>
          <cell r="H8786"/>
          <cell r="J8786"/>
          <cell r="L8786"/>
          <cell r="M8786"/>
        </row>
        <row r="8787">
          <cell r="B8787"/>
          <cell r="C8787"/>
          <cell r="E8787"/>
          <cell r="F8787"/>
          <cell r="G8787"/>
          <cell r="H8787"/>
          <cell r="J8787"/>
          <cell r="L8787"/>
          <cell r="M8787"/>
        </row>
        <row r="8788">
          <cell r="B8788"/>
          <cell r="C8788"/>
          <cell r="E8788"/>
          <cell r="F8788"/>
          <cell r="G8788"/>
          <cell r="H8788"/>
          <cell r="J8788"/>
          <cell r="L8788"/>
          <cell r="M8788"/>
        </row>
        <row r="8789">
          <cell r="B8789"/>
          <cell r="C8789"/>
          <cell r="E8789"/>
          <cell r="F8789"/>
          <cell r="G8789"/>
          <cell r="H8789"/>
          <cell r="J8789"/>
          <cell r="L8789"/>
          <cell r="M8789"/>
        </row>
        <row r="8790">
          <cell r="B8790"/>
          <cell r="C8790"/>
          <cell r="E8790"/>
          <cell r="F8790"/>
          <cell r="G8790"/>
          <cell r="H8790"/>
          <cell r="J8790"/>
          <cell r="L8790"/>
          <cell r="M8790"/>
        </row>
        <row r="8791">
          <cell r="B8791"/>
          <cell r="C8791"/>
          <cell r="E8791"/>
          <cell r="F8791"/>
          <cell r="G8791"/>
          <cell r="H8791"/>
          <cell r="J8791"/>
          <cell r="L8791"/>
          <cell r="M8791"/>
        </row>
        <row r="8792">
          <cell r="B8792"/>
          <cell r="C8792"/>
          <cell r="E8792"/>
          <cell r="F8792"/>
          <cell r="G8792"/>
          <cell r="H8792"/>
          <cell r="J8792"/>
          <cell r="L8792"/>
          <cell r="M8792"/>
        </row>
        <row r="8793">
          <cell r="B8793"/>
          <cell r="C8793"/>
          <cell r="E8793"/>
          <cell r="F8793"/>
          <cell r="G8793"/>
          <cell r="H8793"/>
          <cell r="J8793"/>
          <cell r="L8793"/>
          <cell r="M8793"/>
        </row>
        <row r="8794">
          <cell r="B8794"/>
          <cell r="C8794"/>
          <cell r="E8794"/>
          <cell r="F8794"/>
          <cell r="G8794"/>
          <cell r="H8794"/>
          <cell r="J8794"/>
          <cell r="L8794"/>
          <cell r="M8794"/>
        </row>
        <row r="8795">
          <cell r="B8795"/>
          <cell r="C8795"/>
          <cell r="E8795"/>
          <cell r="F8795"/>
          <cell r="G8795"/>
          <cell r="H8795"/>
          <cell r="J8795"/>
          <cell r="L8795"/>
          <cell r="M8795"/>
        </row>
        <row r="8796">
          <cell r="B8796"/>
          <cell r="C8796"/>
          <cell r="E8796"/>
          <cell r="F8796"/>
          <cell r="G8796"/>
          <cell r="H8796"/>
          <cell r="J8796"/>
          <cell r="L8796"/>
          <cell r="M8796"/>
        </row>
        <row r="8797">
          <cell r="B8797"/>
          <cell r="C8797"/>
          <cell r="E8797"/>
          <cell r="F8797"/>
          <cell r="G8797"/>
          <cell r="H8797"/>
          <cell r="J8797"/>
          <cell r="L8797"/>
          <cell r="M8797"/>
        </row>
        <row r="8798">
          <cell r="B8798"/>
          <cell r="C8798"/>
          <cell r="E8798"/>
          <cell r="F8798"/>
          <cell r="G8798"/>
          <cell r="H8798"/>
          <cell r="J8798"/>
          <cell r="L8798"/>
          <cell r="M8798"/>
        </row>
        <row r="8799">
          <cell r="B8799"/>
          <cell r="C8799"/>
          <cell r="E8799"/>
          <cell r="F8799"/>
          <cell r="G8799"/>
          <cell r="H8799"/>
          <cell r="J8799"/>
          <cell r="L8799"/>
          <cell r="M8799"/>
        </row>
        <row r="8800">
          <cell r="B8800"/>
          <cell r="C8800"/>
          <cell r="E8800"/>
          <cell r="F8800"/>
          <cell r="G8800"/>
          <cell r="H8800"/>
          <cell r="J8800"/>
          <cell r="L8800"/>
          <cell r="M8800"/>
        </row>
        <row r="8801">
          <cell r="B8801"/>
          <cell r="C8801"/>
          <cell r="E8801"/>
          <cell r="F8801"/>
          <cell r="G8801"/>
          <cell r="H8801"/>
          <cell r="J8801"/>
          <cell r="L8801"/>
          <cell r="M8801"/>
        </row>
        <row r="8802">
          <cell r="B8802"/>
          <cell r="C8802"/>
          <cell r="E8802"/>
          <cell r="F8802"/>
          <cell r="G8802"/>
          <cell r="H8802"/>
          <cell r="J8802"/>
          <cell r="L8802"/>
          <cell r="M8802"/>
        </row>
        <row r="8803">
          <cell r="B8803"/>
          <cell r="C8803"/>
          <cell r="E8803"/>
          <cell r="F8803"/>
          <cell r="G8803"/>
          <cell r="H8803"/>
          <cell r="J8803"/>
          <cell r="L8803"/>
          <cell r="M8803"/>
        </row>
        <row r="8804">
          <cell r="B8804"/>
          <cell r="C8804"/>
          <cell r="E8804"/>
          <cell r="F8804"/>
          <cell r="G8804"/>
          <cell r="H8804"/>
          <cell r="J8804"/>
          <cell r="L8804"/>
          <cell r="M8804"/>
        </row>
        <row r="8805">
          <cell r="B8805"/>
          <cell r="C8805"/>
          <cell r="E8805"/>
          <cell r="F8805"/>
          <cell r="G8805"/>
          <cell r="H8805"/>
          <cell r="J8805"/>
          <cell r="L8805"/>
          <cell r="M8805"/>
        </row>
        <row r="8806">
          <cell r="B8806"/>
          <cell r="C8806"/>
          <cell r="E8806"/>
          <cell r="F8806"/>
          <cell r="G8806"/>
          <cell r="H8806"/>
          <cell r="J8806"/>
          <cell r="L8806"/>
          <cell r="M8806"/>
        </row>
        <row r="8807">
          <cell r="B8807"/>
          <cell r="C8807"/>
          <cell r="E8807"/>
          <cell r="F8807"/>
          <cell r="G8807"/>
          <cell r="H8807"/>
          <cell r="J8807"/>
          <cell r="L8807"/>
          <cell r="M8807"/>
        </row>
        <row r="8808">
          <cell r="B8808"/>
          <cell r="C8808"/>
          <cell r="E8808"/>
          <cell r="F8808"/>
          <cell r="G8808"/>
          <cell r="H8808"/>
          <cell r="J8808"/>
          <cell r="L8808"/>
          <cell r="M8808"/>
        </row>
        <row r="8809">
          <cell r="B8809"/>
          <cell r="C8809"/>
          <cell r="E8809"/>
          <cell r="F8809"/>
          <cell r="G8809"/>
          <cell r="H8809"/>
          <cell r="J8809"/>
          <cell r="L8809"/>
          <cell r="M8809"/>
        </row>
        <row r="8810">
          <cell r="B8810"/>
          <cell r="C8810"/>
          <cell r="E8810"/>
          <cell r="F8810"/>
          <cell r="G8810"/>
          <cell r="H8810"/>
          <cell r="J8810"/>
          <cell r="L8810"/>
          <cell r="M8810"/>
        </row>
        <row r="8811">
          <cell r="B8811"/>
          <cell r="C8811"/>
          <cell r="E8811"/>
          <cell r="F8811"/>
          <cell r="G8811"/>
          <cell r="H8811"/>
          <cell r="J8811"/>
          <cell r="L8811"/>
          <cell r="M8811"/>
        </row>
        <row r="8812">
          <cell r="B8812"/>
          <cell r="C8812"/>
          <cell r="E8812"/>
          <cell r="F8812"/>
          <cell r="G8812"/>
          <cell r="H8812"/>
          <cell r="J8812"/>
          <cell r="L8812"/>
          <cell r="M8812"/>
        </row>
        <row r="8813">
          <cell r="B8813"/>
          <cell r="C8813"/>
          <cell r="E8813"/>
          <cell r="F8813"/>
          <cell r="G8813"/>
          <cell r="H8813"/>
          <cell r="J8813"/>
          <cell r="L8813"/>
          <cell r="M8813"/>
        </row>
        <row r="8814">
          <cell r="B8814"/>
          <cell r="C8814"/>
          <cell r="E8814"/>
          <cell r="F8814"/>
          <cell r="G8814"/>
          <cell r="H8814"/>
          <cell r="J8814"/>
          <cell r="L8814"/>
          <cell r="M8814"/>
        </row>
        <row r="8815">
          <cell r="B8815"/>
          <cell r="C8815"/>
          <cell r="E8815"/>
          <cell r="F8815"/>
          <cell r="G8815"/>
          <cell r="H8815"/>
          <cell r="J8815"/>
          <cell r="L8815"/>
          <cell r="M8815"/>
        </row>
        <row r="8816">
          <cell r="B8816"/>
          <cell r="C8816"/>
          <cell r="E8816"/>
          <cell r="F8816"/>
          <cell r="G8816"/>
          <cell r="H8816"/>
          <cell r="J8816"/>
          <cell r="L8816"/>
          <cell r="M8816"/>
        </row>
        <row r="8817">
          <cell r="B8817"/>
          <cell r="C8817"/>
          <cell r="E8817"/>
          <cell r="F8817"/>
          <cell r="G8817"/>
          <cell r="H8817"/>
          <cell r="J8817"/>
          <cell r="L8817"/>
          <cell r="M8817"/>
        </row>
        <row r="8818">
          <cell r="B8818"/>
          <cell r="C8818"/>
          <cell r="E8818"/>
          <cell r="F8818"/>
          <cell r="G8818"/>
          <cell r="H8818"/>
          <cell r="J8818"/>
          <cell r="L8818"/>
          <cell r="M8818"/>
        </row>
        <row r="8819">
          <cell r="B8819"/>
          <cell r="C8819"/>
          <cell r="E8819"/>
          <cell r="F8819"/>
          <cell r="G8819"/>
          <cell r="H8819"/>
          <cell r="J8819"/>
          <cell r="L8819"/>
          <cell r="M8819"/>
        </row>
        <row r="8820">
          <cell r="B8820"/>
          <cell r="C8820"/>
          <cell r="E8820"/>
          <cell r="F8820"/>
          <cell r="G8820"/>
          <cell r="H8820"/>
          <cell r="J8820"/>
          <cell r="L8820"/>
          <cell r="M8820"/>
        </row>
        <row r="8821">
          <cell r="B8821"/>
          <cell r="C8821"/>
          <cell r="E8821"/>
          <cell r="F8821"/>
          <cell r="G8821"/>
          <cell r="H8821"/>
          <cell r="J8821"/>
          <cell r="L8821"/>
          <cell r="M8821"/>
        </row>
        <row r="8822">
          <cell r="B8822"/>
          <cell r="C8822"/>
          <cell r="E8822"/>
          <cell r="F8822"/>
          <cell r="G8822"/>
          <cell r="H8822"/>
          <cell r="J8822"/>
          <cell r="L8822"/>
          <cell r="M8822"/>
        </row>
        <row r="8823">
          <cell r="B8823"/>
          <cell r="C8823"/>
          <cell r="E8823"/>
          <cell r="F8823"/>
          <cell r="G8823"/>
          <cell r="H8823"/>
          <cell r="J8823"/>
          <cell r="L8823"/>
          <cell r="M8823"/>
        </row>
        <row r="8824">
          <cell r="B8824"/>
          <cell r="C8824"/>
          <cell r="E8824"/>
          <cell r="F8824"/>
          <cell r="G8824"/>
          <cell r="H8824"/>
          <cell r="J8824"/>
          <cell r="L8824"/>
          <cell r="M8824"/>
        </row>
        <row r="8825">
          <cell r="B8825"/>
          <cell r="C8825"/>
          <cell r="E8825"/>
          <cell r="F8825"/>
          <cell r="G8825"/>
          <cell r="H8825"/>
          <cell r="J8825"/>
          <cell r="L8825"/>
          <cell r="M8825"/>
        </row>
        <row r="8826">
          <cell r="B8826"/>
          <cell r="C8826"/>
          <cell r="E8826"/>
          <cell r="F8826"/>
          <cell r="G8826"/>
          <cell r="H8826"/>
          <cell r="J8826"/>
          <cell r="L8826"/>
          <cell r="M8826"/>
        </row>
        <row r="8827">
          <cell r="B8827"/>
          <cell r="C8827"/>
          <cell r="E8827"/>
          <cell r="F8827"/>
          <cell r="G8827"/>
          <cell r="H8827"/>
          <cell r="J8827"/>
          <cell r="L8827"/>
          <cell r="M8827"/>
        </row>
        <row r="8828">
          <cell r="B8828"/>
          <cell r="C8828"/>
          <cell r="E8828"/>
          <cell r="F8828"/>
          <cell r="G8828"/>
          <cell r="H8828"/>
          <cell r="J8828"/>
          <cell r="L8828"/>
          <cell r="M8828"/>
        </row>
        <row r="8829">
          <cell r="B8829"/>
          <cell r="C8829"/>
          <cell r="E8829"/>
          <cell r="F8829"/>
          <cell r="G8829"/>
          <cell r="H8829"/>
          <cell r="J8829"/>
          <cell r="L8829"/>
          <cell r="M8829"/>
        </row>
        <row r="8830">
          <cell r="B8830"/>
          <cell r="C8830"/>
          <cell r="E8830"/>
          <cell r="F8830"/>
          <cell r="G8830"/>
          <cell r="H8830"/>
          <cell r="J8830"/>
          <cell r="L8830"/>
          <cell r="M8830"/>
        </row>
        <row r="8831">
          <cell r="B8831"/>
          <cell r="C8831"/>
          <cell r="E8831"/>
          <cell r="F8831"/>
          <cell r="G8831"/>
          <cell r="H8831"/>
          <cell r="J8831"/>
          <cell r="L8831"/>
          <cell r="M8831"/>
        </row>
        <row r="8832">
          <cell r="B8832"/>
          <cell r="C8832"/>
          <cell r="E8832"/>
          <cell r="F8832"/>
          <cell r="G8832"/>
          <cell r="H8832"/>
          <cell r="J8832"/>
          <cell r="L8832"/>
          <cell r="M8832"/>
        </row>
        <row r="8833">
          <cell r="B8833"/>
          <cell r="C8833"/>
          <cell r="E8833"/>
          <cell r="F8833"/>
          <cell r="G8833"/>
          <cell r="H8833"/>
          <cell r="J8833"/>
          <cell r="L8833"/>
          <cell r="M8833"/>
        </row>
        <row r="8834">
          <cell r="B8834"/>
          <cell r="C8834"/>
          <cell r="E8834"/>
          <cell r="F8834"/>
          <cell r="G8834"/>
          <cell r="H8834"/>
          <cell r="J8834"/>
          <cell r="L8834"/>
          <cell r="M8834"/>
        </row>
        <row r="8835">
          <cell r="B8835"/>
          <cell r="C8835"/>
          <cell r="E8835"/>
          <cell r="F8835"/>
          <cell r="G8835"/>
          <cell r="H8835"/>
          <cell r="J8835"/>
          <cell r="L8835"/>
          <cell r="M8835"/>
        </row>
        <row r="8836">
          <cell r="B8836"/>
          <cell r="C8836"/>
          <cell r="E8836"/>
          <cell r="F8836"/>
          <cell r="G8836"/>
          <cell r="H8836"/>
          <cell r="J8836"/>
          <cell r="L8836"/>
          <cell r="M8836"/>
        </row>
        <row r="8837">
          <cell r="B8837"/>
          <cell r="C8837"/>
          <cell r="E8837"/>
          <cell r="F8837"/>
          <cell r="G8837"/>
          <cell r="H8837"/>
          <cell r="J8837"/>
          <cell r="L8837"/>
          <cell r="M8837"/>
        </row>
        <row r="8838">
          <cell r="B8838"/>
          <cell r="C8838"/>
          <cell r="E8838"/>
          <cell r="F8838"/>
          <cell r="G8838"/>
          <cell r="H8838"/>
          <cell r="J8838"/>
          <cell r="L8838"/>
          <cell r="M8838"/>
        </row>
        <row r="8839">
          <cell r="B8839"/>
          <cell r="C8839"/>
          <cell r="E8839"/>
          <cell r="F8839"/>
          <cell r="G8839"/>
          <cell r="H8839"/>
          <cell r="J8839"/>
          <cell r="L8839"/>
          <cell r="M8839"/>
        </row>
        <row r="8840">
          <cell r="B8840"/>
          <cell r="C8840"/>
          <cell r="E8840"/>
          <cell r="F8840"/>
          <cell r="G8840"/>
          <cell r="H8840"/>
          <cell r="J8840"/>
          <cell r="L8840"/>
          <cell r="M8840"/>
        </row>
        <row r="8841">
          <cell r="B8841"/>
          <cell r="C8841"/>
          <cell r="E8841"/>
          <cell r="F8841"/>
          <cell r="G8841"/>
          <cell r="H8841"/>
          <cell r="J8841"/>
          <cell r="L8841"/>
          <cell r="M8841"/>
        </row>
        <row r="8842">
          <cell r="B8842"/>
          <cell r="C8842"/>
          <cell r="E8842"/>
          <cell r="F8842"/>
          <cell r="G8842"/>
          <cell r="H8842"/>
          <cell r="J8842"/>
          <cell r="L8842"/>
          <cell r="M8842"/>
        </row>
        <row r="8843">
          <cell r="B8843"/>
          <cell r="C8843"/>
          <cell r="E8843"/>
          <cell r="F8843"/>
          <cell r="G8843"/>
          <cell r="H8843"/>
          <cell r="J8843"/>
          <cell r="L8843"/>
          <cell r="M8843"/>
        </row>
        <row r="8844">
          <cell r="B8844"/>
          <cell r="C8844"/>
          <cell r="E8844"/>
          <cell r="F8844"/>
          <cell r="G8844"/>
          <cell r="H8844"/>
          <cell r="J8844"/>
          <cell r="L8844"/>
          <cell r="M8844"/>
        </row>
        <row r="8845">
          <cell r="B8845"/>
          <cell r="C8845"/>
          <cell r="E8845"/>
          <cell r="F8845"/>
          <cell r="G8845"/>
          <cell r="H8845"/>
          <cell r="J8845"/>
          <cell r="L8845"/>
          <cell r="M8845"/>
        </row>
        <row r="8846">
          <cell r="B8846"/>
          <cell r="C8846"/>
          <cell r="E8846"/>
          <cell r="F8846"/>
          <cell r="G8846"/>
          <cell r="H8846"/>
          <cell r="J8846"/>
          <cell r="L8846"/>
          <cell r="M8846"/>
        </row>
        <row r="8847">
          <cell r="B8847"/>
          <cell r="C8847"/>
          <cell r="E8847"/>
          <cell r="F8847"/>
          <cell r="G8847"/>
          <cell r="H8847"/>
          <cell r="J8847"/>
          <cell r="L8847"/>
          <cell r="M8847"/>
        </row>
        <row r="8848">
          <cell r="B8848"/>
          <cell r="C8848"/>
          <cell r="E8848"/>
          <cell r="F8848"/>
          <cell r="G8848"/>
          <cell r="H8848"/>
          <cell r="J8848"/>
          <cell r="L8848"/>
          <cell r="M8848"/>
        </row>
        <row r="8849">
          <cell r="B8849"/>
          <cell r="C8849"/>
          <cell r="E8849"/>
          <cell r="F8849"/>
          <cell r="G8849"/>
          <cell r="H8849"/>
          <cell r="J8849"/>
          <cell r="L8849"/>
          <cell r="M8849"/>
        </row>
        <row r="8850">
          <cell r="B8850"/>
          <cell r="C8850"/>
          <cell r="E8850"/>
          <cell r="F8850"/>
          <cell r="G8850"/>
          <cell r="H8850"/>
          <cell r="J8850"/>
          <cell r="L8850"/>
          <cell r="M8850"/>
        </row>
        <row r="8851">
          <cell r="B8851"/>
          <cell r="C8851"/>
          <cell r="E8851"/>
          <cell r="F8851"/>
          <cell r="G8851"/>
          <cell r="H8851"/>
          <cell r="J8851"/>
          <cell r="L8851"/>
          <cell r="M8851"/>
        </row>
        <row r="8852">
          <cell r="B8852"/>
          <cell r="C8852"/>
          <cell r="E8852"/>
          <cell r="F8852"/>
          <cell r="G8852"/>
          <cell r="H8852"/>
          <cell r="J8852"/>
          <cell r="L8852"/>
          <cell r="M8852"/>
        </row>
        <row r="8853">
          <cell r="B8853"/>
          <cell r="C8853"/>
          <cell r="E8853"/>
          <cell r="F8853"/>
          <cell r="G8853"/>
          <cell r="H8853"/>
          <cell r="J8853"/>
          <cell r="L8853"/>
          <cell r="M8853"/>
        </row>
        <row r="8854">
          <cell r="B8854"/>
          <cell r="C8854"/>
          <cell r="E8854"/>
          <cell r="F8854"/>
          <cell r="G8854"/>
          <cell r="H8854"/>
          <cell r="J8854"/>
          <cell r="L8854"/>
          <cell r="M8854"/>
        </row>
        <row r="8855">
          <cell r="B8855"/>
          <cell r="C8855"/>
          <cell r="E8855"/>
          <cell r="F8855"/>
          <cell r="G8855"/>
          <cell r="H8855"/>
          <cell r="J8855"/>
          <cell r="L8855"/>
          <cell r="M8855"/>
        </row>
        <row r="8856">
          <cell r="B8856"/>
          <cell r="C8856"/>
          <cell r="E8856"/>
          <cell r="F8856"/>
          <cell r="G8856"/>
          <cell r="H8856"/>
          <cell r="J8856"/>
          <cell r="L8856"/>
          <cell r="M8856"/>
        </row>
        <row r="8857">
          <cell r="B8857"/>
          <cell r="C8857"/>
          <cell r="E8857"/>
          <cell r="F8857"/>
          <cell r="G8857"/>
          <cell r="H8857"/>
          <cell r="J8857"/>
          <cell r="L8857"/>
          <cell r="M8857"/>
        </row>
        <row r="8858">
          <cell r="B8858"/>
          <cell r="C8858"/>
          <cell r="E8858"/>
          <cell r="F8858"/>
          <cell r="G8858"/>
          <cell r="H8858"/>
          <cell r="J8858"/>
          <cell r="L8858"/>
          <cell r="M8858"/>
        </row>
        <row r="8859">
          <cell r="B8859"/>
          <cell r="C8859"/>
          <cell r="E8859"/>
          <cell r="F8859"/>
          <cell r="G8859"/>
          <cell r="H8859"/>
          <cell r="J8859"/>
          <cell r="L8859"/>
          <cell r="M8859"/>
        </row>
        <row r="8860">
          <cell r="B8860"/>
          <cell r="C8860"/>
          <cell r="E8860"/>
          <cell r="F8860"/>
          <cell r="G8860"/>
          <cell r="H8860"/>
          <cell r="J8860"/>
          <cell r="L8860"/>
          <cell r="M8860"/>
        </row>
        <row r="8861">
          <cell r="B8861"/>
          <cell r="C8861"/>
          <cell r="E8861"/>
          <cell r="F8861"/>
          <cell r="G8861"/>
          <cell r="H8861"/>
          <cell r="J8861"/>
          <cell r="L8861"/>
          <cell r="M8861"/>
        </row>
        <row r="8862">
          <cell r="B8862"/>
          <cell r="C8862"/>
          <cell r="E8862"/>
          <cell r="F8862"/>
          <cell r="G8862"/>
          <cell r="H8862"/>
          <cell r="J8862"/>
          <cell r="L8862"/>
          <cell r="M8862"/>
        </row>
        <row r="8863">
          <cell r="B8863"/>
          <cell r="C8863"/>
          <cell r="E8863"/>
          <cell r="F8863"/>
          <cell r="G8863"/>
          <cell r="H8863"/>
          <cell r="J8863"/>
          <cell r="L8863"/>
          <cell r="M8863"/>
        </row>
        <row r="8864">
          <cell r="B8864"/>
          <cell r="C8864"/>
          <cell r="E8864"/>
          <cell r="F8864"/>
          <cell r="G8864"/>
          <cell r="H8864"/>
          <cell r="J8864"/>
          <cell r="L8864"/>
          <cell r="M8864"/>
        </row>
        <row r="8865">
          <cell r="B8865"/>
          <cell r="C8865"/>
          <cell r="E8865"/>
          <cell r="F8865"/>
          <cell r="G8865"/>
          <cell r="H8865"/>
          <cell r="J8865"/>
          <cell r="L8865"/>
          <cell r="M8865"/>
        </row>
        <row r="8866">
          <cell r="B8866"/>
          <cell r="C8866"/>
          <cell r="E8866"/>
          <cell r="F8866"/>
          <cell r="G8866"/>
          <cell r="H8866"/>
          <cell r="J8866"/>
          <cell r="L8866"/>
          <cell r="M8866"/>
        </row>
        <row r="8867">
          <cell r="B8867"/>
          <cell r="C8867"/>
          <cell r="E8867"/>
          <cell r="F8867"/>
          <cell r="G8867"/>
          <cell r="H8867"/>
          <cell r="J8867"/>
          <cell r="L8867"/>
          <cell r="M8867"/>
        </row>
        <row r="8868">
          <cell r="B8868"/>
          <cell r="C8868"/>
          <cell r="E8868"/>
          <cell r="F8868"/>
          <cell r="G8868"/>
          <cell r="H8868"/>
          <cell r="J8868"/>
          <cell r="L8868"/>
          <cell r="M8868"/>
        </row>
        <row r="8869">
          <cell r="B8869"/>
          <cell r="C8869"/>
          <cell r="E8869"/>
          <cell r="F8869"/>
          <cell r="G8869"/>
          <cell r="H8869"/>
          <cell r="J8869"/>
          <cell r="L8869"/>
          <cell r="M8869"/>
        </row>
        <row r="8870">
          <cell r="B8870"/>
          <cell r="C8870"/>
          <cell r="E8870"/>
          <cell r="F8870"/>
          <cell r="G8870"/>
          <cell r="H8870"/>
          <cell r="J8870"/>
          <cell r="L8870"/>
          <cell r="M8870"/>
        </row>
        <row r="8871">
          <cell r="B8871"/>
          <cell r="C8871"/>
          <cell r="E8871"/>
          <cell r="F8871"/>
          <cell r="G8871"/>
          <cell r="H8871"/>
          <cell r="J8871"/>
          <cell r="L8871"/>
          <cell r="M8871"/>
        </row>
        <row r="8872">
          <cell r="B8872"/>
          <cell r="C8872"/>
          <cell r="E8872"/>
          <cell r="F8872"/>
          <cell r="G8872"/>
          <cell r="H8872"/>
          <cell r="J8872"/>
          <cell r="L8872"/>
          <cell r="M8872"/>
        </row>
        <row r="8873">
          <cell r="B8873"/>
          <cell r="C8873"/>
          <cell r="E8873"/>
          <cell r="F8873"/>
          <cell r="G8873"/>
          <cell r="H8873"/>
          <cell r="J8873"/>
          <cell r="L8873"/>
          <cell r="M8873"/>
        </row>
        <row r="8874">
          <cell r="B8874"/>
          <cell r="C8874"/>
          <cell r="E8874"/>
          <cell r="F8874"/>
          <cell r="G8874"/>
          <cell r="H8874"/>
          <cell r="J8874"/>
          <cell r="L8874"/>
          <cell r="M8874"/>
        </row>
        <row r="8875">
          <cell r="B8875"/>
          <cell r="C8875"/>
          <cell r="E8875"/>
          <cell r="F8875"/>
          <cell r="G8875"/>
          <cell r="H8875"/>
          <cell r="J8875"/>
          <cell r="L8875"/>
          <cell r="M8875"/>
        </row>
        <row r="8876">
          <cell r="B8876"/>
          <cell r="C8876"/>
          <cell r="E8876"/>
          <cell r="F8876"/>
          <cell r="G8876"/>
          <cell r="H8876"/>
          <cell r="J8876"/>
          <cell r="L8876"/>
          <cell r="M8876"/>
        </row>
        <row r="8877">
          <cell r="B8877"/>
          <cell r="C8877"/>
          <cell r="E8877"/>
          <cell r="F8877"/>
          <cell r="G8877"/>
          <cell r="H8877"/>
          <cell r="J8877"/>
          <cell r="L8877"/>
          <cell r="M8877"/>
        </row>
        <row r="8878">
          <cell r="B8878"/>
          <cell r="C8878"/>
          <cell r="E8878"/>
          <cell r="F8878"/>
          <cell r="G8878"/>
          <cell r="H8878"/>
          <cell r="J8878"/>
          <cell r="L8878"/>
          <cell r="M8878"/>
        </row>
        <row r="8879">
          <cell r="B8879"/>
          <cell r="C8879"/>
          <cell r="E8879"/>
          <cell r="F8879"/>
          <cell r="G8879"/>
          <cell r="H8879"/>
          <cell r="J8879"/>
          <cell r="L8879"/>
          <cell r="M8879"/>
        </row>
        <row r="8880">
          <cell r="B8880"/>
          <cell r="C8880"/>
          <cell r="E8880"/>
          <cell r="F8880"/>
          <cell r="G8880"/>
          <cell r="H8880"/>
          <cell r="J8880"/>
          <cell r="L8880"/>
          <cell r="M8880"/>
        </row>
        <row r="8881">
          <cell r="B8881"/>
          <cell r="C8881"/>
          <cell r="E8881"/>
          <cell r="F8881"/>
          <cell r="G8881"/>
          <cell r="H8881"/>
          <cell r="J8881"/>
          <cell r="L8881"/>
          <cell r="M8881"/>
        </row>
        <row r="8882">
          <cell r="B8882"/>
          <cell r="C8882"/>
          <cell r="E8882"/>
          <cell r="F8882"/>
          <cell r="G8882"/>
          <cell r="H8882"/>
          <cell r="J8882"/>
          <cell r="L8882"/>
          <cell r="M8882"/>
        </row>
        <row r="8883">
          <cell r="B8883"/>
          <cell r="C8883"/>
          <cell r="E8883"/>
          <cell r="F8883"/>
          <cell r="G8883"/>
          <cell r="H8883"/>
          <cell r="J8883"/>
          <cell r="L8883"/>
          <cell r="M8883"/>
        </row>
        <row r="8884">
          <cell r="B8884"/>
          <cell r="C8884"/>
          <cell r="E8884"/>
          <cell r="F8884"/>
          <cell r="G8884"/>
          <cell r="H8884"/>
          <cell r="J8884"/>
          <cell r="L8884"/>
          <cell r="M8884"/>
        </row>
        <row r="8885">
          <cell r="B8885"/>
          <cell r="C8885"/>
          <cell r="E8885"/>
          <cell r="F8885"/>
          <cell r="G8885"/>
          <cell r="H8885"/>
          <cell r="J8885"/>
          <cell r="L8885"/>
          <cell r="M8885"/>
        </row>
        <row r="8886">
          <cell r="B8886"/>
          <cell r="C8886"/>
          <cell r="E8886"/>
          <cell r="F8886"/>
          <cell r="G8886"/>
          <cell r="H8886"/>
          <cell r="J8886"/>
          <cell r="L8886"/>
          <cell r="M8886"/>
        </row>
        <row r="8887">
          <cell r="B8887"/>
          <cell r="C8887"/>
          <cell r="E8887"/>
          <cell r="F8887"/>
          <cell r="G8887"/>
          <cell r="H8887"/>
          <cell r="J8887"/>
          <cell r="L8887"/>
          <cell r="M8887"/>
        </row>
        <row r="8888">
          <cell r="B8888"/>
          <cell r="C8888"/>
          <cell r="E8888"/>
          <cell r="F8888"/>
          <cell r="G8888"/>
          <cell r="H8888"/>
          <cell r="J8888"/>
          <cell r="L8888"/>
          <cell r="M8888"/>
        </row>
        <row r="8889">
          <cell r="B8889"/>
          <cell r="C8889"/>
          <cell r="E8889"/>
          <cell r="F8889"/>
          <cell r="G8889"/>
          <cell r="H8889"/>
          <cell r="J8889"/>
          <cell r="L8889"/>
          <cell r="M8889"/>
        </row>
        <row r="8890">
          <cell r="B8890"/>
          <cell r="C8890"/>
          <cell r="E8890"/>
          <cell r="F8890"/>
          <cell r="G8890"/>
          <cell r="H8890"/>
          <cell r="J8890"/>
          <cell r="L8890"/>
          <cell r="M8890"/>
        </row>
        <row r="8891">
          <cell r="B8891"/>
          <cell r="C8891"/>
          <cell r="E8891"/>
          <cell r="F8891"/>
          <cell r="G8891"/>
          <cell r="H8891"/>
          <cell r="J8891"/>
          <cell r="L8891"/>
          <cell r="M8891"/>
        </row>
        <row r="8892">
          <cell r="B8892"/>
          <cell r="C8892"/>
          <cell r="E8892"/>
          <cell r="F8892"/>
          <cell r="G8892"/>
          <cell r="H8892"/>
          <cell r="J8892"/>
          <cell r="L8892"/>
          <cell r="M8892"/>
        </row>
        <row r="8893">
          <cell r="B8893"/>
          <cell r="C8893"/>
          <cell r="E8893"/>
          <cell r="F8893"/>
          <cell r="G8893"/>
          <cell r="H8893"/>
          <cell r="J8893"/>
          <cell r="L8893"/>
          <cell r="M8893"/>
        </row>
        <row r="8894">
          <cell r="B8894"/>
          <cell r="C8894"/>
          <cell r="E8894"/>
          <cell r="F8894"/>
          <cell r="G8894"/>
          <cell r="H8894"/>
          <cell r="J8894"/>
          <cell r="L8894"/>
          <cell r="M8894"/>
        </row>
        <row r="8895">
          <cell r="B8895"/>
          <cell r="C8895"/>
          <cell r="E8895"/>
          <cell r="F8895"/>
          <cell r="G8895"/>
          <cell r="H8895"/>
          <cell r="J8895"/>
          <cell r="L8895"/>
          <cell r="M8895"/>
        </row>
        <row r="8896">
          <cell r="B8896"/>
          <cell r="C8896"/>
          <cell r="E8896"/>
          <cell r="F8896"/>
          <cell r="G8896"/>
          <cell r="H8896"/>
          <cell r="J8896"/>
          <cell r="L8896"/>
          <cell r="M8896"/>
        </row>
        <row r="8897">
          <cell r="B8897"/>
          <cell r="C8897"/>
          <cell r="E8897"/>
          <cell r="F8897"/>
          <cell r="G8897"/>
          <cell r="H8897"/>
          <cell r="J8897"/>
          <cell r="L8897"/>
          <cell r="M8897"/>
        </row>
        <row r="8898">
          <cell r="B8898"/>
          <cell r="C8898"/>
          <cell r="E8898"/>
          <cell r="F8898"/>
          <cell r="G8898"/>
          <cell r="H8898"/>
          <cell r="J8898"/>
          <cell r="L8898"/>
          <cell r="M8898"/>
        </row>
        <row r="8899">
          <cell r="B8899"/>
          <cell r="C8899"/>
          <cell r="E8899"/>
          <cell r="F8899"/>
          <cell r="G8899"/>
          <cell r="H8899"/>
          <cell r="J8899"/>
          <cell r="L8899"/>
          <cell r="M8899"/>
        </row>
        <row r="8900">
          <cell r="B8900"/>
          <cell r="C8900"/>
          <cell r="E8900"/>
          <cell r="F8900"/>
          <cell r="G8900"/>
          <cell r="H8900"/>
          <cell r="J8900"/>
          <cell r="L8900"/>
          <cell r="M8900"/>
        </row>
        <row r="8901">
          <cell r="B8901"/>
          <cell r="C8901"/>
          <cell r="E8901"/>
          <cell r="F8901"/>
          <cell r="G8901"/>
          <cell r="H8901"/>
          <cell r="J8901"/>
          <cell r="L8901"/>
          <cell r="M8901"/>
        </row>
        <row r="8902">
          <cell r="B8902"/>
          <cell r="C8902"/>
          <cell r="E8902"/>
          <cell r="F8902"/>
          <cell r="G8902"/>
          <cell r="H8902"/>
          <cell r="J8902"/>
          <cell r="L8902"/>
          <cell r="M8902"/>
        </row>
        <row r="8903">
          <cell r="B8903"/>
          <cell r="C8903"/>
          <cell r="E8903"/>
          <cell r="F8903"/>
          <cell r="G8903"/>
          <cell r="H8903"/>
          <cell r="J8903"/>
          <cell r="L8903"/>
          <cell r="M8903"/>
        </row>
        <row r="8904">
          <cell r="B8904"/>
          <cell r="C8904"/>
          <cell r="E8904"/>
          <cell r="F8904"/>
          <cell r="G8904"/>
          <cell r="H8904"/>
          <cell r="J8904"/>
          <cell r="L8904"/>
          <cell r="M8904"/>
        </row>
        <row r="8905">
          <cell r="B8905"/>
          <cell r="C8905"/>
          <cell r="E8905"/>
          <cell r="F8905"/>
          <cell r="G8905"/>
          <cell r="H8905"/>
          <cell r="J8905"/>
          <cell r="L8905"/>
          <cell r="M8905"/>
        </row>
        <row r="8906">
          <cell r="B8906"/>
          <cell r="C8906"/>
          <cell r="E8906"/>
          <cell r="F8906"/>
          <cell r="G8906"/>
          <cell r="H8906"/>
          <cell r="J8906"/>
          <cell r="L8906"/>
          <cell r="M8906"/>
        </row>
        <row r="8907">
          <cell r="B8907"/>
          <cell r="C8907"/>
          <cell r="E8907"/>
          <cell r="F8907"/>
          <cell r="G8907"/>
          <cell r="H8907"/>
          <cell r="J8907"/>
          <cell r="L8907"/>
          <cell r="M8907"/>
        </row>
        <row r="8908">
          <cell r="B8908"/>
          <cell r="C8908"/>
          <cell r="E8908"/>
          <cell r="F8908"/>
          <cell r="G8908"/>
          <cell r="H8908"/>
          <cell r="J8908"/>
          <cell r="L8908"/>
          <cell r="M8908"/>
        </row>
        <row r="8909">
          <cell r="B8909"/>
          <cell r="C8909"/>
          <cell r="E8909"/>
          <cell r="F8909"/>
          <cell r="G8909"/>
          <cell r="H8909"/>
          <cell r="J8909"/>
          <cell r="L8909"/>
          <cell r="M8909"/>
        </row>
        <row r="8910">
          <cell r="B8910"/>
          <cell r="C8910"/>
          <cell r="E8910"/>
          <cell r="F8910"/>
          <cell r="G8910"/>
          <cell r="H8910"/>
          <cell r="J8910"/>
          <cell r="L8910"/>
          <cell r="M8910"/>
        </row>
        <row r="8911">
          <cell r="B8911"/>
          <cell r="C8911"/>
          <cell r="E8911"/>
          <cell r="F8911"/>
          <cell r="G8911"/>
          <cell r="H8911"/>
          <cell r="J8911"/>
          <cell r="L8911"/>
          <cell r="M8911"/>
        </row>
        <row r="8912">
          <cell r="B8912"/>
          <cell r="C8912"/>
          <cell r="E8912"/>
          <cell r="F8912"/>
          <cell r="G8912"/>
          <cell r="H8912"/>
          <cell r="J8912"/>
          <cell r="L8912"/>
          <cell r="M8912"/>
        </row>
        <row r="8913">
          <cell r="B8913"/>
          <cell r="C8913"/>
          <cell r="E8913"/>
          <cell r="F8913"/>
          <cell r="G8913"/>
          <cell r="H8913"/>
          <cell r="J8913"/>
          <cell r="L8913"/>
          <cell r="M8913"/>
        </row>
        <row r="8914">
          <cell r="B8914"/>
          <cell r="C8914"/>
          <cell r="E8914"/>
          <cell r="F8914"/>
          <cell r="G8914"/>
          <cell r="H8914"/>
          <cell r="J8914"/>
          <cell r="L8914"/>
          <cell r="M8914"/>
        </row>
        <row r="8915">
          <cell r="B8915"/>
          <cell r="C8915"/>
          <cell r="E8915"/>
          <cell r="F8915"/>
          <cell r="G8915"/>
          <cell r="H8915"/>
          <cell r="J8915"/>
          <cell r="L8915"/>
          <cell r="M8915"/>
        </row>
        <row r="8916">
          <cell r="B8916"/>
          <cell r="C8916"/>
          <cell r="E8916"/>
          <cell r="F8916"/>
          <cell r="G8916"/>
          <cell r="H8916"/>
          <cell r="J8916"/>
          <cell r="L8916"/>
          <cell r="M8916"/>
        </row>
        <row r="8917">
          <cell r="B8917"/>
          <cell r="C8917"/>
          <cell r="E8917"/>
          <cell r="F8917"/>
          <cell r="G8917"/>
          <cell r="H8917"/>
          <cell r="J8917"/>
          <cell r="L8917"/>
          <cell r="M8917"/>
        </row>
        <row r="8918">
          <cell r="B8918"/>
          <cell r="C8918"/>
          <cell r="E8918"/>
          <cell r="F8918"/>
          <cell r="G8918"/>
          <cell r="H8918"/>
          <cell r="J8918"/>
          <cell r="L8918"/>
          <cell r="M8918"/>
        </row>
        <row r="8919">
          <cell r="B8919"/>
          <cell r="C8919"/>
          <cell r="E8919"/>
          <cell r="F8919"/>
          <cell r="G8919"/>
          <cell r="H8919"/>
          <cell r="J8919"/>
          <cell r="L8919"/>
          <cell r="M8919"/>
        </row>
        <row r="8920">
          <cell r="B8920"/>
          <cell r="C8920"/>
          <cell r="E8920"/>
          <cell r="F8920"/>
          <cell r="G8920"/>
          <cell r="H8920"/>
          <cell r="J8920"/>
          <cell r="L8920"/>
          <cell r="M8920"/>
        </row>
        <row r="8921">
          <cell r="B8921"/>
          <cell r="C8921"/>
          <cell r="E8921"/>
          <cell r="F8921"/>
          <cell r="G8921"/>
          <cell r="H8921"/>
          <cell r="J8921"/>
          <cell r="L8921"/>
          <cell r="M8921"/>
        </row>
        <row r="8922">
          <cell r="B8922"/>
          <cell r="C8922"/>
          <cell r="E8922"/>
          <cell r="F8922"/>
          <cell r="G8922"/>
          <cell r="H8922"/>
          <cell r="J8922"/>
          <cell r="L8922"/>
          <cell r="M8922"/>
        </row>
        <row r="8923">
          <cell r="B8923"/>
          <cell r="C8923"/>
          <cell r="E8923"/>
          <cell r="F8923"/>
          <cell r="G8923"/>
          <cell r="H8923"/>
          <cell r="J8923"/>
          <cell r="L8923"/>
          <cell r="M8923"/>
        </row>
        <row r="8924">
          <cell r="B8924"/>
          <cell r="C8924"/>
          <cell r="E8924"/>
          <cell r="F8924"/>
          <cell r="G8924"/>
          <cell r="H8924"/>
          <cell r="J8924"/>
          <cell r="L8924"/>
          <cell r="M8924"/>
        </row>
        <row r="8925">
          <cell r="B8925"/>
          <cell r="C8925"/>
          <cell r="E8925"/>
          <cell r="F8925"/>
          <cell r="G8925"/>
          <cell r="H8925"/>
          <cell r="J8925"/>
          <cell r="L8925"/>
          <cell r="M8925"/>
        </row>
        <row r="8926">
          <cell r="B8926"/>
          <cell r="C8926"/>
          <cell r="E8926"/>
          <cell r="F8926"/>
          <cell r="G8926"/>
          <cell r="H8926"/>
          <cell r="J8926"/>
          <cell r="L8926"/>
          <cell r="M8926"/>
        </row>
        <row r="8927">
          <cell r="B8927"/>
          <cell r="C8927"/>
          <cell r="E8927"/>
          <cell r="F8927"/>
          <cell r="G8927"/>
          <cell r="H8927"/>
          <cell r="J8927"/>
          <cell r="L8927"/>
          <cell r="M8927"/>
        </row>
        <row r="8928">
          <cell r="B8928"/>
          <cell r="C8928"/>
          <cell r="E8928"/>
          <cell r="F8928"/>
          <cell r="G8928"/>
          <cell r="H8928"/>
          <cell r="J8928"/>
          <cell r="L8928"/>
          <cell r="M8928"/>
        </row>
        <row r="8929">
          <cell r="B8929"/>
          <cell r="C8929"/>
          <cell r="E8929"/>
          <cell r="F8929"/>
          <cell r="G8929"/>
          <cell r="H8929"/>
          <cell r="J8929"/>
          <cell r="L8929"/>
          <cell r="M8929"/>
        </row>
        <row r="8930">
          <cell r="B8930"/>
          <cell r="C8930"/>
          <cell r="E8930"/>
          <cell r="F8930"/>
          <cell r="G8930"/>
          <cell r="H8930"/>
          <cell r="J8930"/>
          <cell r="L8930"/>
          <cell r="M8930"/>
        </row>
        <row r="8931">
          <cell r="B8931"/>
          <cell r="C8931"/>
          <cell r="E8931"/>
          <cell r="F8931"/>
          <cell r="G8931"/>
          <cell r="H8931"/>
          <cell r="J8931"/>
          <cell r="L8931"/>
          <cell r="M8931"/>
        </row>
        <row r="8932">
          <cell r="B8932"/>
          <cell r="C8932"/>
          <cell r="E8932"/>
          <cell r="F8932"/>
          <cell r="G8932"/>
          <cell r="H8932"/>
          <cell r="J8932"/>
          <cell r="L8932"/>
          <cell r="M8932"/>
        </row>
        <row r="8933">
          <cell r="B8933"/>
          <cell r="C8933"/>
          <cell r="E8933"/>
          <cell r="F8933"/>
          <cell r="G8933"/>
          <cell r="H8933"/>
          <cell r="J8933"/>
          <cell r="L8933"/>
          <cell r="M8933"/>
        </row>
        <row r="8934">
          <cell r="B8934"/>
          <cell r="C8934"/>
          <cell r="E8934"/>
          <cell r="F8934"/>
          <cell r="G8934"/>
          <cell r="H8934"/>
          <cell r="J8934"/>
          <cell r="L8934"/>
          <cell r="M8934"/>
        </row>
        <row r="8935">
          <cell r="B8935"/>
          <cell r="C8935"/>
          <cell r="E8935"/>
          <cell r="F8935"/>
          <cell r="G8935"/>
          <cell r="H8935"/>
          <cell r="J8935"/>
          <cell r="L8935"/>
          <cell r="M8935"/>
        </row>
        <row r="8936">
          <cell r="B8936"/>
          <cell r="C8936"/>
          <cell r="E8936"/>
          <cell r="F8936"/>
          <cell r="G8936"/>
          <cell r="H8936"/>
          <cell r="J8936"/>
          <cell r="L8936"/>
          <cell r="M8936"/>
        </row>
        <row r="8937">
          <cell r="B8937"/>
          <cell r="C8937"/>
          <cell r="E8937"/>
          <cell r="F8937"/>
          <cell r="G8937"/>
          <cell r="H8937"/>
          <cell r="J8937"/>
          <cell r="L8937"/>
          <cell r="M8937"/>
        </row>
        <row r="8938">
          <cell r="B8938"/>
          <cell r="C8938"/>
          <cell r="E8938"/>
          <cell r="F8938"/>
          <cell r="G8938"/>
          <cell r="H8938"/>
          <cell r="J8938"/>
          <cell r="L8938"/>
          <cell r="M8938"/>
        </row>
        <row r="8939">
          <cell r="B8939"/>
          <cell r="C8939"/>
          <cell r="E8939"/>
          <cell r="F8939"/>
          <cell r="G8939"/>
          <cell r="H8939"/>
          <cell r="J8939"/>
          <cell r="L8939"/>
          <cell r="M8939"/>
        </row>
        <row r="8940">
          <cell r="B8940"/>
          <cell r="C8940"/>
          <cell r="E8940"/>
          <cell r="F8940"/>
          <cell r="G8940"/>
          <cell r="H8940"/>
          <cell r="J8940"/>
          <cell r="L8940"/>
          <cell r="M8940"/>
        </row>
        <row r="8941">
          <cell r="B8941"/>
          <cell r="C8941"/>
          <cell r="E8941"/>
          <cell r="F8941"/>
          <cell r="G8941"/>
          <cell r="H8941"/>
          <cell r="J8941"/>
          <cell r="L8941"/>
          <cell r="M8941"/>
        </row>
        <row r="8942">
          <cell r="B8942"/>
          <cell r="C8942"/>
          <cell r="E8942"/>
          <cell r="F8942"/>
          <cell r="G8942"/>
          <cell r="H8942"/>
          <cell r="J8942"/>
          <cell r="L8942"/>
          <cell r="M8942"/>
        </row>
        <row r="8943">
          <cell r="B8943"/>
          <cell r="C8943"/>
          <cell r="E8943"/>
          <cell r="F8943"/>
          <cell r="G8943"/>
          <cell r="H8943"/>
          <cell r="J8943"/>
          <cell r="L8943"/>
          <cell r="M8943"/>
        </row>
        <row r="8944">
          <cell r="B8944"/>
          <cell r="C8944"/>
          <cell r="E8944"/>
          <cell r="F8944"/>
          <cell r="G8944"/>
          <cell r="H8944"/>
          <cell r="J8944"/>
          <cell r="L8944"/>
          <cell r="M8944"/>
        </row>
        <row r="8945">
          <cell r="B8945"/>
          <cell r="C8945"/>
          <cell r="E8945"/>
          <cell r="F8945"/>
          <cell r="G8945"/>
          <cell r="H8945"/>
          <cell r="J8945"/>
          <cell r="L8945"/>
          <cell r="M8945"/>
        </row>
        <row r="8946">
          <cell r="B8946"/>
          <cell r="C8946"/>
          <cell r="E8946"/>
          <cell r="F8946"/>
          <cell r="G8946"/>
          <cell r="H8946"/>
          <cell r="J8946"/>
          <cell r="L8946"/>
          <cell r="M8946"/>
        </row>
        <row r="8947">
          <cell r="B8947"/>
          <cell r="C8947"/>
          <cell r="E8947"/>
          <cell r="F8947"/>
          <cell r="G8947"/>
          <cell r="H8947"/>
          <cell r="J8947"/>
          <cell r="L8947"/>
          <cell r="M8947"/>
        </row>
        <row r="8948">
          <cell r="B8948"/>
          <cell r="C8948"/>
          <cell r="E8948"/>
          <cell r="F8948"/>
          <cell r="G8948"/>
          <cell r="H8948"/>
          <cell r="J8948"/>
          <cell r="L8948"/>
          <cell r="M8948"/>
        </row>
        <row r="8949">
          <cell r="B8949"/>
          <cell r="C8949"/>
          <cell r="E8949"/>
          <cell r="F8949"/>
          <cell r="G8949"/>
          <cell r="H8949"/>
          <cell r="J8949"/>
          <cell r="L8949"/>
          <cell r="M8949"/>
        </row>
        <row r="8950">
          <cell r="B8950"/>
          <cell r="C8950"/>
          <cell r="E8950"/>
          <cell r="F8950"/>
          <cell r="G8950"/>
          <cell r="H8950"/>
          <cell r="J8950"/>
          <cell r="L8950"/>
          <cell r="M8950"/>
        </row>
        <row r="8951">
          <cell r="B8951"/>
          <cell r="C8951"/>
          <cell r="E8951"/>
          <cell r="F8951"/>
          <cell r="G8951"/>
          <cell r="H8951"/>
          <cell r="J8951"/>
          <cell r="L8951"/>
          <cell r="M8951"/>
        </row>
        <row r="8952">
          <cell r="B8952"/>
          <cell r="C8952"/>
          <cell r="E8952"/>
          <cell r="F8952"/>
          <cell r="G8952"/>
          <cell r="H8952"/>
          <cell r="J8952"/>
          <cell r="L8952"/>
          <cell r="M8952"/>
        </row>
        <row r="8953">
          <cell r="B8953"/>
          <cell r="C8953"/>
          <cell r="E8953"/>
          <cell r="F8953"/>
          <cell r="G8953"/>
          <cell r="H8953"/>
          <cell r="J8953"/>
          <cell r="L8953"/>
          <cell r="M8953"/>
        </row>
        <row r="8954">
          <cell r="B8954"/>
          <cell r="C8954"/>
          <cell r="E8954"/>
          <cell r="F8954"/>
          <cell r="G8954"/>
          <cell r="H8954"/>
          <cell r="J8954"/>
          <cell r="L8954"/>
          <cell r="M8954"/>
        </row>
        <row r="8955">
          <cell r="B8955"/>
          <cell r="C8955"/>
          <cell r="E8955"/>
          <cell r="F8955"/>
          <cell r="G8955"/>
          <cell r="H8955"/>
          <cell r="J8955"/>
          <cell r="L8955"/>
          <cell r="M8955"/>
        </row>
        <row r="8956">
          <cell r="B8956"/>
          <cell r="C8956"/>
          <cell r="E8956"/>
          <cell r="F8956"/>
          <cell r="G8956"/>
          <cell r="H8956"/>
          <cell r="J8956"/>
          <cell r="L8956"/>
          <cell r="M8956"/>
        </row>
        <row r="8957">
          <cell r="B8957"/>
          <cell r="C8957"/>
          <cell r="E8957"/>
          <cell r="F8957"/>
          <cell r="G8957"/>
          <cell r="H8957"/>
          <cell r="J8957"/>
          <cell r="L8957"/>
          <cell r="M8957"/>
        </row>
        <row r="8958">
          <cell r="B8958"/>
          <cell r="C8958"/>
          <cell r="E8958"/>
          <cell r="F8958"/>
          <cell r="G8958"/>
          <cell r="H8958"/>
          <cell r="J8958"/>
          <cell r="L8958"/>
          <cell r="M8958"/>
        </row>
        <row r="8959">
          <cell r="B8959"/>
          <cell r="C8959"/>
          <cell r="E8959"/>
          <cell r="F8959"/>
          <cell r="G8959"/>
          <cell r="H8959"/>
          <cell r="J8959"/>
          <cell r="L8959"/>
          <cell r="M8959"/>
        </row>
        <row r="8960">
          <cell r="B8960"/>
          <cell r="C8960"/>
          <cell r="E8960"/>
          <cell r="F8960"/>
          <cell r="G8960"/>
          <cell r="H8960"/>
          <cell r="J8960"/>
          <cell r="L8960"/>
          <cell r="M8960"/>
        </row>
        <row r="8961">
          <cell r="B8961"/>
          <cell r="C8961"/>
          <cell r="E8961"/>
          <cell r="F8961"/>
          <cell r="G8961"/>
          <cell r="H8961"/>
          <cell r="J8961"/>
          <cell r="L8961"/>
          <cell r="M8961"/>
        </row>
        <row r="8962">
          <cell r="B8962"/>
          <cell r="C8962"/>
          <cell r="E8962"/>
          <cell r="F8962"/>
          <cell r="G8962"/>
          <cell r="H8962"/>
          <cell r="J8962"/>
          <cell r="L8962"/>
          <cell r="M8962"/>
        </row>
        <row r="8963">
          <cell r="B8963"/>
          <cell r="C8963"/>
          <cell r="E8963"/>
          <cell r="F8963"/>
          <cell r="G8963"/>
          <cell r="H8963"/>
          <cell r="J8963"/>
          <cell r="L8963"/>
          <cell r="M8963"/>
        </row>
        <row r="8964">
          <cell r="B8964"/>
          <cell r="C8964"/>
          <cell r="E8964"/>
          <cell r="F8964"/>
          <cell r="G8964"/>
          <cell r="H8964"/>
          <cell r="J8964"/>
          <cell r="L8964"/>
          <cell r="M8964"/>
        </row>
        <row r="8965">
          <cell r="B8965"/>
          <cell r="C8965"/>
          <cell r="E8965"/>
          <cell r="F8965"/>
          <cell r="G8965"/>
          <cell r="H8965"/>
          <cell r="J8965"/>
          <cell r="L8965"/>
          <cell r="M8965"/>
        </row>
        <row r="8966">
          <cell r="B8966"/>
          <cell r="C8966"/>
          <cell r="E8966"/>
          <cell r="F8966"/>
          <cell r="G8966"/>
          <cell r="H8966"/>
          <cell r="J8966"/>
          <cell r="L8966"/>
          <cell r="M8966"/>
        </row>
        <row r="8967">
          <cell r="B8967"/>
          <cell r="C8967"/>
          <cell r="E8967"/>
          <cell r="F8967"/>
          <cell r="G8967"/>
          <cell r="H8967"/>
          <cell r="J8967"/>
          <cell r="L8967"/>
          <cell r="M8967"/>
        </row>
        <row r="8968">
          <cell r="B8968"/>
          <cell r="C8968"/>
          <cell r="E8968"/>
          <cell r="F8968"/>
          <cell r="G8968"/>
          <cell r="H8968"/>
          <cell r="J8968"/>
          <cell r="L8968"/>
          <cell r="M8968"/>
        </row>
        <row r="8969">
          <cell r="B8969"/>
          <cell r="C8969"/>
          <cell r="E8969"/>
          <cell r="F8969"/>
          <cell r="G8969"/>
          <cell r="H8969"/>
          <cell r="J8969"/>
          <cell r="L8969"/>
          <cell r="M8969"/>
        </row>
        <row r="8970">
          <cell r="B8970"/>
          <cell r="C8970"/>
          <cell r="E8970"/>
          <cell r="F8970"/>
          <cell r="G8970"/>
          <cell r="H8970"/>
          <cell r="J8970"/>
          <cell r="L8970"/>
          <cell r="M8970"/>
        </row>
        <row r="8971">
          <cell r="B8971"/>
          <cell r="C8971"/>
          <cell r="E8971"/>
          <cell r="F8971"/>
          <cell r="G8971"/>
          <cell r="H8971"/>
          <cell r="J8971"/>
          <cell r="L8971"/>
          <cell r="M8971"/>
        </row>
        <row r="8972">
          <cell r="B8972"/>
          <cell r="C8972"/>
          <cell r="E8972"/>
          <cell r="F8972"/>
          <cell r="G8972"/>
          <cell r="H8972"/>
          <cell r="J8972"/>
          <cell r="L8972"/>
          <cell r="M8972"/>
        </row>
        <row r="8973">
          <cell r="B8973"/>
          <cell r="C8973"/>
          <cell r="E8973"/>
          <cell r="F8973"/>
          <cell r="G8973"/>
          <cell r="H8973"/>
          <cell r="J8973"/>
          <cell r="L8973"/>
          <cell r="M8973"/>
        </row>
        <row r="8974">
          <cell r="B8974"/>
          <cell r="C8974"/>
          <cell r="E8974"/>
          <cell r="F8974"/>
          <cell r="G8974"/>
          <cell r="H8974"/>
          <cell r="J8974"/>
          <cell r="L8974"/>
          <cell r="M8974"/>
        </row>
        <row r="8975">
          <cell r="B8975"/>
          <cell r="C8975"/>
          <cell r="E8975"/>
          <cell r="F8975"/>
          <cell r="G8975"/>
          <cell r="H8975"/>
          <cell r="J8975"/>
          <cell r="L8975"/>
          <cell r="M8975"/>
        </row>
        <row r="8976">
          <cell r="B8976"/>
          <cell r="C8976"/>
          <cell r="E8976"/>
          <cell r="F8976"/>
          <cell r="G8976"/>
          <cell r="H8976"/>
          <cell r="J8976"/>
          <cell r="L8976"/>
          <cell r="M8976"/>
        </row>
        <row r="8977">
          <cell r="B8977"/>
          <cell r="C8977"/>
          <cell r="E8977"/>
          <cell r="F8977"/>
          <cell r="G8977"/>
          <cell r="H8977"/>
          <cell r="J8977"/>
          <cell r="L8977"/>
          <cell r="M8977"/>
        </row>
        <row r="8978">
          <cell r="B8978"/>
          <cell r="C8978"/>
          <cell r="E8978"/>
          <cell r="F8978"/>
          <cell r="G8978"/>
          <cell r="H8978"/>
          <cell r="J8978"/>
          <cell r="L8978"/>
          <cell r="M8978"/>
        </row>
        <row r="8979">
          <cell r="B8979"/>
          <cell r="C8979"/>
          <cell r="E8979"/>
          <cell r="F8979"/>
          <cell r="G8979"/>
          <cell r="H8979"/>
          <cell r="J8979"/>
          <cell r="L8979"/>
          <cell r="M8979"/>
        </row>
        <row r="8980">
          <cell r="B8980"/>
          <cell r="C8980"/>
          <cell r="E8980"/>
          <cell r="F8980"/>
          <cell r="G8980"/>
          <cell r="H8980"/>
          <cell r="J8980"/>
          <cell r="L8980"/>
          <cell r="M8980"/>
        </row>
        <row r="8981">
          <cell r="B8981"/>
          <cell r="C8981"/>
          <cell r="E8981"/>
          <cell r="F8981"/>
          <cell r="G8981"/>
          <cell r="H8981"/>
          <cell r="J8981"/>
          <cell r="L8981"/>
          <cell r="M8981"/>
        </row>
        <row r="8982">
          <cell r="B8982"/>
          <cell r="C8982"/>
          <cell r="E8982"/>
          <cell r="F8982"/>
          <cell r="G8982"/>
          <cell r="H8982"/>
          <cell r="J8982"/>
          <cell r="L8982"/>
          <cell r="M8982"/>
        </row>
        <row r="8983">
          <cell r="B8983"/>
          <cell r="C8983"/>
          <cell r="E8983"/>
          <cell r="F8983"/>
          <cell r="G8983"/>
          <cell r="H8983"/>
          <cell r="J8983"/>
          <cell r="L8983"/>
          <cell r="M8983"/>
        </row>
        <row r="8984">
          <cell r="B8984"/>
          <cell r="C8984"/>
          <cell r="E8984"/>
          <cell r="F8984"/>
          <cell r="G8984"/>
          <cell r="H8984"/>
          <cell r="J8984"/>
          <cell r="L8984"/>
          <cell r="M8984"/>
        </row>
        <row r="8985">
          <cell r="B8985"/>
          <cell r="C8985"/>
          <cell r="E8985"/>
          <cell r="F8985"/>
          <cell r="G8985"/>
          <cell r="H8985"/>
          <cell r="J8985"/>
          <cell r="L8985"/>
          <cell r="M8985"/>
        </row>
        <row r="8986">
          <cell r="B8986"/>
          <cell r="C8986"/>
          <cell r="E8986"/>
          <cell r="F8986"/>
          <cell r="G8986"/>
          <cell r="H8986"/>
          <cell r="J8986"/>
          <cell r="L8986"/>
          <cell r="M8986"/>
        </row>
        <row r="8987">
          <cell r="B8987"/>
          <cell r="C8987"/>
          <cell r="E8987"/>
          <cell r="F8987"/>
          <cell r="G8987"/>
          <cell r="H8987"/>
          <cell r="J8987"/>
          <cell r="L8987"/>
          <cell r="M8987"/>
        </row>
        <row r="8988">
          <cell r="B8988"/>
          <cell r="C8988"/>
          <cell r="E8988"/>
          <cell r="F8988"/>
          <cell r="G8988"/>
          <cell r="H8988"/>
          <cell r="J8988"/>
          <cell r="L8988"/>
          <cell r="M8988"/>
        </row>
        <row r="8989">
          <cell r="B8989"/>
          <cell r="C8989"/>
          <cell r="E8989"/>
          <cell r="F8989"/>
          <cell r="G8989"/>
          <cell r="H8989"/>
          <cell r="J8989"/>
          <cell r="L8989"/>
          <cell r="M8989"/>
        </row>
        <row r="8990">
          <cell r="B8990"/>
          <cell r="C8990"/>
          <cell r="E8990"/>
          <cell r="F8990"/>
          <cell r="G8990"/>
          <cell r="H8990"/>
          <cell r="J8990"/>
          <cell r="L8990"/>
          <cell r="M8990"/>
        </row>
        <row r="8991">
          <cell r="B8991"/>
          <cell r="C8991"/>
          <cell r="E8991"/>
          <cell r="F8991"/>
          <cell r="G8991"/>
          <cell r="H8991"/>
          <cell r="J8991"/>
          <cell r="L8991"/>
          <cell r="M8991"/>
        </row>
        <row r="8992">
          <cell r="B8992"/>
          <cell r="C8992"/>
          <cell r="E8992"/>
          <cell r="F8992"/>
          <cell r="G8992"/>
          <cell r="H8992"/>
          <cell r="J8992"/>
          <cell r="L8992"/>
          <cell r="M8992"/>
        </row>
        <row r="8993">
          <cell r="B8993"/>
          <cell r="C8993"/>
          <cell r="E8993"/>
          <cell r="F8993"/>
          <cell r="G8993"/>
          <cell r="H8993"/>
          <cell r="J8993"/>
          <cell r="L8993"/>
          <cell r="M8993"/>
        </row>
        <row r="8994">
          <cell r="B8994"/>
          <cell r="C8994"/>
          <cell r="E8994"/>
          <cell r="F8994"/>
          <cell r="G8994"/>
          <cell r="H8994"/>
          <cell r="J8994"/>
          <cell r="L8994"/>
          <cell r="M8994"/>
        </row>
        <row r="8995">
          <cell r="B8995"/>
          <cell r="C8995"/>
          <cell r="E8995"/>
          <cell r="F8995"/>
          <cell r="G8995"/>
          <cell r="H8995"/>
          <cell r="J8995"/>
          <cell r="L8995"/>
          <cell r="M8995"/>
        </row>
        <row r="8996">
          <cell r="B8996"/>
          <cell r="C8996"/>
          <cell r="E8996"/>
          <cell r="F8996"/>
          <cell r="G8996"/>
          <cell r="H8996"/>
          <cell r="J8996"/>
          <cell r="L8996"/>
          <cell r="M8996"/>
        </row>
        <row r="8997">
          <cell r="B8997"/>
          <cell r="C8997"/>
          <cell r="E8997"/>
          <cell r="F8997"/>
          <cell r="G8997"/>
          <cell r="H8997"/>
          <cell r="J8997"/>
          <cell r="L8997"/>
          <cell r="M8997"/>
        </row>
        <row r="8998">
          <cell r="B8998"/>
          <cell r="C8998"/>
          <cell r="E8998"/>
          <cell r="F8998"/>
          <cell r="G8998"/>
          <cell r="H8998"/>
          <cell r="J8998"/>
          <cell r="L8998"/>
          <cell r="M8998"/>
        </row>
        <row r="8999">
          <cell r="B8999"/>
          <cell r="C8999"/>
          <cell r="E8999"/>
          <cell r="F8999"/>
          <cell r="G8999"/>
          <cell r="H8999"/>
          <cell r="J8999"/>
          <cell r="L8999"/>
          <cell r="M8999"/>
        </row>
        <row r="9000">
          <cell r="B9000"/>
          <cell r="C9000"/>
          <cell r="E9000"/>
          <cell r="F9000"/>
          <cell r="G9000"/>
          <cell r="H9000"/>
          <cell r="J9000"/>
          <cell r="L9000"/>
          <cell r="M9000"/>
        </row>
        <row r="9001">
          <cell r="B9001"/>
          <cell r="C9001"/>
          <cell r="E9001"/>
          <cell r="F9001"/>
          <cell r="G9001"/>
          <cell r="H9001"/>
          <cell r="J9001"/>
          <cell r="L9001"/>
          <cell r="M9001"/>
        </row>
        <row r="9002">
          <cell r="B9002"/>
          <cell r="C9002"/>
          <cell r="E9002"/>
          <cell r="F9002"/>
          <cell r="G9002"/>
          <cell r="H9002"/>
          <cell r="J9002"/>
          <cell r="L9002"/>
          <cell r="M9002"/>
        </row>
        <row r="9003">
          <cell r="B9003"/>
          <cell r="C9003"/>
          <cell r="E9003"/>
          <cell r="F9003"/>
          <cell r="G9003"/>
          <cell r="H9003"/>
          <cell r="J9003"/>
          <cell r="L9003"/>
          <cell r="M9003"/>
        </row>
        <row r="9004">
          <cell r="B9004"/>
          <cell r="C9004"/>
          <cell r="E9004"/>
          <cell r="F9004"/>
          <cell r="G9004"/>
          <cell r="H9004"/>
          <cell r="J9004"/>
          <cell r="L9004"/>
          <cell r="M9004"/>
        </row>
        <row r="9005">
          <cell r="B9005"/>
          <cell r="C9005"/>
          <cell r="E9005"/>
          <cell r="F9005"/>
          <cell r="G9005"/>
          <cell r="H9005"/>
          <cell r="J9005"/>
          <cell r="L9005"/>
          <cell r="M9005"/>
        </row>
        <row r="9006">
          <cell r="B9006"/>
          <cell r="C9006"/>
          <cell r="E9006"/>
          <cell r="F9006"/>
          <cell r="G9006"/>
          <cell r="H9006"/>
          <cell r="J9006"/>
          <cell r="L9006"/>
          <cell r="M9006"/>
        </row>
        <row r="9007">
          <cell r="B9007"/>
          <cell r="C9007"/>
          <cell r="E9007"/>
          <cell r="F9007"/>
          <cell r="G9007"/>
          <cell r="H9007"/>
          <cell r="J9007"/>
          <cell r="L9007"/>
          <cell r="M9007"/>
        </row>
        <row r="9008">
          <cell r="B9008"/>
          <cell r="C9008"/>
          <cell r="E9008"/>
          <cell r="F9008"/>
          <cell r="G9008"/>
          <cell r="H9008"/>
          <cell r="J9008"/>
          <cell r="L9008"/>
          <cell r="M9008"/>
        </row>
        <row r="9009">
          <cell r="B9009"/>
          <cell r="C9009"/>
          <cell r="E9009"/>
          <cell r="F9009"/>
          <cell r="G9009"/>
          <cell r="H9009"/>
          <cell r="J9009"/>
          <cell r="L9009"/>
          <cell r="M9009"/>
        </row>
        <row r="9010">
          <cell r="B9010"/>
          <cell r="C9010"/>
          <cell r="E9010"/>
          <cell r="F9010"/>
          <cell r="G9010"/>
          <cell r="H9010"/>
          <cell r="J9010"/>
          <cell r="L9010"/>
          <cell r="M9010"/>
        </row>
        <row r="9011">
          <cell r="B9011"/>
          <cell r="C9011"/>
          <cell r="E9011"/>
          <cell r="F9011"/>
          <cell r="G9011"/>
          <cell r="H9011"/>
          <cell r="J9011"/>
          <cell r="L9011"/>
          <cell r="M9011"/>
        </row>
        <row r="9012">
          <cell r="B9012"/>
          <cell r="C9012"/>
          <cell r="E9012"/>
          <cell r="F9012"/>
          <cell r="G9012"/>
          <cell r="H9012"/>
          <cell r="J9012"/>
          <cell r="L9012"/>
          <cell r="M9012"/>
        </row>
        <row r="9013">
          <cell r="B9013"/>
          <cell r="C9013"/>
          <cell r="E9013"/>
          <cell r="F9013"/>
          <cell r="G9013"/>
          <cell r="H9013"/>
          <cell r="J9013"/>
          <cell r="L9013"/>
          <cell r="M9013"/>
        </row>
        <row r="9014">
          <cell r="B9014"/>
          <cell r="C9014"/>
          <cell r="E9014"/>
          <cell r="F9014"/>
          <cell r="G9014"/>
          <cell r="H9014"/>
          <cell r="J9014"/>
          <cell r="L9014"/>
          <cell r="M9014"/>
        </row>
        <row r="9015">
          <cell r="B9015"/>
          <cell r="C9015"/>
          <cell r="E9015"/>
          <cell r="F9015"/>
          <cell r="G9015"/>
          <cell r="H9015"/>
          <cell r="J9015"/>
          <cell r="L9015"/>
          <cell r="M9015"/>
        </row>
        <row r="9016">
          <cell r="B9016"/>
          <cell r="C9016"/>
          <cell r="E9016"/>
          <cell r="F9016"/>
          <cell r="G9016"/>
          <cell r="H9016"/>
          <cell r="J9016"/>
          <cell r="L9016"/>
          <cell r="M9016"/>
        </row>
        <row r="9017">
          <cell r="B9017"/>
          <cell r="C9017"/>
          <cell r="E9017"/>
          <cell r="F9017"/>
          <cell r="G9017"/>
          <cell r="H9017"/>
          <cell r="J9017"/>
          <cell r="L9017"/>
          <cell r="M9017"/>
        </row>
        <row r="9018">
          <cell r="B9018"/>
          <cell r="C9018"/>
          <cell r="E9018"/>
          <cell r="F9018"/>
          <cell r="G9018"/>
          <cell r="H9018"/>
          <cell r="J9018"/>
          <cell r="L9018"/>
          <cell r="M9018"/>
        </row>
        <row r="9019">
          <cell r="B9019"/>
          <cell r="C9019"/>
          <cell r="E9019"/>
          <cell r="F9019"/>
          <cell r="G9019"/>
          <cell r="H9019"/>
          <cell r="J9019"/>
          <cell r="L9019"/>
          <cell r="M9019"/>
        </row>
        <row r="9020">
          <cell r="B9020"/>
          <cell r="C9020"/>
          <cell r="E9020"/>
          <cell r="F9020"/>
          <cell r="G9020"/>
          <cell r="H9020"/>
          <cell r="J9020"/>
          <cell r="L9020"/>
          <cell r="M9020"/>
        </row>
        <row r="9021">
          <cell r="B9021"/>
          <cell r="C9021"/>
          <cell r="E9021"/>
          <cell r="F9021"/>
          <cell r="G9021"/>
          <cell r="H9021"/>
          <cell r="J9021"/>
          <cell r="L9021"/>
          <cell r="M9021"/>
        </row>
        <row r="9022">
          <cell r="B9022"/>
          <cell r="C9022"/>
          <cell r="E9022"/>
          <cell r="F9022"/>
          <cell r="G9022"/>
          <cell r="H9022"/>
          <cell r="J9022"/>
          <cell r="L9022"/>
          <cell r="M9022"/>
        </row>
        <row r="9023">
          <cell r="B9023"/>
          <cell r="C9023"/>
          <cell r="E9023"/>
          <cell r="F9023"/>
          <cell r="G9023"/>
          <cell r="H9023"/>
          <cell r="J9023"/>
          <cell r="L9023"/>
          <cell r="M9023"/>
        </row>
        <row r="9024">
          <cell r="B9024"/>
          <cell r="C9024"/>
          <cell r="E9024"/>
          <cell r="F9024"/>
          <cell r="G9024"/>
          <cell r="H9024"/>
          <cell r="J9024"/>
          <cell r="L9024"/>
          <cell r="M9024"/>
        </row>
        <row r="9025">
          <cell r="B9025"/>
          <cell r="C9025"/>
          <cell r="E9025"/>
          <cell r="F9025"/>
          <cell r="G9025"/>
          <cell r="H9025"/>
          <cell r="J9025"/>
          <cell r="L9025"/>
          <cell r="M9025"/>
        </row>
        <row r="9026">
          <cell r="B9026"/>
          <cell r="C9026"/>
          <cell r="E9026"/>
          <cell r="F9026"/>
          <cell r="G9026"/>
          <cell r="H9026"/>
          <cell r="J9026"/>
          <cell r="L9026"/>
          <cell r="M9026"/>
        </row>
        <row r="9027">
          <cell r="B9027"/>
          <cell r="C9027"/>
          <cell r="E9027"/>
          <cell r="F9027"/>
          <cell r="G9027"/>
          <cell r="H9027"/>
          <cell r="J9027"/>
          <cell r="L9027"/>
          <cell r="M9027"/>
        </row>
        <row r="9028">
          <cell r="B9028"/>
          <cell r="C9028"/>
          <cell r="E9028"/>
          <cell r="F9028"/>
          <cell r="G9028"/>
          <cell r="H9028"/>
          <cell r="J9028"/>
          <cell r="L9028"/>
          <cell r="M9028"/>
        </row>
        <row r="9029">
          <cell r="B9029"/>
          <cell r="C9029"/>
          <cell r="E9029"/>
          <cell r="F9029"/>
          <cell r="G9029"/>
          <cell r="H9029"/>
          <cell r="J9029"/>
          <cell r="L9029"/>
          <cell r="M9029"/>
        </row>
        <row r="9030">
          <cell r="B9030"/>
          <cell r="C9030"/>
          <cell r="E9030"/>
          <cell r="F9030"/>
          <cell r="G9030"/>
          <cell r="H9030"/>
          <cell r="J9030"/>
          <cell r="L9030"/>
          <cell r="M9030"/>
        </row>
        <row r="9031">
          <cell r="B9031"/>
          <cell r="C9031"/>
          <cell r="E9031"/>
          <cell r="F9031"/>
          <cell r="G9031"/>
          <cell r="H9031"/>
          <cell r="J9031"/>
          <cell r="L9031"/>
          <cell r="M9031"/>
        </row>
        <row r="9032">
          <cell r="B9032"/>
          <cell r="C9032"/>
          <cell r="E9032"/>
          <cell r="F9032"/>
          <cell r="G9032"/>
          <cell r="H9032"/>
          <cell r="J9032"/>
          <cell r="L9032"/>
          <cell r="M9032"/>
        </row>
        <row r="9033">
          <cell r="B9033"/>
          <cell r="C9033"/>
          <cell r="E9033"/>
          <cell r="F9033"/>
          <cell r="G9033"/>
          <cell r="H9033"/>
          <cell r="J9033"/>
          <cell r="L9033"/>
          <cell r="M9033"/>
        </row>
        <row r="9034">
          <cell r="B9034"/>
          <cell r="C9034"/>
          <cell r="E9034"/>
          <cell r="F9034"/>
          <cell r="G9034"/>
          <cell r="H9034"/>
          <cell r="J9034"/>
          <cell r="L9034"/>
          <cell r="M9034"/>
        </row>
        <row r="9035">
          <cell r="B9035"/>
          <cell r="C9035"/>
          <cell r="E9035"/>
          <cell r="F9035"/>
          <cell r="G9035"/>
          <cell r="H9035"/>
          <cell r="J9035"/>
          <cell r="L9035"/>
          <cell r="M9035"/>
        </row>
        <row r="9036">
          <cell r="B9036"/>
          <cell r="C9036"/>
          <cell r="E9036"/>
          <cell r="F9036"/>
          <cell r="G9036"/>
          <cell r="H9036"/>
          <cell r="J9036"/>
          <cell r="L9036"/>
          <cell r="M9036"/>
        </row>
        <row r="9037">
          <cell r="B9037"/>
          <cell r="C9037"/>
          <cell r="E9037"/>
          <cell r="F9037"/>
          <cell r="G9037"/>
          <cell r="H9037"/>
          <cell r="J9037"/>
          <cell r="L9037"/>
          <cell r="M9037"/>
        </row>
        <row r="9038">
          <cell r="B9038"/>
          <cell r="C9038"/>
          <cell r="E9038"/>
          <cell r="F9038"/>
          <cell r="G9038"/>
          <cell r="H9038"/>
          <cell r="J9038"/>
          <cell r="L9038"/>
          <cell r="M9038"/>
        </row>
        <row r="9039">
          <cell r="B9039"/>
          <cell r="C9039"/>
          <cell r="E9039"/>
          <cell r="F9039"/>
          <cell r="G9039"/>
          <cell r="H9039"/>
          <cell r="J9039"/>
          <cell r="L9039"/>
          <cell r="M9039"/>
        </row>
        <row r="9040">
          <cell r="B9040"/>
          <cell r="C9040"/>
          <cell r="E9040"/>
          <cell r="F9040"/>
          <cell r="G9040"/>
          <cell r="H9040"/>
          <cell r="J9040"/>
          <cell r="L9040"/>
          <cell r="M9040"/>
        </row>
        <row r="9041">
          <cell r="B9041"/>
          <cell r="C9041"/>
          <cell r="E9041"/>
          <cell r="F9041"/>
          <cell r="G9041"/>
          <cell r="H9041"/>
          <cell r="J9041"/>
          <cell r="L9041"/>
          <cell r="M9041"/>
        </row>
        <row r="9042">
          <cell r="B9042"/>
          <cell r="C9042"/>
          <cell r="E9042"/>
          <cell r="F9042"/>
          <cell r="G9042"/>
          <cell r="H9042"/>
          <cell r="J9042"/>
          <cell r="L9042"/>
          <cell r="M9042"/>
        </row>
        <row r="9043">
          <cell r="B9043"/>
          <cell r="C9043"/>
          <cell r="E9043"/>
          <cell r="F9043"/>
          <cell r="G9043"/>
          <cell r="H9043"/>
          <cell r="J9043"/>
          <cell r="L9043"/>
          <cell r="M9043"/>
        </row>
        <row r="9044">
          <cell r="B9044"/>
          <cell r="C9044"/>
          <cell r="E9044"/>
          <cell r="F9044"/>
          <cell r="G9044"/>
          <cell r="H9044"/>
          <cell r="J9044"/>
          <cell r="L9044"/>
          <cell r="M9044"/>
        </row>
        <row r="9045">
          <cell r="B9045"/>
          <cell r="C9045"/>
          <cell r="E9045"/>
          <cell r="F9045"/>
          <cell r="G9045"/>
          <cell r="H9045"/>
          <cell r="J9045"/>
          <cell r="L9045"/>
          <cell r="M9045"/>
        </row>
        <row r="9046">
          <cell r="B9046"/>
          <cell r="C9046"/>
          <cell r="E9046"/>
          <cell r="F9046"/>
          <cell r="G9046"/>
          <cell r="H9046"/>
          <cell r="J9046"/>
          <cell r="L9046"/>
          <cell r="M9046"/>
        </row>
        <row r="9047">
          <cell r="B9047"/>
          <cell r="C9047"/>
          <cell r="E9047"/>
          <cell r="F9047"/>
          <cell r="G9047"/>
          <cell r="H9047"/>
          <cell r="J9047"/>
          <cell r="L9047"/>
          <cell r="M9047"/>
        </row>
        <row r="9048">
          <cell r="B9048"/>
          <cell r="C9048"/>
          <cell r="E9048"/>
          <cell r="F9048"/>
          <cell r="G9048"/>
          <cell r="H9048"/>
          <cell r="J9048"/>
          <cell r="L9048"/>
          <cell r="M9048"/>
        </row>
        <row r="9049">
          <cell r="B9049"/>
          <cell r="C9049"/>
          <cell r="E9049"/>
          <cell r="F9049"/>
          <cell r="G9049"/>
          <cell r="H9049"/>
          <cell r="J9049"/>
          <cell r="L9049"/>
          <cell r="M9049"/>
        </row>
        <row r="9050">
          <cell r="B9050"/>
          <cell r="C9050"/>
          <cell r="E9050"/>
          <cell r="F9050"/>
          <cell r="G9050"/>
          <cell r="H9050"/>
          <cell r="J9050"/>
          <cell r="L9050"/>
          <cell r="M9050"/>
        </row>
        <row r="9051">
          <cell r="B9051"/>
          <cell r="C9051"/>
          <cell r="E9051"/>
          <cell r="F9051"/>
          <cell r="G9051"/>
          <cell r="H9051"/>
          <cell r="J9051"/>
          <cell r="L9051"/>
          <cell r="M9051"/>
        </row>
        <row r="9052">
          <cell r="B9052"/>
          <cell r="C9052"/>
          <cell r="E9052"/>
          <cell r="F9052"/>
          <cell r="G9052"/>
          <cell r="H9052"/>
          <cell r="J9052"/>
          <cell r="L9052"/>
          <cell r="M9052"/>
        </row>
        <row r="9053">
          <cell r="B9053"/>
          <cell r="C9053"/>
          <cell r="E9053"/>
          <cell r="F9053"/>
          <cell r="G9053"/>
          <cell r="H9053"/>
          <cell r="J9053"/>
          <cell r="L9053"/>
          <cell r="M9053"/>
        </row>
        <row r="9054">
          <cell r="B9054"/>
          <cell r="C9054"/>
          <cell r="E9054"/>
          <cell r="F9054"/>
          <cell r="G9054"/>
          <cell r="H9054"/>
          <cell r="J9054"/>
          <cell r="L9054"/>
          <cell r="M9054"/>
        </row>
        <row r="9055">
          <cell r="B9055"/>
          <cell r="C9055"/>
          <cell r="E9055"/>
          <cell r="F9055"/>
          <cell r="G9055"/>
          <cell r="H9055"/>
          <cell r="J9055"/>
          <cell r="L9055"/>
          <cell r="M9055"/>
        </row>
        <row r="9056">
          <cell r="B9056"/>
          <cell r="C9056"/>
          <cell r="E9056"/>
          <cell r="F9056"/>
          <cell r="G9056"/>
          <cell r="H9056"/>
          <cell r="J9056"/>
          <cell r="L9056"/>
          <cell r="M9056"/>
        </row>
        <row r="9057">
          <cell r="B9057"/>
          <cell r="C9057"/>
          <cell r="E9057"/>
          <cell r="F9057"/>
          <cell r="G9057"/>
          <cell r="H9057"/>
          <cell r="J9057"/>
          <cell r="L9057"/>
          <cell r="M9057"/>
        </row>
        <row r="9058">
          <cell r="B9058"/>
          <cell r="C9058"/>
          <cell r="E9058"/>
          <cell r="F9058"/>
          <cell r="G9058"/>
          <cell r="H9058"/>
          <cell r="J9058"/>
          <cell r="L9058"/>
          <cell r="M9058"/>
        </row>
        <row r="9059">
          <cell r="B9059"/>
          <cell r="C9059"/>
          <cell r="E9059"/>
          <cell r="F9059"/>
          <cell r="G9059"/>
          <cell r="H9059"/>
          <cell r="J9059"/>
          <cell r="L9059"/>
          <cell r="M9059"/>
        </row>
        <row r="9060">
          <cell r="B9060"/>
          <cell r="C9060"/>
          <cell r="E9060"/>
          <cell r="F9060"/>
          <cell r="G9060"/>
          <cell r="H9060"/>
          <cell r="J9060"/>
          <cell r="L9060"/>
          <cell r="M9060"/>
        </row>
        <row r="9061">
          <cell r="B9061"/>
          <cell r="C9061"/>
          <cell r="E9061"/>
          <cell r="F9061"/>
          <cell r="G9061"/>
          <cell r="H9061"/>
          <cell r="J9061"/>
          <cell r="L9061"/>
          <cell r="M9061"/>
        </row>
        <row r="9062">
          <cell r="B9062"/>
          <cell r="C9062"/>
          <cell r="E9062"/>
          <cell r="F9062"/>
          <cell r="G9062"/>
          <cell r="H9062"/>
          <cell r="J9062"/>
          <cell r="L9062"/>
          <cell r="M9062"/>
        </row>
        <row r="9063">
          <cell r="B9063"/>
          <cell r="C9063"/>
          <cell r="E9063"/>
          <cell r="F9063"/>
          <cell r="G9063"/>
          <cell r="H9063"/>
          <cell r="J9063"/>
          <cell r="L9063"/>
          <cell r="M9063"/>
        </row>
        <row r="9064">
          <cell r="B9064"/>
          <cell r="C9064"/>
          <cell r="E9064"/>
          <cell r="F9064"/>
          <cell r="G9064"/>
          <cell r="H9064"/>
          <cell r="J9064"/>
          <cell r="L9064"/>
          <cell r="M9064"/>
        </row>
        <row r="9065">
          <cell r="B9065"/>
          <cell r="C9065"/>
          <cell r="E9065"/>
          <cell r="F9065"/>
          <cell r="G9065"/>
          <cell r="H9065"/>
          <cell r="J9065"/>
          <cell r="L9065"/>
          <cell r="M9065"/>
        </row>
        <row r="9066">
          <cell r="B9066"/>
          <cell r="C9066"/>
          <cell r="E9066"/>
          <cell r="F9066"/>
          <cell r="G9066"/>
          <cell r="H9066"/>
          <cell r="J9066"/>
          <cell r="L9066"/>
          <cell r="M9066"/>
        </row>
        <row r="9067">
          <cell r="B9067"/>
          <cell r="C9067"/>
          <cell r="E9067"/>
          <cell r="F9067"/>
          <cell r="G9067"/>
          <cell r="H9067"/>
          <cell r="J9067"/>
          <cell r="L9067"/>
          <cell r="M9067"/>
        </row>
        <row r="9068">
          <cell r="B9068"/>
          <cell r="C9068"/>
          <cell r="E9068"/>
          <cell r="F9068"/>
          <cell r="G9068"/>
          <cell r="H9068"/>
          <cell r="J9068"/>
          <cell r="L9068"/>
          <cell r="M9068"/>
        </row>
        <row r="9069">
          <cell r="B9069"/>
          <cell r="C9069"/>
          <cell r="E9069"/>
          <cell r="F9069"/>
          <cell r="G9069"/>
          <cell r="H9069"/>
          <cell r="J9069"/>
          <cell r="L9069"/>
          <cell r="M9069"/>
        </row>
        <row r="9070">
          <cell r="B9070"/>
          <cell r="C9070"/>
          <cell r="E9070"/>
          <cell r="F9070"/>
          <cell r="G9070"/>
          <cell r="H9070"/>
          <cell r="J9070"/>
          <cell r="L9070"/>
          <cell r="M9070"/>
        </row>
        <row r="9071">
          <cell r="B9071"/>
          <cell r="C9071"/>
          <cell r="E9071"/>
          <cell r="F9071"/>
          <cell r="G9071"/>
          <cell r="H9071"/>
          <cell r="J9071"/>
          <cell r="L9071"/>
          <cell r="M9071"/>
        </row>
        <row r="9072">
          <cell r="B9072"/>
          <cell r="C9072"/>
          <cell r="E9072"/>
          <cell r="F9072"/>
          <cell r="G9072"/>
          <cell r="H9072"/>
          <cell r="J9072"/>
          <cell r="L9072"/>
          <cell r="M9072"/>
        </row>
        <row r="9073">
          <cell r="B9073"/>
          <cell r="C9073"/>
          <cell r="E9073"/>
          <cell r="F9073"/>
          <cell r="G9073"/>
          <cell r="H9073"/>
          <cell r="J9073"/>
          <cell r="L9073"/>
          <cell r="M9073"/>
        </row>
        <row r="9074">
          <cell r="B9074"/>
          <cell r="C9074"/>
          <cell r="E9074"/>
          <cell r="F9074"/>
          <cell r="G9074"/>
          <cell r="H9074"/>
          <cell r="J9074"/>
          <cell r="L9074"/>
          <cell r="M9074"/>
        </row>
        <row r="9075">
          <cell r="B9075"/>
          <cell r="C9075"/>
          <cell r="E9075"/>
          <cell r="F9075"/>
          <cell r="G9075"/>
          <cell r="H9075"/>
          <cell r="J9075"/>
          <cell r="L9075"/>
          <cell r="M9075"/>
        </row>
        <row r="9076">
          <cell r="B9076"/>
          <cell r="C9076"/>
          <cell r="E9076"/>
          <cell r="F9076"/>
          <cell r="G9076"/>
          <cell r="H9076"/>
          <cell r="J9076"/>
          <cell r="L9076"/>
          <cell r="M9076"/>
        </row>
        <row r="9077">
          <cell r="B9077"/>
          <cell r="C9077"/>
          <cell r="E9077"/>
          <cell r="F9077"/>
          <cell r="G9077"/>
          <cell r="H9077"/>
          <cell r="J9077"/>
          <cell r="L9077"/>
          <cell r="M9077"/>
        </row>
        <row r="9078">
          <cell r="B9078"/>
          <cell r="C9078"/>
          <cell r="E9078"/>
          <cell r="F9078"/>
          <cell r="G9078"/>
          <cell r="H9078"/>
          <cell r="J9078"/>
          <cell r="L9078"/>
          <cell r="M9078"/>
        </row>
        <row r="9079">
          <cell r="B9079"/>
          <cell r="C9079"/>
          <cell r="E9079"/>
          <cell r="F9079"/>
          <cell r="G9079"/>
          <cell r="H9079"/>
          <cell r="J9079"/>
          <cell r="L9079"/>
          <cell r="M9079"/>
        </row>
        <row r="9080">
          <cell r="B9080"/>
          <cell r="C9080"/>
          <cell r="E9080"/>
          <cell r="F9080"/>
          <cell r="G9080"/>
          <cell r="H9080"/>
          <cell r="J9080"/>
          <cell r="L9080"/>
          <cell r="M9080"/>
        </row>
        <row r="9081">
          <cell r="B9081"/>
          <cell r="C9081"/>
          <cell r="E9081"/>
          <cell r="F9081"/>
          <cell r="G9081"/>
          <cell r="H9081"/>
          <cell r="J9081"/>
          <cell r="L9081"/>
          <cell r="M9081"/>
        </row>
        <row r="9082">
          <cell r="B9082"/>
          <cell r="C9082"/>
          <cell r="E9082"/>
          <cell r="F9082"/>
          <cell r="G9082"/>
          <cell r="H9082"/>
          <cell r="J9082"/>
          <cell r="L9082"/>
          <cell r="M9082"/>
        </row>
        <row r="9083">
          <cell r="B9083"/>
          <cell r="C9083"/>
          <cell r="E9083"/>
          <cell r="F9083"/>
          <cell r="G9083"/>
          <cell r="H9083"/>
          <cell r="J9083"/>
          <cell r="L9083"/>
          <cell r="M9083"/>
        </row>
        <row r="9084">
          <cell r="B9084"/>
          <cell r="C9084"/>
          <cell r="E9084"/>
          <cell r="F9084"/>
          <cell r="G9084"/>
          <cell r="H9084"/>
          <cell r="J9084"/>
          <cell r="L9084"/>
          <cell r="M9084"/>
        </row>
        <row r="9085">
          <cell r="B9085"/>
          <cell r="C9085"/>
          <cell r="E9085"/>
          <cell r="F9085"/>
          <cell r="G9085"/>
          <cell r="H9085"/>
          <cell r="J9085"/>
          <cell r="L9085"/>
          <cell r="M9085"/>
        </row>
        <row r="9086">
          <cell r="B9086"/>
          <cell r="C9086"/>
          <cell r="E9086"/>
          <cell r="F9086"/>
          <cell r="G9086"/>
          <cell r="H9086"/>
          <cell r="J9086"/>
          <cell r="L9086"/>
          <cell r="M9086"/>
        </row>
        <row r="9087">
          <cell r="B9087"/>
          <cell r="C9087"/>
          <cell r="E9087"/>
          <cell r="F9087"/>
          <cell r="G9087"/>
          <cell r="H9087"/>
          <cell r="J9087"/>
          <cell r="L9087"/>
          <cell r="M9087"/>
        </row>
        <row r="9088">
          <cell r="B9088"/>
          <cell r="C9088"/>
          <cell r="E9088"/>
          <cell r="F9088"/>
          <cell r="G9088"/>
          <cell r="H9088"/>
          <cell r="J9088"/>
          <cell r="L9088"/>
          <cell r="M9088"/>
        </row>
        <row r="9089">
          <cell r="B9089"/>
          <cell r="C9089"/>
          <cell r="E9089"/>
          <cell r="F9089"/>
          <cell r="G9089"/>
          <cell r="H9089"/>
          <cell r="J9089"/>
          <cell r="L9089"/>
          <cell r="M9089"/>
        </row>
        <row r="9090">
          <cell r="B9090"/>
          <cell r="C9090"/>
          <cell r="E9090"/>
          <cell r="F9090"/>
          <cell r="G9090"/>
          <cell r="H9090"/>
          <cell r="J9090"/>
          <cell r="L9090"/>
          <cell r="M9090"/>
        </row>
        <row r="9091">
          <cell r="B9091"/>
          <cell r="C9091"/>
          <cell r="E9091"/>
          <cell r="F9091"/>
          <cell r="G9091"/>
          <cell r="H9091"/>
          <cell r="J9091"/>
          <cell r="L9091"/>
          <cell r="M9091"/>
        </row>
        <row r="9092">
          <cell r="B9092"/>
          <cell r="C9092"/>
          <cell r="E9092"/>
          <cell r="F9092"/>
          <cell r="G9092"/>
          <cell r="H9092"/>
          <cell r="J9092"/>
          <cell r="L9092"/>
          <cell r="M9092"/>
        </row>
        <row r="9093">
          <cell r="B9093"/>
          <cell r="C9093"/>
          <cell r="E9093"/>
          <cell r="F9093"/>
          <cell r="G9093"/>
          <cell r="H9093"/>
          <cell r="J9093"/>
          <cell r="L9093"/>
          <cell r="M9093"/>
        </row>
        <row r="9094">
          <cell r="B9094"/>
          <cell r="C9094"/>
          <cell r="E9094"/>
          <cell r="F9094"/>
          <cell r="G9094"/>
          <cell r="H9094"/>
          <cell r="J9094"/>
          <cell r="L9094"/>
          <cell r="M9094"/>
        </row>
        <row r="9095">
          <cell r="B9095"/>
          <cell r="C9095"/>
          <cell r="E9095"/>
          <cell r="F9095"/>
          <cell r="G9095"/>
          <cell r="H9095"/>
          <cell r="J9095"/>
          <cell r="L9095"/>
          <cell r="M9095"/>
        </row>
        <row r="9096">
          <cell r="B9096"/>
          <cell r="C9096"/>
          <cell r="E9096"/>
          <cell r="F9096"/>
          <cell r="G9096"/>
          <cell r="H9096"/>
          <cell r="J9096"/>
          <cell r="L9096"/>
          <cell r="M9096"/>
        </row>
        <row r="9097">
          <cell r="B9097"/>
          <cell r="C9097"/>
          <cell r="E9097"/>
          <cell r="F9097"/>
          <cell r="G9097"/>
          <cell r="H9097"/>
          <cell r="J9097"/>
          <cell r="L9097"/>
          <cell r="M9097"/>
        </row>
        <row r="9098">
          <cell r="B9098"/>
          <cell r="C9098"/>
          <cell r="E9098"/>
          <cell r="F9098"/>
          <cell r="G9098"/>
          <cell r="H9098"/>
          <cell r="J9098"/>
          <cell r="L9098"/>
          <cell r="M9098"/>
        </row>
        <row r="9099">
          <cell r="B9099"/>
          <cell r="C9099"/>
          <cell r="E9099"/>
          <cell r="F9099"/>
          <cell r="G9099"/>
          <cell r="H9099"/>
          <cell r="J9099"/>
          <cell r="L9099"/>
          <cell r="M9099"/>
        </row>
        <row r="9100">
          <cell r="B9100"/>
          <cell r="C9100"/>
          <cell r="E9100"/>
          <cell r="F9100"/>
          <cell r="G9100"/>
          <cell r="H9100"/>
          <cell r="J9100"/>
          <cell r="L9100"/>
          <cell r="M9100"/>
        </row>
        <row r="9101">
          <cell r="B9101"/>
          <cell r="C9101"/>
          <cell r="E9101"/>
          <cell r="F9101"/>
          <cell r="G9101"/>
          <cell r="H9101"/>
          <cell r="J9101"/>
          <cell r="L9101"/>
          <cell r="M9101"/>
        </row>
        <row r="9102">
          <cell r="B9102"/>
          <cell r="C9102"/>
          <cell r="E9102"/>
          <cell r="F9102"/>
          <cell r="G9102"/>
          <cell r="H9102"/>
          <cell r="J9102"/>
          <cell r="L9102"/>
          <cell r="M9102"/>
        </row>
        <row r="9103">
          <cell r="B9103"/>
          <cell r="C9103"/>
          <cell r="E9103"/>
          <cell r="F9103"/>
          <cell r="G9103"/>
          <cell r="H9103"/>
          <cell r="J9103"/>
          <cell r="L9103"/>
          <cell r="M9103"/>
        </row>
        <row r="9104">
          <cell r="B9104"/>
          <cell r="C9104"/>
          <cell r="E9104"/>
          <cell r="F9104"/>
          <cell r="G9104"/>
          <cell r="H9104"/>
          <cell r="J9104"/>
          <cell r="L9104"/>
          <cell r="M9104"/>
        </row>
        <row r="9105">
          <cell r="B9105"/>
          <cell r="C9105"/>
          <cell r="E9105"/>
          <cell r="F9105"/>
          <cell r="G9105"/>
          <cell r="H9105"/>
          <cell r="J9105"/>
          <cell r="L9105"/>
          <cell r="M9105"/>
        </row>
        <row r="9106">
          <cell r="B9106"/>
          <cell r="C9106"/>
          <cell r="E9106"/>
          <cell r="F9106"/>
          <cell r="G9106"/>
          <cell r="H9106"/>
          <cell r="J9106"/>
          <cell r="L9106"/>
          <cell r="M9106"/>
        </row>
        <row r="9107">
          <cell r="B9107"/>
          <cell r="C9107"/>
          <cell r="E9107"/>
          <cell r="F9107"/>
          <cell r="G9107"/>
          <cell r="H9107"/>
          <cell r="J9107"/>
          <cell r="L9107"/>
          <cell r="M9107"/>
        </row>
        <row r="9108">
          <cell r="B9108"/>
          <cell r="C9108"/>
          <cell r="E9108"/>
          <cell r="F9108"/>
          <cell r="G9108"/>
          <cell r="H9108"/>
          <cell r="J9108"/>
          <cell r="L9108"/>
          <cell r="M9108"/>
        </row>
        <row r="9109">
          <cell r="B9109"/>
          <cell r="C9109"/>
          <cell r="E9109"/>
          <cell r="F9109"/>
          <cell r="G9109"/>
          <cell r="H9109"/>
          <cell r="J9109"/>
          <cell r="L9109"/>
          <cell r="M9109"/>
        </row>
        <row r="9110">
          <cell r="B9110"/>
          <cell r="C9110"/>
          <cell r="E9110"/>
          <cell r="F9110"/>
          <cell r="G9110"/>
          <cell r="H9110"/>
          <cell r="J9110"/>
          <cell r="L9110"/>
          <cell r="M9110"/>
        </row>
        <row r="9111">
          <cell r="B9111"/>
          <cell r="C9111"/>
          <cell r="E9111"/>
          <cell r="F9111"/>
          <cell r="G9111"/>
          <cell r="H9111"/>
          <cell r="J9111"/>
          <cell r="L9111"/>
          <cell r="M9111"/>
        </row>
        <row r="9112">
          <cell r="B9112"/>
          <cell r="C9112"/>
          <cell r="E9112"/>
          <cell r="F9112"/>
          <cell r="G9112"/>
          <cell r="H9112"/>
          <cell r="J9112"/>
          <cell r="L9112"/>
          <cell r="M9112"/>
        </row>
        <row r="9113">
          <cell r="B9113"/>
          <cell r="C9113"/>
          <cell r="E9113"/>
          <cell r="F9113"/>
          <cell r="G9113"/>
          <cell r="H9113"/>
          <cell r="J9113"/>
          <cell r="L9113"/>
          <cell r="M9113"/>
        </row>
        <row r="9114">
          <cell r="B9114"/>
          <cell r="C9114"/>
          <cell r="E9114"/>
          <cell r="F9114"/>
          <cell r="G9114"/>
          <cell r="H9114"/>
          <cell r="J9114"/>
          <cell r="L9114"/>
          <cell r="M9114"/>
        </row>
        <row r="9115">
          <cell r="B9115"/>
          <cell r="C9115"/>
          <cell r="E9115"/>
          <cell r="F9115"/>
          <cell r="G9115"/>
          <cell r="H9115"/>
          <cell r="J9115"/>
          <cell r="L9115"/>
          <cell r="M9115"/>
        </row>
        <row r="9116">
          <cell r="B9116"/>
          <cell r="C9116"/>
          <cell r="E9116"/>
          <cell r="F9116"/>
          <cell r="G9116"/>
          <cell r="H9116"/>
          <cell r="J9116"/>
          <cell r="L9116"/>
          <cell r="M9116"/>
        </row>
        <row r="9117">
          <cell r="B9117"/>
          <cell r="C9117"/>
          <cell r="E9117"/>
          <cell r="F9117"/>
          <cell r="G9117"/>
          <cell r="H9117"/>
          <cell r="J9117"/>
          <cell r="L9117"/>
          <cell r="M9117"/>
        </row>
        <row r="9118">
          <cell r="B9118"/>
          <cell r="C9118"/>
          <cell r="E9118"/>
          <cell r="F9118"/>
          <cell r="G9118"/>
          <cell r="H9118"/>
          <cell r="J9118"/>
          <cell r="L9118"/>
          <cell r="M9118"/>
        </row>
        <row r="9119">
          <cell r="B9119"/>
          <cell r="C9119"/>
          <cell r="E9119"/>
          <cell r="F9119"/>
          <cell r="G9119"/>
          <cell r="H9119"/>
          <cell r="J9119"/>
          <cell r="L9119"/>
          <cell r="M9119"/>
        </row>
        <row r="9120">
          <cell r="B9120"/>
          <cell r="C9120"/>
          <cell r="E9120"/>
          <cell r="F9120"/>
          <cell r="G9120"/>
          <cell r="H9120"/>
          <cell r="J9120"/>
          <cell r="L9120"/>
          <cell r="M9120"/>
        </row>
        <row r="9121">
          <cell r="B9121"/>
          <cell r="C9121"/>
          <cell r="E9121"/>
          <cell r="F9121"/>
          <cell r="G9121"/>
          <cell r="H9121"/>
          <cell r="J9121"/>
          <cell r="L9121"/>
          <cell r="M9121"/>
        </row>
        <row r="9122">
          <cell r="B9122"/>
          <cell r="C9122"/>
          <cell r="E9122"/>
          <cell r="F9122"/>
          <cell r="G9122"/>
          <cell r="H9122"/>
          <cell r="J9122"/>
          <cell r="L9122"/>
          <cell r="M9122"/>
        </row>
        <row r="9123">
          <cell r="B9123"/>
          <cell r="C9123"/>
          <cell r="E9123"/>
          <cell r="F9123"/>
          <cell r="G9123"/>
          <cell r="H9123"/>
          <cell r="J9123"/>
          <cell r="L9123"/>
          <cell r="M9123"/>
        </row>
        <row r="9124">
          <cell r="B9124"/>
          <cell r="C9124"/>
          <cell r="E9124"/>
          <cell r="F9124"/>
          <cell r="G9124"/>
          <cell r="H9124"/>
          <cell r="J9124"/>
          <cell r="L9124"/>
          <cell r="M9124"/>
        </row>
        <row r="9125">
          <cell r="B9125"/>
          <cell r="C9125"/>
          <cell r="E9125"/>
          <cell r="F9125"/>
          <cell r="G9125"/>
          <cell r="H9125"/>
          <cell r="J9125"/>
          <cell r="L9125"/>
          <cell r="M9125"/>
        </row>
        <row r="9126">
          <cell r="B9126"/>
          <cell r="C9126"/>
          <cell r="E9126"/>
          <cell r="F9126"/>
          <cell r="G9126"/>
          <cell r="H9126"/>
          <cell r="J9126"/>
          <cell r="L9126"/>
          <cell r="M9126"/>
        </row>
        <row r="9127">
          <cell r="B9127"/>
          <cell r="C9127"/>
          <cell r="E9127"/>
          <cell r="F9127"/>
          <cell r="G9127"/>
          <cell r="H9127"/>
          <cell r="J9127"/>
          <cell r="L9127"/>
          <cell r="M9127"/>
        </row>
        <row r="9128">
          <cell r="B9128"/>
          <cell r="C9128"/>
          <cell r="E9128"/>
          <cell r="F9128"/>
          <cell r="G9128"/>
          <cell r="H9128"/>
          <cell r="J9128"/>
          <cell r="L9128"/>
          <cell r="M9128"/>
        </row>
        <row r="9129">
          <cell r="B9129"/>
          <cell r="C9129"/>
          <cell r="E9129"/>
          <cell r="F9129"/>
          <cell r="G9129"/>
          <cell r="H9129"/>
          <cell r="J9129"/>
          <cell r="L9129"/>
          <cell r="M9129"/>
        </row>
        <row r="9130">
          <cell r="B9130"/>
          <cell r="C9130"/>
          <cell r="E9130"/>
          <cell r="F9130"/>
          <cell r="G9130"/>
          <cell r="H9130"/>
          <cell r="J9130"/>
          <cell r="L9130"/>
          <cell r="M9130"/>
        </row>
        <row r="9131">
          <cell r="B9131"/>
          <cell r="C9131"/>
          <cell r="E9131"/>
          <cell r="F9131"/>
          <cell r="G9131"/>
          <cell r="H9131"/>
          <cell r="J9131"/>
          <cell r="L9131"/>
          <cell r="M9131"/>
        </row>
        <row r="9132">
          <cell r="B9132"/>
          <cell r="C9132"/>
          <cell r="E9132"/>
          <cell r="F9132"/>
          <cell r="G9132"/>
          <cell r="H9132"/>
          <cell r="J9132"/>
          <cell r="L9132"/>
          <cell r="M9132"/>
        </row>
        <row r="9133">
          <cell r="B9133"/>
          <cell r="C9133"/>
          <cell r="E9133"/>
          <cell r="F9133"/>
          <cell r="G9133"/>
          <cell r="H9133"/>
          <cell r="J9133"/>
          <cell r="L9133"/>
          <cell r="M9133"/>
        </row>
        <row r="9134">
          <cell r="B9134"/>
          <cell r="C9134"/>
          <cell r="E9134"/>
          <cell r="F9134"/>
          <cell r="G9134"/>
          <cell r="H9134"/>
          <cell r="J9134"/>
          <cell r="L9134"/>
          <cell r="M9134"/>
        </row>
        <row r="9135">
          <cell r="B9135"/>
          <cell r="C9135"/>
          <cell r="E9135"/>
          <cell r="F9135"/>
          <cell r="G9135"/>
          <cell r="H9135"/>
          <cell r="J9135"/>
          <cell r="L9135"/>
          <cell r="M9135"/>
        </row>
        <row r="9136">
          <cell r="B9136"/>
          <cell r="C9136"/>
          <cell r="E9136"/>
          <cell r="F9136"/>
          <cell r="G9136"/>
          <cell r="H9136"/>
          <cell r="J9136"/>
          <cell r="L9136"/>
          <cell r="M9136"/>
        </row>
        <row r="9137">
          <cell r="B9137"/>
          <cell r="C9137"/>
          <cell r="E9137"/>
          <cell r="F9137"/>
          <cell r="G9137"/>
          <cell r="H9137"/>
          <cell r="J9137"/>
          <cell r="L9137"/>
          <cell r="M9137"/>
        </row>
        <row r="9138">
          <cell r="B9138"/>
          <cell r="C9138"/>
          <cell r="E9138"/>
          <cell r="F9138"/>
          <cell r="G9138"/>
          <cell r="H9138"/>
          <cell r="J9138"/>
          <cell r="L9138"/>
          <cell r="M9138"/>
        </row>
        <row r="9139">
          <cell r="B9139"/>
          <cell r="C9139"/>
          <cell r="E9139"/>
          <cell r="F9139"/>
          <cell r="G9139"/>
          <cell r="H9139"/>
          <cell r="J9139"/>
          <cell r="L9139"/>
          <cell r="M9139"/>
        </row>
        <row r="9140">
          <cell r="B9140"/>
          <cell r="C9140"/>
          <cell r="E9140"/>
          <cell r="F9140"/>
          <cell r="G9140"/>
          <cell r="H9140"/>
          <cell r="J9140"/>
          <cell r="L9140"/>
          <cell r="M9140"/>
        </row>
        <row r="9141">
          <cell r="B9141"/>
          <cell r="C9141"/>
          <cell r="E9141"/>
          <cell r="F9141"/>
          <cell r="G9141"/>
          <cell r="H9141"/>
          <cell r="J9141"/>
          <cell r="L9141"/>
          <cell r="M9141"/>
        </row>
        <row r="9142">
          <cell r="B9142"/>
          <cell r="C9142"/>
          <cell r="E9142"/>
          <cell r="F9142"/>
          <cell r="G9142"/>
          <cell r="H9142"/>
          <cell r="J9142"/>
          <cell r="L9142"/>
          <cell r="M9142"/>
        </row>
        <row r="9143">
          <cell r="B9143"/>
          <cell r="C9143"/>
          <cell r="E9143"/>
          <cell r="F9143"/>
          <cell r="G9143"/>
          <cell r="H9143"/>
          <cell r="J9143"/>
          <cell r="L9143"/>
          <cell r="M9143"/>
        </row>
        <row r="9144">
          <cell r="B9144"/>
          <cell r="C9144"/>
          <cell r="E9144"/>
          <cell r="F9144"/>
          <cell r="G9144"/>
          <cell r="H9144"/>
          <cell r="J9144"/>
          <cell r="L9144"/>
          <cell r="M9144"/>
        </row>
        <row r="9145">
          <cell r="B9145"/>
          <cell r="C9145"/>
          <cell r="E9145"/>
          <cell r="F9145"/>
          <cell r="G9145"/>
          <cell r="H9145"/>
          <cell r="J9145"/>
          <cell r="L9145"/>
          <cell r="M9145"/>
        </row>
        <row r="9146">
          <cell r="B9146"/>
          <cell r="C9146"/>
          <cell r="E9146"/>
          <cell r="F9146"/>
          <cell r="G9146"/>
          <cell r="H9146"/>
          <cell r="J9146"/>
          <cell r="L9146"/>
          <cell r="M9146"/>
        </row>
        <row r="9147">
          <cell r="B9147"/>
          <cell r="C9147"/>
          <cell r="E9147"/>
          <cell r="F9147"/>
          <cell r="G9147"/>
          <cell r="H9147"/>
          <cell r="J9147"/>
          <cell r="L9147"/>
          <cell r="M9147"/>
        </row>
        <row r="9148">
          <cell r="B9148"/>
          <cell r="C9148"/>
          <cell r="E9148"/>
          <cell r="F9148"/>
          <cell r="G9148"/>
          <cell r="H9148"/>
          <cell r="J9148"/>
          <cell r="L9148"/>
          <cell r="M9148"/>
        </row>
        <row r="9149">
          <cell r="B9149"/>
          <cell r="C9149"/>
          <cell r="E9149"/>
          <cell r="F9149"/>
          <cell r="G9149"/>
          <cell r="H9149"/>
          <cell r="J9149"/>
          <cell r="L9149"/>
          <cell r="M9149"/>
        </row>
        <row r="9150">
          <cell r="B9150"/>
          <cell r="C9150"/>
          <cell r="E9150"/>
          <cell r="F9150"/>
          <cell r="G9150"/>
          <cell r="H9150"/>
          <cell r="J9150"/>
          <cell r="L9150"/>
          <cell r="M9150"/>
        </row>
        <row r="9151">
          <cell r="B9151"/>
          <cell r="C9151"/>
          <cell r="E9151"/>
          <cell r="F9151"/>
          <cell r="G9151"/>
          <cell r="H9151"/>
          <cell r="J9151"/>
          <cell r="L9151"/>
          <cell r="M9151"/>
        </row>
        <row r="9152">
          <cell r="B9152"/>
          <cell r="C9152"/>
          <cell r="E9152"/>
          <cell r="F9152"/>
          <cell r="G9152"/>
          <cell r="H9152"/>
          <cell r="J9152"/>
          <cell r="L9152"/>
          <cell r="M9152"/>
        </row>
        <row r="9153">
          <cell r="B9153"/>
          <cell r="C9153"/>
          <cell r="E9153"/>
          <cell r="F9153"/>
          <cell r="G9153"/>
          <cell r="H9153"/>
          <cell r="J9153"/>
          <cell r="L9153"/>
          <cell r="M9153"/>
        </row>
        <row r="9154">
          <cell r="B9154"/>
          <cell r="C9154"/>
          <cell r="E9154"/>
          <cell r="F9154"/>
          <cell r="G9154"/>
          <cell r="H9154"/>
          <cell r="J9154"/>
          <cell r="L9154"/>
          <cell r="M9154"/>
        </row>
        <row r="9155">
          <cell r="B9155"/>
          <cell r="C9155"/>
          <cell r="E9155"/>
          <cell r="F9155"/>
          <cell r="G9155"/>
          <cell r="H9155"/>
          <cell r="J9155"/>
          <cell r="L9155"/>
          <cell r="M9155"/>
        </row>
        <row r="9156">
          <cell r="B9156"/>
          <cell r="C9156"/>
          <cell r="E9156"/>
          <cell r="F9156"/>
          <cell r="G9156"/>
          <cell r="H9156"/>
          <cell r="J9156"/>
          <cell r="L9156"/>
          <cell r="M9156"/>
        </row>
        <row r="9157">
          <cell r="B9157"/>
          <cell r="C9157"/>
          <cell r="E9157"/>
          <cell r="F9157"/>
          <cell r="G9157"/>
          <cell r="H9157"/>
          <cell r="J9157"/>
          <cell r="L9157"/>
          <cell r="M9157"/>
        </row>
        <row r="9158">
          <cell r="B9158"/>
          <cell r="C9158"/>
          <cell r="E9158"/>
          <cell r="F9158"/>
          <cell r="G9158"/>
          <cell r="H9158"/>
          <cell r="J9158"/>
          <cell r="L9158"/>
          <cell r="M9158"/>
        </row>
        <row r="9159">
          <cell r="B9159"/>
          <cell r="C9159"/>
          <cell r="E9159"/>
          <cell r="F9159"/>
          <cell r="G9159"/>
          <cell r="H9159"/>
          <cell r="J9159"/>
          <cell r="L9159"/>
          <cell r="M9159"/>
        </row>
        <row r="9160">
          <cell r="B9160"/>
          <cell r="C9160"/>
          <cell r="E9160"/>
          <cell r="F9160"/>
          <cell r="G9160"/>
          <cell r="H9160"/>
          <cell r="J9160"/>
          <cell r="L9160"/>
          <cell r="M9160"/>
        </row>
        <row r="9161">
          <cell r="B9161"/>
          <cell r="C9161"/>
          <cell r="E9161"/>
          <cell r="F9161"/>
          <cell r="G9161"/>
          <cell r="H9161"/>
          <cell r="J9161"/>
          <cell r="L9161"/>
          <cell r="M9161"/>
        </row>
        <row r="9162">
          <cell r="B9162"/>
          <cell r="C9162"/>
          <cell r="E9162"/>
          <cell r="F9162"/>
          <cell r="G9162"/>
          <cell r="H9162"/>
          <cell r="J9162"/>
          <cell r="L9162"/>
          <cell r="M9162"/>
        </row>
        <row r="9163">
          <cell r="B9163"/>
          <cell r="C9163"/>
          <cell r="E9163"/>
          <cell r="F9163"/>
          <cell r="G9163"/>
          <cell r="H9163"/>
          <cell r="J9163"/>
          <cell r="L9163"/>
          <cell r="M9163"/>
        </row>
        <row r="9164">
          <cell r="B9164"/>
          <cell r="C9164"/>
          <cell r="E9164"/>
          <cell r="F9164"/>
          <cell r="G9164"/>
          <cell r="H9164"/>
          <cell r="J9164"/>
          <cell r="L9164"/>
          <cell r="M9164"/>
        </row>
        <row r="9165">
          <cell r="B9165"/>
          <cell r="C9165"/>
          <cell r="E9165"/>
          <cell r="F9165"/>
          <cell r="G9165"/>
          <cell r="H9165"/>
          <cell r="J9165"/>
          <cell r="L9165"/>
          <cell r="M9165"/>
        </row>
        <row r="9166">
          <cell r="B9166"/>
          <cell r="C9166"/>
          <cell r="E9166"/>
          <cell r="F9166"/>
          <cell r="G9166"/>
          <cell r="H9166"/>
          <cell r="J9166"/>
          <cell r="L9166"/>
          <cell r="M9166"/>
        </row>
        <row r="9167">
          <cell r="B9167"/>
          <cell r="C9167"/>
          <cell r="E9167"/>
          <cell r="F9167"/>
          <cell r="G9167"/>
          <cell r="H9167"/>
          <cell r="J9167"/>
          <cell r="L9167"/>
          <cell r="M9167"/>
        </row>
        <row r="9168">
          <cell r="B9168"/>
          <cell r="C9168"/>
          <cell r="E9168"/>
          <cell r="F9168"/>
          <cell r="G9168"/>
          <cell r="H9168"/>
          <cell r="J9168"/>
          <cell r="L9168"/>
          <cell r="M9168"/>
        </row>
        <row r="9169">
          <cell r="B9169"/>
          <cell r="C9169"/>
          <cell r="E9169"/>
          <cell r="F9169"/>
          <cell r="G9169"/>
          <cell r="H9169"/>
          <cell r="J9169"/>
          <cell r="L9169"/>
          <cell r="M9169"/>
        </row>
        <row r="9170">
          <cell r="B9170"/>
          <cell r="C9170"/>
          <cell r="E9170"/>
          <cell r="F9170"/>
          <cell r="G9170"/>
          <cell r="H9170"/>
          <cell r="J9170"/>
          <cell r="L9170"/>
          <cell r="M9170"/>
        </row>
        <row r="9171">
          <cell r="B9171"/>
          <cell r="C9171"/>
          <cell r="E9171"/>
          <cell r="F9171"/>
          <cell r="G9171"/>
          <cell r="H9171"/>
          <cell r="J9171"/>
          <cell r="L9171"/>
          <cell r="M9171"/>
        </row>
        <row r="9172">
          <cell r="B9172"/>
          <cell r="C9172"/>
          <cell r="E9172"/>
          <cell r="F9172"/>
          <cell r="G9172"/>
          <cell r="H9172"/>
          <cell r="J9172"/>
          <cell r="L9172"/>
          <cell r="M9172"/>
        </row>
        <row r="9173">
          <cell r="B9173"/>
          <cell r="C9173"/>
          <cell r="E9173"/>
          <cell r="F9173"/>
          <cell r="G9173"/>
          <cell r="H9173"/>
          <cell r="J9173"/>
          <cell r="L9173"/>
          <cell r="M9173"/>
        </row>
        <row r="9174">
          <cell r="B9174"/>
          <cell r="C9174"/>
          <cell r="E9174"/>
          <cell r="F9174"/>
          <cell r="G9174"/>
          <cell r="H9174"/>
          <cell r="J9174"/>
          <cell r="L9174"/>
          <cell r="M9174"/>
        </row>
        <row r="9175">
          <cell r="B9175"/>
          <cell r="C9175"/>
          <cell r="E9175"/>
          <cell r="F9175"/>
          <cell r="G9175"/>
          <cell r="H9175"/>
          <cell r="J9175"/>
          <cell r="L9175"/>
          <cell r="M9175"/>
        </row>
        <row r="9176">
          <cell r="B9176"/>
          <cell r="C9176"/>
          <cell r="E9176"/>
          <cell r="F9176"/>
          <cell r="G9176"/>
          <cell r="H9176"/>
          <cell r="J9176"/>
          <cell r="L9176"/>
          <cell r="M9176"/>
        </row>
        <row r="9177">
          <cell r="B9177"/>
          <cell r="C9177"/>
          <cell r="E9177"/>
          <cell r="F9177"/>
          <cell r="G9177"/>
          <cell r="H9177"/>
          <cell r="J9177"/>
          <cell r="L9177"/>
          <cell r="M9177"/>
        </row>
        <row r="9178">
          <cell r="B9178"/>
          <cell r="C9178"/>
          <cell r="E9178"/>
          <cell r="F9178"/>
          <cell r="G9178"/>
          <cell r="H9178"/>
          <cell r="J9178"/>
          <cell r="L9178"/>
          <cell r="M9178"/>
        </row>
        <row r="9179">
          <cell r="B9179"/>
          <cell r="C9179"/>
          <cell r="E9179"/>
          <cell r="F9179"/>
          <cell r="G9179"/>
          <cell r="H9179"/>
          <cell r="J9179"/>
          <cell r="L9179"/>
          <cell r="M9179"/>
        </row>
        <row r="9180">
          <cell r="B9180"/>
          <cell r="C9180"/>
          <cell r="E9180"/>
          <cell r="F9180"/>
          <cell r="G9180"/>
          <cell r="H9180"/>
          <cell r="J9180"/>
          <cell r="L9180"/>
          <cell r="M9180"/>
        </row>
        <row r="9181">
          <cell r="B9181"/>
          <cell r="C9181"/>
          <cell r="E9181"/>
          <cell r="F9181"/>
          <cell r="G9181"/>
          <cell r="H9181"/>
          <cell r="J9181"/>
          <cell r="L9181"/>
          <cell r="M9181"/>
        </row>
        <row r="9182">
          <cell r="B9182"/>
          <cell r="C9182"/>
          <cell r="E9182"/>
          <cell r="F9182"/>
          <cell r="G9182"/>
          <cell r="H9182"/>
          <cell r="J9182"/>
          <cell r="L9182"/>
          <cell r="M9182"/>
        </row>
        <row r="9183">
          <cell r="B9183"/>
          <cell r="C9183"/>
          <cell r="E9183"/>
          <cell r="F9183"/>
          <cell r="G9183"/>
          <cell r="H9183"/>
          <cell r="J9183"/>
          <cell r="L9183"/>
          <cell r="M9183"/>
        </row>
        <row r="9184">
          <cell r="B9184"/>
          <cell r="C9184"/>
          <cell r="E9184"/>
          <cell r="F9184"/>
          <cell r="G9184"/>
          <cell r="H9184"/>
          <cell r="J9184"/>
          <cell r="L9184"/>
          <cell r="M9184"/>
        </row>
        <row r="9185">
          <cell r="B9185"/>
          <cell r="C9185"/>
          <cell r="E9185"/>
          <cell r="F9185"/>
          <cell r="G9185"/>
          <cell r="H9185"/>
          <cell r="J9185"/>
          <cell r="L9185"/>
          <cell r="M9185"/>
        </row>
        <row r="9186">
          <cell r="B9186"/>
          <cell r="C9186"/>
          <cell r="E9186"/>
          <cell r="F9186"/>
          <cell r="G9186"/>
          <cell r="H9186"/>
          <cell r="J9186"/>
          <cell r="L9186"/>
          <cell r="M9186"/>
        </row>
        <row r="9187">
          <cell r="B9187"/>
          <cell r="C9187"/>
          <cell r="E9187"/>
          <cell r="F9187"/>
          <cell r="G9187"/>
          <cell r="H9187"/>
          <cell r="J9187"/>
          <cell r="L9187"/>
          <cell r="M9187"/>
        </row>
        <row r="9188">
          <cell r="B9188"/>
          <cell r="C9188"/>
          <cell r="E9188"/>
          <cell r="F9188"/>
          <cell r="G9188"/>
          <cell r="H9188"/>
          <cell r="J9188"/>
          <cell r="L9188"/>
          <cell r="M9188"/>
        </row>
        <row r="9189">
          <cell r="B9189"/>
          <cell r="C9189"/>
          <cell r="E9189"/>
          <cell r="F9189"/>
          <cell r="G9189"/>
          <cell r="H9189"/>
          <cell r="J9189"/>
          <cell r="L9189"/>
          <cell r="M9189"/>
        </row>
        <row r="9190">
          <cell r="B9190"/>
          <cell r="C9190"/>
          <cell r="E9190"/>
          <cell r="F9190"/>
          <cell r="G9190"/>
          <cell r="H9190"/>
          <cell r="J9190"/>
          <cell r="L9190"/>
          <cell r="M9190"/>
        </row>
        <row r="9191">
          <cell r="B9191"/>
          <cell r="C9191"/>
          <cell r="E9191"/>
          <cell r="F9191"/>
          <cell r="G9191"/>
          <cell r="H9191"/>
          <cell r="J9191"/>
          <cell r="L9191"/>
          <cell r="M9191"/>
        </row>
        <row r="9192">
          <cell r="B9192"/>
          <cell r="C9192"/>
          <cell r="E9192"/>
          <cell r="F9192"/>
          <cell r="G9192"/>
          <cell r="H9192"/>
          <cell r="J9192"/>
          <cell r="L9192"/>
          <cell r="M9192"/>
        </row>
        <row r="9193">
          <cell r="B9193"/>
          <cell r="C9193"/>
          <cell r="E9193"/>
          <cell r="F9193"/>
          <cell r="G9193"/>
          <cell r="H9193"/>
          <cell r="J9193"/>
          <cell r="L9193"/>
          <cell r="M9193"/>
        </row>
        <row r="9194">
          <cell r="B9194"/>
          <cell r="C9194"/>
          <cell r="E9194"/>
          <cell r="F9194"/>
          <cell r="G9194"/>
          <cell r="H9194"/>
          <cell r="J9194"/>
          <cell r="L9194"/>
          <cell r="M9194"/>
        </row>
        <row r="9195">
          <cell r="B9195"/>
          <cell r="C9195"/>
          <cell r="E9195"/>
          <cell r="F9195"/>
          <cell r="G9195"/>
          <cell r="H9195"/>
          <cell r="J9195"/>
          <cell r="L9195"/>
          <cell r="M9195"/>
        </row>
        <row r="9196">
          <cell r="B9196"/>
          <cell r="C9196"/>
          <cell r="E9196"/>
          <cell r="F9196"/>
          <cell r="G9196"/>
          <cell r="H9196"/>
          <cell r="J9196"/>
          <cell r="L9196"/>
          <cell r="M9196"/>
        </row>
        <row r="9197">
          <cell r="B9197"/>
          <cell r="C9197"/>
          <cell r="E9197"/>
          <cell r="F9197"/>
          <cell r="G9197"/>
          <cell r="H9197"/>
          <cell r="J9197"/>
          <cell r="L9197"/>
          <cell r="M9197"/>
        </row>
        <row r="9198">
          <cell r="B9198"/>
          <cell r="C9198"/>
          <cell r="E9198"/>
          <cell r="F9198"/>
          <cell r="G9198"/>
          <cell r="H9198"/>
          <cell r="J9198"/>
          <cell r="L9198"/>
          <cell r="M9198"/>
        </row>
        <row r="9199">
          <cell r="B9199"/>
          <cell r="C9199"/>
          <cell r="E9199"/>
          <cell r="F9199"/>
          <cell r="G9199"/>
          <cell r="H9199"/>
          <cell r="J9199"/>
          <cell r="L9199"/>
          <cell r="M9199"/>
        </row>
        <row r="9200">
          <cell r="B9200"/>
          <cell r="C9200"/>
          <cell r="E9200"/>
          <cell r="F9200"/>
          <cell r="G9200"/>
          <cell r="H9200"/>
          <cell r="J9200"/>
          <cell r="L9200"/>
          <cell r="M9200"/>
        </row>
        <row r="9201">
          <cell r="B9201"/>
          <cell r="C9201"/>
          <cell r="E9201"/>
          <cell r="F9201"/>
          <cell r="G9201"/>
          <cell r="H9201"/>
          <cell r="J9201"/>
          <cell r="L9201"/>
          <cell r="M9201"/>
        </row>
        <row r="9202">
          <cell r="B9202"/>
          <cell r="C9202"/>
          <cell r="E9202"/>
          <cell r="F9202"/>
          <cell r="G9202"/>
          <cell r="H9202"/>
          <cell r="J9202"/>
          <cell r="L9202"/>
          <cell r="M9202"/>
        </row>
        <row r="9203">
          <cell r="B9203"/>
          <cell r="C9203"/>
          <cell r="E9203"/>
          <cell r="F9203"/>
          <cell r="G9203"/>
          <cell r="H9203"/>
          <cell r="J9203"/>
          <cell r="L9203"/>
          <cell r="M9203"/>
        </row>
        <row r="9204">
          <cell r="B9204"/>
          <cell r="C9204"/>
          <cell r="E9204"/>
          <cell r="F9204"/>
          <cell r="G9204"/>
          <cell r="H9204"/>
          <cell r="J9204"/>
          <cell r="L9204"/>
          <cell r="M9204"/>
        </row>
        <row r="9205">
          <cell r="B9205"/>
          <cell r="C9205"/>
          <cell r="E9205"/>
          <cell r="F9205"/>
          <cell r="G9205"/>
          <cell r="H9205"/>
          <cell r="J9205"/>
          <cell r="L9205"/>
          <cell r="M9205"/>
        </row>
        <row r="9206">
          <cell r="B9206"/>
          <cell r="C9206"/>
          <cell r="E9206"/>
          <cell r="F9206"/>
          <cell r="G9206"/>
          <cell r="H9206"/>
          <cell r="J9206"/>
          <cell r="L9206"/>
          <cell r="M9206"/>
        </row>
        <row r="9207">
          <cell r="B9207"/>
          <cell r="C9207"/>
          <cell r="E9207"/>
          <cell r="F9207"/>
          <cell r="G9207"/>
          <cell r="H9207"/>
          <cell r="J9207"/>
          <cell r="L9207"/>
          <cell r="M9207"/>
        </row>
        <row r="9208">
          <cell r="B9208"/>
          <cell r="C9208"/>
          <cell r="E9208"/>
          <cell r="F9208"/>
          <cell r="G9208"/>
          <cell r="H9208"/>
          <cell r="J9208"/>
          <cell r="L9208"/>
          <cell r="M9208"/>
        </row>
        <row r="9209">
          <cell r="B9209"/>
          <cell r="C9209"/>
          <cell r="E9209"/>
          <cell r="F9209"/>
          <cell r="G9209"/>
          <cell r="H9209"/>
          <cell r="J9209"/>
          <cell r="L9209"/>
          <cell r="M9209"/>
        </row>
        <row r="9210">
          <cell r="B9210"/>
          <cell r="C9210"/>
          <cell r="E9210"/>
          <cell r="F9210"/>
          <cell r="G9210"/>
          <cell r="H9210"/>
          <cell r="J9210"/>
          <cell r="L9210"/>
          <cell r="M9210"/>
        </row>
        <row r="9211">
          <cell r="B9211"/>
          <cell r="C9211"/>
          <cell r="E9211"/>
          <cell r="F9211"/>
          <cell r="G9211"/>
          <cell r="H9211"/>
          <cell r="J9211"/>
          <cell r="L9211"/>
          <cell r="M9211"/>
        </row>
        <row r="9212">
          <cell r="B9212"/>
          <cell r="C9212"/>
          <cell r="E9212"/>
          <cell r="F9212"/>
          <cell r="G9212"/>
          <cell r="H9212"/>
          <cell r="J9212"/>
          <cell r="L9212"/>
          <cell r="M9212"/>
        </row>
        <row r="9213">
          <cell r="B9213"/>
          <cell r="C9213"/>
          <cell r="E9213"/>
          <cell r="F9213"/>
          <cell r="G9213"/>
          <cell r="H9213"/>
          <cell r="J9213"/>
          <cell r="L9213"/>
          <cell r="M9213"/>
        </row>
        <row r="9214">
          <cell r="B9214"/>
          <cell r="C9214"/>
          <cell r="E9214"/>
          <cell r="F9214"/>
          <cell r="G9214"/>
          <cell r="H9214"/>
          <cell r="J9214"/>
          <cell r="L9214"/>
          <cell r="M9214"/>
        </row>
        <row r="9215">
          <cell r="B9215"/>
          <cell r="C9215"/>
          <cell r="E9215"/>
          <cell r="F9215"/>
          <cell r="G9215"/>
          <cell r="H9215"/>
          <cell r="J9215"/>
          <cell r="L9215"/>
          <cell r="M9215"/>
        </row>
        <row r="9216">
          <cell r="B9216"/>
          <cell r="C9216"/>
          <cell r="E9216"/>
          <cell r="F9216"/>
          <cell r="G9216"/>
          <cell r="H9216"/>
          <cell r="J9216"/>
          <cell r="L9216"/>
          <cell r="M9216"/>
        </row>
        <row r="9217">
          <cell r="B9217"/>
          <cell r="C9217"/>
          <cell r="E9217"/>
          <cell r="F9217"/>
          <cell r="G9217"/>
          <cell r="H9217"/>
          <cell r="J9217"/>
          <cell r="L9217"/>
          <cell r="M9217"/>
        </row>
        <row r="9218">
          <cell r="B9218"/>
          <cell r="C9218"/>
          <cell r="E9218"/>
          <cell r="F9218"/>
          <cell r="G9218"/>
          <cell r="H9218"/>
          <cell r="J9218"/>
          <cell r="L9218"/>
          <cell r="M9218"/>
        </row>
        <row r="9219">
          <cell r="B9219"/>
          <cell r="C9219"/>
          <cell r="E9219"/>
          <cell r="F9219"/>
          <cell r="G9219"/>
          <cell r="H9219"/>
          <cell r="J9219"/>
          <cell r="L9219"/>
          <cell r="M9219"/>
        </row>
        <row r="9220">
          <cell r="B9220"/>
          <cell r="C9220"/>
          <cell r="E9220"/>
          <cell r="F9220"/>
          <cell r="G9220"/>
          <cell r="H9220"/>
          <cell r="J9220"/>
          <cell r="L9220"/>
          <cell r="M9220"/>
        </row>
        <row r="9221">
          <cell r="B9221"/>
          <cell r="C9221"/>
          <cell r="E9221"/>
          <cell r="F9221"/>
          <cell r="G9221"/>
          <cell r="H9221"/>
          <cell r="J9221"/>
          <cell r="L9221"/>
          <cell r="M9221"/>
        </row>
        <row r="9222">
          <cell r="B9222"/>
          <cell r="C9222"/>
          <cell r="E9222"/>
          <cell r="F9222"/>
          <cell r="G9222"/>
          <cell r="H9222"/>
          <cell r="J9222"/>
          <cell r="L9222"/>
          <cell r="M9222"/>
        </row>
        <row r="9223">
          <cell r="B9223"/>
          <cell r="C9223"/>
          <cell r="E9223"/>
          <cell r="F9223"/>
          <cell r="G9223"/>
          <cell r="H9223"/>
          <cell r="J9223"/>
          <cell r="L9223"/>
          <cell r="M9223"/>
        </row>
        <row r="9224">
          <cell r="B9224"/>
          <cell r="C9224"/>
          <cell r="E9224"/>
          <cell r="F9224"/>
          <cell r="G9224"/>
          <cell r="H9224"/>
          <cell r="J9224"/>
          <cell r="L9224"/>
          <cell r="M9224"/>
        </row>
        <row r="9225">
          <cell r="B9225"/>
          <cell r="C9225"/>
          <cell r="E9225"/>
          <cell r="F9225"/>
          <cell r="G9225"/>
          <cell r="H9225"/>
          <cell r="J9225"/>
          <cell r="L9225"/>
          <cell r="M9225"/>
        </row>
        <row r="9226">
          <cell r="B9226"/>
          <cell r="C9226"/>
          <cell r="E9226"/>
          <cell r="F9226"/>
          <cell r="G9226"/>
          <cell r="H9226"/>
          <cell r="J9226"/>
          <cell r="L9226"/>
          <cell r="M9226"/>
        </row>
        <row r="9227">
          <cell r="B9227"/>
          <cell r="C9227"/>
          <cell r="E9227"/>
          <cell r="F9227"/>
          <cell r="G9227"/>
          <cell r="H9227"/>
          <cell r="J9227"/>
          <cell r="L9227"/>
          <cell r="M9227"/>
        </row>
        <row r="9228">
          <cell r="B9228"/>
          <cell r="C9228"/>
          <cell r="E9228"/>
          <cell r="F9228"/>
          <cell r="G9228"/>
          <cell r="H9228"/>
          <cell r="J9228"/>
          <cell r="L9228"/>
          <cell r="M9228"/>
        </row>
        <row r="9229">
          <cell r="B9229"/>
          <cell r="C9229"/>
          <cell r="E9229"/>
          <cell r="F9229"/>
          <cell r="G9229"/>
          <cell r="H9229"/>
          <cell r="J9229"/>
          <cell r="L9229"/>
          <cell r="M9229"/>
        </row>
        <row r="9230">
          <cell r="B9230"/>
          <cell r="C9230"/>
          <cell r="E9230"/>
          <cell r="F9230"/>
          <cell r="G9230"/>
          <cell r="H9230"/>
          <cell r="J9230"/>
          <cell r="L9230"/>
          <cell r="M9230"/>
        </row>
        <row r="9231">
          <cell r="B9231"/>
          <cell r="C9231"/>
          <cell r="E9231"/>
          <cell r="F9231"/>
          <cell r="G9231"/>
          <cell r="H9231"/>
          <cell r="J9231"/>
          <cell r="L9231"/>
          <cell r="M9231"/>
        </row>
        <row r="9232">
          <cell r="B9232"/>
          <cell r="C9232"/>
          <cell r="E9232"/>
          <cell r="F9232"/>
          <cell r="G9232"/>
          <cell r="H9232"/>
          <cell r="J9232"/>
          <cell r="L9232"/>
          <cell r="M9232"/>
        </row>
        <row r="9233">
          <cell r="B9233"/>
          <cell r="C9233"/>
          <cell r="E9233"/>
          <cell r="F9233"/>
          <cell r="G9233"/>
          <cell r="H9233"/>
          <cell r="J9233"/>
          <cell r="L9233"/>
          <cell r="M9233"/>
        </row>
        <row r="9234">
          <cell r="B9234"/>
          <cell r="C9234"/>
          <cell r="E9234"/>
          <cell r="F9234"/>
          <cell r="G9234"/>
          <cell r="H9234"/>
          <cell r="J9234"/>
          <cell r="L9234"/>
          <cell r="M9234"/>
        </row>
        <row r="9235">
          <cell r="B9235"/>
          <cell r="C9235"/>
          <cell r="E9235"/>
          <cell r="F9235"/>
          <cell r="G9235"/>
          <cell r="H9235"/>
          <cell r="J9235"/>
          <cell r="L9235"/>
          <cell r="M9235"/>
        </row>
        <row r="9236">
          <cell r="B9236"/>
          <cell r="C9236"/>
          <cell r="E9236"/>
          <cell r="F9236"/>
          <cell r="G9236"/>
          <cell r="H9236"/>
          <cell r="J9236"/>
          <cell r="L9236"/>
          <cell r="M9236"/>
        </row>
        <row r="9237">
          <cell r="B9237"/>
          <cell r="C9237"/>
          <cell r="E9237"/>
          <cell r="F9237"/>
          <cell r="G9237"/>
          <cell r="H9237"/>
          <cell r="J9237"/>
          <cell r="L9237"/>
          <cell r="M9237"/>
        </row>
        <row r="9238">
          <cell r="B9238"/>
          <cell r="C9238"/>
          <cell r="E9238"/>
          <cell r="F9238"/>
          <cell r="G9238"/>
          <cell r="H9238"/>
          <cell r="J9238"/>
          <cell r="L9238"/>
          <cell r="M9238"/>
        </row>
        <row r="9239">
          <cell r="B9239"/>
          <cell r="C9239"/>
          <cell r="E9239"/>
          <cell r="F9239"/>
          <cell r="G9239"/>
          <cell r="H9239"/>
          <cell r="J9239"/>
          <cell r="L9239"/>
          <cell r="M9239"/>
        </row>
        <row r="9240">
          <cell r="B9240"/>
          <cell r="C9240"/>
          <cell r="E9240"/>
          <cell r="F9240"/>
          <cell r="G9240"/>
          <cell r="H9240"/>
          <cell r="J9240"/>
          <cell r="L9240"/>
          <cell r="M9240"/>
        </row>
        <row r="9241">
          <cell r="B9241"/>
          <cell r="C9241"/>
          <cell r="E9241"/>
          <cell r="F9241"/>
          <cell r="G9241"/>
          <cell r="H9241"/>
          <cell r="J9241"/>
          <cell r="L9241"/>
          <cell r="M9241"/>
        </row>
        <row r="9242">
          <cell r="B9242"/>
          <cell r="C9242"/>
          <cell r="E9242"/>
          <cell r="F9242"/>
          <cell r="G9242"/>
          <cell r="H9242"/>
          <cell r="J9242"/>
          <cell r="L9242"/>
          <cell r="M9242"/>
        </row>
        <row r="9243">
          <cell r="B9243"/>
          <cell r="C9243"/>
          <cell r="E9243"/>
          <cell r="F9243"/>
          <cell r="G9243"/>
          <cell r="H9243"/>
          <cell r="J9243"/>
          <cell r="L9243"/>
          <cell r="M9243"/>
        </row>
        <row r="9244">
          <cell r="B9244"/>
          <cell r="C9244"/>
          <cell r="E9244"/>
          <cell r="F9244"/>
          <cell r="G9244"/>
          <cell r="H9244"/>
          <cell r="J9244"/>
          <cell r="L9244"/>
          <cell r="M9244"/>
        </row>
        <row r="9245">
          <cell r="B9245"/>
          <cell r="C9245"/>
          <cell r="E9245"/>
          <cell r="F9245"/>
          <cell r="G9245"/>
          <cell r="H9245"/>
          <cell r="J9245"/>
          <cell r="L9245"/>
          <cell r="M9245"/>
        </row>
        <row r="9246">
          <cell r="B9246"/>
          <cell r="C9246"/>
          <cell r="E9246"/>
          <cell r="F9246"/>
          <cell r="G9246"/>
          <cell r="H9246"/>
          <cell r="J9246"/>
          <cell r="L9246"/>
          <cell r="M9246"/>
        </row>
        <row r="9247">
          <cell r="B9247"/>
          <cell r="C9247"/>
          <cell r="E9247"/>
          <cell r="F9247"/>
          <cell r="G9247"/>
          <cell r="H9247"/>
          <cell r="J9247"/>
          <cell r="L9247"/>
          <cell r="M9247"/>
        </row>
        <row r="9248">
          <cell r="B9248"/>
          <cell r="C9248"/>
          <cell r="E9248"/>
          <cell r="F9248"/>
          <cell r="G9248"/>
          <cell r="H9248"/>
          <cell r="J9248"/>
          <cell r="L9248"/>
          <cell r="M9248"/>
        </row>
        <row r="9249">
          <cell r="B9249"/>
          <cell r="C9249"/>
          <cell r="E9249"/>
          <cell r="F9249"/>
          <cell r="G9249"/>
          <cell r="H9249"/>
          <cell r="J9249"/>
          <cell r="L9249"/>
          <cell r="M9249"/>
        </row>
        <row r="9250">
          <cell r="B9250"/>
          <cell r="C9250"/>
          <cell r="E9250"/>
          <cell r="F9250"/>
          <cell r="G9250"/>
          <cell r="H9250"/>
          <cell r="J9250"/>
          <cell r="L9250"/>
          <cell r="M9250"/>
        </row>
        <row r="9251">
          <cell r="B9251"/>
          <cell r="C9251"/>
          <cell r="E9251"/>
          <cell r="F9251"/>
          <cell r="G9251"/>
          <cell r="H9251"/>
          <cell r="J9251"/>
          <cell r="L9251"/>
          <cell r="M9251"/>
        </row>
        <row r="9252">
          <cell r="B9252"/>
          <cell r="C9252"/>
          <cell r="E9252"/>
          <cell r="F9252"/>
          <cell r="G9252"/>
          <cell r="H9252"/>
          <cell r="J9252"/>
          <cell r="L9252"/>
          <cell r="M9252"/>
        </row>
        <row r="9253">
          <cell r="B9253"/>
          <cell r="C9253"/>
          <cell r="E9253"/>
          <cell r="F9253"/>
          <cell r="G9253"/>
          <cell r="H9253"/>
          <cell r="J9253"/>
          <cell r="L9253"/>
          <cell r="M9253"/>
        </row>
        <row r="9254">
          <cell r="B9254"/>
          <cell r="C9254"/>
          <cell r="E9254"/>
          <cell r="F9254"/>
          <cell r="G9254"/>
          <cell r="H9254"/>
          <cell r="J9254"/>
          <cell r="L9254"/>
          <cell r="M9254"/>
        </row>
        <row r="9255">
          <cell r="B9255"/>
          <cell r="C9255"/>
          <cell r="E9255"/>
          <cell r="F9255"/>
          <cell r="G9255"/>
          <cell r="H9255"/>
          <cell r="J9255"/>
          <cell r="L9255"/>
          <cell r="M9255"/>
        </row>
        <row r="9256">
          <cell r="B9256"/>
          <cell r="C9256"/>
          <cell r="E9256"/>
          <cell r="F9256"/>
          <cell r="G9256"/>
          <cell r="H9256"/>
          <cell r="J9256"/>
          <cell r="L9256"/>
          <cell r="M9256"/>
        </row>
        <row r="9257">
          <cell r="B9257"/>
          <cell r="C9257"/>
          <cell r="E9257"/>
          <cell r="F9257"/>
          <cell r="G9257"/>
          <cell r="H9257"/>
          <cell r="J9257"/>
          <cell r="L9257"/>
          <cell r="M9257"/>
        </row>
        <row r="9258">
          <cell r="B9258"/>
          <cell r="C9258"/>
          <cell r="E9258"/>
          <cell r="F9258"/>
          <cell r="G9258"/>
          <cell r="H9258"/>
          <cell r="J9258"/>
          <cell r="L9258"/>
          <cell r="M9258"/>
        </row>
        <row r="9259">
          <cell r="B9259"/>
          <cell r="C9259"/>
          <cell r="E9259"/>
          <cell r="F9259"/>
          <cell r="G9259"/>
          <cell r="H9259"/>
          <cell r="J9259"/>
          <cell r="L9259"/>
          <cell r="M9259"/>
        </row>
        <row r="9260">
          <cell r="B9260"/>
          <cell r="C9260"/>
          <cell r="E9260"/>
          <cell r="F9260"/>
          <cell r="G9260"/>
          <cell r="H9260"/>
          <cell r="J9260"/>
          <cell r="L9260"/>
          <cell r="M9260"/>
        </row>
        <row r="9261">
          <cell r="B9261"/>
          <cell r="C9261"/>
          <cell r="E9261"/>
          <cell r="F9261"/>
          <cell r="G9261"/>
          <cell r="H9261"/>
          <cell r="J9261"/>
          <cell r="L9261"/>
          <cell r="M9261"/>
        </row>
        <row r="9262">
          <cell r="B9262"/>
          <cell r="C9262"/>
          <cell r="E9262"/>
          <cell r="F9262"/>
          <cell r="G9262"/>
          <cell r="H9262"/>
          <cell r="J9262"/>
          <cell r="L9262"/>
          <cell r="M9262"/>
        </row>
        <row r="9263">
          <cell r="B9263"/>
          <cell r="C9263"/>
          <cell r="E9263"/>
          <cell r="F9263"/>
          <cell r="G9263"/>
          <cell r="H9263"/>
          <cell r="J9263"/>
          <cell r="L9263"/>
          <cell r="M9263"/>
        </row>
        <row r="9264">
          <cell r="B9264"/>
          <cell r="C9264"/>
          <cell r="E9264"/>
          <cell r="F9264"/>
          <cell r="G9264"/>
          <cell r="H9264"/>
          <cell r="J9264"/>
          <cell r="L9264"/>
          <cell r="M9264"/>
        </row>
        <row r="9265">
          <cell r="B9265"/>
          <cell r="C9265"/>
          <cell r="E9265"/>
          <cell r="F9265"/>
          <cell r="G9265"/>
          <cell r="H9265"/>
          <cell r="J9265"/>
          <cell r="L9265"/>
          <cell r="M9265"/>
        </row>
        <row r="9266">
          <cell r="B9266"/>
          <cell r="C9266"/>
          <cell r="E9266"/>
          <cell r="F9266"/>
          <cell r="G9266"/>
          <cell r="H9266"/>
          <cell r="J9266"/>
          <cell r="L9266"/>
          <cell r="M9266"/>
        </row>
        <row r="9267">
          <cell r="B9267"/>
          <cell r="C9267"/>
          <cell r="E9267"/>
          <cell r="F9267"/>
          <cell r="G9267"/>
          <cell r="H9267"/>
          <cell r="J9267"/>
          <cell r="L9267"/>
          <cell r="M9267"/>
        </row>
        <row r="9268">
          <cell r="B9268"/>
          <cell r="C9268"/>
          <cell r="E9268"/>
          <cell r="F9268"/>
          <cell r="G9268"/>
          <cell r="H9268"/>
          <cell r="J9268"/>
          <cell r="L9268"/>
          <cell r="M9268"/>
        </row>
        <row r="9269">
          <cell r="B9269"/>
          <cell r="C9269"/>
          <cell r="E9269"/>
          <cell r="F9269"/>
          <cell r="G9269"/>
          <cell r="H9269"/>
          <cell r="J9269"/>
          <cell r="L9269"/>
          <cell r="M9269"/>
        </row>
        <row r="9270">
          <cell r="B9270"/>
          <cell r="C9270"/>
          <cell r="E9270"/>
          <cell r="F9270"/>
          <cell r="G9270"/>
          <cell r="H9270"/>
          <cell r="J9270"/>
          <cell r="L9270"/>
          <cell r="M9270"/>
        </row>
        <row r="9271">
          <cell r="B9271"/>
          <cell r="C9271"/>
          <cell r="E9271"/>
          <cell r="F9271"/>
          <cell r="G9271"/>
          <cell r="H9271"/>
          <cell r="J9271"/>
          <cell r="L9271"/>
          <cell r="M9271"/>
        </row>
        <row r="9272">
          <cell r="B9272"/>
          <cell r="C9272"/>
          <cell r="E9272"/>
          <cell r="F9272"/>
          <cell r="G9272"/>
          <cell r="H9272"/>
          <cell r="J9272"/>
          <cell r="L9272"/>
          <cell r="M9272"/>
        </row>
        <row r="9273">
          <cell r="B9273"/>
          <cell r="C9273"/>
          <cell r="E9273"/>
          <cell r="F9273"/>
          <cell r="G9273"/>
          <cell r="H9273"/>
          <cell r="J9273"/>
          <cell r="L9273"/>
          <cell r="M9273"/>
        </row>
        <row r="9274">
          <cell r="B9274"/>
          <cell r="C9274"/>
          <cell r="E9274"/>
          <cell r="F9274"/>
          <cell r="G9274"/>
          <cell r="H9274"/>
          <cell r="J9274"/>
          <cell r="L9274"/>
          <cell r="M9274"/>
        </row>
        <row r="9275">
          <cell r="B9275"/>
          <cell r="C9275"/>
          <cell r="E9275"/>
          <cell r="F9275"/>
          <cell r="G9275"/>
          <cell r="H9275"/>
          <cell r="J9275"/>
          <cell r="L9275"/>
          <cell r="M9275"/>
        </row>
        <row r="9276">
          <cell r="B9276"/>
          <cell r="C9276"/>
          <cell r="E9276"/>
          <cell r="F9276"/>
          <cell r="G9276"/>
          <cell r="H9276"/>
          <cell r="J9276"/>
          <cell r="L9276"/>
          <cell r="M9276"/>
        </row>
        <row r="9277">
          <cell r="B9277"/>
          <cell r="C9277"/>
          <cell r="E9277"/>
          <cell r="F9277"/>
          <cell r="G9277"/>
          <cell r="H9277"/>
          <cell r="J9277"/>
          <cell r="L9277"/>
          <cell r="M9277"/>
        </row>
        <row r="9278">
          <cell r="B9278"/>
          <cell r="C9278"/>
          <cell r="E9278"/>
          <cell r="F9278"/>
          <cell r="G9278"/>
          <cell r="H9278"/>
          <cell r="J9278"/>
          <cell r="L9278"/>
          <cell r="M9278"/>
        </row>
        <row r="9279">
          <cell r="B9279"/>
          <cell r="C9279"/>
          <cell r="E9279"/>
          <cell r="F9279"/>
          <cell r="G9279"/>
          <cell r="H9279"/>
          <cell r="J9279"/>
          <cell r="L9279"/>
          <cell r="M9279"/>
        </row>
        <row r="9280">
          <cell r="B9280"/>
          <cell r="C9280"/>
          <cell r="E9280"/>
          <cell r="F9280"/>
          <cell r="G9280"/>
          <cell r="H9280"/>
          <cell r="J9280"/>
          <cell r="L9280"/>
          <cell r="M9280"/>
        </row>
        <row r="9281">
          <cell r="B9281"/>
          <cell r="C9281"/>
          <cell r="E9281"/>
          <cell r="F9281"/>
          <cell r="G9281"/>
          <cell r="H9281"/>
          <cell r="J9281"/>
          <cell r="L9281"/>
          <cell r="M9281"/>
        </row>
        <row r="9282">
          <cell r="B9282"/>
          <cell r="C9282"/>
          <cell r="E9282"/>
          <cell r="F9282"/>
          <cell r="G9282"/>
          <cell r="H9282"/>
          <cell r="J9282"/>
          <cell r="L9282"/>
          <cell r="M9282"/>
        </row>
        <row r="9283">
          <cell r="B9283"/>
          <cell r="C9283"/>
          <cell r="E9283"/>
          <cell r="F9283"/>
          <cell r="G9283"/>
          <cell r="H9283"/>
          <cell r="J9283"/>
          <cell r="L9283"/>
          <cell r="M9283"/>
        </row>
        <row r="9284">
          <cell r="B9284"/>
          <cell r="C9284"/>
          <cell r="E9284"/>
          <cell r="F9284"/>
          <cell r="G9284"/>
          <cell r="H9284"/>
          <cell r="J9284"/>
          <cell r="L9284"/>
          <cell r="M9284"/>
        </row>
        <row r="9285">
          <cell r="B9285"/>
          <cell r="C9285"/>
          <cell r="E9285"/>
          <cell r="F9285"/>
          <cell r="G9285"/>
          <cell r="H9285"/>
          <cell r="J9285"/>
          <cell r="L9285"/>
          <cell r="M9285"/>
        </row>
        <row r="9286">
          <cell r="B9286"/>
          <cell r="C9286"/>
          <cell r="E9286"/>
          <cell r="F9286"/>
          <cell r="G9286"/>
          <cell r="H9286"/>
          <cell r="J9286"/>
          <cell r="L9286"/>
          <cell r="M9286"/>
        </row>
        <row r="9287">
          <cell r="B9287"/>
          <cell r="C9287"/>
          <cell r="E9287"/>
          <cell r="F9287"/>
          <cell r="G9287"/>
          <cell r="H9287"/>
          <cell r="J9287"/>
          <cell r="L9287"/>
          <cell r="M9287"/>
        </row>
        <row r="9288">
          <cell r="B9288"/>
          <cell r="C9288"/>
          <cell r="E9288"/>
          <cell r="F9288"/>
          <cell r="G9288"/>
          <cell r="H9288"/>
          <cell r="J9288"/>
          <cell r="L9288"/>
          <cell r="M9288"/>
        </row>
        <row r="9289">
          <cell r="B9289"/>
          <cell r="C9289"/>
          <cell r="E9289"/>
          <cell r="F9289"/>
          <cell r="G9289"/>
          <cell r="H9289"/>
          <cell r="J9289"/>
          <cell r="L9289"/>
          <cell r="M9289"/>
        </row>
        <row r="9290">
          <cell r="B9290"/>
          <cell r="C9290"/>
          <cell r="E9290"/>
          <cell r="F9290"/>
          <cell r="G9290"/>
          <cell r="H9290"/>
          <cell r="J9290"/>
          <cell r="L9290"/>
          <cell r="M9290"/>
        </row>
        <row r="9291">
          <cell r="B9291"/>
          <cell r="C9291"/>
          <cell r="E9291"/>
          <cell r="F9291"/>
          <cell r="G9291"/>
          <cell r="H9291"/>
          <cell r="J9291"/>
          <cell r="L9291"/>
          <cell r="M9291"/>
        </row>
        <row r="9292">
          <cell r="B9292"/>
          <cell r="C9292"/>
          <cell r="E9292"/>
          <cell r="F9292"/>
          <cell r="G9292"/>
          <cell r="H9292"/>
          <cell r="J9292"/>
          <cell r="L9292"/>
          <cell r="M9292"/>
        </row>
        <row r="9293">
          <cell r="B9293"/>
          <cell r="C9293"/>
          <cell r="E9293"/>
          <cell r="F9293"/>
          <cell r="G9293"/>
          <cell r="H9293"/>
          <cell r="J9293"/>
          <cell r="L9293"/>
          <cell r="M9293"/>
        </row>
        <row r="9294">
          <cell r="B9294"/>
          <cell r="C9294"/>
          <cell r="E9294"/>
          <cell r="F9294"/>
          <cell r="G9294"/>
          <cell r="H9294"/>
          <cell r="J9294"/>
          <cell r="L9294"/>
          <cell r="M9294"/>
        </row>
        <row r="9295">
          <cell r="B9295"/>
          <cell r="C9295"/>
          <cell r="E9295"/>
          <cell r="F9295"/>
          <cell r="G9295"/>
          <cell r="H9295"/>
          <cell r="J9295"/>
          <cell r="L9295"/>
          <cell r="M9295"/>
        </row>
        <row r="9296">
          <cell r="B9296"/>
          <cell r="C9296"/>
          <cell r="E9296"/>
          <cell r="F9296"/>
          <cell r="G9296"/>
          <cell r="H9296"/>
          <cell r="J9296"/>
          <cell r="L9296"/>
          <cell r="M9296"/>
        </row>
        <row r="9297">
          <cell r="B9297"/>
          <cell r="C9297"/>
          <cell r="E9297"/>
          <cell r="F9297"/>
          <cell r="G9297"/>
          <cell r="H9297"/>
          <cell r="J9297"/>
          <cell r="L9297"/>
          <cell r="M9297"/>
        </row>
        <row r="9298">
          <cell r="B9298"/>
          <cell r="C9298"/>
          <cell r="E9298"/>
          <cell r="F9298"/>
          <cell r="G9298"/>
          <cell r="H9298"/>
          <cell r="J9298"/>
          <cell r="L9298"/>
          <cell r="M9298"/>
        </row>
        <row r="9299">
          <cell r="B9299"/>
          <cell r="C9299"/>
          <cell r="E9299"/>
          <cell r="F9299"/>
          <cell r="G9299"/>
          <cell r="H9299"/>
          <cell r="J9299"/>
          <cell r="L9299"/>
          <cell r="M9299"/>
        </row>
        <row r="9300">
          <cell r="B9300"/>
          <cell r="C9300"/>
          <cell r="E9300"/>
          <cell r="F9300"/>
          <cell r="G9300"/>
          <cell r="H9300"/>
          <cell r="J9300"/>
          <cell r="L9300"/>
          <cell r="M9300"/>
        </row>
        <row r="9301">
          <cell r="B9301"/>
          <cell r="C9301"/>
          <cell r="E9301"/>
          <cell r="F9301"/>
          <cell r="G9301"/>
          <cell r="H9301"/>
          <cell r="J9301"/>
          <cell r="L9301"/>
          <cell r="M9301"/>
        </row>
        <row r="9302">
          <cell r="B9302"/>
          <cell r="C9302"/>
          <cell r="E9302"/>
          <cell r="F9302"/>
          <cell r="G9302"/>
          <cell r="H9302"/>
          <cell r="J9302"/>
          <cell r="L9302"/>
          <cell r="M9302"/>
        </row>
        <row r="9303">
          <cell r="B9303"/>
          <cell r="C9303"/>
          <cell r="E9303"/>
          <cell r="F9303"/>
          <cell r="G9303"/>
          <cell r="H9303"/>
          <cell r="J9303"/>
          <cell r="L9303"/>
          <cell r="M9303"/>
        </row>
        <row r="9304">
          <cell r="B9304"/>
          <cell r="C9304"/>
          <cell r="E9304"/>
          <cell r="F9304"/>
          <cell r="G9304"/>
          <cell r="H9304"/>
          <cell r="J9304"/>
          <cell r="L9304"/>
          <cell r="M9304"/>
        </row>
        <row r="9305">
          <cell r="B9305"/>
          <cell r="C9305"/>
          <cell r="E9305"/>
          <cell r="F9305"/>
          <cell r="G9305"/>
          <cell r="H9305"/>
          <cell r="J9305"/>
          <cell r="L9305"/>
          <cell r="M9305"/>
        </row>
        <row r="9306">
          <cell r="B9306"/>
          <cell r="C9306"/>
          <cell r="E9306"/>
          <cell r="F9306"/>
          <cell r="G9306"/>
          <cell r="H9306"/>
          <cell r="J9306"/>
          <cell r="L9306"/>
          <cell r="M9306"/>
        </row>
        <row r="9307">
          <cell r="B9307"/>
          <cell r="C9307"/>
          <cell r="E9307"/>
          <cell r="F9307"/>
          <cell r="G9307"/>
          <cell r="H9307"/>
          <cell r="J9307"/>
          <cell r="L9307"/>
          <cell r="M9307"/>
        </row>
        <row r="9308">
          <cell r="B9308"/>
          <cell r="C9308"/>
          <cell r="E9308"/>
          <cell r="F9308"/>
          <cell r="G9308"/>
          <cell r="H9308"/>
          <cell r="J9308"/>
          <cell r="L9308"/>
          <cell r="M9308"/>
        </row>
        <row r="9309">
          <cell r="B9309"/>
          <cell r="C9309"/>
          <cell r="E9309"/>
          <cell r="F9309"/>
          <cell r="G9309"/>
          <cell r="H9309"/>
          <cell r="J9309"/>
          <cell r="L9309"/>
          <cell r="M9309"/>
        </row>
        <row r="9310">
          <cell r="B9310"/>
          <cell r="C9310"/>
          <cell r="E9310"/>
          <cell r="F9310"/>
          <cell r="G9310"/>
          <cell r="H9310"/>
          <cell r="J9310"/>
          <cell r="L9310"/>
          <cell r="M9310"/>
        </row>
        <row r="9311">
          <cell r="B9311"/>
          <cell r="C9311"/>
          <cell r="E9311"/>
          <cell r="F9311"/>
          <cell r="G9311"/>
          <cell r="H9311"/>
          <cell r="J9311"/>
          <cell r="L9311"/>
          <cell r="M9311"/>
        </row>
        <row r="9312">
          <cell r="B9312"/>
          <cell r="C9312"/>
          <cell r="E9312"/>
          <cell r="F9312"/>
          <cell r="G9312"/>
          <cell r="H9312"/>
          <cell r="J9312"/>
          <cell r="L9312"/>
          <cell r="M9312"/>
        </row>
        <row r="9313">
          <cell r="B9313"/>
          <cell r="C9313"/>
          <cell r="E9313"/>
          <cell r="F9313"/>
          <cell r="G9313"/>
          <cell r="H9313"/>
          <cell r="J9313"/>
          <cell r="L9313"/>
          <cell r="M9313"/>
        </row>
        <row r="9314">
          <cell r="B9314"/>
          <cell r="C9314"/>
          <cell r="E9314"/>
          <cell r="F9314"/>
          <cell r="G9314"/>
          <cell r="H9314"/>
          <cell r="J9314"/>
          <cell r="L9314"/>
          <cell r="M9314"/>
        </row>
        <row r="9315">
          <cell r="B9315"/>
          <cell r="C9315"/>
          <cell r="E9315"/>
          <cell r="F9315"/>
          <cell r="G9315"/>
          <cell r="H9315"/>
          <cell r="J9315"/>
          <cell r="L9315"/>
          <cell r="M9315"/>
        </row>
        <row r="9316">
          <cell r="B9316"/>
          <cell r="C9316"/>
          <cell r="E9316"/>
          <cell r="F9316"/>
          <cell r="G9316"/>
          <cell r="H9316"/>
          <cell r="J9316"/>
          <cell r="L9316"/>
          <cell r="M9316"/>
        </row>
        <row r="9317">
          <cell r="B9317"/>
          <cell r="C9317"/>
          <cell r="E9317"/>
          <cell r="F9317"/>
          <cell r="G9317"/>
          <cell r="H9317"/>
          <cell r="J9317"/>
          <cell r="L9317"/>
          <cell r="M9317"/>
        </row>
        <row r="9318">
          <cell r="B9318"/>
          <cell r="C9318"/>
          <cell r="E9318"/>
          <cell r="F9318"/>
          <cell r="G9318"/>
          <cell r="H9318"/>
          <cell r="J9318"/>
          <cell r="L9318"/>
          <cell r="M9318"/>
        </row>
        <row r="9319">
          <cell r="B9319"/>
          <cell r="C9319"/>
          <cell r="E9319"/>
          <cell r="F9319"/>
          <cell r="G9319"/>
          <cell r="H9319"/>
          <cell r="J9319"/>
          <cell r="L9319"/>
          <cell r="M9319"/>
        </row>
        <row r="9320">
          <cell r="B9320"/>
          <cell r="C9320"/>
          <cell r="E9320"/>
          <cell r="F9320"/>
          <cell r="G9320"/>
          <cell r="H9320"/>
          <cell r="J9320"/>
          <cell r="L9320"/>
          <cell r="M9320"/>
        </row>
        <row r="9321">
          <cell r="B9321"/>
          <cell r="C9321"/>
          <cell r="E9321"/>
          <cell r="F9321"/>
          <cell r="G9321"/>
          <cell r="H9321"/>
          <cell r="J9321"/>
          <cell r="L9321"/>
          <cell r="M9321"/>
        </row>
        <row r="9322">
          <cell r="B9322"/>
          <cell r="C9322"/>
          <cell r="E9322"/>
          <cell r="F9322"/>
          <cell r="G9322"/>
          <cell r="H9322"/>
          <cell r="J9322"/>
          <cell r="L9322"/>
          <cell r="M9322"/>
        </row>
        <row r="9323">
          <cell r="B9323"/>
          <cell r="C9323"/>
          <cell r="E9323"/>
          <cell r="F9323"/>
          <cell r="G9323"/>
          <cell r="H9323"/>
          <cell r="J9323"/>
          <cell r="L9323"/>
          <cell r="M9323"/>
        </row>
        <row r="9324">
          <cell r="B9324"/>
          <cell r="C9324"/>
          <cell r="E9324"/>
          <cell r="F9324"/>
          <cell r="G9324"/>
          <cell r="H9324"/>
          <cell r="J9324"/>
          <cell r="L9324"/>
          <cell r="M9324"/>
        </row>
        <row r="9325">
          <cell r="B9325"/>
          <cell r="C9325"/>
          <cell r="E9325"/>
          <cell r="F9325"/>
          <cell r="G9325"/>
          <cell r="H9325"/>
          <cell r="J9325"/>
          <cell r="L9325"/>
          <cell r="M9325"/>
        </row>
        <row r="9326">
          <cell r="B9326"/>
          <cell r="C9326"/>
          <cell r="E9326"/>
          <cell r="F9326"/>
          <cell r="G9326"/>
          <cell r="H9326"/>
          <cell r="J9326"/>
          <cell r="L9326"/>
          <cell r="M9326"/>
        </row>
        <row r="9327">
          <cell r="B9327"/>
          <cell r="C9327"/>
          <cell r="E9327"/>
          <cell r="F9327"/>
          <cell r="G9327"/>
          <cell r="H9327"/>
          <cell r="J9327"/>
          <cell r="L9327"/>
          <cell r="M9327"/>
        </row>
        <row r="9328">
          <cell r="B9328"/>
          <cell r="C9328"/>
          <cell r="E9328"/>
          <cell r="F9328"/>
          <cell r="G9328"/>
          <cell r="H9328"/>
          <cell r="J9328"/>
          <cell r="L9328"/>
          <cell r="M9328"/>
        </row>
        <row r="9329">
          <cell r="B9329"/>
          <cell r="C9329"/>
          <cell r="E9329"/>
          <cell r="F9329"/>
          <cell r="G9329"/>
          <cell r="H9329"/>
          <cell r="J9329"/>
          <cell r="L9329"/>
          <cell r="M9329"/>
        </row>
        <row r="9330">
          <cell r="B9330"/>
          <cell r="C9330"/>
          <cell r="E9330"/>
          <cell r="F9330"/>
          <cell r="G9330"/>
          <cell r="H9330"/>
          <cell r="J9330"/>
          <cell r="L9330"/>
          <cell r="M9330"/>
        </row>
        <row r="9331">
          <cell r="B9331"/>
          <cell r="C9331"/>
          <cell r="E9331"/>
          <cell r="F9331"/>
          <cell r="G9331"/>
          <cell r="H9331"/>
          <cell r="J9331"/>
          <cell r="L9331"/>
          <cell r="M9331"/>
        </row>
        <row r="9332">
          <cell r="B9332"/>
          <cell r="C9332"/>
          <cell r="E9332"/>
          <cell r="F9332"/>
          <cell r="G9332"/>
          <cell r="H9332"/>
          <cell r="J9332"/>
          <cell r="L9332"/>
          <cell r="M9332"/>
        </row>
        <row r="9333">
          <cell r="B9333"/>
          <cell r="C9333"/>
          <cell r="E9333"/>
          <cell r="F9333"/>
          <cell r="G9333"/>
          <cell r="H9333"/>
          <cell r="J9333"/>
          <cell r="L9333"/>
          <cell r="M9333"/>
        </row>
        <row r="9334">
          <cell r="B9334"/>
          <cell r="C9334"/>
          <cell r="E9334"/>
          <cell r="F9334"/>
          <cell r="G9334"/>
          <cell r="H9334"/>
          <cell r="J9334"/>
          <cell r="L9334"/>
          <cell r="M9334"/>
        </row>
        <row r="9335">
          <cell r="B9335"/>
          <cell r="C9335"/>
          <cell r="E9335"/>
          <cell r="F9335"/>
          <cell r="G9335"/>
          <cell r="H9335"/>
          <cell r="J9335"/>
          <cell r="L9335"/>
          <cell r="M9335"/>
        </row>
        <row r="9336">
          <cell r="B9336"/>
          <cell r="C9336"/>
          <cell r="E9336"/>
          <cell r="F9336"/>
          <cell r="G9336"/>
          <cell r="H9336"/>
          <cell r="J9336"/>
          <cell r="L9336"/>
          <cell r="M9336"/>
        </row>
        <row r="9337">
          <cell r="B9337"/>
          <cell r="C9337"/>
          <cell r="E9337"/>
          <cell r="F9337"/>
          <cell r="G9337"/>
          <cell r="H9337"/>
          <cell r="J9337"/>
          <cell r="L9337"/>
          <cell r="M9337"/>
        </row>
        <row r="9338">
          <cell r="B9338"/>
          <cell r="C9338"/>
          <cell r="E9338"/>
          <cell r="F9338"/>
          <cell r="G9338"/>
          <cell r="H9338"/>
          <cell r="J9338"/>
          <cell r="L9338"/>
          <cell r="M9338"/>
        </row>
        <row r="9339">
          <cell r="B9339"/>
          <cell r="C9339"/>
          <cell r="E9339"/>
          <cell r="F9339"/>
          <cell r="G9339"/>
          <cell r="H9339"/>
          <cell r="J9339"/>
          <cell r="L9339"/>
          <cell r="M9339"/>
        </row>
        <row r="9340">
          <cell r="B9340"/>
          <cell r="C9340"/>
          <cell r="E9340"/>
          <cell r="F9340"/>
          <cell r="G9340"/>
          <cell r="H9340"/>
          <cell r="J9340"/>
          <cell r="L9340"/>
          <cell r="M9340"/>
        </row>
        <row r="9341">
          <cell r="B9341"/>
          <cell r="C9341"/>
          <cell r="E9341"/>
          <cell r="F9341"/>
          <cell r="G9341"/>
          <cell r="H9341"/>
          <cell r="J9341"/>
          <cell r="L9341"/>
          <cell r="M9341"/>
        </row>
        <row r="9342">
          <cell r="B9342"/>
          <cell r="C9342"/>
          <cell r="E9342"/>
          <cell r="F9342"/>
          <cell r="G9342"/>
          <cell r="H9342"/>
          <cell r="J9342"/>
          <cell r="L9342"/>
          <cell r="M9342"/>
        </row>
        <row r="9343">
          <cell r="B9343"/>
          <cell r="C9343"/>
          <cell r="E9343"/>
          <cell r="F9343"/>
          <cell r="G9343"/>
          <cell r="H9343"/>
          <cell r="J9343"/>
          <cell r="L9343"/>
          <cell r="M9343"/>
        </row>
        <row r="9344">
          <cell r="B9344"/>
          <cell r="C9344"/>
          <cell r="E9344"/>
          <cell r="F9344"/>
          <cell r="G9344"/>
          <cell r="H9344"/>
          <cell r="J9344"/>
          <cell r="L9344"/>
          <cell r="M9344"/>
        </row>
        <row r="9345">
          <cell r="B9345"/>
          <cell r="C9345"/>
          <cell r="E9345"/>
          <cell r="F9345"/>
          <cell r="G9345"/>
          <cell r="H9345"/>
          <cell r="J9345"/>
          <cell r="L9345"/>
          <cell r="M9345"/>
        </row>
        <row r="9346">
          <cell r="B9346"/>
          <cell r="C9346"/>
          <cell r="E9346"/>
          <cell r="F9346"/>
          <cell r="G9346"/>
          <cell r="H9346"/>
          <cell r="J9346"/>
          <cell r="L9346"/>
          <cell r="M9346"/>
        </row>
        <row r="9347">
          <cell r="B9347"/>
          <cell r="C9347"/>
          <cell r="E9347"/>
          <cell r="F9347"/>
          <cell r="G9347"/>
          <cell r="H9347"/>
          <cell r="J9347"/>
          <cell r="L9347"/>
          <cell r="M9347"/>
        </row>
        <row r="9348">
          <cell r="B9348"/>
          <cell r="C9348"/>
          <cell r="E9348"/>
          <cell r="F9348"/>
          <cell r="G9348"/>
          <cell r="H9348"/>
          <cell r="J9348"/>
          <cell r="L9348"/>
          <cell r="M9348"/>
        </row>
        <row r="9349">
          <cell r="B9349"/>
          <cell r="C9349"/>
          <cell r="E9349"/>
          <cell r="F9349"/>
          <cell r="G9349"/>
          <cell r="H9349"/>
          <cell r="J9349"/>
          <cell r="L9349"/>
          <cell r="M9349"/>
        </row>
        <row r="9350">
          <cell r="B9350"/>
          <cell r="C9350"/>
          <cell r="E9350"/>
          <cell r="F9350"/>
          <cell r="G9350"/>
          <cell r="H9350"/>
          <cell r="J9350"/>
          <cell r="L9350"/>
          <cell r="M9350"/>
        </row>
        <row r="9351">
          <cell r="B9351"/>
          <cell r="C9351"/>
          <cell r="E9351"/>
          <cell r="F9351"/>
          <cell r="G9351"/>
          <cell r="H9351"/>
          <cell r="J9351"/>
          <cell r="L9351"/>
          <cell r="M9351"/>
        </row>
        <row r="9352">
          <cell r="B9352"/>
          <cell r="C9352"/>
          <cell r="E9352"/>
          <cell r="F9352"/>
          <cell r="G9352"/>
          <cell r="H9352"/>
          <cell r="J9352"/>
          <cell r="L9352"/>
          <cell r="M9352"/>
        </row>
        <row r="9353">
          <cell r="B9353"/>
          <cell r="C9353"/>
          <cell r="E9353"/>
          <cell r="F9353"/>
          <cell r="G9353"/>
          <cell r="H9353"/>
          <cell r="J9353"/>
          <cell r="L9353"/>
          <cell r="M9353"/>
        </row>
        <row r="9354">
          <cell r="B9354"/>
          <cell r="C9354"/>
          <cell r="E9354"/>
          <cell r="F9354"/>
          <cell r="G9354"/>
          <cell r="H9354"/>
          <cell r="J9354"/>
          <cell r="L9354"/>
          <cell r="M9354"/>
        </row>
        <row r="9355">
          <cell r="B9355"/>
          <cell r="C9355"/>
          <cell r="E9355"/>
          <cell r="F9355"/>
          <cell r="G9355"/>
          <cell r="H9355"/>
          <cell r="J9355"/>
          <cell r="L9355"/>
          <cell r="M9355"/>
        </row>
        <row r="9356">
          <cell r="B9356"/>
          <cell r="C9356"/>
          <cell r="E9356"/>
          <cell r="F9356"/>
          <cell r="G9356"/>
          <cell r="H9356"/>
          <cell r="J9356"/>
          <cell r="L9356"/>
          <cell r="M9356"/>
        </row>
        <row r="9357">
          <cell r="B9357"/>
          <cell r="C9357"/>
          <cell r="E9357"/>
          <cell r="F9357"/>
          <cell r="G9357"/>
          <cell r="H9357"/>
          <cell r="J9357"/>
          <cell r="L9357"/>
          <cell r="M9357"/>
        </row>
        <row r="9358">
          <cell r="B9358"/>
          <cell r="C9358"/>
          <cell r="E9358"/>
          <cell r="F9358"/>
          <cell r="G9358"/>
          <cell r="H9358"/>
          <cell r="J9358"/>
          <cell r="L9358"/>
          <cell r="M9358"/>
        </row>
        <row r="9359">
          <cell r="B9359"/>
          <cell r="C9359"/>
          <cell r="E9359"/>
          <cell r="F9359"/>
          <cell r="G9359"/>
          <cell r="H9359"/>
          <cell r="J9359"/>
          <cell r="L9359"/>
          <cell r="M9359"/>
        </row>
        <row r="9360">
          <cell r="B9360"/>
          <cell r="C9360"/>
          <cell r="E9360"/>
          <cell r="F9360"/>
          <cell r="G9360"/>
          <cell r="H9360"/>
          <cell r="J9360"/>
          <cell r="L9360"/>
          <cell r="M9360"/>
        </row>
        <row r="9361">
          <cell r="B9361"/>
          <cell r="C9361"/>
          <cell r="E9361"/>
          <cell r="F9361"/>
          <cell r="G9361"/>
          <cell r="H9361"/>
          <cell r="J9361"/>
          <cell r="L9361"/>
          <cell r="M9361"/>
        </row>
        <row r="9362">
          <cell r="B9362"/>
          <cell r="C9362"/>
          <cell r="E9362"/>
          <cell r="F9362"/>
          <cell r="G9362"/>
          <cell r="H9362"/>
          <cell r="J9362"/>
          <cell r="L9362"/>
          <cell r="M9362"/>
        </row>
        <row r="9363">
          <cell r="B9363"/>
          <cell r="C9363"/>
          <cell r="E9363"/>
          <cell r="F9363"/>
          <cell r="G9363"/>
          <cell r="H9363"/>
          <cell r="J9363"/>
          <cell r="L9363"/>
          <cell r="M9363"/>
        </row>
        <row r="9364">
          <cell r="B9364"/>
          <cell r="C9364"/>
          <cell r="E9364"/>
          <cell r="F9364"/>
          <cell r="G9364"/>
          <cell r="H9364"/>
          <cell r="J9364"/>
          <cell r="L9364"/>
          <cell r="M9364"/>
        </row>
        <row r="9365">
          <cell r="B9365"/>
          <cell r="C9365"/>
          <cell r="E9365"/>
          <cell r="F9365"/>
          <cell r="G9365"/>
          <cell r="H9365"/>
          <cell r="J9365"/>
          <cell r="L9365"/>
          <cell r="M9365"/>
        </row>
        <row r="9366">
          <cell r="B9366"/>
          <cell r="C9366"/>
          <cell r="E9366"/>
          <cell r="F9366"/>
          <cell r="G9366"/>
          <cell r="H9366"/>
          <cell r="J9366"/>
          <cell r="L9366"/>
          <cell r="M9366"/>
        </row>
        <row r="9367">
          <cell r="B9367"/>
          <cell r="C9367"/>
          <cell r="E9367"/>
          <cell r="F9367"/>
          <cell r="G9367"/>
          <cell r="H9367"/>
          <cell r="J9367"/>
          <cell r="L9367"/>
          <cell r="M9367"/>
        </row>
        <row r="9368">
          <cell r="B9368"/>
          <cell r="C9368"/>
          <cell r="E9368"/>
          <cell r="F9368"/>
          <cell r="G9368"/>
          <cell r="H9368"/>
          <cell r="J9368"/>
          <cell r="L9368"/>
          <cell r="M9368"/>
        </row>
        <row r="9369">
          <cell r="B9369"/>
          <cell r="C9369"/>
          <cell r="E9369"/>
          <cell r="F9369"/>
          <cell r="G9369"/>
          <cell r="H9369"/>
          <cell r="J9369"/>
          <cell r="L9369"/>
          <cell r="M9369"/>
        </row>
        <row r="9370">
          <cell r="B9370"/>
          <cell r="C9370"/>
          <cell r="E9370"/>
          <cell r="F9370"/>
          <cell r="G9370"/>
          <cell r="H9370"/>
          <cell r="J9370"/>
          <cell r="L9370"/>
          <cell r="M9370"/>
        </row>
        <row r="9371">
          <cell r="B9371"/>
          <cell r="C9371"/>
          <cell r="E9371"/>
          <cell r="F9371"/>
          <cell r="G9371"/>
          <cell r="H9371"/>
          <cell r="J9371"/>
          <cell r="L9371"/>
          <cell r="M9371"/>
        </row>
        <row r="9372">
          <cell r="B9372"/>
          <cell r="C9372"/>
          <cell r="E9372"/>
          <cell r="F9372"/>
          <cell r="G9372"/>
          <cell r="H9372"/>
          <cell r="J9372"/>
          <cell r="L9372"/>
          <cell r="M9372"/>
        </row>
        <row r="9373">
          <cell r="B9373"/>
          <cell r="C9373"/>
          <cell r="E9373"/>
          <cell r="F9373"/>
          <cell r="G9373"/>
          <cell r="H9373"/>
          <cell r="J9373"/>
          <cell r="L9373"/>
          <cell r="M9373"/>
        </row>
        <row r="9374">
          <cell r="B9374"/>
          <cell r="C9374"/>
          <cell r="E9374"/>
          <cell r="F9374"/>
          <cell r="G9374"/>
          <cell r="H9374"/>
          <cell r="J9374"/>
          <cell r="L9374"/>
          <cell r="M9374"/>
        </row>
        <row r="9375">
          <cell r="B9375"/>
          <cell r="C9375"/>
          <cell r="E9375"/>
          <cell r="F9375"/>
          <cell r="G9375"/>
          <cell r="H9375"/>
          <cell r="J9375"/>
          <cell r="L9375"/>
          <cell r="M9375"/>
        </row>
        <row r="9376">
          <cell r="B9376"/>
          <cell r="C9376"/>
          <cell r="E9376"/>
          <cell r="F9376"/>
          <cell r="G9376"/>
          <cell r="H9376"/>
          <cell r="J9376"/>
          <cell r="L9376"/>
          <cell r="M9376"/>
        </row>
        <row r="9377">
          <cell r="B9377"/>
          <cell r="C9377"/>
          <cell r="E9377"/>
          <cell r="F9377"/>
          <cell r="G9377"/>
          <cell r="H9377"/>
          <cell r="J9377"/>
          <cell r="L9377"/>
          <cell r="M9377"/>
        </row>
        <row r="9378">
          <cell r="B9378"/>
          <cell r="C9378"/>
          <cell r="E9378"/>
          <cell r="F9378"/>
          <cell r="G9378"/>
          <cell r="H9378"/>
          <cell r="J9378"/>
          <cell r="L9378"/>
          <cell r="M9378"/>
        </row>
        <row r="9379">
          <cell r="B9379"/>
          <cell r="C9379"/>
          <cell r="E9379"/>
          <cell r="F9379"/>
          <cell r="G9379"/>
          <cell r="H9379"/>
          <cell r="J9379"/>
          <cell r="L9379"/>
          <cell r="M9379"/>
        </row>
        <row r="9380">
          <cell r="B9380"/>
          <cell r="C9380"/>
          <cell r="E9380"/>
          <cell r="F9380"/>
          <cell r="G9380"/>
          <cell r="H9380"/>
          <cell r="J9380"/>
          <cell r="L9380"/>
          <cell r="M9380"/>
        </row>
        <row r="9381">
          <cell r="B9381"/>
          <cell r="C9381"/>
          <cell r="E9381"/>
          <cell r="F9381"/>
          <cell r="G9381"/>
          <cell r="H9381"/>
          <cell r="J9381"/>
          <cell r="L9381"/>
          <cell r="M9381"/>
        </row>
        <row r="9382">
          <cell r="B9382"/>
          <cell r="C9382"/>
          <cell r="E9382"/>
          <cell r="F9382"/>
          <cell r="G9382"/>
          <cell r="H9382"/>
          <cell r="J9382"/>
          <cell r="L9382"/>
          <cell r="M9382"/>
        </row>
        <row r="9383">
          <cell r="B9383"/>
          <cell r="C9383"/>
          <cell r="E9383"/>
          <cell r="F9383"/>
          <cell r="G9383"/>
          <cell r="H9383"/>
          <cell r="J9383"/>
          <cell r="L9383"/>
          <cell r="M9383"/>
        </row>
        <row r="9384">
          <cell r="B9384"/>
          <cell r="C9384"/>
          <cell r="E9384"/>
          <cell r="F9384"/>
          <cell r="G9384"/>
          <cell r="H9384"/>
          <cell r="J9384"/>
          <cell r="L9384"/>
          <cell r="M9384"/>
        </row>
        <row r="9385">
          <cell r="B9385"/>
          <cell r="C9385"/>
          <cell r="E9385"/>
          <cell r="F9385"/>
          <cell r="G9385"/>
          <cell r="H9385"/>
          <cell r="J9385"/>
          <cell r="L9385"/>
          <cell r="M9385"/>
        </row>
        <row r="9386">
          <cell r="B9386"/>
          <cell r="C9386"/>
          <cell r="E9386"/>
          <cell r="F9386"/>
          <cell r="G9386"/>
          <cell r="H9386"/>
          <cell r="J9386"/>
          <cell r="L9386"/>
          <cell r="M9386"/>
        </row>
        <row r="9387">
          <cell r="B9387"/>
          <cell r="C9387"/>
          <cell r="E9387"/>
          <cell r="F9387"/>
          <cell r="G9387"/>
          <cell r="H9387"/>
          <cell r="J9387"/>
          <cell r="L9387"/>
          <cell r="M9387"/>
        </row>
        <row r="9388">
          <cell r="B9388"/>
          <cell r="C9388"/>
          <cell r="E9388"/>
          <cell r="F9388"/>
          <cell r="G9388"/>
          <cell r="H9388"/>
          <cell r="J9388"/>
          <cell r="L9388"/>
          <cell r="M9388"/>
        </row>
        <row r="9389">
          <cell r="B9389"/>
          <cell r="C9389"/>
          <cell r="E9389"/>
          <cell r="F9389"/>
          <cell r="G9389"/>
          <cell r="H9389"/>
          <cell r="J9389"/>
          <cell r="L9389"/>
          <cell r="M9389"/>
        </row>
        <row r="9390">
          <cell r="B9390"/>
          <cell r="C9390"/>
          <cell r="E9390"/>
          <cell r="F9390"/>
          <cell r="G9390"/>
          <cell r="H9390"/>
          <cell r="J9390"/>
          <cell r="L9390"/>
          <cell r="M9390"/>
        </row>
        <row r="9391">
          <cell r="B9391"/>
          <cell r="C9391"/>
          <cell r="E9391"/>
          <cell r="F9391"/>
          <cell r="G9391"/>
          <cell r="H9391"/>
          <cell r="J9391"/>
          <cell r="L9391"/>
          <cell r="M9391"/>
        </row>
        <row r="9392">
          <cell r="B9392"/>
          <cell r="C9392"/>
          <cell r="E9392"/>
          <cell r="F9392"/>
          <cell r="G9392"/>
          <cell r="H9392"/>
          <cell r="J9392"/>
          <cell r="L9392"/>
          <cell r="M9392"/>
        </row>
        <row r="9393">
          <cell r="B9393"/>
          <cell r="C9393"/>
          <cell r="E9393"/>
          <cell r="F9393"/>
          <cell r="G9393"/>
          <cell r="H9393"/>
          <cell r="J9393"/>
          <cell r="L9393"/>
          <cell r="M9393"/>
        </row>
        <row r="9394">
          <cell r="B9394"/>
          <cell r="C9394"/>
          <cell r="E9394"/>
          <cell r="F9394"/>
          <cell r="G9394"/>
          <cell r="H9394"/>
          <cell r="J9394"/>
          <cell r="L9394"/>
          <cell r="M9394"/>
        </row>
        <row r="9395">
          <cell r="B9395"/>
          <cell r="C9395"/>
          <cell r="E9395"/>
          <cell r="F9395"/>
          <cell r="G9395"/>
          <cell r="H9395"/>
          <cell r="J9395"/>
          <cell r="L9395"/>
          <cell r="M9395"/>
        </row>
        <row r="9396">
          <cell r="B9396"/>
          <cell r="C9396"/>
          <cell r="E9396"/>
          <cell r="F9396"/>
          <cell r="G9396"/>
          <cell r="H9396"/>
          <cell r="J9396"/>
          <cell r="L9396"/>
          <cell r="M9396"/>
        </row>
        <row r="9397">
          <cell r="B9397"/>
          <cell r="C9397"/>
          <cell r="E9397"/>
          <cell r="F9397"/>
          <cell r="G9397"/>
          <cell r="H9397"/>
          <cell r="J9397"/>
          <cell r="L9397"/>
          <cell r="M9397"/>
        </row>
        <row r="9398">
          <cell r="B9398"/>
          <cell r="C9398"/>
          <cell r="E9398"/>
          <cell r="F9398"/>
          <cell r="G9398"/>
          <cell r="H9398"/>
          <cell r="J9398"/>
          <cell r="L9398"/>
          <cell r="M9398"/>
        </row>
        <row r="9399">
          <cell r="B9399"/>
          <cell r="C9399"/>
          <cell r="E9399"/>
          <cell r="F9399"/>
          <cell r="G9399"/>
          <cell r="H9399"/>
          <cell r="J9399"/>
          <cell r="L9399"/>
          <cell r="M9399"/>
        </row>
        <row r="9400">
          <cell r="B9400"/>
          <cell r="C9400"/>
          <cell r="E9400"/>
          <cell r="F9400"/>
          <cell r="G9400"/>
          <cell r="H9400"/>
          <cell r="J9400"/>
          <cell r="L9400"/>
          <cell r="M9400"/>
        </row>
        <row r="9401">
          <cell r="B9401"/>
          <cell r="C9401"/>
          <cell r="E9401"/>
          <cell r="F9401"/>
          <cell r="G9401"/>
          <cell r="H9401"/>
          <cell r="J9401"/>
          <cell r="L9401"/>
          <cell r="M9401"/>
        </row>
        <row r="9402">
          <cell r="B9402"/>
          <cell r="C9402"/>
          <cell r="E9402"/>
          <cell r="F9402"/>
          <cell r="G9402"/>
          <cell r="H9402"/>
          <cell r="J9402"/>
          <cell r="L9402"/>
          <cell r="M9402"/>
        </row>
        <row r="9403">
          <cell r="B9403"/>
          <cell r="C9403"/>
          <cell r="E9403"/>
          <cell r="F9403"/>
          <cell r="G9403"/>
          <cell r="H9403"/>
          <cell r="J9403"/>
          <cell r="L9403"/>
          <cell r="M9403"/>
        </row>
        <row r="9404">
          <cell r="B9404"/>
          <cell r="C9404"/>
          <cell r="E9404"/>
          <cell r="F9404"/>
          <cell r="G9404"/>
          <cell r="H9404"/>
          <cell r="J9404"/>
          <cell r="L9404"/>
          <cell r="M9404"/>
        </row>
        <row r="9405">
          <cell r="B9405"/>
          <cell r="C9405"/>
          <cell r="E9405"/>
          <cell r="F9405"/>
          <cell r="G9405"/>
          <cell r="H9405"/>
          <cell r="J9405"/>
          <cell r="L9405"/>
          <cell r="M9405"/>
        </row>
        <row r="9406">
          <cell r="B9406"/>
          <cell r="C9406"/>
          <cell r="E9406"/>
          <cell r="F9406"/>
          <cell r="G9406"/>
          <cell r="H9406"/>
          <cell r="J9406"/>
          <cell r="L9406"/>
          <cell r="M9406"/>
        </row>
        <row r="9407">
          <cell r="B9407"/>
          <cell r="C9407"/>
          <cell r="E9407"/>
          <cell r="F9407"/>
          <cell r="G9407"/>
          <cell r="H9407"/>
          <cell r="J9407"/>
          <cell r="L9407"/>
          <cell r="M9407"/>
        </row>
        <row r="9408">
          <cell r="B9408"/>
          <cell r="C9408"/>
          <cell r="E9408"/>
          <cell r="F9408"/>
          <cell r="G9408"/>
          <cell r="H9408"/>
          <cell r="J9408"/>
          <cell r="L9408"/>
          <cell r="M9408"/>
        </row>
        <row r="9409">
          <cell r="B9409"/>
          <cell r="C9409"/>
          <cell r="E9409"/>
          <cell r="F9409"/>
          <cell r="G9409"/>
          <cell r="H9409"/>
          <cell r="J9409"/>
          <cell r="L9409"/>
          <cell r="M9409"/>
        </row>
        <row r="9410">
          <cell r="B9410"/>
          <cell r="C9410"/>
          <cell r="E9410"/>
          <cell r="F9410"/>
          <cell r="G9410"/>
          <cell r="H9410"/>
          <cell r="J9410"/>
          <cell r="L9410"/>
          <cell r="M9410"/>
        </row>
        <row r="9411">
          <cell r="B9411"/>
          <cell r="C9411"/>
          <cell r="E9411"/>
          <cell r="F9411"/>
          <cell r="G9411"/>
          <cell r="H9411"/>
          <cell r="J9411"/>
          <cell r="L9411"/>
          <cell r="M9411"/>
        </row>
        <row r="9412">
          <cell r="B9412"/>
          <cell r="C9412"/>
          <cell r="E9412"/>
          <cell r="F9412"/>
          <cell r="G9412"/>
          <cell r="H9412"/>
          <cell r="J9412"/>
          <cell r="L9412"/>
          <cell r="M9412"/>
        </row>
        <row r="9413">
          <cell r="B9413"/>
          <cell r="C9413"/>
          <cell r="E9413"/>
          <cell r="F9413"/>
          <cell r="G9413"/>
          <cell r="H9413"/>
          <cell r="J9413"/>
          <cell r="L9413"/>
          <cell r="M9413"/>
        </row>
        <row r="9414">
          <cell r="B9414"/>
          <cell r="C9414"/>
          <cell r="E9414"/>
          <cell r="F9414"/>
          <cell r="G9414"/>
          <cell r="H9414"/>
          <cell r="J9414"/>
          <cell r="L9414"/>
          <cell r="M9414"/>
        </row>
        <row r="9415">
          <cell r="B9415"/>
          <cell r="C9415"/>
          <cell r="E9415"/>
          <cell r="F9415"/>
          <cell r="G9415"/>
          <cell r="H9415"/>
          <cell r="J9415"/>
          <cell r="L9415"/>
          <cell r="M9415"/>
        </row>
        <row r="9416">
          <cell r="B9416"/>
          <cell r="C9416"/>
          <cell r="E9416"/>
          <cell r="F9416"/>
          <cell r="G9416"/>
          <cell r="H9416"/>
          <cell r="J9416"/>
          <cell r="L9416"/>
          <cell r="M9416"/>
        </row>
        <row r="9417">
          <cell r="B9417"/>
          <cell r="C9417"/>
          <cell r="E9417"/>
          <cell r="F9417"/>
          <cell r="G9417"/>
          <cell r="H9417"/>
          <cell r="J9417"/>
          <cell r="L9417"/>
          <cell r="M9417"/>
        </row>
        <row r="9418">
          <cell r="B9418"/>
          <cell r="C9418"/>
          <cell r="E9418"/>
          <cell r="F9418"/>
          <cell r="G9418"/>
          <cell r="H9418"/>
          <cell r="J9418"/>
          <cell r="L9418"/>
          <cell r="M9418"/>
        </row>
        <row r="9419">
          <cell r="B9419"/>
          <cell r="C9419"/>
          <cell r="E9419"/>
          <cell r="F9419"/>
          <cell r="G9419"/>
          <cell r="H9419"/>
          <cell r="J9419"/>
          <cell r="L9419"/>
          <cell r="M9419"/>
        </row>
        <row r="9420">
          <cell r="B9420"/>
          <cell r="C9420"/>
          <cell r="E9420"/>
          <cell r="F9420"/>
          <cell r="G9420"/>
          <cell r="H9420"/>
          <cell r="J9420"/>
          <cell r="L9420"/>
          <cell r="M9420"/>
        </row>
        <row r="9421">
          <cell r="B9421"/>
          <cell r="C9421"/>
          <cell r="E9421"/>
          <cell r="F9421"/>
          <cell r="G9421"/>
          <cell r="H9421"/>
          <cell r="J9421"/>
          <cell r="L9421"/>
          <cell r="M9421"/>
        </row>
        <row r="9422">
          <cell r="B9422"/>
          <cell r="C9422"/>
          <cell r="E9422"/>
          <cell r="F9422"/>
          <cell r="G9422"/>
          <cell r="H9422"/>
          <cell r="J9422"/>
          <cell r="L9422"/>
          <cell r="M9422"/>
        </row>
        <row r="9423">
          <cell r="B9423"/>
          <cell r="C9423"/>
          <cell r="E9423"/>
          <cell r="F9423"/>
          <cell r="G9423"/>
          <cell r="H9423"/>
          <cell r="J9423"/>
          <cell r="L9423"/>
          <cell r="M9423"/>
        </row>
        <row r="9424">
          <cell r="B9424"/>
          <cell r="C9424"/>
          <cell r="E9424"/>
          <cell r="F9424"/>
          <cell r="G9424"/>
          <cell r="H9424"/>
          <cell r="J9424"/>
          <cell r="L9424"/>
          <cell r="M9424"/>
        </row>
        <row r="9425">
          <cell r="B9425"/>
          <cell r="C9425"/>
          <cell r="E9425"/>
          <cell r="F9425"/>
          <cell r="G9425"/>
          <cell r="H9425"/>
          <cell r="J9425"/>
          <cell r="L9425"/>
          <cell r="M9425"/>
        </row>
        <row r="9426">
          <cell r="B9426"/>
          <cell r="C9426"/>
          <cell r="E9426"/>
          <cell r="F9426"/>
          <cell r="G9426"/>
          <cell r="H9426"/>
          <cell r="J9426"/>
          <cell r="L9426"/>
          <cell r="M9426"/>
        </row>
        <row r="9427">
          <cell r="B9427"/>
          <cell r="C9427"/>
          <cell r="E9427"/>
          <cell r="F9427"/>
          <cell r="G9427"/>
          <cell r="H9427"/>
          <cell r="J9427"/>
          <cell r="L9427"/>
          <cell r="M9427"/>
        </row>
        <row r="9428">
          <cell r="B9428"/>
          <cell r="C9428"/>
          <cell r="E9428"/>
          <cell r="F9428"/>
          <cell r="G9428"/>
          <cell r="H9428"/>
          <cell r="J9428"/>
          <cell r="L9428"/>
          <cell r="M9428"/>
        </row>
        <row r="9429">
          <cell r="B9429"/>
          <cell r="C9429"/>
          <cell r="E9429"/>
          <cell r="F9429"/>
          <cell r="G9429"/>
          <cell r="H9429"/>
          <cell r="J9429"/>
          <cell r="L9429"/>
          <cell r="M9429"/>
        </row>
        <row r="9430">
          <cell r="B9430"/>
          <cell r="C9430"/>
          <cell r="E9430"/>
          <cell r="F9430"/>
          <cell r="G9430"/>
          <cell r="H9430"/>
          <cell r="J9430"/>
          <cell r="L9430"/>
          <cell r="M9430"/>
        </row>
        <row r="9431">
          <cell r="B9431"/>
          <cell r="C9431"/>
          <cell r="E9431"/>
          <cell r="F9431"/>
          <cell r="G9431"/>
          <cell r="H9431"/>
          <cell r="J9431"/>
          <cell r="L9431"/>
          <cell r="M9431"/>
        </row>
        <row r="9432">
          <cell r="B9432"/>
          <cell r="C9432"/>
          <cell r="E9432"/>
          <cell r="F9432"/>
          <cell r="G9432"/>
          <cell r="H9432"/>
          <cell r="J9432"/>
          <cell r="L9432"/>
          <cell r="M9432"/>
        </row>
        <row r="9433">
          <cell r="B9433"/>
          <cell r="C9433"/>
          <cell r="E9433"/>
          <cell r="F9433"/>
          <cell r="G9433"/>
          <cell r="H9433"/>
          <cell r="J9433"/>
          <cell r="L9433"/>
          <cell r="M9433"/>
        </row>
        <row r="9434">
          <cell r="B9434"/>
          <cell r="C9434"/>
          <cell r="E9434"/>
          <cell r="F9434"/>
          <cell r="G9434"/>
          <cell r="H9434"/>
          <cell r="J9434"/>
          <cell r="L9434"/>
          <cell r="M9434"/>
        </row>
        <row r="9435">
          <cell r="B9435"/>
          <cell r="C9435"/>
          <cell r="E9435"/>
          <cell r="F9435"/>
          <cell r="G9435"/>
          <cell r="H9435"/>
          <cell r="J9435"/>
          <cell r="L9435"/>
          <cell r="M9435"/>
        </row>
        <row r="9436">
          <cell r="B9436"/>
          <cell r="C9436"/>
          <cell r="E9436"/>
          <cell r="F9436"/>
          <cell r="G9436"/>
          <cell r="H9436"/>
          <cell r="J9436"/>
          <cell r="L9436"/>
          <cell r="M9436"/>
        </row>
        <row r="9437">
          <cell r="B9437"/>
          <cell r="C9437"/>
          <cell r="E9437"/>
          <cell r="F9437"/>
          <cell r="G9437"/>
          <cell r="H9437"/>
          <cell r="J9437"/>
          <cell r="L9437"/>
          <cell r="M9437"/>
        </row>
        <row r="9438">
          <cell r="B9438"/>
          <cell r="C9438"/>
          <cell r="E9438"/>
          <cell r="F9438"/>
          <cell r="G9438"/>
          <cell r="H9438"/>
          <cell r="J9438"/>
          <cell r="L9438"/>
          <cell r="M9438"/>
        </row>
        <row r="9439">
          <cell r="B9439"/>
          <cell r="C9439"/>
          <cell r="E9439"/>
          <cell r="F9439"/>
          <cell r="G9439"/>
          <cell r="H9439"/>
          <cell r="J9439"/>
          <cell r="L9439"/>
          <cell r="M9439"/>
        </row>
        <row r="9440">
          <cell r="B9440"/>
          <cell r="C9440"/>
          <cell r="E9440"/>
          <cell r="F9440"/>
          <cell r="G9440"/>
          <cell r="H9440"/>
          <cell r="J9440"/>
          <cell r="L9440"/>
          <cell r="M9440"/>
        </row>
        <row r="9441">
          <cell r="B9441"/>
          <cell r="C9441"/>
          <cell r="E9441"/>
          <cell r="F9441"/>
          <cell r="G9441"/>
          <cell r="H9441"/>
          <cell r="J9441"/>
          <cell r="L9441"/>
          <cell r="M9441"/>
        </row>
        <row r="9442">
          <cell r="B9442"/>
          <cell r="C9442"/>
          <cell r="E9442"/>
          <cell r="F9442"/>
          <cell r="G9442"/>
          <cell r="H9442"/>
          <cell r="J9442"/>
          <cell r="L9442"/>
          <cell r="M9442"/>
        </row>
        <row r="9443">
          <cell r="B9443"/>
          <cell r="C9443"/>
          <cell r="E9443"/>
          <cell r="F9443"/>
          <cell r="G9443"/>
          <cell r="H9443"/>
          <cell r="J9443"/>
          <cell r="L9443"/>
          <cell r="M9443"/>
        </row>
        <row r="9444">
          <cell r="B9444"/>
          <cell r="C9444"/>
          <cell r="E9444"/>
          <cell r="F9444"/>
          <cell r="G9444"/>
          <cell r="H9444"/>
          <cell r="J9444"/>
          <cell r="L9444"/>
          <cell r="M9444"/>
        </row>
        <row r="9445">
          <cell r="B9445"/>
          <cell r="C9445"/>
          <cell r="E9445"/>
          <cell r="F9445"/>
          <cell r="G9445"/>
          <cell r="H9445"/>
          <cell r="J9445"/>
          <cell r="L9445"/>
          <cell r="M9445"/>
        </row>
        <row r="9446">
          <cell r="B9446"/>
          <cell r="C9446"/>
          <cell r="E9446"/>
          <cell r="F9446"/>
          <cell r="G9446"/>
          <cell r="H9446"/>
          <cell r="J9446"/>
          <cell r="L9446"/>
          <cell r="M9446"/>
        </row>
        <row r="9447">
          <cell r="B9447"/>
          <cell r="C9447"/>
          <cell r="E9447"/>
          <cell r="F9447"/>
          <cell r="G9447"/>
          <cell r="H9447"/>
          <cell r="J9447"/>
          <cell r="L9447"/>
          <cell r="M9447"/>
        </row>
        <row r="9448">
          <cell r="B9448"/>
          <cell r="C9448"/>
          <cell r="E9448"/>
          <cell r="F9448"/>
          <cell r="G9448"/>
          <cell r="H9448"/>
          <cell r="J9448"/>
          <cell r="L9448"/>
          <cell r="M9448"/>
        </row>
        <row r="9449">
          <cell r="B9449"/>
          <cell r="C9449"/>
          <cell r="E9449"/>
          <cell r="F9449"/>
          <cell r="G9449"/>
          <cell r="H9449"/>
          <cell r="J9449"/>
          <cell r="L9449"/>
          <cell r="M9449"/>
        </row>
        <row r="9450">
          <cell r="B9450"/>
          <cell r="C9450"/>
          <cell r="E9450"/>
          <cell r="F9450"/>
          <cell r="G9450"/>
          <cell r="H9450"/>
          <cell r="J9450"/>
          <cell r="L9450"/>
          <cell r="M9450"/>
        </row>
        <row r="9451">
          <cell r="B9451"/>
          <cell r="C9451"/>
          <cell r="E9451"/>
          <cell r="F9451"/>
          <cell r="G9451"/>
          <cell r="H9451"/>
          <cell r="J9451"/>
          <cell r="L9451"/>
          <cell r="M9451"/>
        </row>
        <row r="9452">
          <cell r="B9452"/>
          <cell r="C9452"/>
          <cell r="E9452"/>
          <cell r="F9452"/>
          <cell r="G9452"/>
          <cell r="H9452"/>
          <cell r="J9452"/>
          <cell r="L9452"/>
          <cell r="M9452"/>
        </row>
        <row r="9453">
          <cell r="B9453"/>
          <cell r="C9453"/>
          <cell r="E9453"/>
          <cell r="F9453"/>
          <cell r="G9453"/>
          <cell r="H9453"/>
          <cell r="J9453"/>
          <cell r="L9453"/>
          <cell r="M9453"/>
        </row>
        <row r="9454">
          <cell r="B9454"/>
          <cell r="C9454"/>
          <cell r="E9454"/>
          <cell r="F9454"/>
          <cell r="G9454"/>
          <cell r="H9454"/>
          <cell r="J9454"/>
          <cell r="L9454"/>
          <cell r="M9454"/>
        </row>
        <row r="9455">
          <cell r="B9455"/>
          <cell r="C9455"/>
          <cell r="E9455"/>
          <cell r="F9455"/>
          <cell r="G9455"/>
          <cell r="H9455"/>
          <cell r="J9455"/>
          <cell r="L9455"/>
          <cell r="M9455"/>
        </row>
        <row r="9456">
          <cell r="B9456"/>
          <cell r="C9456"/>
          <cell r="E9456"/>
          <cell r="F9456"/>
          <cell r="G9456"/>
          <cell r="H9456"/>
          <cell r="J9456"/>
          <cell r="L9456"/>
          <cell r="M9456"/>
        </row>
        <row r="9457">
          <cell r="B9457"/>
          <cell r="C9457"/>
          <cell r="E9457"/>
          <cell r="F9457"/>
          <cell r="G9457"/>
          <cell r="H9457"/>
          <cell r="J9457"/>
          <cell r="L9457"/>
          <cell r="M9457"/>
        </row>
        <row r="9458">
          <cell r="B9458"/>
          <cell r="C9458"/>
          <cell r="E9458"/>
          <cell r="F9458"/>
          <cell r="G9458"/>
          <cell r="H9458"/>
          <cell r="J9458"/>
          <cell r="L9458"/>
          <cell r="M9458"/>
        </row>
        <row r="9459">
          <cell r="B9459"/>
          <cell r="C9459"/>
          <cell r="E9459"/>
          <cell r="F9459"/>
          <cell r="G9459"/>
          <cell r="H9459"/>
          <cell r="J9459"/>
          <cell r="L9459"/>
          <cell r="M9459"/>
        </row>
        <row r="9460">
          <cell r="B9460"/>
          <cell r="C9460"/>
          <cell r="E9460"/>
          <cell r="F9460"/>
          <cell r="G9460"/>
          <cell r="H9460"/>
          <cell r="J9460"/>
          <cell r="L9460"/>
          <cell r="M9460"/>
        </row>
        <row r="9461">
          <cell r="B9461"/>
          <cell r="C9461"/>
          <cell r="E9461"/>
          <cell r="F9461"/>
          <cell r="G9461"/>
          <cell r="H9461"/>
          <cell r="J9461"/>
          <cell r="L9461"/>
          <cell r="M9461"/>
        </row>
        <row r="9462">
          <cell r="B9462"/>
          <cell r="C9462"/>
          <cell r="E9462"/>
          <cell r="F9462"/>
          <cell r="G9462"/>
          <cell r="H9462"/>
          <cell r="J9462"/>
          <cell r="L9462"/>
          <cell r="M9462"/>
        </row>
        <row r="9463">
          <cell r="B9463"/>
          <cell r="C9463"/>
          <cell r="E9463"/>
          <cell r="F9463"/>
          <cell r="G9463"/>
          <cell r="H9463"/>
          <cell r="J9463"/>
          <cell r="L9463"/>
          <cell r="M9463"/>
        </row>
        <row r="9464">
          <cell r="B9464"/>
          <cell r="C9464"/>
          <cell r="E9464"/>
          <cell r="F9464"/>
          <cell r="G9464"/>
          <cell r="H9464"/>
          <cell r="J9464"/>
          <cell r="L9464"/>
          <cell r="M9464"/>
        </row>
        <row r="9465">
          <cell r="B9465"/>
          <cell r="C9465"/>
          <cell r="E9465"/>
          <cell r="F9465"/>
          <cell r="G9465"/>
          <cell r="H9465"/>
          <cell r="J9465"/>
          <cell r="L9465"/>
          <cell r="M9465"/>
        </row>
        <row r="9466">
          <cell r="B9466"/>
          <cell r="C9466"/>
          <cell r="E9466"/>
          <cell r="F9466"/>
          <cell r="G9466"/>
          <cell r="H9466"/>
          <cell r="J9466"/>
          <cell r="L9466"/>
          <cell r="M9466"/>
        </row>
        <row r="9467">
          <cell r="B9467"/>
          <cell r="C9467"/>
          <cell r="E9467"/>
          <cell r="F9467"/>
          <cell r="G9467"/>
          <cell r="H9467"/>
          <cell r="J9467"/>
          <cell r="L9467"/>
          <cell r="M9467"/>
        </row>
        <row r="9468">
          <cell r="B9468"/>
          <cell r="C9468"/>
          <cell r="E9468"/>
          <cell r="F9468"/>
          <cell r="G9468"/>
          <cell r="H9468"/>
          <cell r="J9468"/>
          <cell r="L9468"/>
          <cell r="M9468"/>
        </row>
        <row r="9469">
          <cell r="B9469"/>
          <cell r="C9469"/>
          <cell r="E9469"/>
          <cell r="F9469"/>
          <cell r="G9469"/>
          <cell r="H9469"/>
          <cell r="J9469"/>
          <cell r="L9469"/>
          <cell r="M9469"/>
        </row>
        <row r="9470">
          <cell r="B9470"/>
          <cell r="C9470"/>
          <cell r="E9470"/>
          <cell r="F9470"/>
          <cell r="G9470"/>
          <cell r="H9470"/>
          <cell r="J9470"/>
          <cell r="L9470"/>
          <cell r="M9470"/>
        </row>
        <row r="9471">
          <cell r="B9471"/>
          <cell r="C9471"/>
          <cell r="E9471"/>
          <cell r="F9471"/>
          <cell r="G9471"/>
          <cell r="H9471"/>
          <cell r="J9471"/>
          <cell r="L9471"/>
          <cell r="M9471"/>
        </row>
        <row r="9472">
          <cell r="B9472"/>
          <cell r="C9472"/>
          <cell r="E9472"/>
          <cell r="F9472"/>
          <cell r="G9472"/>
          <cell r="H9472"/>
          <cell r="J9472"/>
          <cell r="L9472"/>
          <cell r="M9472"/>
        </row>
        <row r="9473">
          <cell r="B9473"/>
          <cell r="C9473"/>
          <cell r="E9473"/>
          <cell r="F9473"/>
          <cell r="G9473"/>
          <cell r="H9473"/>
          <cell r="J9473"/>
          <cell r="L9473"/>
          <cell r="M9473"/>
        </row>
        <row r="9474">
          <cell r="B9474"/>
          <cell r="C9474"/>
          <cell r="E9474"/>
          <cell r="F9474"/>
          <cell r="G9474"/>
          <cell r="H9474"/>
          <cell r="J9474"/>
          <cell r="L9474"/>
          <cell r="M9474"/>
        </row>
        <row r="9475">
          <cell r="B9475"/>
          <cell r="C9475"/>
          <cell r="E9475"/>
          <cell r="F9475"/>
          <cell r="G9475"/>
          <cell r="H9475"/>
          <cell r="J9475"/>
          <cell r="L9475"/>
          <cell r="M9475"/>
        </row>
        <row r="9476">
          <cell r="B9476"/>
          <cell r="C9476"/>
          <cell r="E9476"/>
          <cell r="F9476"/>
          <cell r="G9476"/>
          <cell r="H9476"/>
          <cell r="J9476"/>
          <cell r="L9476"/>
          <cell r="M9476"/>
        </row>
        <row r="9477">
          <cell r="B9477"/>
          <cell r="C9477"/>
          <cell r="E9477"/>
          <cell r="F9477"/>
          <cell r="G9477"/>
          <cell r="H9477"/>
          <cell r="J9477"/>
          <cell r="L9477"/>
          <cell r="M9477"/>
        </row>
        <row r="9478">
          <cell r="B9478"/>
          <cell r="C9478"/>
          <cell r="E9478"/>
          <cell r="F9478"/>
          <cell r="G9478"/>
          <cell r="H9478"/>
          <cell r="J9478"/>
          <cell r="L9478"/>
          <cell r="M9478"/>
        </row>
        <row r="9479">
          <cell r="B9479"/>
          <cell r="C9479"/>
          <cell r="E9479"/>
          <cell r="F9479"/>
          <cell r="G9479"/>
          <cell r="H9479"/>
          <cell r="J9479"/>
          <cell r="L9479"/>
          <cell r="M9479"/>
        </row>
        <row r="9480">
          <cell r="B9480"/>
          <cell r="C9480"/>
          <cell r="E9480"/>
          <cell r="F9480"/>
          <cell r="G9480"/>
          <cell r="H9480"/>
          <cell r="J9480"/>
          <cell r="L9480"/>
          <cell r="M9480"/>
        </row>
        <row r="9481">
          <cell r="B9481"/>
          <cell r="C9481"/>
          <cell r="E9481"/>
          <cell r="F9481"/>
          <cell r="G9481"/>
          <cell r="H9481"/>
          <cell r="J9481"/>
          <cell r="L9481"/>
          <cell r="M9481"/>
        </row>
        <row r="9482">
          <cell r="B9482"/>
          <cell r="C9482"/>
          <cell r="E9482"/>
          <cell r="F9482"/>
          <cell r="G9482"/>
          <cell r="H9482"/>
          <cell r="J9482"/>
          <cell r="L9482"/>
          <cell r="M9482"/>
        </row>
        <row r="9483">
          <cell r="B9483"/>
          <cell r="C9483"/>
          <cell r="E9483"/>
          <cell r="F9483"/>
          <cell r="G9483"/>
          <cell r="H9483"/>
          <cell r="J9483"/>
          <cell r="L9483"/>
          <cell r="M9483"/>
        </row>
        <row r="9484">
          <cell r="B9484"/>
          <cell r="C9484"/>
          <cell r="E9484"/>
          <cell r="F9484"/>
          <cell r="G9484"/>
          <cell r="H9484"/>
          <cell r="J9484"/>
          <cell r="L9484"/>
          <cell r="M9484"/>
        </row>
        <row r="9485">
          <cell r="B9485"/>
          <cell r="C9485"/>
          <cell r="E9485"/>
          <cell r="F9485"/>
          <cell r="G9485"/>
          <cell r="H9485"/>
          <cell r="J9485"/>
          <cell r="L9485"/>
          <cell r="M9485"/>
        </row>
        <row r="9486">
          <cell r="B9486"/>
          <cell r="C9486"/>
          <cell r="E9486"/>
          <cell r="F9486"/>
          <cell r="G9486"/>
          <cell r="H9486"/>
          <cell r="J9486"/>
          <cell r="L9486"/>
          <cell r="M9486"/>
        </row>
        <row r="9487">
          <cell r="B9487"/>
          <cell r="C9487"/>
          <cell r="E9487"/>
          <cell r="F9487"/>
          <cell r="G9487"/>
          <cell r="H9487"/>
          <cell r="J9487"/>
          <cell r="L9487"/>
          <cell r="M9487"/>
        </row>
        <row r="9488">
          <cell r="B9488"/>
          <cell r="C9488"/>
          <cell r="E9488"/>
          <cell r="F9488"/>
          <cell r="G9488"/>
          <cell r="H9488"/>
          <cell r="J9488"/>
          <cell r="L9488"/>
          <cell r="M9488"/>
        </row>
        <row r="9489">
          <cell r="B9489"/>
          <cell r="C9489"/>
          <cell r="E9489"/>
          <cell r="F9489"/>
          <cell r="G9489"/>
          <cell r="H9489"/>
          <cell r="J9489"/>
          <cell r="L9489"/>
          <cell r="M9489"/>
        </row>
        <row r="9490">
          <cell r="B9490"/>
          <cell r="C9490"/>
          <cell r="E9490"/>
          <cell r="F9490"/>
          <cell r="G9490"/>
          <cell r="H9490"/>
          <cell r="J9490"/>
          <cell r="L9490"/>
          <cell r="M9490"/>
        </row>
        <row r="9491">
          <cell r="B9491"/>
          <cell r="C9491"/>
          <cell r="E9491"/>
          <cell r="F9491"/>
          <cell r="G9491"/>
          <cell r="H9491"/>
          <cell r="J9491"/>
          <cell r="L9491"/>
          <cell r="M9491"/>
        </row>
        <row r="9492">
          <cell r="B9492"/>
          <cell r="C9492"/>
          <cell r="E9492"/>
          <cell r="F9492"/>
          <cell r="G9492"/>
          <cell r="H9492"/>
          <cell r="J9492"/>
          <cell r="L9492"/>
          <cell r="M9492"/>
        </row>
        <row r="9493">
          <cell r="B9493"/>
          <cell r="C9493"/>
          <cell r="E9493"/>
          <cell r="F9493"/>
          <cell r="G9493"/>
          <cell r="H9493"/>
          <cell r="J9493"/>
          <cell r="L9493"/>
          <cell r="M9493"/>
        </row>
        <row r="9494">
          <cell r="B9494"/>
          <cell r="C9494"/>
          <cell r="E9494"/>
          <cell r="F9494"/>
          <cell r="G9494"/>
          <cell r="H9494"/>
          <cell r="J9494"/>
          <cell r="L9494"/>
          <cell r="M9494"/>
        </row>
        <row r="9495">
          <cell r="B9495"/>
          <cell r="C9495"/>
          <cell r="E9495"/>
          <cell r="F9495"/>
          <cell r="G9495"/>
          <cell r="H9495"/>
          <cell r="J9495"/>
          <cell r="L9495"/>
          <cell r="M9495"/>
        </row>
        <row r="9496">
          <cell r="B9496"/>
          <cell r="C9496"/>
          <cell r="E9496"/>
          <cell r="F9496"/>
          <cell r="G9496"/>
          <cell r="H9496"/>
          <cell r="J9496"/>
          <cell r="L9496"/>
          <cell r="M9496"/>
        </row>
        <row r="9497">
          <cell r="B9497"/>
          <cell r="C9497"/>
          <cell r="E9497"/>
          <cell r="F9497"/>
          <cell r="G9497"/>
          <cell r="H9497"/>
          <cell r="J9497"/>
          <cell r="L9497"/>
          <cell r="M9497"/>
        </row>
        <row r="9498">
          <cell r="B9498"/>
          <cell r="C9498"/>
          <cell r="E9498"/>
          <cell r="F9498"/>
          <cell r="G9498"/>
          <cell r="H9498"/>
          <cell r="J9498"/>
          <cell r="L9498"/>
          <cell r="M9498"/>
        </row>
        <row r="9499">
          <cell r="B9499"/>
          <cell r="C9499"/>
          <cell r="E9499"/>
          <cell r="F9499"/>
          <cell r="G9499"/>
          <cell r="H9499"/>
          <cell r="J9499"/>
          <cell r="L9499"/>
          <cell r="M9499"/>
        </row>
        <row r="9500">
          <cell r="B9500"/>
          <cell r="C9500"/>
          <cell r="E9500"/>
          <cell r="F9500"/>
          <cell r="G9500"/>
          <cell r="H9500"/>
          <cell r="J9500"/>
          <cell r="L9500"/>
          <cell r="M9500"/>
        </row>
        <row r="9501">
          <cell r="B9501"/>
          <cell r="C9501"/>
          <cell r="E9501"/>
          <cell r="F9501"/>
          <cell r="G9501"/>
          <cell r="H9501"/>
          <cell r="J9501"/>
          <cell r="L9501"/>
          <cell r="M9501"/>
        </row>
        <row r="9502">
          <cell r="B9502"/>
          <cell r="C9502"/>
          <cell r="E9502"/>
          <cell r="F9502"/>
          <cell r="G9502"/>
          <cell r="H9502"/>
          <cell r="J9502"/>
          <cell r="L9502"/>
          <cell r="M9502"/>
        </row>
        <row r="9503">
          <cell r="B9503"/>
          <cell r="C9503"/>
          <cell r="E9503"/>
          <cell r="F9503"/>
          <cell r="G9503"/>
          <cell r="H9503"/>
          <cell r="J9503"/>
          <cell r="L9503"/>
          <cell r="M9503"/>
        </row>
        <row r="9504">
          <cell r="B9504"/>
          <cell r="C9504"/>
          <cell r="E9504"/>
          <cell r="F9504"/>
          <cell r="G9504"/>
          <cell r="H9504"/>
          <cell r="J9504"/>
          <cell r="L9504"/>
          <cell r="M9504"/>
        </row>
        <row r="9505">
          <cell r="B9505"/>
          <cell r="C9505"/>
          <cell r="E9505"/>
          <cell r="F9505"/>
          <cell r="G9505"/>
          <cell r="H9505"/>
          <cell r="J9505"/>
          <cell r="L9505"/>
          <cell r="M9505"/>
        </row>
        <row r="9506">
          <cell r="B9506"/>
          <cell r="C9506"/>
          <cell r="E9506"/>
          <cell r="F9506"/>
          <cell r="G9506"/>
          <cell r="H9506"/>
          <cell r="J9506"/>
          <cell r="L9506"/>
          <cell r="M9506"/>
        </row>
        <row r="9507">
          <cell r="B9507"/>
          <cell r="C9507"/>
          <cell r="E9507"/>
          <cell r="F9507"/>
          <cell r="G9507"/>
          <cell r="H9507"/>
          <cell r="J9507"/>
          <cell r="L9507"/>
          <cell r="M9507"/>
        </row>
        <row r="9508">
          <cell r="B9508"/>
          <cell r="C9508"/>
          <cell r="E9508"/>
          <cell r="F9508"/>
          <cell r="G9508"/>
          <cell r="H9508"/>
          <cell r="J9508"/>
          <cell r="L9508"/>
          <cell r="M9508"/>
        </row>
        <row r="9509">
          <cell r="B9509"/>
          <cell r="C9509"/>
          <cell r="E9509"/>
          <cell r="F9509"/>
          <cell r="G9509"/>
          <cell r="H9509"/>
          <cell r="J9509"/>
          <cell r="L9509"/>
          <cell r="M9509"/>
        </row>
        <row r="9510">
          <cell r="B9510"/>
          <cell r="C9510"/>
          <cell r="E9510"/>
          <cell r="F9510"/>
          <cell r="G9510"/>
          <cell r="H9510"/>
          <cell r="J9510"/>
          <cell r="L9510"/>
          <cell r="M9510"/>
        </row>
        <row r="9511">
          <cell r="B9511"/>
          <cell r="C9511"/>
          <cell r="E9511"/>
          <cell r="F9511"/>
          <cell r="G9511"/>
          <cell r="H9511"/>
          <cell r="J9511"/>
          <cell r="L9511"/>
          <cell r="M9511"/>
        </row>
        <row r="9512">
          <cell r="B9512"/>
          <cell r="C9512"/>
          <cell r="E9512"/>
          <cell r="F9512"/>
          <cell r="G9512"/>
          <cell r="H9512"/>
          <cell r="J9512"/>
          <cell r="L9512"/>
          <cell r="M9512"/>
        </row>
        <row r="9513">
          <cell r="B9513"/>
          <cell r="C9513"/>
          <cell r="E9513"/>
          <cell r="F9513"/>
          <cell r="G9513"/>
          <cell r="H9513"/>
          <cell r="J9513"/>
          <cell r="L9513"/>
          <cell r="M9513"/>
        </row>
        <row r="9514">
          <cell r="B9514"/>
          <cell r="C9514"/>
          <cell r="E9514"/>
          <cell r="F9514"/>
          <cell r="G9514"/>
          <cell r="H9514"/>
          <cell r="J9514"/>
          <cell r="L9514"/>
          <cell r="M9514"/>
        </row>
        <row r="9515">
          <cell r="B9515"/>
          <cell r="C9515"/>
          <cell r="E9515"/>
          <cell r="F9515"/>
          <cell r="G9515"/>
          <cell r="H9515"/>
          <cell r="J9515"/>
          <cell r="L9515"/>
          <cell r="M9515"/>
        </row>
        <row r="9516">
          <cell r="B9516"/>
          <cell r="C9516"/>
          <cell r="E9516"/>
          <cell r="F9516"/>
          <cell r="G9516"/>
          <cell r="H9516"/>
          <cell r="J9516"/>
          <cell r="L9516"/>
          <cell r="M9516"/>
        </row>
        <row r="9517">
          <cell r="B9517"/>
          <cell r="C9517"/>
          <cell r="E9517"/>
          <cell r="F9517"/>
          <cell r="G9517"/>
          <cell r="H9517"/>
          <cell r="J9517"/>
          <cell r="L9517"/>
          <cell r="M9517"/>
        </row>
        <row r="9518">
          <cell r="B9518"/>
          <cell r="C9518"/>
          <cell r="E9518"/>
          <cell r="F9518"/>
          <cell r="G9518"/>
          <cell r="H9518"/>
          <cell r="J9518"/>
          <cell r="L9518"/>
          <cell r="M9518"/>
        </row>
        <row r="9519">
          <cell r="B9519"/>
          <cell r="C9519"/>
          <cell r="E9519"/>
          <cell r="F9519"/>
          <cell r="G9519"/>
          <cell r="H9519"/>
          <cell r="J9519"/>
          <cell r="L9519"/>
          <cell r="M9519"/>
        </row>
        <row r="9520">
          <cell r="B9520"/>
          <cell r="C9520"/>
          <cell r="E9520"/>
          <cell r="F9520"/>
          <cell r="G9520"/>
          <cell r="H9520"/>
          <cell r="J9520"/>
          <cell r="L9520"/>
          <cell r="M9520"/>
        </row>
        <row r="9521">
          <cell r="B9521"/>
          <cell r="C9521"/>
          <cell r="E9521"/>
          <cell r="F9521"/>
          <cell r="G9521"/>
          <cell r="H9521"/>
          <cell r="J9521"/>
          <cell r="L9521"/>
          <cell r="M9521"/>
        </row>
        <row r="9522">
          <cell r="B9522"/>
          <cell r="C9522"/>
          <cell r="E9522"/>
          <cell r="F9522"/>
          <cell r="G9522"/>
          <cell r="H9522"/>
          <cell r="J9522"/>
          <cell r="L9522"/>
          <cell r="M9522"/>
        </row>
        <row r="9523">
          <cell r="B9523"/>
          <cell r="C9523"/>
          <cell r="E9523"/>
          <cell r="F9523"/>
          <cell r="G9523"/>
          <cell r="H9523"/>
          <cell r="J9523"/>
          <cell r="L9523"/>
          <cell r="M9523"/>
        </row>
        <row r="9524">
          <cell r="B9524"/>
          <cell r="C9524"/>
          <cell r="E9524"/>
          <cell r="F9524"/>
          <cell r="G9524"/>
          <cell r="H9524"/>
          <cell r="J9524"/>
          <cell r="L9524"/>
          <cell r="M9524"/>
        </row>
        <row r="9525">
          <cell r="B9525"/>
          <cell r="C9525"/>
          <cell r="E9525"/>
          <cell r="F9525"/>
          <cell r="G9525"/>
          <cell r="H9525"/>
          <cell r="J9525"/>
          <cell r="L9525"/>
          <cell r="M9525"/>
        </row>
        <row r="9526">
          <cell r="B9526"/>
          <cell r="C9526"/>
          <cell r="E9526"/>
          <cell r="F9526"/>
          <cell r="G9526"/>
          <cell r="H9526"/>
          <cell r="J9526"/>
          <cell r="L9526"/>
          <cell r="M9526"/>
        </row>
        <row r="9527">
          <cell r="B9527"/>
          <cell r="C9527"/>
          <cell r="E9527"/>
          <cell r="F9527"/>
          <cell r="G9527"/>
          <cell r="H9527"/>
          <cell r="J9527"/>
          <cell r="L9527"/>
          <cell r="M9527"/>
        </row>
        <row r="9528">
          <cell r="B9528"/>
          <cell r="C9528"/>
          <cell r="E9528"/>
          <cell r="F9528"/>
          <cell r="G9528"/>
          <cell r="H9528"/>
          <cell r="J9528"/>
          <cell r="L9528"/>
          <cell r="M9528"/>
        </row>
        <row r="9529">
          <cell r="B9529"/>
          <cell r="C9529"/>
          <cell r="E9529"/>
          <cell r="F9529"/>
          <cell r="G9529"/>
          <cell r="H9529"/>
          <cell r="J9529"/>
          <cell r="L9529"/>
          <cell r="M9529"/>
        </row>
        <row r="9530">
          <cell r="B9530"/>
          <cell r="C9530"/>
          <cell r="E9530"/>
          <cell r="F9530"/>
          <cell r="G9530"/>
          <cell r="H9530"/>
          <cell r="J9530"/>
          <cell r="L9530"/>
          <cell r="M9530"/>
        </row>
        <row r="9531">
          <cell r="B9531"/>
          <cell r="C9531"/>
          <cell r="E9531"/>
          <cell r="F9531"/>
          <cell r="G9531"/>
          <cell r="H9531"/>
          <cell r="J9531"/>
          <cell r="L9531"/>
          <cell r="M9531"/>
        </row>
        <row r="9532">
          <cell r="B9532"/>
          <cell r="C9532"/>
          <cell r="E9532"/>
          <cell r="F9532"/>
          <cell r="G9532"/>
          <cell r="H9532"/>
          <cell r="J9532"/>
          <cell r="L9532"/>
          <cell r="M9532"/>
        </row>
        <row r="9533">
          <cell r="B9533"/>
          <cell r="C9533"/>
          <cell r="E9533"/>
          <cell r="F9533"/>
          <cell r="G9533"/>
          <cell r="H9533"/>
          <cell r="J9533"/>
          <cell r="L9533"/>
          <cell r="M9533"/>
        </row>
        <row r="9534">
          <cell r="B9534"/>
          <cell r="C9534"/>
          <cell r="E9534"/>
          <cell r="F9534"/>
          <cell r="G9534"/>
          <cell r="H9534"/>
          <cell r="J9534"/>
          <cell r="L9534"/>
          <cell r="M9534"/>
        </row>
        <row r="9535">
          <cell r="B9535"/>
          <cell r="C9535"/>
          <cell r="E9535"/>
          <cell r="F9535"/>
          <cell r="G9535"/>
          <cell r="H9535"/>
          <cell r="J9535"/>
          <cell r="L9535"/>
          <cell r="M9535"/>
        </row>
        <row r="9536">
          <cell r="B9536"/>
          <cell r="C9536"/>
          <cell r="E9536"/>
          <cell r="F9536"/>
          <cell r="G9536"/>
          <cell r="H9536"/>
          <cell r="J9536"/>
          <cell r="L9536"/>
          <cell r="M9536"/>
        </row>
        <row r="9537">
          <cell r="B9537"/>
          <cell r="C9537"/>
          <cell r="E9537"/>
          <cell r="F9537"/>
          <cell r="G9537"/>
          <cell r="H9537"/>
          <cell r="J9537"/>
          <cell r="L9537"/>
          <cell r="M9537"/>
        </row>
        <row r="9538">
          <cell r="B9538"/>
          <cell r="C9538"/>
          <cell r="E9538"/>
          <cell r="F9538"/>
          <cell r="G9538"/>
          <cell r="H9538"/>
          <cell r="J9538"/>
          <cell r="L9538"/>
          <cell r="M9538"/>
        </row>
        <row r="9539">
          <cell r="B9539"/>
          <cell r="C9539"/>
          <cell r="E9539"/>
          <cell r="F9539"/>
          <cell r="G9539"/>
          <cell r="H9539"/>
          <cell r="J9539"/>
          <cell r="L9539"/>
          <cell r="M9539"/>
        </row>
        <row r="9540">
          <cell r="B9540"/>
          <cell r="C9540"/>
          <cell r="E9540"/>
          <cell r="F9540"/>
          <cell r="G9540"/>
          <cell r="H9540"/>
          <cell r="J9540"/>
          <cell r="L9540"/>
          <cell r="M9540"/>
        </row>
        <row r="9541">
          <cell r="B9541"/>
          <cell r="C9541"/>
          <cell r="E9541"/>
          <cell r="F9541"/>
          <cell r="G9541"/>
          <cell r="H9541"/>
          <cell r="J9541"/>
          <cell r="L9541"/>
          <cell r="M9541"/>
        </row>
        <row r="9542">
          <cell r="B9542"/>
          <cell r="C9542"/>
          <cell r="E9542"/>
          <cell r="F9542"/>
          <cell r="G9542"/>
          <cell r="H9542"/>
          <cell r="J9542"/>
          <cell r="L9542"/>
          <cell r="M9542"/>
        </row>
        <row r="9543">
          <cell r="B9543"/>
          <cell r="C9543"/>
          <cell r="E9543"/>
          <cell r="F9543"/>
          <cell r="G9543"/>
          <cell r="H9543"/>
          <cell r="J9543"/>
          <cell r="L9543"/>
          <cell r="M9543"/>
        </row>
        <row r="9544">
          <cell r="B9544"/>
          <cell r="C9544"/>
          <cell r="E9544"/>
          <cell r="F9544"/>
          <cell r="G9544"/>
          <cell r="H9544"/>
          <cell r="J9544"/>
          <cell r="L9544"/>
          <cell r="M9544"/>
        </row>
        <row r="9545">
          <cell r="B9545"/>
          <cell r="C9545"/>
          <cell r="E9545"/>
          <cell r="F9545"/>
          <cell r="G9545"/>
          <cell r="H9545"/>
          <cell r="J9545"/>
          <cell r="L9545"/>
          <cell r="M9545"/>
        </row>
        <row r="9546">
          <cell r="B9546"/>
          <cell r="C9546"/>
          <cell r="E9546"/>
          <cell r="F9546"/>
          <cell r="G9546"/>
          <cell r="H9546"/>
          <cell r="J9546"/>
          <cell r="L9546"/>
          <cell r="M9546"/>
        </row>
        <row r="9547">
          <cell r="B9547"/>
          <cell r="C9547"/>
          <cell r="E9547"/>
          <cell r="F9547"/>
          <cell r="G9547"/>
          <cell r="H9547"/>
          <cell r="J9547"/>
          <cell r="L9547"/>
          <cell r="M9547"/>
        </row>
        <row r="9548">
          <cell r="B9548"/>
          <cell r="C9548"/>
          <cell r="E9548"/>
          <cell r="F9548"/>
          <cell r="G9548"/>
          <cell r="H9548"/>
          <cell r="J9548"/>
          <cell r="L9548"/>
          <cell r="M9548"/>
        </row>
        <row r="9549">
          <cell r="B9549"/>
          <cell r="C9549"/>
          <cell r="E9549"/>
          <cell r="F9549"/>
          <cell r="G9549"/>
          <cell r="H9549"/>
          <cell r="J9549"/>
          <cell r="L9549"/>
          <cell r="M9549"/>
        </row>
        <row r="9550">
          <cell r="B9550"/>
          <cell r="C9550"/>
          <cell r="E9550"/>
          <cell r="F9550"/>
          <cell r="G9550"/>
          <cell r="H9550"/>
          <cell r="J9550"/>
          <cell r="L9550"/>
          <cell r="M9550"/>
        </row>
        <row r="9551">
          <cell r="B9551"/>
          <cell r="C9551"/>
          <cell r="E9551"/>
          <cell r="F9551"/>
          <cell r="G9551"/>
          <cell r="H9551"/>
          <cell r="J9551"/>
          <cell r="L9551"/>
          <cell r="M9551"/>
        </row>
        <row r="9552">
          <cell r="B9552"/>
          <cell r="C9552"/>
          <cell r="E9552"/>
          <cell r="F9552"/>
          <cell r="G9552"/>
          <cell r="H9552"/>
          <cell r="J9552"/>
          <cell r="L9552"/>
          <cell r="M9552"/>
        </row>
        <row r="9553">
          <cell r="B9553"/>
          <cell r="C9553"/>
          <cell r="E9553"/>
          <cell r="F9553"/>
          <cell r="G9553"/>
          <cell r="H9553"/>
          <cell r="J9553"/>
          <cell r="L9553"/>
          <cell r="M9553"/>
        </row>
        <row r="9554">
          <cell r="B9554"/>
          <cell r="C9554"/>
          <cell r="E9554"/>
          <cell r="F9554"/>
          <cell r="G9554"/>
          <cell r="H9554"/>
          <cell r="J9554"/>
          <cell r="L9554"/>
          <cell r="M9554"/>
        </row>
        <row r="9555">
          <cell r="B9555"/>
          <cell r="C9555"/>
          <cell r="E9555"/>
          <cell r="F9555"/>
          <cell r="G9555"/>
          <cell r="H9555"/>
          <cell r="J9555"/>
          <cell r="L9555"/>
          <cell r="M9555"/>
        </row>
        <row r="9556">
          <cell r="B9556"/>
          <cell r="C9556"/>
          <cell r="E9556"/>
          <cell r="F9556"/>
          <cell r="G9556"/>
          <cell r="H9556"/>
          <cell r="J9556"/>
          <cell r="L9556"/>
          <cell r="M9556"/>
        </row>
        <row r="9557">
          <cell r="B9557"/>
          <cell r="C9557"/>
          <cell r="E9557"/>
          <cell r="F9557"/>
          <cell r="G9557"/>
          <cell r="H9557"/>
          <cell r="J9557"/>
          <cell r="L9557"/>
          <cell r="M9557"/>
        </row>
        <row r="9558">
          <cell r="B9558"/>
          <cell r="C9558"/>
          <cell r="E9558"/>
          <cell r="F9558"/>
          <cell r="G9558"/>
          <cell r="H9558"/>
          <cell r="J9558"/>
          <cell r="L9558"/>
          <cell r="M9558"/>
        </row>
        <row r="9559">
          <cell r="B9559"/>
          <cell r="C9559"/>
          <cell r="E9559"/>
          <cell r="F9559"/>
          <cell r="G9559"/>
          <cell r="H9559"/>
          <cell r="J9559"/>
          <cell r="L9559"/>
          <cell r="M9559"/>
        </row>
        <row r="9560">
          <cell r="B9560"/>
          <cell r="C9560"/>
          <cell r="E9560"/>
          <cell r="F9560"/>
          <cell r="G9560"/>
          <cell r="H9560"/>
          <cell r="J9560"/>
          <cell r="L9560"/>
          <cell r="M9560"/>
        </row>
        <row r="9561">
          <cell r="B9561"/>
          <cell r="C9561"/>
          <cell r="E9561"/>
          <cell r="F9561"/>
          <cell r="G9561"/>
          <cell r="H9561"/>
          <cell r="J9561"/>
          <cell r="L9561"/>
          <cell r="M9561"/>
        </row>
        <row r="9562">
          <cell r="B9562"/>
          <cell r="C9562"/>
          <cell r="E9562"/>
          <cell r="F9562"/>
          <cell r="G9562"/>
          <cell r="H9562"/>
          <cell r="J9562"/>
          <cell r="L9562"/>
          <cell r="M9562"/>
        </row>
        <row r="9563">
          <cell r="B9563"/>
          <cell r="C9563"/>
          <cell r="E9563"/>
          <cell r="F9563"/>
          <cell r="G9563"/>
          <cell r="H9563"/>
          <cell r="J9563"/>
          <cell r="L9563"/>
          <cell r="M9563"/>
        </row>
        <row r="9564">
          <cell r="B9564"/>
          <cell r="C9564"/>
          <cell r="E9564"/>
          <cell r="F9564"/>
          <cell r="G9564"/>
          <cell r="H9564"/>
          <cell r="J9564"/>
          <cell r="L9564"/>
          <cell r="M9564"/>
        </row>
        <row r="9565">
          <cell r="B9565"/>
          <cell r="C9565"/>
          <cell r="E9565"/>
          <cell r="F9565"/>
          <cell r="G9565"/>
          <cell r="H9565"/>
          <cell r="J9565"/>
          <cell r="L9565"/>
          <cell r="M9565"/>
        </row>
        <row r="9566">
          <cell r="B9566"/>
          <cell r="C9566"/>
          <cell r="E9566"/>
          <cell r="F9566"/>
          <cell r="G9566"/>
          <cell r="H9566"/>
          <cell r="J9566"/>
          <cell r="L9566"/>
          <cell r="M9566"/>
        </row>
        <row r="9567">
          <cell r="B9567"/>
          <cell r="C9567"/>
          <cell r="E9567"/>
          <cell r="F9567"/>
          <cell r="G9567"/>
          <cell r="H9567"/>
          <cell r="J9567"/>
          <cell r="L9567"/>
          <cell r="M9567"/>
        </row>
        <row r="9568">
          <cell r="B9568"/>
          <cell r="C9568"/>
          <cell r="E9568"/>
          <cell r="F9568"/>
          <cell r="G9568"/>
          <cell r="H9568"/>
          <cell r="J9568"/>
          <cell r="L9568"/>
          <cell r="M9568"/>
        </row>
        <row r="9569">
          <cell r="B9569"/>
          <cell r="C9569"/>
          <cell r="E9569"/>
          <cell r="F9569"/>
          <cell r="G9569"/>
          <cell r="H9569"/>
          <cell r="J9569"/>
          <cell r="L9569"/>
          <cell r="M9569"/>
        </row>
        <row r="9570">
          <cell r="B9570"/>
          <cell r="C9570"/>
          <cell r="E9570"/>
          <cell r="F9570"/>
          <cell r="G9570"/>
          <cell r="H9570"/>
          <cell r="J9570"/>
          <cell r="L9570"/>
          <cell r="M9570"/>
        </row>
        <row r="9571">
          <cell r="B9571"/>
          <cell r="C9571"/>
          <cell r="E9571"/>
          <cell r="F9571"/>
          <cell r="G9571"/>
          <cell r="H9571"/>
          <cell r="J9571"/>
          <cell r="L9571"/>
          <cell r="M9571"/>
        </row>
        <row r="9572">
          <cell r="B9572"/>
          <cell r="C9572"/>
          <cell r="E9572"/>
          <cell r="F9572"/>
          <cell r="G9572"/>
          <cell r="H9572"/>
          <cell r="J9572"/>
          <cell r="L9572"/>
          <cell r="M9572"/>
        </row>
        <row r="9573">
          <cell r="B9573"/>
          <cell r="C9573"/>
          <cell r="E9573"/>
          <cell r="F9573"/>
          <cell r="G9573"/>
          <cell r="H9573"/>
          <cell r="J9573"/>
          <cell r="L9573"/>
          <cell r="M9573"/>
        </row>
        <row r="9574">
          <cell r="B9574"/>
          <cell r="C9574"/>
          <cell r="E9574"/>
          <cell r="F9574"/>
          <cell r="G9574"/>
          <cell r="H9574"/>
          <cell r="J9574"/>
          <cell r="L9574"/>
          <cell r="M9574"/>
        </row>
        <row r="9575">
          <cell r="B9575"/>
          <cell r="C9575"/>
          <cell r="E9575"/>
          <cell r="F9575"/>
          <cell r="G9575"/>
          <cell r="H9575"/>
          <cell r="J9575"/>
          <cell r="L9575"/>
          <cell r="M9575"/>
        </row>
        <row r="9576">
          <cell r="B9576"/>
          <cell r="C9576"/>
          <cell r="E9576"/>
          <cell r="F9576"/>
          <cell r="G9576"/>
          <cell r="H9576"/>
          <cell r="J9576"/>
          <cell r="L9576"/>
          <cell r="M9576"/>
        </row>
        <row r="9577">
          <cell r="B9577"/>
          <cell r="C9577"/>
          <cell r="E9577"/>
          <cell r="F9577"/>
          <cell r="G9577"/>
          <cell r="H9577"/>
          <cell r="J9577"/>
          <cell r="L9577"/>
          <cell r="M9577"/>
        </row>
        <row r="9578">
          <cell r="B9578"/>
          <cell r="C9578"/>
          <cell r="E9578"/>
          <cell r="F9578"/>
          <cell r="G9578"/>
          <cell r="H9578"/>
          <cell r="J9578"/>
          <cell r="L9578"/>
          <cell r="M9578"/>
        </row>
        <row r="9579">
          <cell r="B9579"/>
          <cell r="C9579"/>
          <cell r="E9579"/>
          <cell r="F9579"/>
          <cell r="G9579"/>
          <cell r="H9579"/>
          <cell r="J9579"/>
          <cell r="L9579"/>
          <cell r="M9579"/>
        </row>
        <row r="9580">
          <cell r="B9580"/>
          <cell r="C9580"/>
          <cell r="E9580"/>
          <cell r="F9580"/>
          <cell r="G9580"/>
          <cell r="H9580"/>
          <cell r="J9580"/>
          <cell r="L9580"/>
          <cell r="M9580"/>
        </row>
        <row r="9581">
          <cell r="B9581"/>
          <cell r="C9581"/>
          <cell r="E9581"/>
          <cell r="F9581"/>
          <cell r="G9581"/>
          <cell r="H9581"/>
          <cell r="J9581"/>
          <cell r="L9581"/>
          <cell r="M9581"/>
        </row>
        <row r="9582">
          <cell r="B9582"/>
          <cell r="C9582"/>
          <cell r="E9582"/>
          <cell r="F9582"/>
          <cell r="G9582"/>
          <cell r="H9582"/>
          <cell r="J9582"/>
          <cell r="L9582"/>
          <cell r="M9582"/>
        </row>
        <row r="9583">
          <cell r="B9583"/>
          <cell r="C9583"/>
          <cell r="E9583"/>
          <cell r="F9583"/>
          <cell r="G9583"/>
          <cell r="H9583"/>
          <cell r="J9583"/>
          <cell r="L9583"/>
          <cell r="M9583"/>
        </row>
        <row r="9584">
          <cell r="B9584"/>
          <cell r="C9584"/>
          <cell r="E9584"/>
          <cell r="F9584"/>
          <cell r="G9584"/>
          <cell r="H9584"/>
          <cell r="J9584"/>
          <cell r="L9584"/>
          <cell r="M9584"/>
        </row>
        <row r="9585">
          <cell r="B9585"/>
          <cell r="C9585"/>
          <cell r="E9585"/>
          <cell r="F9585"/>
          <cell r="G9585"/>
          <cell r="H9585"/>
          <cell r="J9585"/>
          <cell r="L9585"/>
          <cell r="M9585"/>
        </row>
        <row r="9586">
          <cell r="B9586"/>
          <cell r="C9586"/>
          <cell r="E9586"/>
          <cell r="F9586"/>
          <cell r="G9586"/>
          <cell r="H9586"/>
          <cell r="J9586"/>
          <cell r="L9586"/>
          <cell r="M9586"/>
        </row>
        <row r="9587">
          <cell r="B9587"/>
          <cell r="C9587"/>
          <cell r="E9587"/>
          <cell r="F9587"/>
          <cell r="G9587"/>
          <cell r="H9587"/>
          <cell r="J9587"/>
          <cell r="L9587"/>
          <cell r="M9587"/>
        </row>
        <row r="9588">
          <cell r="B9588"/>
          <cell r="C9588"/>
          <cell r="E9588"/>
          <cell r="F9588"/>
          <cell r="G9588"/>
          <cell r="H9588"/>
          <cell r="J9588"/>
          <cell r="L9588"/>
          <cell r="M9588"/>
        </row>
        <row r="9589">
          <cell r="B9589"/>
          <cell r="C9589"/>
          <cell r="E9589"/>
          <cell r="F9589"/>
          <cell r="G9589"/>
          <cell r="H9589"/>
          <cell r="J9589"/>
          <cell r="L9589"/>
          <cell r="M9589"/>
        </row>
        <row r="9590">
          <cell r="B9590"/>
          <cell r="C9590"/>
          <cell r="E9590"/>
          <cell r="F9590"/>
          <cell r="G9590"/>
          <cell r="H9590"/>
          <cell r="J9590"/>
          <cell r="L9590"/>
          <cell r="M9590"/>
        </row>
        <row r="9591">
          <cell r="B9591"/>
          <cell r="C9591"/>
          <cell r="E9591"/>
          <cell r="F9591"/>
          <cell r="G9591"/>
          <cell r="H9591"/>
          <cell r="J9591"/>
          <cell r="L9591"/>
          <cell r="M9591"/>
        </row>
        <row r="9592">
          <cell r="B9592"/>
          <cell r="C9592"/>
          <cell r="E9592"/>
          <cell r="F9592"/>
          <cell r="G9592"/>
          <cell r="H9592"/>
          <cell r="J9592"/>
          <cell r="L9592"/>
          <cell r="M9592"/>
        </row>
        <row r="9593">
          <cell r="B9593"/>
          <cell r="C9593"/>
          <cell r="E9593"/>
          <cell r="F9593"/>
          <cell r="G9593"/>
          <cell r="H9593"/>
          <cell r="J9593"/>
          <cell r="L9593"/>
          <cell r="M9593"/>
        </row>
        <row r="9594">
          <cell r="B9594"/>
          <cell r="C9594"/>
          <cell r="E9594"/>
          <cell r="F9594"/>
          <cell r="G9594"/>
          <cell r="H9594"/>
          <cell r="J9594"/>
          <cell r="L9594"/>
          <cell r="M9594"/>
        </row>
        <row r="9595">
          <cell r="B9595"/>
          <cell r="C9595"/>
          <cell r="E9595"/>
          <cell r="F9595"/>
          <cell r="G9595"/>
          <cell r="H9595"/>
          <cell r="J9595"/>
          <cell r="L9595"/>
          <cell r="M9595"/>
        </row>
        <row r="9596">
          <cell r="B9596"/>
          <cell r="C9596"/>
          <cell r="E9596"/>
          <cell r="F9596"/>
          <cell r="G9596"/>
          <cell r="H9596"/>
          <cell r="J9596"/>
          <cell r="L9596"/>
          <cell r="M9596"/>
        </row>
        <row r="9597">
          <cell r="B9597"/>
          <cell r="C9597"/>
          <cell r="E9597"/>
          <cell r="F9597"/>
          <cell r="G9597"/>
          <cell r="H9597"/>
          <cell r="J9597"/>
          <cell r="L9597"/>
          <cell r="M9597"/>
        </row>
        <row r="9598">
          <cell r="B9598"/>
          <cell r="C9598"/>
          <cell r="E9598"/>
          <cell r="F9598"/>
          <cell r="G9598"/>
          <cell r="H9598"/>
          <cell r="J9598"/>
          <cell r="L9598"/>
          <cell r="M9598"/>
        </row>
        <row r="9599">
          <cell r="B9599"/>
          <cell r="C9599"/>
          <cell r="E9599"/>
          <cell r="F9599"/>
          <cell r="G9599"/>
          <cell r="H9599"/>
          <cell r="J9599"/>
          <cell r="L9599"/>
          <cell r="M9599"/>
        </row>
        <row r="9600">
          <cell r="B9600"/>
          <cell r="C9600"/>
          <cell r="E9600"/>
          <cell r="F9600"/>
          <cell r="G9600"/>
          <cell r="H9600"/>
          <cell r="J9600"/>
          <cell r="L9600"/>
          <cell r="M9600"/>
        </row>
        <row r="9601">
          <cell r="B9601"/>
          <cell r="C9601"/>
          <cell r="E9601"/>
          <cell r="F9601"/>
          <cell r="G9601"/>
          <cell r="H9601"/>
          <cell r="J9601"/>
          <cell r="L9601"/>
          <cell r="M9601"/>
        </row>
        <row r="9602">
          <cell r="B9602"/>
          <cell r="C9602"/>
          <cell r="E9602"/>
          <cell r="F9602"/>
          <cell r="G9602"/>
          <cell r="H9602"/>
          <cell r="J9602"/>
          <cell r="L9602"/>
          <cell r="M9602"/>
        </row>
        <row r="9603">
          <cell r="B9603"/>
          <cell r="C9603"/>
          <cell r="E9603"/>
          <cell r="F9603"/>
          <cell r="G9603"/>
          <cell r="H9603"/>
          <cell r="J9603"/>
          <cell r="L9603"/>
          <cell r="M9603"/>
        </row>
        <row r="9604">
          <cell r="B9604"/>
          <cell r="C9604"/>
          <cell r="E9604"/>
          <cell r="F9604"/>
          <cell r="G9604"/>
          <cell r="H9604"/>
          <cell r="J9604"/>
          <cell r="L9604"/>
          <cell r="M9604"/>
        </row>
        <row r="9605">
          <cell r="B9605"/>
          <cell r="C9605"/>
          <cell r="E9605"/>
          <cell r="F9605"/>
          <cell r="G9605"/>
          <cell r="H9605"/>
          <cell r="J9605"/>
          <cell r="L9605"/>
          <cell r="M9605"/>
        </row>
        <row r="9606">
          <cell r="B9606"/>
          <cell r="C9606"/>
          <cell r="E9606"/>
          <cell r="F9606"/>
          <cell r="G9606"/>
          <cell r="H9606"/>
          <cell r="J9606"/>
          <cell r="L9606"/>
          <cell r="M9606"/>
        </row>
        <row r="9607">
          <cell r="B9607"/>
          <cell r="C9607"/>
          <cell r="E9607"/>
          <cell r="F9607"/>
          <cell r="G9607"/>
          <cell r="H9607"/>
          <cell r="J9607"/>
          <cell r="L9607"/>
          <cell r="M9607"/>
        </row>
        <row r="9608">
          <cell r="B9608"/>
          <cell r="C9608"/>
          <cell r="E9608"/>
          <cell r="F9608"/>
          <cell r="G9608"/>
          <cell r="H9608"/>
          <cell r="J9608"/>
          <cell r="L9608"/>
          <cell r="M9608"/>
        </row>
        <row r="9609">
          <cell r="B9609"/>
          <cell r="C9609"/>
          <cell r="E9609"/>
          <cell r="F9609"/>
          <cell r="G9609"/>
          <cell r="H9609"/>
          <cell r="J9609"/>
          <cell r="L9609"/>
          <cell r="M9609"/>
        </row>
        <row r="9610">
          <cell r="B9610"/>
          <cell r="C9610"/>
          <cell r="E9610"/>
          <cell r="F9610"/>
          <cell r="G9610"/>
          <cell r="H9610"/>
          <cell r="J9610"/>
          <cell r="L9610"/>
          <cell r="M9610"/>
        </row>
        <row r="9611">
          <cell r="B9611"/>
          <cell r="C9611"/>
          <cell r="E9611"/>
          <cell r="F9611"/>
          <cell r="G9611"/>
          <cell r="H9611"/>
          <cell r="J9611"/>
          <cell r="L9611"/>
          <cell r="M9611"/>
        </row>
        <row r="9612">
          <cell r="B9612"/>
          <cell r="C9612"/>
          <cell r="E9612"/>
          <cell r="F9612"/>
          <cell r="G9612"/>
          <cell r="H9612"/>
          <cell r="J9612"/>
          <cell r="L9612"/>
          <cell r="M9612"/>
        </row>
        <row r="9613">
          <cell r="B9613"/>
          <cell r="C9613"/>
          <cell r="E9613"/>
          <cell r="F9613"/>
          <cell r="G9613"/>
          <cell r="H9613"/>
          <cell r="J9613"/>
          <cell r="L9613"/>
          <cell r="M9613"/>
        </row>
        <row r="9614">
          <cell r="B9614"/>
          <cell r="C9614"/>
          <cell r="E9614"/>
          <cell r="F9614"/>
          <cell r="G9614"/>
          <cell r="H9614"/>
          <cell r="J9614"/>
          <cell r="L9614"/>
          <cell r="M9614"/>
        </row>
        <row r="9615">
          <cell r="B9615"/>
          <cell r="C9615"/>
          <cell r="E9615"/>
          <cell r="F9615"/>
          <cell r="G9615"/>
          <cell r="H9615"/>
          <cell r="J9615"/>
          <cell r="L9615"/>
          <cell r="M9615"/>
        </row>
        <row r="9616">
          <cell r="B9616"/>
          <cell r="C9616"/>
          <cell r="E9616"/>
          <cell r="F9616"/>
          <cell r="G9616"/>
          <cell r="H9616"/>
          <cell r="J9616"/>
          <cell r="L9616"/>
          <cell r="M9616"/>
        </row>
        <row r="9617">
          <cell r="B9617"/>
          <cell r="C9617"/>
          <cell r="E9617"/>
          <cell r="F9617"/>
          <cell r="G9617"/>
          <cell r="H9617"/>
          <cell r="J9617"/>
          <cell r="L9617"/>
          <cell r="M9617"/>
        </row>
        <row r="9618">
          <cell r="B9618"/>
          <cell r="C9618"/>
          <cell r="E9618"/>
          <cell r="F9618"/>
          <cell r="G9618"/>
          <cell r="H9618"/>
          <cell r="J9618"/>
          <cell r="L9618"/>
          <cell r="M9618"/>
        </row>
        <row r="9619">
          <cell r="B9619"/>
          <cell r="C9619"/>
          <cell r="E9619"/>
          <cell r="F9619"/>
          <cell r="G9619"/>
          <cell r="H9619"/>
          <cell r="J9619"/>
          <cell r="L9619"/>
          <cell r="M9619"/>
        </row>
        <row r="9620">
          <cell r="B9620"/>
          <cell r="C9620"/>
          <cell r="E9620"/>
          <cell r="F9620"/>
          <cell r="G9620"/>
          <cell r="H9620"/>
          <cell r="J9620"/>
          <cell r="L9620"/>
          <cell r="M9620"/>
        </row>
        <row r="9621">
          <cell r="B9621"/>
          <cell r="C9621"/>
          <cell r="E9621"/>
          <cell r="F9621"/>
          <cell r="G9621"/>
          <cell r="H9621"/>
          <cell r="J9621"/>
          <cell r="L9621"/>
          <cell r="M9621"/>
        </row>
        <row r="9622">
          <cell r="B9622"/>
          <cell r="C9622"/>
          <cell r="E9622"/>
          <cell r="F9622"/>
          <cell r="G9622"/>
          <cell r="H9622"/>
          <cell r="J9622"/>
          <cell r="L9622"/>
          <cell r="M9622"/>
        </row>
        <row r="9623">
          <cell r="B9623"/>
          <cell r="C9623"/>
          <cell r="E9623"/>
          <cell r="F9623"/>
          <cell r="G9623"/>
          <cell r="H9623"/>
          <cell r="J9623"/>
          <cell r="L9623"/>
          <cell r="M9623"/>
        </row>
        <row r="9624">
          <cell r="B9624"/>
          <cell r="C9624"/>
          <cell r="E9624"/>
          <cell r="F9624"/>
          <cell r="G9624"/>
          <cell r="H9624"/>
          <cell r="J9624"/>
          <cell r="L9624"/>
          <cell r="M9624"/>
        </row>
        <row r="9625">
          <cell r="B9625"/>
          <cell r="C9625"/>
          <cell r="E9625"/>
          <cell r="F9625"/>
          <cell r="G9625"/>
          <cell r="H9625"/>
          <cell r="J9625"/>
          <cell r="L9625"/>
          <cell r="M9625"/>
        </row>
        <row r="9626">
          <cell r="B9626"/>
          <cell r="C9626"/>
          <cell r="E9626"/>
          <cell r="F9626"/>
          <cell r="G9626"/>
          <cell r="H9626"/>
          <cell r="J9626"/>
          <cell r="L9626"/>
          <cell r="M9626"/>
        </row>
        <row r="9627">
          <cell r="B9627"/>
          <cell r="C9627"/>
          <cell r="E9627"/>
          <cell r="F9627"/>
          <cell r="G9627"/>
          <cell r="H9627"/>
          <cell r="J9627"/>
          <cell r="L9627"/>
          <cell r="M9627"/>
        </row>
        <row r="9628">
          <cell r="B9628"/>
          <cell r="C9628"/>
          <cell r="E9628"/>
          <cell r="F9628"/>
          <cell r="G9628"/>
          <cell r="H9628"/>
          <cell r="J9628"/>
          <cell r="L9628"/>
          <cell r="M9628"/>
        </row>
        <row r="9629">
          <cell r="B9629"/>
          <cell r="C9629"/>
          <cell r="E9629"/>
          <cell r="F9629"/>
          <cell r="G9629"/>
          <cell r="H9629"/>
          <cell r="J9629"/>
          <cell r="L9629"/>
          <cell r="M9629"/>
        </row>
        <row r="9630">
          <cell r="B9630"/>
          <cell r="C9630"/>
          <cell r="E9630"/>
          <cell r="F9630"/>
          <cell r="G9630"/>
          <cell r="H9630"/>
          <cell r="J9630"/>
          <cell r="L9630"/>
          <cell r="M9630"/>
        </row>
        <row r="9631">
          <cell r="B9631"/>
          <cell r="C9631"/>
          <cell r="E9631"/>
          <cell r="F9631"/>
          <cell r="G9631"/>
          <cell r="H9631"/>
          <cell r="J9631"/>
          <cell r="L9631"/>
          <cell r="M9631"/>
        </row>
        <row r="9632">
          <cell r="B9632"/>
          <cell r="C9632"/>
          <cell r="E9632"/>
          <cell r="F9632"/>
          <cell r="G9632"/>
          <cell r="H9632"/>
          <cell r="J9632"/>
          <cell r="L9632"/>
          <cell r="M9632"/>
        </row>
        <row r="9633">
          <cell r="B9633"/>
          <cell r="C9633"/>
          <cell r="E9633"/>
          <cell r="F9633"/>
          <cell r="G9633"/>
          <cell r="H9633"/>
          <cell r="J9633"/>
          <cell r="L9633"/>
          <cell r="M9633"/>
        </row>
        <row r="9634">
          <cell r="B9634"/>
          <cell r="C9634"/>
          <cell r="E9634"/>
          <cell r="F9634"/>
          <cell r="G9634"/>
          <cell r="H9634"/>
          <cell r="J9634"/>
          <cell r="L9634"/>
          <cell r="M9634"/>
        </row>
        <row r="9635">
          <cell r="B9635"/>
          <cell r="C9635"/>
          <cell r="E9635"/>
          <cell r="F9635"/>
          <cell r="G9635"/>
          <cell r="H9635"/>
          <cell r="J9635"/>
          <cell r="L9635"/>
          <cell r="M9635"/>
        </row>
        <row r="9636">
          <cell r="B9636"/>
          <cell r="C9636"/>
          <cell r="E9636"/>
          <cell r="F9636"/>
          <cell r="G9636"/>
          <cell r="H9636"/>
          <cell r="J9636"/>
          <cell r="L9636"/>
          <cell r="M9636"/>
        </row>
        <row r="9637">
          <cell r="B9637"/>
          <cell r="C9637"/>
          <cell r="E9637"/>
          <cell r="F9637"/>
          <cell r="G9637"/>
          <cell r="H9637"/>
          <cell r="J9637"/>
          <cell r="L9637"/>
          <cell r="M9637"/>
        </row>
        <row r="9638">
          <cell r="B9638"/>
          <cell r="C9638"/>
          <cell r="E9638"/>
          <cell r="F9638"/>
          <cell r="G9638"/>
          <cell r="H9638"/>
          <cell r="J9638"/>
          <cell r="L9638"/>
          <cell r="M9638"/>
        </row>
        <row r="9639">
          <cell r="B9639"/>
          <cell r="C9639"/>
          <cell r="E9639"/>
          <cell r="F9639"/>
          <cell r="G9639"/>
          <cell r="H9639"/>
          <cell r="J9639"/>
          <cell r="L9639"/>
          <cell r="M9639"/>
        </row>
        <row r="9640">
          <cell r="B9640"/>
          <cell r="C9640"/>
          <cell r="E9640"/>
          <cell r="F9640"/>
          <cell r="G9640"/>
          <cell r="H9640"/>
          <cell r="J9640"/>
          <cell r="L9640"/>
          <cell r="M9640"/>
        </row>
        <row r="9641">
          <cell r="B9641"/>
          <cell r="C9641"/>
          <cell r="E9641"/>
          <cell r="F9641"/>
          <cell r="G9641"/>
          <cell r="H9641"/>
          <cell r="J9641"/>
          <cell r="L9641"/>
          <cell r="M9641"/>
        </row>
        <row r="9642">
          <cell r="B9642"/>
          <cell r="C9642"/>
          <cell r="E9642"/>
          <cell r="F9642"/>
          <cell r="G9642"/>
          <cell r="H9642"/>
          <cell r="J9642"/>
          <cell r="L9642"/>
          <cell r="M9642"/>
        </row>
        <row r="9643">
          <cell r="B9643"/>
          <cell r="C9643"/>
          <cell r="E9643"/>
          <cell r="F9643"/>
          <cell r="G9643"/>
          <cell r="H9643"/>
          <cell r="J9643"/>
          <cell r="L9643"/>
          <cell r="M9643"/>
        </row>
        <row r="9644">
          <cell r="B9644"/>
          <cell r="C9644"/>
          <cell r="E9644"/>
          <cell r="F9644"/>
          <cell r="G9644"/>
          <cell r="H9644"/>
          <cell r="J9644"/>
          <cell r="L9644"/>
          <cell r="M9644"/>
        </row>
        <row r="9645">
          <cell r="B9645"/>
          <cell r="C9645"/>
          <cell r="E9645"/>
          <cell r="F9645"/>
          <cell r="G9645"/>
          <cell r="H9645"/>
          <cell r="J9645"/>
          <cell r="L9645"/>
          <cell r="M9645"/>
        </row>
        <row r="9646">
          <cell r="B9646"/>
          <cell r="C9646"/>
          <cell r="E9646"/>
          <cell r="F9646"/>
          <cell r="G9646"/>
          <cell r="H9646"/>
          <cell r="J9646"/>
          <cell r="L9646"/>
          <cell r="M9646"/>
        </row>
        <row r="9647">
          <cell r="B9647"/>
          <cell r="C9647"/>
          <cell r="E9647"/>
          <cell r="F9647"/>
          <cell r="G9647"/>
          <cell r="H9647"/>
          <cell r="J9647"/>
          <cell r="L9647"/>
          <cell r="M9647"/>
        </row>
        <row r="9648">
          <cell r="B9648"/>
          <cell r="C9648"/>
          <cell r="E9648"/>
          <cell r="F9648"/>
          <cell r="G9648"/>
          <cell r="H9648"/>
          <cell r="J9648"/>
          <cell r="L9648"/>
          <cell r="M9648"/>
        </row>
        <row r="9649">
          <cell r="B9649"/>
          <cell r="C9649"/>
          <cell r="E9649"/>
          <cell r="F9649"/>
          <cell r="G9649"/>
          <cell r="H9649"/>
          <cell r="J9649"/>
          <cell r="L9649"/>
          <cell r="M9649"/>
        </row>
        <row r="9650">
          <cell r="B9650"/>
          <cell r="C9650"/>
          <cell r="E9650"/>
          <cell r="F9650"/>
          <cell r="G9650"/>
          <cell r="H9650"/>
          <cell r="J9650"/>
          <cell r="L9650"/>
          <cell r="M9650"/>
        </row>
        <row r="9651">
          <cell r="B9651"/>
          <cell r="C9651"/>
          <cell r="E9651"/>
          <cell r="F9651"/>
          <cell r="G9651"/>
          <cell r="H9651"/>
          <cell r="J9651"/>
          <cell r="L9651"/>
          <cell r="M9651"/>
        </row>
        <row r="9652">
          <cell r="B9652"/>
          <cell r="C9652"/>
          <cell r="E9652"/>
          <cell r="F9652"/>
          <cell r="G9652"/>
          <cell r="H9652"/>
          <cell r="J9652"/>
          <cell r="L9652"/>
          <cell r="M9652"/>
        </row>
        <row r="9653">
          <cell r="B9653"/>
          <cell r="C9653"/>
          <cell r="E9653"/>
          <cell r="F9653"/>
          <cell r="G9653"/>
          <cell r="H9653"/>
          <cell r="J9653"/>
          <cell r="L9653"/>
          <cell r="M9653"/>
        </row>
        <row r="9654">
          <cell r="B9654"/>
          <cell r="C9654"/>
          <cell r="E9654"/>
          <cell r="F9654"/>
          <cell r="G9654"/>
          <cell r="H9654"/>
          <cell r="J9654"/>
          <cell r="L9654"/>
          <cell r="M9654"/>
        </row>
        <row r="9655">
          <cell r="B9655"/>
          <cell r="C9655"/>
          <cell r="E9655"/>
          <cell r="F9655"/>
          <cell r="G9655"/>
          <cell r="H9655"/>
          <cell r="J9655"/>
          <cell r="L9655"/>
          <cell r="M9655"/>
        </row>
        <row r="9656">
          <cell r="B9656"/>
          <cell r="C9656"/>
          <cell r="E9656"/>
          <cell r="F9656"/>
          <cell r="G9656"/>
          <cell r="H9656"/>
          <cell r="J9656"/>
          <cell r="L9656"/>
          <cell r="M9656"/>
        </row>
        <row r="9657">
          <cell r="B9657"/>
          <cell r="C9657"/>
          <cell r="E9657"/>
          <cell r="F9657"/>
          <cell r="G9657"/>
          <cell r="H9657"/>
          <cell r="J9657"/>
          <cell r="L9657"/>
          <cell r="M9657"/>
        </row>
        <row r="9658">
          <cell r="B9658"/>
          <cell r="C9658"/>
          <cell r="E9658"/>
          <cell r="F9658"/>
          <cell r="G9658"/>
          <cell r="H9658"/>
          <cell r="J9658"/>
          <cell r="L9658"/>
          <cell r="M9658"/>
        </row>
        <row r="9659">
          <cell r="B9659"/>
          <cell r="C9659"/>
          <cell r="E9659"/>
          <cell r="F9659"/>
          <cell r="G9659"/>
          <cell r="H9659"/>
          <cell r="J9659"/>
          <cell r="L9659"/>
          <cell r="M9659"/>
        </row>
        <row r="9660">
          <cell r="B9660"/>
          <cell r="C9660"/>
          <cell r="E9660"/>
          <cell r="F9660"/>
          <cell r="G9660"/>
          <cell r="H9660"/>
          <cell r="J9660"/>
          <cell r="L9660"/>
          <cell r="M9660"/>
        </row>
        <row r="9661">
          <cell r="B9661"/>
          <cell r="C9661"/>
          <cell r="E9661"/>
          <cell r="F9661"/>
          <cell r="G9661"/>
          <cell r="H9661"/>
          <cell r="J9661"/>
          <cell r="L9661"/>
          <cell r="M9661"/>
        </row>
        <row r="9662">
          <cell r="B9662"/>
          <cell r="C9662"/>
          <cell r="E9662"/>
          <cell r="F9662"/>
          <cell r="G9662"/>
          <cell r="H9662"/>
          <cell r="J9662"/>
          <cell r="L9662"/>
          <cell r="M9662"/>
        </row>
        <row r="9663">
          <cell r="B9663"/>
          <cell r="C9663"/>
          <cell r="E9663"/>
          <cell r="F9663"/>
          <cell r="G9663"/>
          <cell r="H9663"/>
          <cell r="J9663"/>
          <cell r="L9663"/>
          <cell r="M9663"/>
        </row>
        <row r="9664">
          <cell r="B9664"/>
          <cell r="C9664"/>
          <cell r="E9664"/>
          <cell r="F9664"/>
          <cell r="G9664"/>
          <cell r="H9664"/>
          <cell r="J9664"/>
          <cell r="L9664"/>
          <cell r="M9664"/>
        </row>
        <row r="9665">
          <cell r="B9665"/>
          <cell r="C9665"/>
          <cell r="E9665"/>
          <cell r="F9665"/>
          <cell r="G9665"/>
          <cell r="H9665"/>
          <cell r="J9665"/>
          <cell r="L9665"/>
          <cell r="M9665"/>
        </row>
        <row r="9666">
          <cell r="B9666"/>
          <cell r="C9666"/>
          <cell r="E9666"/>
          <cell r="F9666"/>
          <cell r="G9666"/>
          <cell r="H9666"/>
          <cell r="J9666"/>
          <cell r="L9666"/>
          <cell r="M9666"/>
        </row>
        <row r="9667">
          <cell r="B9667"/>
          <cell r="C9667"/>
          <cell r="E9667"/>
          <cell r="F9667"/>
          <cell r="G9667"/>
          <cell r="H9667"/>
          <cell r="J9667"/>
          <cell r="L9667"/>
          <cell r="M9667"/>
        </row>
        <row r="9668">
          <cell r="B9668"/>
          <cell r="C9668"/>
          <cell r="E9668"/>
          <cell r="F9668"/>
          <cell r="G9668"/>
          <cell r="H9668"/>
          <cell r="J9668"/>
          <cell r="L9668"/>
          <cell r="M9668"/>
        </row>
        <row r="9669">
          <cell r="B9669"/>
          <cell r="C9669"/>
          <cell r="E9669"/>
          <cell r="F9669"/>
          <cell r="G9669"/>
          <cell r="H9669"/>
          <cell r="J9669"/>
          <cell r="L9669"/>
          <cell r="M9669"/>
        </row>
        <row r="9670">
          <cell r="B9670"/>
          <cell r="C9670"/>
          <cell r="E9670"/>
          <cell r="F9670"/>
          <cell r="G9670"/>
          <cell r="H9670"/>
          <cell r="J9670"/>
          <cell r="L9670"/>
          <cell r="M9670"/>
        </row>
        <row r="9671">
          <cell r="B9671"/>
          <cell r="C9671"/>
          <cell r="E9671"/>
          <cell r="F9671"/>
          <cell r="G9671"/>
          <cell r="H9671"/>
          <cell r="J9671"/>
          <cell r="L9671"/>
          <cell r="M9671"/>
        </row>
        <row r="9672">
          <cell r="B9672"/>
          <cell r="C9672"/>
          <cell r="E9672"/>
          <cell r="F9672"/>
          <cell r="G9672"/>
          <cell r="H9672"/>
          <cell r="J9672"/>
          <cell r="L9672"/>
          <cell r="M9672"/>
        </row>
        <row r="9673">
          <cell r="B9673"/>
          <cell r="C9673"/>
          <cell r="E9673"/>
          <cell r="F9673"/>
          <cell r="G9673"/>
          <cell r="H9673"/>
          <cell r="J9673"/>
          <cell r="L9673"/>
          <cell r="M9673"/>
        </row>
        <row r="9674">
          <cell r="B9674"/>
          <cell r="C9674"/>
          <cell r="E9674"/>
          <cell r="F9674"/>
          <cell r="G9674"/>
          <cell r="H9674"/>
          <cell r="J9674"/>
          <cell r="L9674"/>
          <cell r="M9674"/>
        </row>
        <row r="9675">
          <cell r="B9675"/>
          <cell r="C9675"/>
          <cell r="E9675"/>
          <cell r="F9675"/>
          <cell r="G9675"/>
          <cell r="H9675"/>
          <cell r="J9675"/>
          <cell r="L9675"/>
          <cell r="M9675"/>
        </row>
        <row r="9676">
          <cell r="B9676"/>
          <cell r="C9676"/>
          <cell r="E9676"/>
          <cell r="F9676"/>
          <cell r="G9676"/>
          <cell r="H9676"/>
          <cell r="J9676"/>
          <cell r="L9676"/>
          <cell r="M9676"/>
        </row>
        <row r="9677">
          <cell r="B9677"/>
          <cell r="C9677"/>
          <cell r="E9677"/>
          <cell r="F9677"/>
          <cell r="G9677"/>
          <cell r="H9677"/>
          <cell r="J9677"/>
          <cell r="L9677"/>
          <cell r="M9677"/>
        </row>
        <row r="9678">
          <cell r="B9678"/>
          <cell r="C9678"/>
          <cell r="E9678"/>
          <cell r="F9678"/>
          <cell r="G9678"/>
          <cell r="H9678"/>
          <cell r="J9678"/>
          <cell r="L9678"/>
          <cell r="M9678"/>
        </row>
        <row r="9679">
          <cell r="B9679"/>
          <cell r="C9679"/>
          <cell r="E9679"/>
          <cell r="F9679"/>
          <cell r="G9679"/>
          <cell r="H9679"/>
          <cell r="J9679"/>
          <cell r="L9679"/>
          <cell r="M9679"/>
        </row>
        <row r="9680">
          <cell r="B9680"/>
          <cell r="C9680"/>
          <cell r="E9680"/>
          <cell r="F9680"/>
          <cell r="G9680"/>
          <cell r="H9680"/>
          <cell r="J9680"/>
          <cell r="L9680"/>
          <cell r="M9680"/>
        </row>
        <row r="9681">
          <cell r="B9681"/>
          <cell r="C9681"/>
          <cell r="E9681"/>
          <cell r="F9681"/>
          <cell r="G9681"/>
          <cell r="H9681"/>
          <cell r="J9681"/>
          <cell r="L9681"/>
          <cell r="M9681"/>
        </row>
        <row r="9682">
          <cell r="B9682"/>
          <cell r="C9682"/>
          <cell r="E9682"/>
          <cell r="F9682"/>
          <cell r="G9682"/>
          <cell r="H9682"/>
          <cell r="J9682"/>
          <cell r="L9682"/>
          <cell r="M9682"/>
        </row>
        <row r="9683">
          <cell r="B9683"/>
          <cell r="C9683"/>
          <cell r="E9683"/>
          <cell r="F9683"/>
          <cell r="G9683"/>
          <cell r="H9683"/>
          <cell r="J9683"/>
          <cell r="L9683"/>
          <cell r="M9683"/>
        </row>
        <row r="9684">
          <cell r="B9684"/>
          <cell r="C9684"/>
          <cell r="E9684"/>
          <cell r="F9684"/>
          <cell r="G9684"/>
          <cell r="H9684"/>
          <cell r="J9684"/>
          <cell r="L9684"/>
          <cell r="M9684"/>
        </row>
        <row r="9685">
          <cell r="B9685"/>
          <cell r="C9685"/>
          <cell r="E9685"/>
          <cell r="F9685"/>
          <cell r="G9685"/>
          <cell r="H9685"/>
          <cell r="J9685"/>
          <cell r="L9685"/>
          <cell r="M9685"/>
        </row>
        <row r="9686">
          <cell r="B9686"/>
          <cell r="C9686"/>
          <cell r="E9686"/>
          <cell r="F9686"/>
          <cell r="G9686"/>
          <cell r="H9686"/>
          <cell r="J9686"/>
          <cell r="L9686"/>
          <cell r="M9686"/>
        </row>
        <row r="9687">
          <cell r="B9687"/>
          <cell r="C9687"/>
          <cell r="E9687"/>
          <cell r="F9687"/>
          <cell r="G9687"/>
          <cell r="H9687"/>
          <cell r="J9687"/>
          <cell r="L9687"/>
          <cell r="M9687"/>
        </row>
        <row r="9688">
          <cell r="B9688"/>
          <cell r="C9688"/>
          <cell r="E9688"/>
          <cell r="F9688"/>
          <cell r="G9688"/>
          <cell r="H9688"/>
          <cell r="J9688"/>
          <cell r="L9688"/>
          <cell r="M9688"/>
        </row>
        <row r="9689">
          <cell r="B9689"/>
          <cell r="C9689"/>
          <cell r="E9689"/>
          <cell r="F9689"/>
          <cell r="G9689"/>
          <cell r="H9689"/>
          <cell r="J9689"/>
          <cell r="L9689"/>
          <cell r="M9689"/>
        </row>
        <row r="9690">
          <cell r="B9690"/>
          <cell r="C9690"/>
          <cell r="E9690"/>
          <cell r="F9690"/>
          <cell r="G9690"/>
          <cell r="H9690"/>
          <cell r="J9690"/>
          <cell r="L9690"/>
          <cell r="M9690"/>
        </row>
        <row r="9691">
          <cell r="B9691"/>
          <cell r="C9691"/>
          <cell r="E9691"/>
          <cell r="F9691"/>
          <cell r="G9691"/>
          <cell r="H9691"/>
          <cell r="J9691"/>
          <cell r="L9691"/>
          <cell r="M9691"/>
        </row>
        <row r="9692">
          <cell r="B9692"/>
          <cell r="C9692"/>
          <cell r="E9692"/>
          <cell r="F9692"/>
          <cell r="G9692"/>
          <cell r="H9692"/>
          <cell r="J9692"/>
          <cell r="L9692"/>
          <cell r="M9692"/>
        </row>
        <row r="9693">
          <cell r="B9693"/>
          <cell r="C9693"/>
          <cell r="E9693"/>
          <cell r="F9693"/>
          <cell r="G9693"/>
          <cell r="H9693"/>
          <cell r="J9693"/>
          <cell r="L9693"/>
          <cell r="M9693"/>
        </row>
        <row r="9694">
          <cell r="B9694"/>
          <cell r="C9694"/>
          <cell r="E9694"/>
          <cell r="F9694"/>
          <cell r="G9694"/>
          <cell r="H9694"/>
          <cell r="J9694"/>
          <cell r="L9694"/>
          <cell r="M9694"/>
        </row>
        <row r="9695">
          <cell r="B9695"/>
          <cell r="C9695"/>
          <cell r="E9695"/>
          <cell r="F9695"/>
          <cell r="G9695"/>
          <cell r="H9695"/>
          <cell r="J9695"/>
          <cell r="L9695"/>
          <cell r="M9695"/>
        </row>
        <row r="9696">
          <cell r="B9696"/>
          <cell r="C9696"/>
          <cell r="E9696"/>
          <cell r="F9696"/>
          <cell r="G9696"/>
          <cell r="H9696"/>
          <cell r="J9696"/>
          <cell r="L9696"/>
          <cell r="M9696"/>
        </row>
        <row r="9697">
          <cell r="B9697"/>
          <cell r="C9697"/>
          <cell r="E9697"/>
          <cell r="F9697"/>
          <cell r="G9697"/>
          <cell r="H9697"/>
          <cell r="J9697"/>
          <cell r="L9697"/>
          <cell r="M9697"/>
        </row>
        <row r="9698">
          <cell r="B9698"/>
          <cell r="C9698"/>
          <cell r="E9698"/>
          <cell r="F9698"/>
          <cell r="G9698"/>
          <cell r="H9698"/>
          <cell r="J9698"/>
          <cell r="L9698"/>
          <cell r="M9698"/>
        </row>
        <row r="9699">
          <cell r="B9699"/>
          <cell r="C9699"/>
          <cell r="E9699"/>
          <cell r="F9699"/>
          <cell r="G9699"/>
          <cell r="H9699"/>
          <cell r="J9699"/>
          <cell r="L9699"/>
          <cell r="M9699"/>
        </row>
        <row r="9700">
          <cell r="B9700"/>
          <cell r="C9700"/>
          <cell r="E9700"/>
          <cell r="F9700"/>
          <cell r="G9700"/>
          <cell r="H9700"/>
          <cell r="J9700"/>
          <cell r="L9700"/>
          <cell r="M9700"/>
        </row>
        <row r="9701">
          <cell r="B9701"/>
          <cell r="C9701"/>
          <cell r="E9701"/>
          <cell r="F9701"/>
          <cell r="G9701"/>
          <cell r="H9701"/>
          <cell r="J9701"/>
          <cell r="L9701"/>
          <cell r="M9701"/>
        </row>
        <row r="9702">
          <cell r="B9702"/>
          <cell r="C9702"/>
          <cell r="E9702"/>
          <cell r="F9702"/>
          <cell r="G9702"/>
          <cell r="H9702"/>
          <cell r="J9702"/>
          <cell r="L9702"/>
          <cell r="M9702"/>
        </row>
        <row r="9703">
          <cell r="B9703"/>
          <cell r="C9703"/>
          <cell r="E9703"/>
          <cell r="F9703"/>
          <cell r="G9703"/>
          <cell r="H9703"/>
          <cell r="J9703"/>
          <cell r="L9703"/>
          <cell r="M9703"/>
        </row>
        <row r="9704">
          <cell r="B9704"/>
          <cell r="C9704"/>
          <cell r="E9704"/>
          <cell r="F9704"/>
          <cell r="G9704"/>
          <cell r="H9704"/>
          <cell r="J9704"/>
          <cell r="L9704"/>
          <cell r="M9704"/>
        </row>
        <row r="9705">
          <cell r="B9705"/>
          <cell r="C9705"/>
          <cell r="E9705"/>
          <cell r="F9705"/>
          <cell r="G9705"/>
          <cell r="H9705"/>
          <cell r="J9705"/>
          <cell r="L9705"/>
          <cell r="M9705"/>
        </row>
        <row r="9706">
          <cell r="B9706"/>
          <cell r="C9706"/>
          <cell r="E9706"/>
          <cell r="F9706"/>
          <cell r="G9706"/>
          <cell r="H9706"/>
          <cell r="J9706"/>
          <cell r="L9706"/>
          <cell r="M9706"/>
        </row>
        <row r="9707">
          <cell r="B9707"/>
          <cell r="C9707"/>
          <cell r="E9707"/>
          <cell r="F9707"/>
          <cell r="G9707"/>
          <cell r="H9707"/>
          <cell r="J9707"/>
          <cell r="L9707"/>
          <cell r="M9707"/>
        </row>
        <row r="9708">
          <cell r="B9708"/>
          <cell r="C9708"/>
          <cell r="E9708"/>
          <cell r="F9708"/>
          <cell r="G9708"/>
          <cell r="H9708"/>
          <cell r="J9708"/>
          <cell r="L9708"/>
          <cell r="M9708"/>
        </row>
        <row r="9709">
          <cell r="B9709"/>
          <cell r="C9709"/>
          <cell r="E9709"/>
          <cell r="F9709"/>
          <cell r="G9709"/>
          <cell r="H9709"/>
          <cell r="J9709"/>
          <cell r="L9709"/>
          <cell r="M9709"/>
        </row>
        <row r="9710">
          <cell r="B9710"/>
          <cell r="C9710"/>
          <cell r="E9710"/>
          <cell r="F9710"/>
          <cell r="G9710"/>
          <cell r="H9710"/>
          <cell r="J9710"/>
          <cell r="L9710"/>
          <cell r="M9710"/>
        </row>
        <row r="9711">
          <cell r="B9711"/>
          <cell r="C9711"/>
          <cell r="E9711"/>
          <cell r="F9711"/>
          <cell r="G9711"/>
          <cell r="H9711"/>
          <cell r="J9711"/>
          <cell r="L9711"/>
          <cell r="M9711"/>
        </row>
        <row r="9712">
          <cell r="B9712"/>
          <cell r="C9712"/>
          <cell r="E9712"/>
          <cell r="F9712"/>
          <cell r="G9712"/>
          <cell r="H9712"/>
          <cell r="J9712"/>
          <cell r="L9712"/>
          <cell r="M9712"/>
        </row>
        <row r="9713">
          <cell r="B9713"/>
          <cell r="C9713"/>
          <cell r="E9713"/>
          <cell r="F9713"/>
          <cell r="G9713"/>
          <cell r="H9713"/>
          <cell r="J9713"/>
          <cell r="L9713"/>
          <cell r="M9713"/>
        </row>
        <row r="9714">
          <cell r="B9714"/>
          <cell r="C9714"/>
          <cell r="E9714"/>
          <cell r="F9714"/>
          <cell r="G9714"/>
          <cell r="H9714"/>
          <cell r="J9714"/>
          <cell r="L9714"/>
          <cell r="M9714"/>
        </row>
        <row r="9715">
          <cell r="B9715"/>
          <cell r="C9715"/>
          <cell r="E9715"/>
          <cell r="F9715"/>
          <cell r="G9715"/>
          <cell r="H9715"/>
          <cell r="J9715"/>
          <cell r="L9715"/>
          <cell r="M9715"/>
        </row>
        <row r="9716">
          <cell r="B9716"/>
          <cell r="C9716"/>
          <cell r="E9716"/>
          <cell r="F9716"/>
          <cell r="G9716"/>
          <cell r="H9716"/>
          <cell r="J9716"/>
          <cell r="L9716"/>
          <cell r="M9716"/>
        </row>
        <row r="9717">
          <cell r="B9717"/>
          <cell r="C9717"/>
          <cell r="E9717"/>
          <cell r="F9717"/>
          <cell r="G9717"/>
          <cell r="H9717"/>
          <cell r="J9717"/>
          <cell r="L9717"/>
          <cell r="M9717"/>
        </row>
        <row r="9718">
          <cell r="B9718"/>
          <cell r="C9718"/>
          <cell r="E9718"/>
          <cell r="F9718"/>
          <cell r="G9718"/>
          <cell r="H9718"/>
          <cell r="J9718"/>
          <cell r="L9718"/>
          <cell r="M9718"/>
        </row>
        <row r="9719">
          <cell r="B9719"/>
          <cell r="C9719"/>
          <cell r="E9719"/>
          <cell r="F9719"/>
          <cell r="G9719"/>
          <cell r="H9719"/>
          <cell r="J9719"/>
          <cell r="L9719"/>
          <cell r="M9719"/>
        </row>
        <row r="9720">
          <cell r="B9720"/>
          <cell r="C9720"/>
          <cell r="E9720"/>
          <cell r="F9720"/>
          <cell r="G9720"/>
          <cell r="H9720"/>
          <cell r="J9720"/>
          <cell r="L9720"/>
          <cell r="M9720"/>
        </row>
        <row r="9721">
          <cell r="B9721"/>
          <cell r="C9721"/>
          <cell r="E9721"/>
          <cell r="F9721"/>
          <cell r="G9721"/>
          <cell r="H9721"/>
          <cell r="J9721"/>
          <cell r="L9721"/>
          <cell r="M9721"/>
        </row>
        <row r="9722">
          <cell r="B9722"/>
          <cell r="C9722"/>
          <cell r="E9722"/>
          <cell r="F9722"/>
          <cell r="G9722"/>
          <cell r="H9722"/>
          <cell r="J9722"/>
          <cell r="L9722"/>
          <cell r="M9722"/>
        </row>
        <row r="9723">
          <cell r="B9723"/>
          <cell r="C9723"/>
          <cell r="E9723"/>
          <cell r="F9723"/>
          <cell r="G9723"/>
          <cell r="H9723"/>
          <cell r="J9723"/>
          <cell r="L9723"/>
          <cell r="M9723"/>
        </row>
        <row r="9724">
          <cell r="B9724"/>
          <cell r="C9724"/>
          <cell r="E9724"/>
          <cell r="F9724"/>
          <cell r="G9724"/>
          <cell r="H9724"/>
          <cell r="J9724"/>
          <cell r="L9724"/>
          <cell r="M9724"/>
        </row>
        <row r="9725">
          <cell r="B9725"/>
          <cell r="C9725"/>
          <cell r="E9725"/>
          <cell r="F9725"/>
          <cell r="G9725"/>
          <cell r="H9725"/>
          <cell r="J9725"/>
          <cell r="L9725"/>
          <cell r="M9725"/>
        </row>
        <row r="9726">
          <cell r="B9726"/>
          <cell r="C9726"/>
          <cell r="E9726"/>
          <cell r="F9726"/>
          <cell r="G9726"/>
          <cell r="H9726"/>
          <cell r="J9726"/>
          <cell r="L9726"/>
          <cell r="M9726"/>
        </row>
        <row r="9727">
          <cell r="B9727"/>
          <cell r="C9727"/>
          <cell r="E9727"/>
          <cell r="F9727"/>
          <cell r="G9727"/>
          <cell r="H9727"/>
          <cell r="J9727"/>
          <cell r="L9727"/>
          <cell r="M9727"/>
        </row>
        <row r="9728">
          <cell r="B9728"/>
          <cell r="C9728"/>
          <cell r="E9728"/>
          <cell r="F9728"/>
          <cell r="G9728"/>
          <cell r="H9728"/>
          <cell r="J9728"/>
          <cell r="L9728"/>
          <cell r="M9728"/>
        </row>
        <row r="9729">
          <cell r="B9729"/>
          <cell r="C9729"/>
          <cell r="E9729"/>
          <cell r="F9729"/>
          <cell r="G9729"/>
          <cell r="H9729"/>
          <cell r="J9729"/>
          <cell r="L9729"/>
          <cell r="M9729"/>
        </row>
        <row r="9730">
          <cell r="B9730"/>
          <cell r="C9730"/>
          <cell r="E9730"/>
          <cell r="F9730"/>
          <cell r="G9730"/>
          <cell r="H9730"/>
          <cell r="J9730"/>
          <cell r="L9730"/>
          <cell r="M9730"/>
        </row>
        <row r="9731">
          <cell r="B9731"/>
          <cell r="C9731"/>
          <cell r="E9731"/>
          <cell r="F9731"/>
          <cell r="G9731"/>
          <cell r="H9731"/>
          <cell r="J9731"/>
          <cell r="L9731"/>
          <cell r="M9731"/>
        </row>
        <row r="9732">
          <cell r="B9732"/>
          <cell r="C9732"/>
          <cell r="E9732"/>
          <cell r="F9732"/>
          <cell r="G9732"/>
          <cell r="H9732"/>
          <cell r="J9732"/>
          <cell r="L9732"/>
          <cell r="M9732"/>
        </row>
        <row r="9733">
          <cell r="B9733"/>
          <cell r="C9733"/>
          <cell r="E9733"/>
          <cell r="F9733"/>
          <cell r="G9733"/>
          <cell r="H9733"/>
          <cell r="J9733"/>
          <cell r="L9733"/>
          <cell r="M9733"/>
        </row>
        <row r="9734">
          <cell r="B9734"/>
          <cell r="C9734"/>
          <cell r="E9734"/>
          <cell r="F9734"/>
          <cell r="G9734"/>
          <cell r="H9734"/>
          <cell r="J9734"/>
          <cell r="L9734"/>
          <cell r="M9734"/>
        </row>
        <row r="9735">
          <cell r="B9735"/>
          <cell r="C9735"/>
          <cell r="E9735"/>
          <cell r="F9735"/>
          <cell r="G9735"/>
          <cell r="H9735"/>
          <cell r="J9735"/>
          <cell r="L9735"/>
          <cell r="M9735"/>
        </row>
        <row r="9736">
          <cell r="B9736"/>
          <cell r="C9736"/>
          <cell r="E9736"/>
          <cell r="F9736"/>
          <cell r="G9736"/>
          <cell r="H9736"/>
          <cell r="J9736"/>
          <cell r="L9736"/>
          <cell r="M9736"/>
        </row>
        <row r="9737">
          <cell r="B9737"/>
          <cell r="C9737"/>
          <cell r="E9737"/>
          <cell r="F9737"/>
          <cell r="G9737"/>
          <cell r="H9737"/>
          <cell r="J9737"/>
          <cell r="L9737"/>
          <cell r="M9737"/>
        </row>
        <row r="9738">
          <cell r="B9738"/>
          <cell r="C9738"/>
          <cell r="E9738"/>
          <cell r="F9738"/>
          <cell r="G9738"/>
          <cell r="H9738"/>
          <cell r="J9738"/>
          <cell r="L9738"/>
          <cell r="M9738"/>
        </row>
        <row r="9739">
          <cell r="B9739"/>
          <cell r="C9739"/>
          <cell r="E9739"/>
          <cell r="F9739"/>
          <cell r="G9739"/>
          <cell r="H9739"/>
          <cell r="J9739"/>
          <cell r="L9739"/>
          <cell r="M9739"/>
        </row>
        <row r="9740">
          <cell r="B9740"/>
          <cell r="C9740"/>
          <cell r="E9740"/>
          <cell r="F9740"/>
          <cell r="G9740"/>
          <cell r="H9740"/>
          <cell r="J9740"/>
          <cell r="L9740"/>
          <cell r="M9740"/>
        </row>
        <row r="9741">
          <cell r="B9741"/>
          <cell r="C9741"/>
          <cell r="E9741"/>
          <cell r="F9741"/>
          <cell r="G9741"/>
          <cell r="H9741"/>
          <cell r="J9741"/>
          <cell r="L9741"/>
          <cell r="M9741"/>
        </row>
        <row r="9742">
          <cell r="B9742"/>
          <cell r="C9742"/>
          <cell r="E9742"/>
          <cell r="F9742"/>
          <cell r="G9742"/>
          <cell r="H9742"/>
          <cell r="J9742"/>
          <cell r="L9742"/>
          <cell r="M9742"/>
        </row>
        <row r="9743">
          <cell r="B9743"/>
          <cell r="C9743"/>
          <cell r="E9743"/>
          <cell r="F9743"/>
          <cell r="G9743"/>
          <cell r="H9743"/>
          <cell r="J9743"/>
          <cell r="L9743"/>
          <cell r="M9743"/>
        </row>
        <row r="9744">
          <cell r="B9744"/>
          <cell r="C9744"/>
          <cell r="E9744"/>
          <cell r="F9744"/>
          <cell r="G9744"/>
          <cell r="H9744"/>
          <cell r="J9744"/>
          <cell r="L9744"/>
          <cell r="M9744"/>
        </row>
        <row r="9745">
          <cell r="B9745"/>
          <cell r="C9745"/>
          <cell r="E9745"/>
          <cell r="F9745"/>
          <cell r="G9745"/>
          <cell r="H9745"/>
          <cell r="J9745"/>
          <cell r="L9745"/>
          <cell r="M9745"/>
        </row>
        <row r="9746">
          <cell r="B9746"/>
          <cell r="C9746"/>
          <cell r="E9746"/>
          <cell r="F9746"/>
          <cell r="G9746"/>
          <cell r="H9746"/>
          <cell r="J9746"/>
          <cell r="L9746"/>
          <cell r="M9746"/>
        </row>
        <row r="9747">
          <cell r="B9747"/>
          <cell r="C9747"/>
          <cell r="E9747"/>
          <cell r="F9747"/>
          <cell r="G9747"/>
          <cell r="H9747"/>
          <cell r="J9747"/>
          <cell r="L9747"/>
          <cell r="M9747"/>
        </row>
        <row r="9748">
          <cell r="B9748"/>
          <cell r="C9748"/>
          <cell r="E9748"/>
          <cell r="F9748"/>
          <cell r="G9748"/>
          <cell r="H9748"/>
          <cell r="J9748"/>
          <cell r="L9748"/>
          <cell r="M9748"/>
        </row>
        <row r="9749">
          <cell r="B9749"/>
          <cell r="C9749"/>
          <cell r="E9749"/>
          <cell r="F9749"/>
          <cell r="G9749"/>
          <cell r="H9749"/>
          <cell r="J9749"/>
          <cell r="L9749"/>
          <cell r="M9749"/>
        </row>
        <row r="9750">
          <cell r="B9750"/>
          <cell r="C9750"/>
          <cell r="E9750"/>
          <cell r="F9750"/>
          <cell r="G9750"/>
          <cell r="H9750"/>
          <cell r="J9750"/>
          <cell r="L9750"/>
          <cell r="M9750"/>
        </row>
        <row r="9751">
          <cell r="B9751"/>
          <cell r="C9751"/>
          <cell r="E9751"/>
          <cell r="F9751"/>
          <cell r="G9751"/>
          <cell r="H9751"/>
          <cell r="J9751"/>
          <cell r="L9751"/>
          <cell r="M9751"/>
        </row>
        <row r="9752">
          <cell r="B9752"/>
          <cell r="C9752"/>
          <cell r="E9752"/>
          <cell r="F9752"/>
          <cell r="G9752"/>
          <cell r="H9752"/>
          <cell r="J9752"/>
          <cell r="L9752"/>
          <cell r="M9752"/>
        </row>
        <row r="9753">
          <cell r="B9753"/>
          <cell r="C9753"/>
          <cell r="E9753"/>
          <cell r="F9753"/>
          <cell r="G9753"/>
          <cell r="H9753"/>
          <cell r="J9753"/>
          <cell r="L9753"/>
          <cell r="M9753"/>
        </row>
        <row r="9754">
          <cell r="B9754"/>
          <cell r="C9754"/>
          <cell r="E9754"/>
          <cell r="F9754"/>
          <cell r="G9754"/>
          <cell r="H9754"/>
          <cell r="J9754"/>
          <cell r="L9754"/>
          <cell r="M9754"/>
        </row>
        <row r="9755">
          <cell r="B9755"/>
          <cell r="C9755"/>
          <cell r="E9755"/>
          <cell r="F9755"/>
          <cell r="G9755"/>
          <cell r="H9755"/>
          <cell r="J9755"/>
          <cell r="L9755"/>
          <cell r="M9755"/>
        </row>
        <row r="9756">
          <cell r="B9756"/>
          <cell r="C9756"/>
          <cell r="E9756"/>
          <cell r="F9756"/>
          <cell r="G9756"/>
          <cell r="H9756"/>
          <cell r="J9756"/>
          <cell r="L9756"/>
          <cell r="M9756"/>
        </row>
        <row r="9757">
          <cell r="B9757"/>
          <cell r="C9757"/>
          <cell r="E9757"/>
          <cell r="F9757"/>
          <cell r="G9757"/>
          <cell r="H9757"/>
          <cell r="J9757"/>
          <cell r="L9757"/>
          <cell r="M9757"/>
        </row>
        <row r="9758">
          <cell r="B9758"/>
          <cell r="C9758"/>
          <cell r="E9758"/>
          <cell r="F9758"/>
          <cell r="G9758"/>
          <cell r="H9758"/>
          <cell r="J9758"/>
          <cell r="L9758"/>
          <cell r="M9758"/>
        </row>
        <row r="9759">
          <cell r="B9759"/>
          <cell r="C9759"/>
          <cell r="E9759"/>
          <cell r="F9759"/>
          <cell r="G9759"/>
          <cell r="H9759"/>
          <cell r="J9759"/>
          <cell r="L9759"/>
          <cell r="M9759"/>
        </row>
        <row r="9760">
          <cell r="B9760"/>
          <cell r="C9760"/>
          <cell r="E9760"/>
          <cell r="F9760"/>
          <cell r="G9760"/>
          <cell r="H9760"/>
          <cell r="J9760"/>
          <cell r="L9760"/>
          <cell r="M9760"/>
        </row>
        <row r="9761">
          <cell r="B9761"/>
          <cell r="C9761"/>
          <cell r="E9761"/>
          <cell r="F9761"/>
          <cell r="G9761"/>
          <cell r="H9761"/>
          <cell r="J9761"/>
          <cell r="L9761"/>
          <cell r="M9761"/>
        </row>
        <row r="9762">
          <cell r="B9762"/>
          <cell r="C9762"/>
          <cell r="E9762"/>
          <cell r="F9762"/>
          <cell r="G9762"/>
          <cell r="H9762"/>
          <cell r="J9762"/>
          <cell r="L9762"/>
          <cell r="M9762"/>
        </row>
        <row r="9763">
          <cell r="B9763"/>
          <cell r="C9763"/>
          <cell r="E9763"/>
          <cell r="F9763"/>
          <cell r="G9763"/>
          <cell r="H9763"/>
          <cell r="J9763"/>
          <cell r="L9763"/>
          <cell r="M9763"/>
        </row>
        <row r="9764">
          <cell r="B9764"/>
          <cell r="C9764"/>
          <cell r="E9764"/>
          <cell r="F9764"/>
          <cell r="G9764"/>
          <cell r="H9764"/>
          <cell r="J9764"/>
          <cell r="L9764"/>
          <cell r="M9764"/>
        </row>
        <row r="9765">
          <cell r="B9765"/>
          <cell r="C9765"/>
          <cell r="E9765"/>
          <cell r="F9765"/>
          <cell r="G9765"/>
          <cell r="H9765"/>
          <cell r="J9765"/>
          <cell r="L9765"/>
          <cell r="M9765"/>
        </row>
        <row r="9766">
          <cell r="B9766"/>
          <cell r="C9766"/>
          <cell r="E9766"/>
          <cell r="F9766"/>
          <cell r="G9766"/>
          <cell r="H9766"/>
          <cell r="J9766"/>
          <cell r="L9766"/>
          <cell r="M9766"/>
        </row>
        <row r="9767">
          <cell r="B9767"/>
          <cell r="C9767"/>
          <cell r="E9767"/>
          <cell r="F9767"/>
          <cell r="G9767"/>
          <cell r="H9767"/>
          <cell r="J9767"/>
          <cell r="L9767"/>
          <cell r="M9767"/>
        </row>
        <row r="9768">
          <cell r="B9768"/>
          <cell r="C9768"/>
          <cell r="E9768"/>
          <cell r="F9768"/>
          <cell r="G9768"/>
          <cell r="H9768"/>
          <cell r="J9768"/>
          <cell r="L9768"/>
          <cell r="M9768"/>
        </row>
        <row r="9769">
          <cell r="B9769"/>
          <cell r="C9769"/>
          <cell r="E9769"/>
          <cell r="F9769"/>
          <cell r="G9769"/>
          <cell r="H9769"/>
          <cell r="J9769"/>
          <cell r="L9769"/>
          <cell r="M9769"/>
        </row>
        <row r="9770">
          <cell r="B9770"/>
          <cell r="C9770"/>
          <cell r="E9770"/>
          <cell r="F9770"/>
          <cell r="G9770"/>
          <cell r="H9770"/>
          <cell r="J9770"/>
          <cell r="L9770"/>
          <cell r="M9770"/>
        </row>
        <row r="9771">
          <cell r="B9771"/>
          <cell r="C9771"/>
          <cell r="E9771"/>
          <cell r="F9771"/>
          <cell r="G9771"/>
          <cell r="H9771"/>
          <cell r="J9771"/>
          <cell r="L9771"/>
          <cell r="M9771"/>
        </row>
        <row r="9772">
          <cell r="B9772"/>
          <cell r="C9772"/>
          <cell r="E9772"/>
          <cell r="F9772"/>
          <cell r="G9772"/>
          <cell r="H9772"/>
          <cell r="J9772"/>
          <cell r="L9772"/>
          <cell r="M9772"/>
        </row>
        <row r="9773">
          <cell r="B9773"/>
          <cell r="C9773"/>
          <cell r="E9773"/>
          <cell r="F9773"/>
          <cell r="G9773"/>
          <cell r="H9773"/>
          <cell r="J9773"/>
          <cell r="L9773"/>
          <cell r="M9773"/>
        </row>
        <row r="9774">
          <cell r="B9774"/>
          <cell r="C9774"/>
          <cell r="E9774"/>
          <cell r="F9774"/>
          <cell r="G9774"/>
          <cell r="H9774"/>
          <cell r="J9774"/>
          <cell r="L9774"/>
          <cell r="M9774"/>
        </row>
        <row r="9775">
          <cell r="B9775"/>
          <cell r="C9775"/>
          <cell r="E9775"/>
          <cell r="F9775"/>
          <cell r="G9775"/>
          <cell r="H9775"/>
          <cell r="J9775"/>
          <cell r="L9775"/>
          <cell r="M9775"/>
        </row>
        <row r="9776">
          <cell r="B9776"/>
          <cell r="C9776"/>
          <cell r="E9776"/>
          <cell r="F9776"/>
          <cell r="G9776"/>
          <cell r="H9776"/>
          <cell r="J9776"/>
          <cell r="L9776"/>
          <cell r="M9776"/>
        </row>
        <row r="9777">
          <cell r="B9777"/>
          <cell r="C9777"/>
          <cell r="E9777"/>
          <cell r="F9777"/>
          <cell r="G9777"/>
          <cell r="H9777"/>
          <cell r="J9777"/>
          <cell r="L9777"/>
          <cell r="M9777"/>
        </row>
        <row r="9778">
          <cell r="B9778"/>
          <cell r="C9778"/>
          <cell r="E9778"/>
          <cell r="F9778"/>
          <cell r="G9778"/>
          <cell r="H9778"/>
          <cell r="J9778"/>
          <cell r="L9778"/>
          <cell r="M9778"/>
        </row>
        <row r="9779">
          <cell r="B9779"/>
          <cell r="C9779"/>
          <cell r="E9779"/>
          <cell r="F9779"/>
          <cell r="G9779"/>
          <cell r="H9779"/>
          <cell r="J9779"/>
          <cell r="L9779"/>
          <cell r="M9779"/>
        </row>
        <row r="9780">
          <cell r="B9780"/>
          <cell r="C9780"/>
          <cell r="E9780"/>
          <cell r="F9780"/>
          <cell r="G9780"/>
          <cell r="H9780"/>
          <cell r="J9780"/>
          <cell r="L9780"/>
          <cell r="M9780"/>
        </row>
        <row r="9781">
          <cell r="B9781"/>
          <cell r="C9781"/>
          <cell r="E9781"/>
          <cell r="F9781"/>
          <cell r="G9781"/>
          <cell r="H9781"/>
          <cell r="J9781"/>
          <cell r="L9781"/>
          <cell r="M9781"/>
        </row>
        <row r="9782">
          <cell r="B9782"/>
          <cell r="C9782"/>
          <cell r="E9782"/>
          <cell r="F9782"/>
          <cell r="G9782"/>
          <cell r="H9782"/>
          <cell r="J9782"/>
          <cell r="L9782"/>
          <cell r="M9782"/>
        </row>
        <row r="9783">
          <cell r="B9783"/>
          <cell r="C9783"/>
          <cell r="E9783"/>
          <cell r="F9783"/>
          <cell r="G9783"/>
          <cell r="H9783"/>
          <cell r="J9783"/>
          <cell r="L9783"/>
          <cell r="M9783"/>
        </row>
        <row r="9784">
          <cell r="B9784"/>
          <cell r="C9784"/>
          <cell r="E9784"/>
          <cell r="F9784"/>
          <cell r="G9784"/>
          <cell r="H9784"/>
          <cell r="J9784"/>
          <cell r="L9784"/>
          <cell r="M9784"/>
        </row>
        <row r="9785">
          <cell r="B9785"/>
          <cell r="C9785"/>
          <cell r="E9785"/>
          <cell r="F9785"/>
          <cell r="G9785"/>
          <cell r="H9785"/>
          <cell r="J9785"/>
          <cell r="L9785"/>
          <cell r="M9785"/>
        </row>
        <row r="9786">
          <cell r="B9786"/>
          <cell r="C9786"/>
          <cell r="E9786"/>
          <cell r="F9786"/>
          <cell r="G9786"/>
          <cell r="H9786"/>
          <cell r="J9786"/>
          <cell r="L9786"/>
          <cell r="M9786"/>
        </row>
        <row r="9787">
          <cell r="B9787"/>
          <cell r="C9787"/>
          <cell r="E9787"/>
          <cell r="F9787"/>
          <cell r="G9787"/>
          <cell r="H9787"/>
          <cell r="J9787"/>
          <cell r="L9787"/>
          <cell r="M9787"/>
        </row>
        <row r="9788">
          <cell r="B9788"/>
          <cell r="C9788"/>
          <cell r="E9788"/>
          <cell r="F9788"/>
          <cell r="G9788"/>
          <cell r="H9788"/>
          <cell r="J9788"/>
          <cell r="L9788"/>
          <cell r="M9788"/>
        </row>
        <row r="9789">
          <cell r="B9789"/>
          <cell r="C9789"/>
          <cell r="E9789"/>
          <cell r="F9789"/>
          <cell r="G9789"/>
          <cell r="H9789"/>
          <cell r="J9789"/>
          <cell r="L9789"/>
          <cell r="M9789"/>
        </row>
        <row r="9790">
          <cell r="B9790"/>
          <cell r="C9790"/>
          <cell r="E9790"/>
          <cell r="F9790"/>
          <cell r="G9790"/>
          <cell r="H9790"/>
          <cell r="J9790"/>
          <cell r="L9790"/>
          <cell r="M9790"/>
        </row>
        <row r="9791">
          <cell r="B9791"/>
          <cell r="C9791"/>
          <cell r="E9791"/>
          <cell r="F9791"/>
          <cell r="G9791"/>
          <cell r="H9791"/>
          <cell r="J9791"/>
          <cell r="L9791"/>
          <cell r="M9791"/>
        </row>
        <row r="9792">
          <cell r="B9792"/>
          <cell r="C9792"/>
          <cell r="E9792"/>
          <cell r="F9792"/>
          <cell r="G9792"/>
          <cell r="H9792"/>
          <cell r="J9792"/>
          <cell r="L9792"/>
          <cell r="M9792"/>
        </row>
        <row r="9793">
          <cell r="B9793"/>
          <cell r="C9793"/>
          <cell r="E9793"/>
          <cell r="F9793"/>
          <cell r="G9793"/>
          <cell r="H9793"/>
          <cell r="J9793"/>
          <cell r="L9793"/>
          <cell r="M9793"/>
        </row>
        <row r="9794">
          <cell r="B9794"/>
          <cell r="C9794"/>
          <cell r="E9794"/>
          <cell r="F9794"/>
          <cell r="G9794"/>
          <cell r="H9794"/>
          <cell r="J9794"/>
          <cell r="L9794"/>
          <cell r="M9794"/>
        </row>
        <row r="9795">
          <cell r="B9795"/>
          <cell r="C9795"/>
          <cell r="E9795"/>
          <cell r="F9795"/>
          <cell r="G9795"/>
          <cell r="H9795"/>
          <cell r="J9795"/>
          <cell r="L9795"/>
          <cell r="M9795"/>
        </row>
        <row r="9796">
          <cell r="B9796"/>
          <cell r="C9796"/>
          <cell r="E9796"/>
          <cell r="F9796"/>
          <cell r="G9796"/>
          <cell r="H9796"/>
          <cell r="J9796"/>
          <cell r="L9796"/>
          <cell r="M9796"/>
        </row>
        <row r="9797">
          <cell r="B9797"/>
          <cell r="C9797"/>
          <cell r="E9797"/>
          <cell r="F9797"/>
          <cell r="G9797"/>
          <cell r="H9797"/>
          <cell r="J9797"/>
          <cell r="L9797"/>
          <cell r="M9797"/>
        </row>
        <row r="9798">
          <cell r="B9798"/>
          <cell r="C9798"/>
          <cell r="E9798"/>
          <cell r="F9798"/>
          <cell r="G9798"/>
          <cell r="H9798"/>
          <cell r="J9798"/>
          <cell r="L9798"/>
          <cell r="M9798"/>
        </row>
        <row r="9799">
          <cell r="B9799"/>
          <cell r="C9799"/>
          <cell r="E9799"/>
          <cell r="F9799"/>
          <cell r="G9799"/>
          <cell r="H9799"/>
          <cell r="J9799"/>
          <cell r="L9799"/>
          <cell r="M9799"/>
        </row>
        <row r="9800">
          <cell r="B9800"/>
          <cell r="C9800"/>
          <cell r="E9800"/>
          <cell r="F9800"/>
          <cell r="G9800"/>
          <cell r="H9800"/>
          <cell r="J9800"/>
          <cell r="L9800"/>
          <cell r="M9800"/>
        </row>
        <row r="9801">
          <cell r="B9801"/>
          <cell r="C9801"/>
          <cell r="E9801"/>
          <cell r="F9801"/>
          <cell r="G9801"/>
          <cell r="H9801"/>
          <cell r="J9801"/>
          <cell r="L9801"/>
          <cell r="M9801"/>
        </row>
        <row r="9802">
          <cell r="B9802"/>
          <cell r="C9802"/>
          <cell r="E9802"/>
          <cell r="F9802"/>
          <cell r="G9802"/>
          <cell r="H9802"/>
          <cell r="J9802"/>
          <cell r="L9802"/>
          <cell r="M9802"/>
        </row>
        <row r="9803">
          <cell r="B9803"/>
          <cell r="C9803"/>
          <cell r="E9803"/>
          <cell r="F9803"/>
          <cell r="G9803"/>
          <cell r="H9803"/>
          <cell r="J9803"/>
          <cell r="L9803"/>
          <cell r="M9803"/>
        </row>
        <row r="9804">
          <cell r="B9804"/>
          <cell r="C9804"/>
          <cell r="E9804"/>
          <cell r="F9804"/>
          <cell r="G9804"/>
          <cell r="H9804"/>
          <cell r="J9804"/>
          <cell r="L9804"/>
          <cell r="M9804"/>
        </row>
        <row r="9805">
          <cell r="B9805"/>
          <cell r="C9805"/>
          <cell r="E9805"/>
          <cell r="F9805"/>
          <cell r="G9805"/>
          <cell r="H9805"/>
          <cell r="J9805"/>
          <cell r="L9805"/>
          <cell r="M9805"/>
        </row>
        <row r="9806">
          <cell r="B9806"/>
          <cell r="C9806"/>
          <cell r="E9806"/>
          <cell r="F9806"/>
          <cell r="G9806"/>
          <cell r="H9806"/>
          <cell r="J9806"/>
          <cell r="L9806"/>
          <cell r="M9806"/>
        </row>
        <row r="9807">
          <cell r="B9807"/>
          <cell r="C9807"/>
          <cell r="E9807"/>
          <cell r="F9807"/>
          <cell r="G9807"/>
          <cell r="H9807"/>
          <cell r="J9807"/>
          <cell r="L9807"/>
          <cell r="M9807"/>
        </row>
        <row r="9808">
          <cell r="B9808"/>
          <cell r="C9808"/>
          <cell r="E9808"/>
          <cell r="F9808"/>
          <cell r="G9808"/>
          <cell r="H9808"/>
          <cell r="J9808"/>
          <cell r="L9808"/>
          <cell r="M9808"/>
        </row>
        <row r="9809">
          <cell r="B9809"/>
          <cell r="C9809"/>
          <cell r="E9809"/>
          <cell r="F9809"/>
          <cell r="G9809"/>
          <cell r="H9809"/>
          <cell r="J9809"/>
          <cell r="L9809"/>
          <cell r="M9809"/>
        </row>
        <row r="9810">
          <cell r="B9810"/>
          <cell r="C9810"/>
          <cell r="E9810"/>
          <cell r="F9810"/>
          <cell r="G9810"/>
          <cell r="H9810"/>
          <cell r="J9810"/>
          <cell r="L9810"/>
          <cell r="M9810"/>
        </row>
        <row r="9811">
          <cell r="B9811"/>
          <cell r="C9811"/>
          <cell r="E9811"/>
          <cell r="F9811"/>
          <cell r="G9811"/>
          <cell r="H9811"/>
          <cell r="J9811"/>
          <cell r="L9811"/>
          <cell r="M9811"/>
        </row>
        <row r="9812">
          <cell r="B9812"/>
          <cell r="C9812"/>
          <cell r="E9812"/>
          <cell r="F9812"/>
          <cell r="G9812"/>
          <cell r="H9812"/>
          <cell r="J9812"/>
          <cell r="L9812"/>
          <cell r="M9812"/>
        </row>
        <row r="9813">
          <cell r="B9813"/>
          <cell r="C9813"/>
          <cell r="E9813"/>
          <cell r="F9813"/>
          <cell r="G9813"/>
          <cell r="H9813"/>
          <cell r="J9813"/>
          <cell r="L9813"/>
          <cell r="M9813"/>
        </row>
        <row r="9814">
          <cell r="B9814"/>
          <cell r="C9814"/>
          <cell r="E9814"/>
          <cell r="F9814"/>
          <cell r="G9814"/>
          <cell r="H9814"/>
          <cell r="J9814"/>
          <cell r="L9814"/>
          <cell r="M9814"/>
        </row>
        <row r="9815">
          <cell r="B9815"/>
          <cell r="C9815"/>
          <cell r="E9815"/>
          <cell r="F9815"/>
          <cell r="G9815"/>
          <cell r="H9815"/>
          <cell r="J9815"/>
          <cell r="L9815"/>
          <cell r="M9815"/>
        </row>
        <row r="9816">
          <cell r="B9816"/>
          <cell r="C9816"/>
          <cell r="E9816"/>
          <cell r="F9816"/>
          <cell r="G9816"/>
          <cell r="H9816"/>
          <cell r="J9816"/>
          <cell r="L9816"/>
          <cell r="M9816"/>
        </row>
        <row r="9817">
          <cell r="B9817"/>
          <cell r="C9817"/>
          <cell r="E9817"/>
          <cell r="F9817"/>
          <cell r="G9817"/>
          <cell r="H9817"/>
          <cell r="J9817"/>
          <cell r="L9817"/>
          <cell r="M9817"/>
        </row>
        <row r="9818">
          <cell r="B9818"/>
          <cell r="C9818"/>
          <cell r="E9818"/>
          <cell r="F9818"/>
          <cell r="G9818"/>
          <cell r="H9818"/>
          <cell r="J9818"/>
          <cell r="L9818"/>
          <cell r="M9818"/>
        </row>
        <row r="9819">
          <cell r="B9819"/>
          <cell r="C9819"/>
          <cell r="E9819"/>
          <cell r="F9819"/>
          <cell r="G9819"/>
          <cell r="H9819"/>
          <cell r="J9819"/>
          <cell r="L9819"/>
          <cell r="M9819"/>
        </row>
        <row r="9820">
          <cell r="B9820"/>
          <cell r="C9820"/>
          <cell r="E9820"/>
          <cell r="F9820"/>
          <cell r="G9820"/>
          <cell r="H9820"/>
          <cell r="J9820"/>
          <cell r="L9820"/>
          <cell r="M9820"/>
        </row>
        <row r="9821">
          <cell r="B9821"/>
          <cell r="C9821"/>
          <cell r="E9821"/>
          <cell r="F9821"/>
          <cell r="G9821"/>
          <cell r="H9821"/>
          <cell r="J9821"/>
          <cell r="L9821"/>
          <cell r="M9821"/>
        </row>
        <row r="9822">
          <cell r="B9822"/>
          <cell r="C9822"/>
          <cell r="E9822"/>
          <cell r="F9822"/>
          <cell r="G9822"/>
          <cell r="H9822"/>
          <cell r="J9822"/>
          <cell r="L9822"/>
          <cell r="M9822"/>
        </row>
        <row r="9823">
          <cell r="B9823"/>
          <cell r="C9823"/>
          <cell r="E9823"/>
          <cell r="F9823"/>
          <cell r="G9823"/>
          <cell r="H9823"/>
          <cell r="J9823"/>
          <cell r="L9823"/>
          <cell r="M9823"/>
        </row>
        <row r="9824">
          <cell r="B9824"/>
          <cell r="C9824"/>
          <cell r="E9824"/>
          <cell r="F9824"/>
          <cell r="G9824"/>
          <cell r="H9824"/>
          <cell r="J9824"/>
          <cell r="L9824"/>
          <cell r="M9824"/>
        </row>
        <row r="9825">
          <cell r="B9825"/>
          <cell r="C9825"/>
          <cell r="E9825"/>
          <cell r="F9825"/>
          <cell r="G9825"/>
          <cell r="H9825"/>
          <cell r="J9825"/>
          <cell r="L9825"/>
          <cell r="M9825"/>
        </row>
        <row r="9826">
          <cell r="B9826"/>
          <cell r="C9826"/>
          <cell r="E9826"/>
          <cell r="F9826"/>
          <cell r="G9826"/>
          <cell r="H9826"/>
          <cell r="J9826"/>
          <cell r="L9826"/>
          <cell r="M9826"/>
        </row>
        <row r="9827">
          <cell r="B9827"/>
          <cell r="C9827"/>
          <cell r="E9827"/>
          <cell r="F9827"/>
          <cell r="G9827"/>
          <cell r="H9827"/>
          <cell r="J9827"/>
          <cell r="L9827"/>
          <cell r="M9827"/>
        </row>
        <row r="9828">
          <cell r="B9828"/>
          <cell r="C9828"/>
          <cell r="E9828"/>
          <cell r="F9828"/>
          <cell r="G9828"/>
          <cell r="H9828"/>
          <cell r="J9828"/>
          <cell r="L9828"/>
          <cell r="M9828"/>
        </row>
        <row r="9829">
          <cell r="B9829"/>
          <cell r="C9829"/>
          <cell r="E9829"/>
          <cell r="F9829"/>
          <cell r="G9829"/>
          <cell r="H9829"/>
          <cell r="J9829"/>
          <cell r="L9829"/>
          <cell r="M9829"/>
        </row>
        <row r="9830">
          <cell r="B9830"/>
          <cell r="C9830"/>
          <cell r="E9830"/>
          <cell r="F9830"/>
          <cell r="G9830"/>
          <cell r="H9830"/>
          <cell r="J9830"/>
          <cell r="L9830"/>
          <cell r="M9830"/>
        </row>
        <row r="9831">
          <cell r="B9831"/>
          <cell r="C9831"/>
          <cell r="E9831"/>
          <cell r="F9831"/>
          <cell r="G9831"/>
          <cell r="H9831"/>
          <cell r="J9831"/>
          <cell r="L9831"/>
          <cell r="M9831"/>
        </row>
        <row r="9832">
          <cell r="B9832"/>
          <cell r="C9832"/>
          <cell r="E9832"/>
          <cell r="F9832"/>
          <cell r="G9832"/>
          <cell r="H9832"/>
          <cell r="J9832"/>
          <cell r="L9832"/>
          <cell r="M9832"/>
        </row>
        <row r="9833">
          <cell r="B9833"/>
          <cell r="C9833"/>
          <cell r="E9833"/>
          <cell r="F9833"/>
          <cell r="G9833"/>
          <cell r="H9833"/>
          <cell r="J9833"/>
          <cell r="L9833"/>
          <cell r="M9833"/>
        </row>
        <row r="9834">
          <cell r="B9834"/>
          <cell r="C9834"/>
          <cell r="E9834"/>
          <cell r="F9834"/>
          <cell r="G9834"/>
          <cell r="H9834"/>
          <cell r="J9834"/>
          <cell r="L9834"/>
          <cell r="M9834"/>
        </row>
        <row r="9835">
          <cell r="B9835"/>
          <cell r="C9835"/>
          <cell r="E9835"/>
          <cell r="F9835"/>
          <cell r="G9835"/>
          <cell r="H9835"/>
          <cell r="J9835"/>
          <cell r="L9835"/>
          <cell r="M9835"/>
        </row>
        <row r="9836">
          <cell r="B9836"/>
          <cell r="C9836"/>
          <cell r="E9836"/>
          <cell r="F9836"/>
          <cell r="G9836"/>
          <cell r="H9836"/>
          <cell r="J9836"/>
          <cell r="L9836"/>
          <cell r="M9836"/>
        </row>
        <row r="9837">
          <cell r="B9837"/>
          <cell r="C9837"/>
          <cell r="E9837"/>
          <cell r="F9837"/>
          <cell r="G9837"/>
          <cell r="H9837"/>
          <cell r="J9837"/>
          <cell r="L9837"/>
          <cell r="M9837"/>
        </row>
        <row r="9838">
          <cell r="B9838"/>
          <cell r="C9838"/>
          <cell r="E9838"/>
          <cell r="F9838"/>
          <cell r="G9838"/>
          <cell r="H9838"/>
          <cell r="J9838"/>
          <cell r="L9838"/>
          <cell r="M9838"/>
        </row>
        <row r="9839">
          <cell r="B9839"/>
          <cell r="C9839"/>
          <cell r="E9839"/>
          <cell r="F9839"/>
          <cell r="G9839"/>
          <cell r="H9839"/>
          <cell r="J9839"/>
          <cell r="L9839"/>
          <cell r="M9839"/>
        </row>
        <row r="9840">
          <cell r="B9840"/>
          <cell r="C9840"/>
          <cell r="E9840"/>
          <cell r="F9840"/>
          <cell r="G9840"/>
          <cell r="H9840"/>
          <cell r="J9840"/>
          <cell r="L9840"/>
          <cell r="M9840"/>
        </row>
        <row r="9841">
          <cell r="B9841"/>
          <cell r="C9841"/>
          <cell r="E9841"/>
          <cell r="F9841"/>
          <cell r="G9841"/>
          <cell r="H9841"/>
          <cell r="J9841"/>
          <cell r="L9841"/>
          <cell r="M9841"/>
        </row>
        <row r="9842">
          <cell r="B9842"/>
          <cell r="C9842"/>
          <cell r="E9842"/>
          <cell r="F9842"/>
          <cell r="G9842"/>
          <cell r="H9842"/>
          <cell r="J9842"/>
          <cell r="L9842"/>
          <cell r="M9842"/>
        </row>
        <row r="9843">
          <cell r="B9843"/>
          <cell r="C9843"/>
          <cell r="E9843"/>
          <cell r="F9843"/>
          <cell r="G9843"/>
          <cell r="H9843"/>
          <cell r="J9843"/>
          <cell r="L9843"/>
          <cell r="M9843"/>
        </row>
        <row r="9844">
          <cell r="B9844"/>
          <cell r="C9844"/>
          <cell r="E9844"/>
          <cell r="F9844"/>
          <cell r="G9844"/>
          <cell r="H9844"/>
          <cell r="J9844"/>
          <cell r="L9844"/>
          <cell r="M9844"/>
        </row>
        <row r="9845">
          <cell r="B9845"/>
          <cell r="C9845"/>
          <cell r="E9845"/>
          <cell r="F9845"/>
          <cell r="G9845"/>
          <cell r="H9845"/>
          <cell r="J9845"/>
          <cell r="L9845"/>
          <cell r="M9845"/>
        </row>
        <row r="9846">
          <cell r="B9846"/>
          <cell r="C9846"/>
          <cell r="E9846"/>
          <cell r="F9846"/>
          <cell r="G9846"/>
          <cell r="H9846"/>
          <cell r="J9846"/>
          <cell r="L9846"/>
          <cell r="M9846"/>
        </row>
        <row r="9847">
          <cell r="B9847"/>
          <cell r="C9847"/>
          <cell r="E9847"/>
          <cell r="F9847"/>
          <cell r="G9847"/>
          <cell r="H9847"/>
          <cell r="J9847"/>
          <cell r="L9847"/>
          <cell r="M9847"/>
        </row>
        <row r="9848">
          <cell r="B9848"/>
          <cell r="C9848"/>
          <cell r="E9848"/>
          <cell r="F9848"/>
          <cell r="G9848"/>
          <cell r="H9848"/>
          <cell r="J9848"/>
          <cell r="L9848"/>
          <cell r="M9848"/>
        </row>
        <row r="9849">
          <cell r="B9849"/>
          <cell r="C9849"/>
          <cell r="E9849"/>
          <cell r="F9849"/>
          <cell r="G9849"/>
          <cell r="H9849"/>
          <cell r="J9849"/>
          <cell r="L9849"/>
          <cell r="M9849"/>
        </row>
        <row r="9850">
          <cell r="B9850"/>
          <cell r="C9850"/>
          <cell r="E9850"/>
          <cell r="F9850"/>
          <cell r="G9850"/>
          <cell r="H9850"/>
          <cell r="J9850"/>
          <cell r="L9850"/>
          <cell r="M9850"/>
        </row>
        <row r="9851">
          <cell r="B9851"/>
          <cell r="C9851"/>
          <cell r="E9851"/>
          <cell r="F9851"/>
          <cell r="G9851"/>
          <cell r="H9851"/>
          <cell r="J9851"/>
          <cell r="L9851"/>
          <cell r="M9851"/>
        </row>
        <row r="9852">
          <cell r="B9852"/>
          <cell r="C9852"/>
          <cell r="E9852"/>
          <cell r="F9852"/>
          <cell r="G9852"/>
          <cell r="H9852"/>
          <cell r="J9852"/>
          <cell r="L9852"/>
          <cell r="M9852"/>
        </row>
        <row r="9853">
          <cell r="B9853"/>
          <cell r="C9853"/>
          <cell r="E9853"/>
          <cell r="F9853"/>
          <cell r="G9853"/>
          <cell r="H9853"/>
          <cell r="J9853"/>
          <cell r="L9853"/>
          <cell r="M9853"/>
        </row>
        <row r="9854">
          <cell r="B9854"/>
          <cell r="C9854"/>
          <cell r="E9854"/>
          <cell r="F9854"/>
          <cell r="G9854"/>
          <cell r="H9854"/>
          <cell r="J9854"/>
          <cell r="L9854"/>
          <cell r="M9854"/>
        </row>
        <row r="9855">
          <cell r="B9855"/>
          <cell r="C9855"/>
          <cell r="E9855"/>
          <cell r="F9855"/>
          <cell r="G9855"/>
          <cell r="H9855"/>
          <cell r="J9855"/>
          <cell r="L9855"/>
          <cell r="M9855"/>
        </row>
        <row r="9856">
          <cell r="B9856"/>
          <cell r="C9856"/>
          <cell r="E9856"/>
          <cell r="F9856"/>
          <cell r="G9856"/>
          <cell r="H9856"/>
          <cell r="J9856"/>
          <cell r="L9856"/>
          <cell r="M9856"/>
        </row>
        <row r="9857">
          <cell r="B9857"/>
          <cell r="C9857"/>
          <cell r="E9857"/>
          <cell r="F9857"/>
          <cell r="G9857"/>
          <cell r="H9857"/>
          <cell r="J9857"/>
          <cell r="L9857"/>
          <cell r="M9857"/>
        </row>
        <row r="9858">
          <cell r="B9858"/>
          <cell r="C9858"/>
          <cell r="E9858"/>
          <cell r="F9858"/>
          <cell r="G9858"/>
          <cell r="H9858"/>
          <cell r="J9858"/>
          <cell r="L9858"/>
          <cell r="M9858"/>
        </row>
        <row r="9859">
          <cell r="B9859"/>
          <cell r="C9859"/>
          <cell r="E9859"/>
          <cell r="F9859"/>
          <cell r="G9859"/>
          <cell r="H9859"/>
          <cell r="J9859"/>
          <cell r="L9859"/>
          <cell r="M9859"/>
        </row>
        <row r="9860">
          <cell r="B9860"/>
          <cell r="C9860"/>
          <cell r="E9860"/>
          <cell r="F9860"/>
          <cell r="G9860"/>
          <cell r="H9860"/>
          <cell r="J9860"/>
          <cell r="L9860"/>
          <cell r="M9860"/>
        </row>
        <row r="9861">
          <cell r="B9861"/>
          <cell r="C9861"/>
          <cell r="E9861"/>
          <cell r="F9861"/>
          <cell r="G9861"/>
          <cell r="H9861"/>
          <cell r="J9861"/>
          <cell r="L9861"/>
          <cell r="M9861"/>
        </row>
        <row r="9862">
          <cell r="B9862"/>
          <cell r="C9862"/>
          <cell r="E9862"/>
          <cell r="F9862"/>
          <cell r="G9862"/>
          <cell r="H9862"/>
          <cell r="J9862"/>
          <cell r="L9862"/>
          <cell r="M9862"/>
        </row>
        <row r="9863">
          <cell r="B9863"/>
          <cell r="C9863"/>
          <cell r="E9863"/>
          <cell r="F9863"/>
          <cell r="G9863"/>
          <cell r="H9863"/>
          <cell r="J9863"/>
          <cell r="L9863"/>
          <cell r="M9863"/>
        </row>
        <row r="9864">
          <cell r="B9864"/>
          <cell r="C9864"/>
          <cell r="E9864"/>
          <cell r="F9864"/>
          <cell r="G9864"/>
          <cell r="H9864"/>
          <cell r="J9864"/>
          <cell r="L9864"/>
          <cell r="M9864"/>
        </row>
        <row r="9865">
          <cell r="B9865"/>
          <cell r="C9865"/>
          <cell r="E9865"/>
          <cell r="F9865"/>
          <cell r="G9865"/>
          <cell r="H9865"/>
          <cell r="J9865"/>
          <cell r="L9865"/>
          <cell r="M9865"/>
        </row>
        <row r="9866">
          <cell r="B9866"/>
          <cell r="C9866"/>
          <cell r="E9866"/>
          <cell r="F9866"/>
          <cell r="G9866"/>
          <cell r="H9866"/>
          <cell r="J9866"/>
          <cell r="L9866"/>
          <cell r="M9866"/>
        </row>
        <row r="9867">
          <cell r="B9867"/>
          <cell r="C9867"/>
          <cell r="E9867"/>
          <cell r="F9867"/>
          <cell r="G9867"/>
          <cell r="H9867"/>
          <cell r="J9867"/>
          <cell r="L9867"/>
          <cell r="M9867"/>
        </row>
        <row r="9868">
          <cell r="B9868"/>
          <cell r="C9868"/>
          <cell r="E9868"/>
          <cell r="F9868"/>
          <cell r="G9868"/>
          <cell r="H9868"/>
          <cell r="J9868"/>
          <cell r="L9868"/>
          <cell r="M9868"/>
        </row>
        <row r="9869">
          <cell r="B9869"/>
          <cell r="C9869"/>
          <cell r="E9869"/>
          <cell r="F9869"/>
          <cell r="G9869"/>
          <cell r="H9869"/>
          <cell r="J9869"/>
          <cell r="L9869"/>
          <cell r="M9869"/>
        </row>
        <row r="9870">
          <cell r="B9870"/>
          <cell r="C9870"/>
          <cell r="E9870"/>
          <cell r="F9870"/>
          <cell r="G9870"/>
          <cell r="H9870"/>
          <cell r="J9870"/>
          <cell r="L9870"/>
          <cell r="M9870"/>
        </row>
        <row r="9871">
          <cell r="B9871"/>
          <cell r="C9871"/>
          <cell r="E9871"/>
          <cell r="F9871"/>
          <cell r="G9871"/>
          <cell r="H9871"/>
          <cell r="J9871"/>
          <cell r="L9871"/>
          <cell r="M9871"/>
        </row>
        <row r="9872">
          <cell r="B9872"/>
          <cell r="C9872"/>
          <cell r="E9872"/>
          <cell r="F9872"/>
          <cell r="G9872"/>
          <cell r="H9872"/>
          <cell r="J9872"/>
          <cell r="L9872"/>
          <cell r="M9872"/>
        </row>
        <row r="9873">
          <cell r="B9873"/>
          <cell r="C9873"/>
          <cell r="E9873"/>
          <cell r="F9873"/>
          <cell r="G9873"/>
          <cell r="H9873"/>
          <cell r="J9873"/>
          <cell r="L9873"/>
          <cell r="M9873"/>
        </row>
        <row r="9874">
          <cell r="B9874"/>
          <cell r="C9874"/>
          <cell r="E9874"/>
          <cell r="F9874"/>
          <cell r="G9874"/>
          <cell r="H9874"/>
          <cell r="J9874"/>
          <cell r="L9874"/>
          <cell r="M9874"/>
        </row>
        <row r="9875">
          <cell r="B9875"/>
          <cell r="C9875"/>
          <cell r="E9875"/>
          <cell r="F9875"/>
          <cell r="G9875"/>
          <cell r="H9875"/>
          <cell r="J9875"/>
          <cell r="L9875"/>
          <cell r="M9875"/>
        </row>
        <row r="9876">
          <cell r="B9876"/>
          <cell r="C9876"/>
          <cell r="E9876"/>
          <cell r="F9876"/>
          <cell r="G9876"/>
          <cell r="H9876"/>
          <cell r="J9876"/>
          <cell r="L9876"/>
          <cell r="M9876"/>
        </row>
        <row r="9877">
          <cell r="B9877"/>
          <cell r="C9877"/>
          <cell r="E9877"/>
          <cell r="F9877"/>
          <cell r="G9877"/>
          <cell r="H9877"/>
          <cell r="J9877"/>
          <cell r="L9877"/>
          <cell r="M9877"/>
        </row>
        <row r="9878">
          <cell r="B9878"/>
          <cell r="C9878"/>
          <cell r="E9878"/>
          <cell r="F9878"/>
          <cell r="G9878"/>
          <cell r="H9878"/>
          <cell r="J9878"/>
          <cell r="L9878"/>
          <cell r="M9878"/>
        </row>
        <row r="9879">
          <cell r="B9879"/>
          <cell r="C9879"/>
          <cell r="E9879"/>
          <cell r="F9879"/>
          <cell r="G9879"/>
          <cell r="H9879"/>
          <cell r="J9879"/>
          <cell r="L9879"/>
          <cell r="M9879"/>
        </row>
        <row r="9880">
          <cell r="B9880"/>
          <cell r="C9880"/>
          <cell r="E9880"/>
          <cell r="F9880"/>
          <cell r="G9880"/>
          <cell r="H9880"/>
          <cell r="J9880"/>
          <cell r="L9880"/>
          <cell r="M9880"/>
        </row>
        <row r="9881">
          <cell r="B9881"/>
          <cell r="C9881"/>
          <cell r="E9881"/>
          <cell r="F9881"/>
          <cell r="G9881"/>
          <cell r="H9881"/>
          <cell r="J9881"/>
          <cell r="L9881"/>
          <cell r="M9881"/>
        </row>
        <row r="9882">
          <cell r="B9882"/>
          <cell r="C9882"/>
          <cell r="E9882"/>
          <cell r="F9882"/>
          <cell r="G9882"/>
          <cell r="H9882"/>
          <cell r="J9882"/>
          <cell r="L9882"/>
          <cell r="M9882"/>
        </row>
        <row r="9883">
          <cell r="B9883"/>
          <cell r="C9883"/>
          <cell r="E9883"/>
          <cell r="F9883"/>
          <cell r="G9883"/>
          <cell r="H9883"/>
          <cell r="J9883"/>
          <cell r="L9883"/>
          <cell r="M9883"/>
        </row>
        <row r="9884">
          <cell r="B9884"/>
          <cell r="C9884"/>
          <cell r="E9884"/>
          <cell r="F9884"/>
          <cell r="G9884"/>
          <cell r="H9884"/>
          <cell r="J9884"/>
          <cell r="L9884"/>
          <cell r="M9884"/>
        </row>
        <row r="9885">
          <cell r="B9885"/>
          <cell r="C9885"/>
          <cell r="E9885"/>
          <cell r="F9885"/>
          <cell r="G9885"/>
          <cell r="H9885"/>
          <cell r="J9885"/>
          <cell r="L9885"/>
          <cell r="M9885"/>
        </row>
        <row r="9886">
          <cell r="B9886"/>
          <cell r="C9886"/>
          <cell r="E9886"/>
          <cell r="F9886"/>
          <cell r="G9886"/>
          <cell r="H9886"/>
          <cell r="J9886"/>
          <cell r="L9886"/>
          <cell r="M9886"/>
        </row>
        <row r="9887">
          <cell r="B9887"/>
          <cell r="C9887"/>
          <cell r="E9887"/>
          <cell r="F9887"/>
          <cell r="G9887"/>
          <cell r="H9887"/>
          <cell r="J9887"/>
          <cell r="L9887"/>
          <cell r="M9887"/>
        </row>
        <row r="9888">
          <cell r="B9888"/>
          <cell r="C9888"/>
          <cell r="E9888"/>
          <cell r="F9888"/>
          <cell r="G9888"/>
          <cell r="H9888"/>
          <cell r="J9888"/>
          <cell r="L9888"/>
          <cell r="M9888"/>
        </row>
        <row r="9889">
          <cell r="B9889"/>
          <cell r="C9889"/>
          <cell r="E9889"/>
          <cell r="F9889"/>
          <cell r="G9889"/>
          <cell r="H9889"/>
          <cell r="J9889"/>
          <cell r="L9889"/>
          <cell r="M9889"/>
        </row>
        <row r="9890">
          <cell r="B9890"/>
          <cell r="C9890"/>
          <cell r="E9890"/>
          <cell r="F9890"/>
          <cell r="G9890"/>
          <cell r="H9890"/>
          <cell r="J9890"/>
          <cell r="L9890"/>
          <cell r="M9890"/>
        </row>
        <row r="9891">
          <cell r="B9891"/>
          <cell r="C9891"/>
          <cell r="E9891"/>
          <cell r="F9891"/>
          <cell r="G9891"/>
          <cell r="H9891"/>
          <cell r="J9891"/>
          <cell r="L9891"/>
          <cell r="M9891"/>
        </row>
        <row r="9892">
          <cell r="B9892"/>
          <cell r="C9892"/>
          <cell r="E9892"/>
          <cell r="F9892"/>
          <cell r="G9892"/>
          <cell r="H9892"/>
          <cell r="J9892"/>
          <cell r="L9892"/>
          <cell r="M9892"/>
        </row>
        <row r="9893">
          <cell r="B9893"/>
          <cell r="C9893"/>
          <cell r="E9893"/>
          <cell r="F9893"/>
          <cell r="G9893"/>
          <cell r="H9893"/>
          <cell r="J9893"/>
          <cell r="L9893"/>
          <cell r="M9893"/>
        </row>
        <row r="9894">
          <cell r="B9894"/>
          <cell r="C9894"/>
          <cell r="E9894"/>
          <cell r="F9894"/>
          <cell r="G9894"/>
          <cell r="H9894"/>
          <cell r="J9894"/>
          <cell r="L9894"/>
          <cell r="M9894"/>
        </row>
        <row r="9895">
          <cell r="B9895"/>
          <cell r="C9895"/>
          <cell r="E9895"/>
          <cell r="F9895"/>
          <cell r="G9895"/>
          <cell r="H9895"/>
          <cell r="J9895"/>
          <cell r="L9895"/>
          <cell r="M9895"/>
        </row>
        <row r="9896">
          <cell r="B9896"/>
          <cell r="C9896"/>
          <cell r="E9896"/>
          <cell r="F9896"/>
          <cell r="G9896"/>
          <cell r="H9896"/>
          <cell r="J9896"/>
          <cell r="L9896"/>
          <cell r="M9896"/>
        </row>
        <row r="9897">
          <cell r="B9897"/>
          <cell r="C9897"/>
          <cell r="E9897"/>
          <cell r="F9897"/>
          <cell r="G9897"/>
          <cell r="H9897"/>
          <cell r="J9897"/>
          <cell r="L9897"/>
          <cell r="M9897"/>
        </row>
        <row r="9898">
          <cell r="B9898"/>
          <cell r="C9898"/>
          <cell r="E9898"/>
          <cell r="F9898"/>
          <cell r="G9898"/>
          <cell r="H9898"/>
          <cell r="J9898"/>
          <cell r="L9898"/>
          <cell r="M9898"/>
        </row>
        <row r="9899">
          <cell r="B9899"/>
          <cell r="C9899"/>
          <cell r="E9899"/>
          <cell r="F9899"/>
          <cell r="G9899"/>
          <cell r="H9899"/>
          <cell r="J9899"/>
          <cell r="L9899"/>
          <cell r="M9899"/>
        </row>
        <row r="9900">
          <cell r="B9900"/>
          <cell r="C9900"/>
          <cell r="E9900"/>
          <cell r="F9900"/>
          <cell r="G9900"/>
          <cell r="H9900"/>
          <cell r="J9900"/>
          <cell r="L9900"/>
          <cell r="M9900"/>
        </row>
        <row r="9901">
          <cell r="B9901"/>
          <cell r="C9901"/>
          <cell r="E9901"/>
          <cell r="F9901"/>
          <cell r="G9901"/>
          <cell r="H9901"/>
          <cell r="J9901"/>
          <cell r="L9901"/>
          <cell r="M9901"/>
        </row>
        <row r="9902">
          <cell r="B9902"/>
          <cell r="C9902"/>
          <cell r="E9902"/>
          <cell r="F9902"/>
          <cell r="G9902"/>
          <cell r="H9902"/>
          <cell r="J9902"/>
          <cell r="L9902"/>
          <cell r="M9902"/>
        </row>
        <row r="9903">
          <cell r="B9903"/>
          <cell r="C9903"/>
          <cell r="E9903"/>
          <cell r="F9903"/>
          <cell r="G9903"/>
          <cell r="H9903"/>
          <cell r="J9903"/>
          <cell r="L9903"/>
          <cell r="M9903"/>
        </row>
        <row r="9904">
          <cell r="B9904"/>
          <cell r="C9904"/>
          <cell r="E9904"/>
          <cell r="F9904"/>
          <cell r="G9904"/>
          <cell r="H9904"/>
          <cell r="J9904"/>
          <cell r="L9904"/>
          <cell r="M9904"/>
        </row>
        <row r="9905">
          <cell r="B9905"/>
          <cell r="C9905"/>
          <cell r="E9905"/>
          <cell r="F9905"/>
          <cell r="G9905"/>
          <cell r="H9905"/>
          <cell r="J9905"/>
          <cell r="L9905"/>
          <cell r="M9905"/>
        </row>
        <row r="9906">
          <cell r="B9906"/>
          <cell r="C9906"/>
          <cell r="E9906"/>
          <cell r="F9906"/>
          <cell r="G9906"/>
          <cell r="H9906"/>
          <cell r="J9906"/>
          <cell r="L9906"/>
          <cell r="M9906"/>
        </row>
        <row r="9907">
          <cell r="B9907"/>
          <cell r="C9907"/>
          <cell r="E9907"/>
          <cell r="F9907"/>
          <cell r="G9907"/>
          <cell r="H9907"/>
          <cell r="J9907"/>
          <cell r="L9907"/>
          <cell r="M9907"/>
        </row>
        <row r="9908">
          <cell r="B9908"/>
          <cell r="C9908"/>
          <cell r="E9908"/>
          <cell r="F9908"/>
          <cell r="G9908"/>
          <cell r="H9908"/>
          <cell r="J9908"/>
          <cell r="L9908"/>
          <cell r="M9908"/>
        </row>
        <row r="9909">
          <cell r="B9909"/>
          <cell r="C9909"/>
          <cell r="E9909"/>
          <cell r="F9909"/>
          <cell r="G9909"/>
          <cell r="H9909"/>
          <cell r="J9909"/>
          <cell r="L9909"/>
          <cell r="M9909"/>
        </row>
        <row r="9910">
          <cell r="B9910"/>
          <cell r="C9910"/>
          <cell r="E9910"/>
          <cell r="F9910"/>
          <cell r="G9910"/>
          <cell r="H9910"/>
          <cell r="J9910"/>
          <cell r="L9910"/>
          <cell r="M9910"/>
        </row>
        <row r="9911">
          <cell r="B9911"/>
          <cell r="C9911"/>
          <cell r="E9911"/>
          <cell r="F9911"/>
          <cell r="G9911"/>
          <cell r="H9911"/>
          <cell r="J9911"/>
          <cell r="L9911"/>
          <cell r="M9911"/>
        </row>
        <row r="9912">
          <cell r="B9912"/>
          <cell r="C9912"/>
          <cell r="E9912"/>
          <cell r="F9912"/>
          <cell r="G9912"/>
          <cell r="H9912"/>
          <cell r="J9912"/>
          <cell r="L9912"/>
          <cell r="M9912"/>
        </row>
        <row r="9913">
          <cell r="B9913"/>
          <cell r="C9913"/>
          <cell r="E9913"/>
          <cell r="F9913"/>
          <cell r="G9913"/>
          <cell r="H9913"/>
          <cell r="J9913"/>
          <cell r="L9913"/>
          <cell r="M9913"/>
        </row>
        <row r="9914">
          <cell r="B9914"/>
          <cell r="C9914"/>
          <cell r="E9914"/>
          <cell r="F9914"/>
          <cell r="G9914"/>
          <cell r="H9914"/>
          <cell r="J9914"/>
          <cell r="L9914"/>
          <cell r="M9914"/>
        </row>
        <row r="9915">
          <cell r="B9915"/>
          <cell r="C9915"/>
          <cell r="E9915"/>
          <cell r="F9915"/>
          <cell r="G9915"/>
          <cell r="H9915"/>
          <cell r="J9915"/>
          <cell r="L9915"/>
          <cell r="M9915"/>
        </row>
        <row r="9916">
          <cell r="B9916"/>
          <cell r="C9916"/>
          <cell r="E9916"/>
          <cell r="F9916"/>
          <cell r="G9916"/>
          <cell r="H9916"/>
          <cell r="J9916"/>
          <cell r="L9916"/>
          <cell r="M9916"/>
        </row>
        <row r="9917">
          <cell r="B9917"/>
          <cell r="C9917"/>
          <cell r="E9917"/>
          <cell r="F9917"/>
          <cell r="G9917"/>
          <cell r="H9917"/>
          <cell r="J9917"/>
          <cell r="L9917"/>
          <cell r="M9917"/>
        </row>
        <row r="9918">
          <cell r="B9918"/>
          <cell r="C9918"/>
          <cell r="E9918"/>
          <cell r="F9918"/>
          <cell r="G9918"/>
          <cell r="H9918"/>
          <cell r="J9918"/>
          <cell r="L9918"/>
          <cell r="M9918"/>
        </row>
        <row r="9919">
          <cell r="B9919"/>
          <cell r="C9919"/>
          <cell r="E9919"/>
          <cell r="F9919"/>
          <cell r="G9919"/>
          <cell r="H9919"/>
          <cell r="J9919"/>
          <cell r="L9919"/>
          <cell r="M9919"/>
        </row>
        <row r="9920">
          <cell r="B9920"/>
          <cell r="C9920"/>
          <cell r="E9920"/>
          <cell r="F9920"/>
          <cell r="G9920"/>
          <cell r="H9920"/>
          <cell r="J9920"/>
          <cell r="L9920"/>
          <cell r="M9920"/>
        </row>
        <row r="9921">
          <cell r="B9921"/>
          <cell r="C9921"/>
          <cell r="E9921"/>
          <cell r="F9921"/>
          <cell r="G9921"/>
          <cell r="H9921"/>
          <cell r="J9921"/>
          <cell r="L9921"/>
          <cell r="M9921"/>
        </row>
        <row r="9922">
          <cell r="B9922"/>
          <cell r="C9922"/>
          <cell r="E9922"/>
          <cell r="F9922"/>
          <cell r="G9922"/>
          <cell r="H9922"/>
          <cell r="J9922"/>
          <cell r="L9922"/>
          <cell r="M9922"/>
        </row>
        <row r="9923">
          <cell r="B9923"/>
          <cell r="C9923"/>
          <cell r="E9923"/>
          <cell r="F9923"/>
          <cell r="G9923"/>
          <cell r="H9923"/>
          <cell r="J9923"/>
          <cell r="L9923"/>
          <cell r="M9923"/>
        </row>
        <row r="9924">
          <cell r="B9924"/>
          <cell r="C9924"/>
          <cell r="E9924"/>
          <cell r="F9924"/>
          <cell r="G9924"/>
          <cell r="H9924"/>
          <cell r="J9924"/>
          <cell r="L9924"/>
          <cell r="M9924"/>
        </row>
        <row r="9925">
          <cell r="B9925"/>
          <cell r="C9925"/>
          <cell r="E9925"/>
          <cell r="F9925"/>
          <cell r="G9925"/>
          <cell r="H9925"/>
          <cell r="J9925"/>
          <cell r="L9925"/>
          <cell r="M9925"/>
        </row>
        <row r="9926">
          <cell r="B9926"/>
          <cell r="C9926"/>
          <cell r="E9926"/>
          <cell r="F9926"/>
          <cell r="G9926"/>
          <cell r="H9926"/>
          <cell r="J9926"/>
          <cell r="L9926"/>
          <cell r="M9926"/>
        </row>
        <row r="9927">
          <cell r="B9927"/>
          <cell r="C9927"/>
          <cell r="E9927"/>
          <cell r="F9927"/>
          <cell r="G9927"/>
          <cell r="H9927"/>
          <cell r="J9927"/>
          <cell r="L9927"/>
          <cell r="M9927"/>
        </row>
        <row r="9928">
          <cell r="B9928"/>
          <cell r="C9928"/>
          <cell r="E9928"/>
          <cell r="F9928"/>
          <cell r="G9928"/>
          <cell r="H9928"/>
          <cell r="J9928"/>
          <cell r="L9928"/>
          <cell r="M9928"/>
        </row>
        <row r="9929">
          <cell r="B9929"/>
          <cell r="C9929"/>
          <cell r="E9929"/>
          <cell r="F9929"/>
          <cell r="G9929"/>
          <cell r="H9929"/>
          <cell r="J9929"/>
          <cell r="L9929"/>
          <cell r="M9929"/>
        </row>
        <row r="9930">
          <cell r="B9930"/>
          <cell r="C9930"/>
          <cell r="E9930"/>
          <cell r="F9930"/>
          <cell r="G9930"/>
          <cell r="H9930"/>
          <cell r="J9930"/>
          <cell r="L9930"/>
          <cell r="M9930"/>
        </row>
        <row r="9931">
          <cell r="B9931"/>
          <cell r="C9931"/>
          <cell r="E9931"/>
          <cell r="F9931"/>
          <cell r="G9931"/>
          <cell r="H9931"/>
          <cell r="J9931"/>
          <cell r="L9931"/>
          <cell r="M9931"/>
        </row>
        <row r="9932">
          <cell r="B9932"/>
          <cell r="C9932"/>
          <cell r="E9932"/>
          <cell r="F9932"/>
          <cell r="G9932"/>
          <cell r="H9932"/>
          <cell r="J9932"/>
          <cell r="L9932"/>
          <cell r="M9932"/>
        </row>
        <row r="9933">
          <cell r="B9933"/>
          <cell r="C9933"/>
          <cell r="E9933"/>
          <cell r="F9933"/>
          <cell r="G9933"/>
          <cell r="H9933"/>
          <cell r="J9933"/>
          <cell r="L9933"/>
          <cell r="M9933"/>
        </row>
        <row r="9934">
          <cell r="B9934"/>
          <cell r="C9934"/>
          <cell r="E9934"/>
          <cell r="F9934"/>
          <cell r="G9934"/>
          <cell r="H9934"/>
          <cell r="J9934"/>
          <cell r="L9934"/>
          <cell r="M9934"/>
        </row>
        <row r="9935">
          <cell r="B9935"/>
          <cell r="C9935"/>
          <cell r="E9935"/>
          <cell r="F9935"/>
          <cell r="G9935"/>
          <cell r="H9935"/>
          <cell r="J9935"/>
          <cell r="L9935"/>
          <cell r="M9935"/>
        </row>
        <row r="9936">
          <cell r="B9936"/>
          <cell r="C9936"/>
          <cell r="E9936"/>
          <cell r="F9936"/>
          <cell r="G9936"/>
          <cell r="H9936"/>
          <cell r="J9936"/>
          <cell r="L9936"/>
          <cell r="M9936"/>
        </row>
        <row r="9937">
          <cell r="B9937"/>
          <cell r="C9937"/>
          <cell r="E9937"/>
          <cell r="F9937"/>
          <cell r="G9937"/>
          <cell r="H9937"/>
          <cell r="J9937"/>
          <cell r="L9937"/>
          <cell r="M9937"/>
        </row>
        <row r="9938">
          <cell r="B9938"/>
          <cell r="C9938"/>
          <cell r="E9938"/>
          <cell r="F9938"/>
          <cell r="G9938"/>
          <cell r="H9938"/>
          <cell r="J9938"/>
          <cell r="L9938"/>
          <cell r="M9938"/>
        </row>
        <row r="9939">
          <cell r="B9939"/>
          <cell r="C9939"/>
          <cell r="E9939"/>
          <cell r="F9939"/>
          <cell r="G9939"/>
          <cell r="H9939"/>
          <cell r="J9939"/>
          <cell r="L9939"/>
          <cell r="M9939"/>
        </row>
        <row r="9940">
          <cell r="B9940"/>
          <cell r="C9940"/>
          <cell r="E9940"/>
          <cell r="F9940"/>
          <cell r="G9940"/>
          <cell r="H9940"/>
          <cell r="J9940"/>
          <cell r="L9940"/>
          <cell r="M9940"/>
        </row>
        <row r="9941">
          <cell r="B9941"/>
          <cell r="C9941"/>
          <cell r="E9941"/>
          <cell r="F9941"/>
          <cell r="G9941"/>
          <cell r="H9941"/>
          <cell r="J9941"/>
          <cell r="L9941"/>
          <cell r="M9941"/>
        </row>
        <row r="9942">
          <cell r="B9942"/>
          <cell r="C9942"/>
          <cell r="E9942"/>
          <cell r="F9942"/>
          <cell r="G9942"/>
          <cell r="H9942"/>
          <cell r="J9942"/>
          <cell r="L9942"/>
          <cell r="M9942"/>
        </row>
        <row r="9943">
          <cell r="B9943"/>
          <cell r="C9943"/>
          <cell r="E9943"/>
          <cell r="F9943"/>
          <cell r="G9943"/>
          <cell r="H9943"/>
          <cell r="J9943"/>
          <cell r="L9943"/>
          <cell r="M9943"/>
        </row>
        <row r="9944">
          <cell r="B9944"/>
          <cell r="C9944"/>
          <cell r="E9944"/>
          <cell r="F9944"/>
          <cell r="G9944"/>
          <cell r="H9944"/>
          <cell r="J9944"/>
          <cell r="L9944"/>
          <cell r="M9944"/>
        </row>
        <row r="9945">
          <cell r="B9945"/>
          <cell r="C9945"/>
          <cell r="E9945"/>
          <cell r="F9945"/>
          <cell r="G9945"/>
          <cell r="H9945"/>
          <cell r="J9945"/>
          <cell r="L9945"/>
          <cell r="M9945"/>
        </row>
        <row r="9946">
          <cell r="B9946"/>
          <cell r="C9946"/>
          <cell r="E9946"/>
          <cell r="F9946"/>
          <cell r="G9946"/>
          <cell r="H9946"/>
          <cell r="J9946"/>
          <cell r="L9946"/>
          <cell r="M9946"/>
        </row>
        <row r="9947">
          <cell r="B9947"/>
          <cell r="C9947"/>
          <cell r="E9947"/>
          <cell r="F9947"/>
          <cell r="G9947"/>
          <cell r="H9947"/>
          <cell r="J9947"/>
          <cell r="L9947"/>
          <cell r="M9947"/>
        </row>
        <row r="9948">
          <cell r="B9948"/>
          <cell r="C9948"/>
          <cell r="E9948"/>
          <cell r="F9948"/>
          <cell r="G9948"/>
          <cell r="H9948"/>
          <cell r="J9948"/>
          <cell r="L9948"/>
          <cell r="M9948"/>
        </row>
        <row r="9949">
          <cell r="B9949"/>
          <cell r="C9949"/>
          <cell r="E9949"/>
          <cell r="F9949"/>
          <cell r="G9949"/>
          <cell r="H9949"/>
          <cell r="J9949"/>
          <cell r="L9949"/>
          <cell r="M9949"/>
        </row>
        <row r="9950">
          <cell r="B9950"/>
          <cell r="C9950"/>
          <cell r="E9950"/>
          <cell r="F9950"/>
          <cell r="G9950"/>
          <cell r="H9950"/>
          <cell r="J9950"/>
          <cell r="L9950"/>
          <cell r="M9950"/>
        </row>
        <row r="9951">
          <cell r="B9951"/>
          <cell r="C9951"/>
          <cell r="E9951"/>
          <cell r="F9951"/>
          <cell r="G9951"/>
          <cell r="H9951"/>
          <cell r="J9951"/>
          <cell r="L9951"/>
          <cell r="M9951"/>
        </row>
        <row r="9952">
          <cell r="B9952"/>
          <cell r="C9952"/>
          <cell r="E9952"/>
          <cell r="F9952"/>
          <cell r="G9952"/>
          <cell r="H9952"/>
          <cell r="J9952"/>
          <cell r="L9952"/>
          <cell r="M9952"/>
        </row>
        <row r="9953">
          <cell r="B9953"/>
          <cell r="C9953"/>
          <cell r="E9953"/>
          <cell r="F9953"/>
          <cell r="G9953"/>
          <cell r="H9953"/>
          <cell r="J9953"/>
          <cell r="L9953"/>
          <cell r="M9953"/>
        </row>
        <row r="9954">
          <cell r="B9954"/>
          <cell r="C9954"/>
          <cell r="E9954"/>
          <cell r="F9954"/>
          <cell r="G9954"/>
          <cell r="H9954"/>
          <cell r="J9954"/>
          <cell r="L9954"/>
          <cell r="M9954"/>
        </row>
        <row r="9955">
          <cell r="B9955"/>
          <cell r="C9955"/>
          <cell r="E9955"/>
          <cell r="F9955"/>
          <cell r="G9955"/>
          <cell r="H9955"/>
          <cell r="J9955"/>
          <cell r="L9955"/>
          <cell r="M9955"/>
        </row>
        <row r="9956">
          <cell r="B9956"/>
          <cell r="C9956"/>
          <cell r="E9956"/>
          <cell r="F9956"/>
          <cell r="G9956"/>
          <cell r="H9956"/>
          <cell r="J9956"/>
          <cell r="L9956"/>
          <cell r="M9956"/>
        </row>
        <row r="9957">
          <cell r="B9957"/>
          <cell r="C9957"/>
          <cell r="E9957"/>
          <cell r="F9957"/>
          <cell r="G9957"/>
          <cell r="H9957"/>
          <cell r="J9957"/>
          <cell r="L9957"/>
          <cell r="M9957"/>
        </row>
        <row r="9958">
          <cell r="B9958"/>
          <cell r="C9958"/>
          <cell r="E9958"/>
          <cell r="F9958"/>
          <cell r="G9958"/>
          <cell r="H9958"/>
          <cell r="J9958"/>
          <cell r="L9958"/>
          <cell r="M9958"/>
        </row>
        <row r="9959">
          <cell r="B9959"/>
          <cell r="C9959"/>
          <cell r="E9959"/>
          <cell r="F9959"/>
          <cell r="G9959"/>
          <cell r="H9959"/>
          <cell r="J9959"/>
          <cell r="L9959"/>
          <cell r="M9959"/>
        </row>
        <row r="9960">
          <cell r="B9960"/>
          <cell r="C9960"/>
          <cell r="E9960"/>
          <cell r="F9960"/>
          <cell r="G9960"/>
          <cell r="H9960"/>
          <cell r="J9960"/>
          <cell r="L9960"/>
          <cell r="M9960"/>
        </row>
        <row r="9961">
          <cell r="B9961"/>
          <cell r="C9961"/>
          <cell r="E9961"/>
          <cell r="F9961"/>
          <cell r="G9961"/>
          <cell r="H9961"/>
          <cell r="J9961"/>
          <cell r="L9961"/>
          <cell r="M9961"/>
        </row>
        <row r="9962">
          <cell r="B9962"/>
          <cell r="C9962"/>
          <cell r="E9962"/>
          <cell r="F9962"/>
          <cell r="G9962"/>
          <cell r="H9962"/>
          <cell r="J9962"/>
          <cell r="L9962"/>
          <cell r="M9962"/>
        </row>
        <row r="9963">
          <cell r="B9963"/>
          <cell r="C9963"/>
          <cell r="E9963"/>
          <cell r="F9963"/>
          <cell r="G9963"/>
          <cell r="H9963"/>
          <cell r="J9963"/>
          <cell r="L9963"/>
          <cell r="M9963"/>
        </row>
        <row r="9964">
          <cell r="B9964"/>
          <cell r="C9964"/>
          <cell r="E9964"/>
          <cell r="F9964"/>
          <cell r="G9964"/>
          <cell r="H9964"/>
          <cell r="J9964"/>
          <cell r="L9964"/>
          <cell r="M9964"/>
        </row>
        <row r="9965">
          <cell r="B9965"/>
          <cell r="C9965"/>
          <cell r="E9965"/>
          <cell r="F9965"/>
          <cell r="G9965"/>
          <cell r="H9965"/>
          <cell r="J9965"/>
          <cell r="L9965"/>
          <cell r="M9965"/>
        </row>
        <row r="9966">
          <cell r="B9966"/>
          <cell r="C9966"/>
          <cell r="E9966"/>
          <cell r="F9966"/>
          <cell r="G9966"/>
          <cell r="H9966"/>
          <cell r="J9966"/>
          <cell r="L9966"/>
          <cell r="M9966"/>
        </row>
        <row r="9967">
          <cell r="B9967"/>
          <cell r="C9967"/>
          <cell r="E9967"/>
          <cell r="F9967"/>
          <cell r="G9967"/>
          <cell r="H9967"/>
          <cell r="J9967"/>
          <cell r="L9967"/>
          <cell r="M9967"/>
        </row>
        <row r="9968">
          <cell r="B9968"/>
          <cell r="C9968"/>
          <cell r="E9968"/>
          <cell r="F9968"/>
          <cell r="G9968"/>
          <cell r="H9968"/>
          <cell r="J9968"/>
          <cell r="L9968"/>
          <cell r="M9968"/>
        </row>
        <row r="9969">
          <cell r="B9969"/>
          <cell r="C9969"/>
          <cell r="E9969"/>
          <cell r="F9969"/>
          <cell r="G9969"/>
          <cell r="H9969"/>
          <cell r="J9969"/>
          <cell r="L9969"/>
          <cell r="M9969"/>
        </row>
        <row r="9970">
          <cell r="B9970"/>
          <cell r="C9970"/>
          <cell r="E9970"/>
          <cell r="F9970"/>
          <cell r="G9970"/>
          <cell r="H9970"/>
          <cell r="J9970"/>
          <cell r="L9970"/>
          <cell r="M9970"/>
        </row>
        <row r="9971">
          <cell r="B9971"/>
          <cell r="C9971"/>
          <cell r="E9971"/>
          <cell r="F9971"/>
          <cell r="G9971"/>
          <cell r="H9971"/>
          <cell r="J9971"/>
          <cell r="L9971"/>
          <cell r="M9971"/>
        </row>
        <row r="9972">
          <cell r="B9972"/>
          <cell r="C9972"/>
          <cell r="E9972"/>
          <cell r="F9972"/>
          <cell r="G9972"/>
          <cell r="H9972"/>
          <cell r="J9972"/>
          <cell r="L9972"/>
          <cell r="M9972"/>
        </row>
        <row r="9973">
          <cell r="B9973"/>
          <cell r="C9973"/>
          <cell r="E9973"/>
          <cell r="F9973"/>
          <cell r="G9973"/>
          <cell r="H9973"/>
          <cell r="J9973"/>
          <cell r="L9973"/>
          <cell r="M9973"/>
        </row>
        <row r="9974">
          <cell r="B9974"/>
          <cell r="C9974"/>
          <cell r="E9974"/>
          <cell r="F9974"/>
          <cell r="G9974"/>
          <cell r="H9974"/>
          <cell r="J9974"/>
          <cell r="L9974"/>
          <cell r="M9974"/>
        </row>
        <row r="9975">
          <cell r="B9975"/>
          <cell r="C9975"/>
          <cell r="E9975"/>
          <cell r="F9975"/>
          <cell r="G9975"/>
          <cell r="H9975"/>
          <cell r="J9975"/>
          <cell r="L9975"/>
          <cell r="M9975"/>
        </row>
        <row r="9976">
          <cell r="B9976"/>
          <cell r="C9976"/>
          <cell r="E9976"/>
          <cell r="F9976"/>
          <cell r="G9976"/>
          <cell r="H9976"/>
          <cell r="J9976"/>
          <cell r="L9976"/>
          <cell r="M9976"/>
        </row>
        <row r="9977">
          <cell r="B9977"/>
          <cell r="C9977"/>
          <cell r="E9977"/>
          <cell r="F9977"/>
          <cell r="G9977"/>
          <cell r="H9977"/>
          <cell r="J9977"/>
          <cell r="L9977"/>
          <cell r="M9977"/>
        </row>
        <row r="9978">
          <cell r="B9978"/>
          <cell r="C9978"/>
          <cell r="E9978"/>
          <cell r="F9978"/>
          <cell r="G9978"/>
          <cell r="H9978"/>
          <cell r="J9978"/>
          <cell r="L9978"/>
          <cell r="M9978"/>
        </row>
        <row r="9979">
          <cell r="B9979"/>
          <cell r="C9979"/>
          <cell r="E9979"/>
          <cell r="F9979"/>
          <cell r="G9979"/>
          <cell r="H9979"/>
          <cell r="J9979"/>
          <cell r="L9979"/>
          <cell r="M9979"/>
        </row>
        <row r="9980">
          <cell r="B9980"/>
          <cell r="C9980"/>
          <cell r="E9980"/>
          <cell r="F9980"/>
          <cell r="G9980"/>
          <cell r="H9980"/>
          <cell r="J9980"/>
          <cell r="L9980"/>
          <cell r="M9980"/>
        </row>
        <row r="9981">
          <cell r="B9981"/>
          <cell r="C9981"/>
          <cell r="E9981"/>
          <cell r="F9981"/>
          <cell r="G9981"/>
          <cell r="H9981"/>
          <cell r="J9981"/>
          <cell r="L9981"/>
          <cell r="M9981"/>
        </row>
        <row r="9982">
          <cell r="B9982"/>
          <cell r="C9982"/>
          <cell r="E9982"/>
          <cell r="F9982"/>
          <cell r="G9982"/>
          <cell r="H9982"/>
          <cell r="J9982"/>
          <cell r="L9982"/>
          <cell r="M9982"/>
        </row>
        <row r="9983">
          <cell r="B9983"/>
          <cell r="C9983"/>
          <cell r="E9983"/>
          <cell r="F9983"/>
          <cell r="G9983"/>
          <cell r="H9983"/>
          <cell r="J9983"/>
          <cell r="L9983"/>
          <cell r="M9983"/>
        </row>
        <row r="9984">
          <cell r="B9984"/>
          <cell r="C9984"/>
          <cell r="E9984"/>
          <cell r="F9984"/>
          <cell r="G9984"/>
          <cell r="H9984"/>
          <cell r="J9984"/>
          <cell r="L9984"/>
          <cell r="M9984"/>
        </row>
        <row r="9985">
          <cell r="B9985"/>
          <cell r="C9985"/>
          <cell r="E9985"/>
          <cell r="F9985"/>
          <cell r="G9985"/>
          <cell r="H9985"/>
          <cell r="J9985"/>
          <cell r="L9985"/>
          <cell r="M9985"/>
        </row>
        <row r="9986">
          <cell r="B9986"/>
          <cell r="C9986"/>
          <cell r="E9986"/>
          <cell r="F9986"/>
          <cell r="G9986"/>
          <cell r="H9986"/>
          <cell r="J9986"/>
          <cell r="L9986"/>
          <cell r="M9986"/>
        </row>
        <row r="9987">
          <cell r="B9987"/>
          <cell r="C9987"/>
          <cell r="E9987"/>
          <cell r="F9987"/>
          <cell r="G9987"/>
          <cell r="H9987"/>
          <cell r="J9987"/>
          <cell r="L9987"/>
          <cell r="M9987"/>
        </row>
        <row r="9988">
          <cell r="B9988"/>
          <cell r="C9988"/>
          <cell r="E9988"/>
          <cell r="F9988"/>
          <cell r="G9988"/>
          <cell r="H9988"/>
          <cell r="J9988"/>
          <cell r="L9988"/>
          <cell r="M9988"/>
        </row>
        <row r="9989">
          <cell r="B9989"/>
          <cell r="C9989"/>
          <cell r="E9989"/>
          <cell r="F9989"/>
          <cell r="G9989"/>
          <cell r="H9989"/>
          <cell r="J9989"/>
          <cell r="L9989"/>
          <cell r="M9989"/>
        </row>
        <row r="9990">
          <cell r="B9990"/>
          <cell r="C9990"/>
          <cell r="E9990"/>
          <cell r="F9990"/>
          <cell r="G9990"/>
          <cell r="H9990"/>
          <cell r="J9990"/>
          <cell r="L9990"/>
          <cell r="M9990"/>
        </row>
        <row r="9991">
          <cell r="B9991"/>
          <cell r="C9991"/>
          <cell r="E9991"/>
          <cell r="F9991"/>
          <cell r="G9991"/>
          <cell r="H9991"/>
          <cell r="J9991"/>
          <cell r="L9991"/>
          <cell r="M9991"/>
        </row>
        <row r="9992">
          <cell r="B9992"/>
          <cell r="C9992"/>
          <cell r="E9992"/>
          <cell r="F9992"/>
          <cell r="G9992"/>
          <cell r="H9992"/>
          <cell r="J9992"/>
          <cell r="L9992"/>
          <cell r="M9992"/>
        </row>
        <row r="9993">
          <cell r="B9993"/>
          <cell r="C9993"/>
          <cell r="E9993"/>
          <cell r="F9993"/>
          <cell r="G9993"/>
          <cell r="H9993"/>
          <cell r="J9993"/>
          <cell r="L9993"/>
          <cell r="M9993"/>
        </row>
        <row r="9994">
          <cell r="B9994"/>
          <cell r="C9994"/>
          <cell r="E9994"/>
          <cell r="F9994"/>
          <cell r="G9994"/>
          <cell r="H9994"/>
          <cell r="J9994"/>
          <cell r="L9994"/>
          <cell r="M9994"/>
        </row>
        <row r="9995">
          <cell r="B9995"/>
          <cell r="C9995"/>
          <cell r="E9995"/>
          <cell r="F9995"/>
          <cell r="G9995"/>
          <cell r="H9995"/>
          <cell r="J9995"/>
          <cell r="L9995"/>
          <cell r="M9995"/>
        </row>
        <row r="9996">
          <cell r="B9996"/>
          <cell r="C9996"/>
          <cell r="E9996"/>
          <cell r="F9996"/>
          <cell r="G9996"/>
          <cell r="H9996"/>
          <cell r="J9996"/>
          <cell r="L9996"/>
          <cell r="M9996"/>
        </row>
        <row r="9997">
          <cell r="B9997"/>
          <cell r="C9997"/>
          <cell r="E9997"/>
          <cell r="F9997"/>
          <cell r="G9997"/>
          <cell r="H9997"/>
          <cell r="J9997"/>
          <cell r="L9997"/>
          <cell r="M9997"/>
        </row>
        <row r="9998">
          <cell r="B9998"/>
          <cell r="C9998"/>
          <cell r="E9998"/>
          <cell r="F9998"/>
          <cell r="G9998"/>
          <cell r="H9998"/>
          <cell r="J9998"/>
          <cell r="L9998"/>
          <cell r="M9998"/>
        </row>
        <row r="9999">
          <cell r="B9999"/>
          <cell r="C9999"/>
          <cell r="E9999"/>
          <cell r="F9999"/>
          <cell r="G9999"/>
          <cell r="H9999"/>
          <cell r="J9999"/>
          <cell r="L9999"/>
          <cell r="M9999"/>
        </row>
        <row r="10000">
          <cell r="B10000"/>
          <cell r="C10000"/>
          <cell r="E10000"/>
          <cell r="F10000"/>
          <cell r="G10000"/>
          <cell r="H10000"/>
          <cell r="J10000"/>
          <cell r="L10000"/>
          <cell r="M10000"/>
        </row>
        <row r="10001">
          <cell r="B10001"/>
          <cell r="C10001"/>
          <cell r="E10001"/>
          <cell r="F10001"/>
          <cell r="G10001"/>
          <cell r="H10001"/>
          <cell r="J10001"/>
          <cell r="L10001"/>
          <cell r="M10001"/>
        </row>
        <row r="10002">
          <cell r="B10002"/>
          <cell r="C10002"/>
          <cell r="E10002"/>
          <cell r="F10002"/>
          <cell r="G10002"/>
          <cell r="H10002"/>
          <cell r="J10002"/>
          <cell r="L10002"/>
          <cell r="M10002"/>
        </row>
        <row r="10003">
          <cell r="B10003"/>
          <cell r="C10003"/>
          <cell r="E10003"/>
          <cell r="F10003"/>
          <cell r="G10003"/>
          <cell r="H10003"/>
          <cell r="J10003"/>
          <cell r="L10003"/>
          <cell r="M10003"/>
        </row>
        <row r="10004">
          <cell r="B10004"/>
          <cell r="C10004"/>
          <cell r="E10004"/>
          <cell r="F10004"/>
          <cell r="G10004"/>
          <cell r="H10004"/>
          <cell r="J10004"/>
          <cell r="L10004"/>
          <cell r="M10004"/>
        </row>
        <row r="10005">
          <cell r="B10005"/>
          <cell r="C10005"/>
          <cell r="E10005"/>
          <cell r="F10005"/>
          <cell r="G10005"/>
          <cell r="H10005"/>
          <cell r="J10005"/>
          <cell r="L10005"/>
          <cell r="M10005"/>
        </row>
        <row r="10006">
          <cell r="B10006"/>
          <cell r="C10006"/>
          <cell r="E10006"/>
          <cell r="F10006"/>
          <cell r="G10006"/>
          <cell r="H10006"/>
          <cell r="J10006"/>
          <cell r="L10006"/>
          <cell r="M10006"/>
        </row>
        <row r="10007">
          <cell r="B10007"/>
          <cell r="C10007"/>
          <cell r="E10007"/>
          <cell r="F10007"/>
          <cell r="G10007"/>
          <cell r="H10007"/>
          <cell r="J10007"/>
          <cell r="L10007"/>
          <cell r="M10007"/>
        </row>
        <row r="10008">
          <cell r="B10008"/>
          <cell r="C10008"/>
          <cell r="E10008"/>
          <cell r="F10008"/>
          <cell r="G10008"/>
          <cell r="H10008"/>
          <cell r="J10008"/>
          <cell r="L10008"/>
          <cell r="M10008"/>
        </row>
        <row r="10009">
          <cell r="B10009"/>
          <cell r="C10009"/>
          <cell r="E10009"/>
          <cell r="F10009"/>
          <cell r="G10009"/>
          <cell r="H10009"/>
          <cell r="J10009"/>
          <cell r="L10009"/>
          <cell r="M10009"/>
        </row>
        <row r="10010">
          <cell r="B10010"/>
          <cell r="C10010"/>
          <cell r="E10010"/>
          <cell r="F10010"/>
          <cell r="G10010"/>
          <cell r="H10010"/>
          <cell r="J10010"/>
          <cell r="L10010"/>
          <cell r="M10010"/>
        </row>
        <row r="10011">
          <cell r="B10011"/>
          <cell r="C10011"/>
          <cell r="E10011"/>
          <cell r="F10011"/>
          <cell r="G10011"/>
          <cell r="H10011"/>
          <cell r="J10011"/>
          <cell r="L10011"/>
          <cell r="M10011"/>
        </row>
        <row r="10012">
          <cell r="B10012"/>
          <cell r="C10012"/>
          <cell r="E10012"/>
          <cell r="F10012"/>
          <cell r="G10012"/>
          <cell r="H10012"/>
          <cell r="J10012"/>
          <cell r="L10012"/>
          <cell r="M10012"/>
        </row>
        <row r="10013">
          <cell r="B10013"/>
          <cell r="C10013"/>
          <cell r="E10013"/>
          <cell r="F10013"/>
          <cell r="G10013"/>
          <cell r="H10013"/>
          <cell r="J10013"/>
          <cell r="L10013"/>
          <cell r="M10013"/>
        </row>
        <row r="10014">
          <cell r="B10014"/>
          <cell r="C10014"/>
          <cell r="E10014"/>
          <cell r="F10014"/>
          <cell r="G10014"/>
          <cell r="H10014"/>
          <cell r="J10014"/>
          <cell r="L10014"/>
          <cell r="M10014"/>
        </row>
        <row r="10015">
          <cell r="B10015"/>
          <cell r="C10015"/>
          <cell r="E10015"/>
          <cell r="F10015"/>
          <cell r="G10015"/>
          <cell r="H10015"/>
          <cell r="J10015"/>
          <cell r="L10015"/>
          <cell r="M10015"/>
        </row>
        <row r="10016">
          <cell r="B10016"/>
          <cell r="C10016"/>
          <cell r="E10016"/>
          <cell r="F10016"/>
          <cell r="G10016"/>
          <cell r="H10016"/>
          <cell r="J10016"/>
          <cell r="L10016"/>
          <cell r="M10016"/>
        </row>
        <row r="10017">
          <cell r="B10017"/>
          <cell r="C10017"/>
          <cell r="E10017"/>
          <cell r="F10017"/>
          <cell r="G10017"/>
          <cell r="H10017"/>
          <cell r="J10017"/>
          <cell r="L10017"/>
          <cell r="M10017"/>
        </row>
        <row r="10018">
          <cell r="B10018"/>
          <cell r="C10018"/>
          <cell r="E10018"/>
          <cell r="F10018"/>
          <cell r="G10018"/>
          <cell r="H10018"/>
          <cell r="J10018"/>
          <cell r="L10018"/>
          <cell r="M10018"/>
        </row>
        <row r="10019">
          <cell r="B10019"/>
          <cell r="C10019"/>
          <cell r="E10019"/>
          <cell r="F10019"/>
          <cell r="G10019"/>
          <cell r="H10019"/>
          <cell r="J10019"/>
          <cell r="L10019"/>
          <cell r="M10019"/>
        </row>
        <row r="10020">
          <cell r="B10020"/>
          <cell r="C10020"/>
          <cell r="E10020"/>
          <cell r="F10020"/>
          <cell r="G10020"/>
          <cell r="H10020"/>
          <cell r="J10020"/>
          <cell r="L10020"/>
          <cell r="M10020"/>
        </row>
        <row r="10021">
          <cell r="B10021"/>
          <cell r="C10021"/>
          <cell r="E10021"/>
          <cell r="F10021"/>
          <cell r="G10021"/>
          <cell r="H10021"/>
          <cell r="J10021"/>
          <cell r="L10021"/>
          <cell r="M10021"/>
        </row>
        <row r="10022">
          <cell r="B10022"/>
          <cell r="C10022"/>
          <cell r="E10022"/>
          <cell r="F10022"/>
          <cell r="G10022"/>
          <cell r="H10022"/>
          <cell r="J10022"/>
          <cell r="L10022"/>
          <cell r="M10022"/>
        </row>
        <row r="10023">
          <cell r="B10023"/>
          <cell r="C10023"/>
          <cell r="E10023"/>
          <cell r="F10023"/>
          <cell r="G10023"/>
          <cell r="H10023"/>
          <cell r="J10023"/>
          <cell r="L10023"/>
          <cell r="M10023"/>
        </row>
        <row r="10024">
          <cell r="B10024"/>
          <cell r="C10024"/>
          <cell r="E10024"/>
          <cell r="F10024"/>
          <cell r="G10024"/>
          <cell r="H10024"/>
          <cell r="J10024"/>
          <cell r="L10024"/>
          <cell r="M10024"/>
        </row>
        <row r="10025">
          <cell r="B10025"/>
          <cell r="C10025"/>
          <cell r="E10025"/>
          <cell r="F10025"/>
          <cell r="G10025"/>
          <cell r="H10025"/>
          <cell r="J10025"/>
          <cell r="L10025"/>
          <cell r="M10025"/>
        </row>
        <row r="10026">
          <cell r="B10026"/>
          <cell r="C10026"/>
          <cell r="E10026"/>
          <cell r="F10026"/>
          <cell r="G10026"/>
          <cell r="H10026"/>
          <cell r="J10026"/>
          <cell r="L10026"/>
          <cell r="M10026"/>
        </row>
        <row r="10027">
          <cell r="B10027"/>
          <cell r="C10027"/>
          <cell r="E10027"/>
          <cell r="F10027"/>
          <cell r="G10027"/>
          <cell r="H10027"/>
          <cell r="J10027"/>
          <cell r="L10027"/>
          <cell r="M10027"/>
        </row>
        <row r="10028">
          <cell r="B10028"/>
          <cell r="C10028"/>
          <cell r="E10028"/>
          <cell r="F10028"/>
          <cell r="G10028"/>
          <cell r="H10028"/>
          <cell r="J10028"/>
          <cell r="L10028"/>
          <cell r="M10028"/>
        </row>
        <row r="10029">
          <cell r="B10029"/>
          <cell r="C10029"/>
          <cell r="E10029"/>
          <cell r="F10029"/>
          <cell r="G10029"/>
          <cell r="H10029"/>
          <cell r="J10029"/>
          <cell r="L10029"/>
          <cell r="M10029"/>
        </row>
        <row r="10030">
          <cell r="B10030"/>
          <cell r="C10030"/>
          <cell r="E10030"/>
          <cell r="F10030"/>
          <cell r="G10030"/>
          <cell r="H10030"/>
          <cell r="J10030"/>
          <cell r="L10030"/>
          <cell r="M10030"/>
        </row>
        <row r="10031">
          <cell r="B10031"/>
          <cell r="C10031"/>
          <cell r="E10031"/>
          <cell r="F10031"/>
          <cell r="G10031"/>
          <cell r="H10031"/>
          <cell r="J10031"/>
          <cell r="L10031"/>
          <cell r="M10031"/>
        </row>
        <row r="10032">
          <cell r="B10032"/>
          <cell r="C10032"/>
          <cell r="E10032"/>
          <cell r="F10032"/>
          <cell r="G10032"/>
          <cell r="H10032"/>
          <cell r="J10032"/>
          <cell r="L10032"/>
          <cell r="M10032"/>
        </row>
        <row r="10033">
          <cell r="B10033"/>
          <cell r="C10033"/>
          <cell r="E10033"/>
          <cell r="F10033"/>
          <cell r="G10033"/>
          <cell r="H10033"/>
          <cell r="J10033"/>
          <cell r="L10033"/>
          <cell r="M10033"/>
        </row>
        <row r="10034">
          <cell r="B10034"/>
          <cell r="C10034"/>
          <cell r="E10034"/>
          <cell r="F10034"/>
          <cell r="G10034"/>
          <cell r="H10034"/>
          <cell r="J10034"/>
          <cell r="L10034"/>
          <cell r="M10034"/>
        </row>
        <row r="10035">
          <cell r="B10035"/>
          <cell r="C10035"/>
          <cell r="E10035"/>
          <cell r="F10035"/>
          <cell r="G10035"/>
          <cell r="H10035"/>
          <cell r="J10035"/>
          <cell r="L10035"/>
          <cell r="M10035"/>
        </row>
        <row r="10036">
          <cell r="B10036"/>
          <cell r="C10036"/>
          <cell r="E10036"/>
          <cell r="F10036"/>
          <cell r="G10036"/>
          <cell r="H10036"/>
          <cell r="J10036"/>
          <cell r="L10036"/>
          <cell r="M10036"/>
        </row>
        <row r="10037">
          <cell r="B10037"/>
          <cell r="C10037"/>
          <cell r="E10037"/>
          <cell r="F10037"/>
          <cell r="G10037"/>
          <cell r="H10037"/>
          <cell r="J10037"/>
          <cell r="L10037"/>
          <cell r="M10037"/>
        </row>
        <row r="10038">
          <cell r="B10038"/>
          <cell r="C10038"/>
          <cell r="E10038"/>
          <cell r="F10038"/>
          <cell r="G10038"/>
          <cell r="H10038"/>
          <cell r="J10038"/>
          <cell r="L10038"/>
          <cell r="M10038"/>
        </row>
        <row r="10039">
          <cell r="B10039"/>
          <cell r="C10039"/>
          <cell r="E10039"/>
          <cell r="F10039"/>
          <cell r="G10039"/>
          <cell r="H10039"/>
          <cell r="J10039"/>
          <cell r="L10039"/>
          <cell r="M10039"/>
        </row>
        <row r="10040">
          <cell r="B10040"/>
          <cell r="C10040"/>
          <cell r="E10040"/>
          <cell r="F10040"/>
          <cell r="G10040"/>
          <cell r="H10040"/>
          <cell r="J10040"/>
          <cell r="L10040"/>
          <cell r="M10040"/>
        </row>
        <row r="10041">
          <cell r="B10041"/>
          <cell r="C10041"/>
          <cell r="E10041"/>
          <cell r="F10041"/>
          <cell r="G10041"/>
          <cell r="H10041"/>
          <cell r="J10041"/>
          <cell r="L10041"/>
          <cell r="M10041"/>
        </row>
        <row r="10042">
          <cell r="B10042"/>
          <cell r="C10042"/>
          <cell r="E10042"/>
          <cell r="F10042"/>
          <cell r="G10042"/>
          <cell r="H10042"/>
          <cell r="J10042"/>
          <cell r="L10042"/>
          <cell r="M10042"/>
        </row>
        <row r="10043">
          <cell r="B10043"/>
          <cell r="C10043"/>
          <cell r="E10043"/>
          <cell r="F10043"/>
          <cell r="G10043"/>
          <cell r="H10043"/>
          <cell r="J10043"/>
          <cell r="L10043"/>
          <cell r="M10043"/>
        </row>
        <row r="10044">
          <cell r="B10044"/>
          <cell r="C10044"/>
          <cell r="E10044"/>
          <cell r="F10044"/>
          <cell r="G10044"/>
          <cell r="H10044"/>
          <cell r="J10044"/>
          <cell r="L10044"/>
          <cell r="M10044"/>
        </row>
        <row r="10045">
          <cell r="B10045"/>
          <cell r="C10045"/>
          <cell r="E10045"/>
          <cell r="F10045"/>
          <cell r="G10045"/>
          <cell r="H10045"/>
          <cell r="J10045"/>
          <cell r="L10045"/>
          <cell r="M10045"/>
        </row>
        <row r="10046">
          <cell r="B10046"/>
          <cell r="C10046"/>
          <cell r="E10046"/>
          <cell r="F10046"/>
          <cell r="G10046"/>
          <cell r="H10046"/>
          <cell r="J10046"/>
          <cell r="L10046"/>
          <cell r="M10046"/>
        </row>
        <row r="10047">
          <cell r="B10047"/>
          <cell r="C10047"/>
          <cell r="E10047"/>
          <cell r="F10047"/>
          <cell r="G10047"/>
          <cell r="H10047"/>
          <cell r="J10047"/>
          <cell r="L10047"/>
          <cell r="M10047"/>
        </row>
        <row r="10048">
          <cell r="B10048"/>
          <cell r="C10048"/>
          <cell r="E10048"/>
          <cell r="F10048"/>
          <cell r="G10048"/>
          <cell r="H10048"/>
          <cell r="J10048"/>
          <cell r="L10048"/>
          <cell r="M10048"/>
        </row>
        <row r="10049">
          <cell r="B10049"/>
          <cell r="C10049"/>
          <cell r="E10049"/>
          <cell r="F10049"/>
          <cell r="G10049"/>
          <cell r="H10049"/>
          <cell r="J10049"/>
          <cell r="L10049"/>
          <cell r="M10049"/>
        </row>
        <row r="10050">
          <cell r="B10050"/>
          <cell r="C10050"/>
          <cell r="E10050"/>
          <cell r="F10050"/>
          <cell r="G10050"/>
          <cell r="H10050"/>
          <cell r="J10050"/>
          <cell r="L10050"/>
          <cell r="M10050"/>
        </row>
        <row r="10051">
          <cell r="B10051"/>
          <cell r="C10051"/>
          <cell r="E10051"/>
          <cell r="F10051"/>
          <cell r="G10051"/>
          <cell r="H10051"/>
          <cell r="J10051"/>
          <cell r="L10051"/>
          <cell r="M10051"/>
        </row>
        <row r="10052">
          <cell r="B10052"/>
          <cell r="C10052"/>
          <cell r="E10052"/>
          <cell r="F10052"/>
          <cell r="G10052"/>
          <cell r="H10052"/>
          <cell r="J10052"/>
          <cell r="L10052"/>
          <cell r="M10052"/>
        </row>
        <row r="10053">
          <cell r="B10053"/>
          <cell r="C10053"/>
          <cell r="E10053"/>
          <cell r="F10053"/>
          <cell r="G10053"/>
          <cell r="H10053"/>
          <cell r="J10053"/>
          <cell r="L10053"/>
          <cell r="M10053"/>
        </row>
        <row r="10054">
          <cell r="B10054"/>
          <cell r="C10054"/>
          <cell r="E10054"/>
          <cell r="F10054"/>
          <cell r="G10054"/>
          <cell r="H10054"/>
          <cell r="J10054"/>
          <cell r="L10054"/>
          <cell r="M10054"/>
        </row>
        <row r="10055">
          <cell r="B10055"/>
          <cell r="C10055"/>
          <cell r="E10055"/>
          <cell r="F10055"/>
          <cell r="G10055"/>
          <cell r="H10055"/>
          <cell r="J10055"/>
          <cell r="L10055"/>
          <cell r="M10055"/>
        </row>
        <row r="10056">
          <cell r="B10056"/>
          <cell r="C10056"/>
          <cell r="E10056"/>
          <cell r="F10056"/>
          <cell r="G10056"/>
          <cell r="H10056"/>
          <cell r="J10056"/>
          <cell r="L10056"/>
          <cell r="M10056"/>
        </row>
        <row r="10057">
          <cell r="B10057"/>
          <cell r="C10057"/>
          <cell r="E10057"/>
          <cell r="F10057"/>
          <cell r="G10057"/>
          <cell r="H10057"/>
          <cell r="J10057"/>
          <cell r="L10057"/>
          <cell r="M10057"/>
        </row>
        <row r="10058">
          <cell r="B10058"/>
          <cell r="C10058"/>
          <cell r="E10058"/>
          <cell r="F10058"/>
          <cell r="G10058"/>
          <cell r="H10058"/>
          <cell r="J10058"/>
          <cell r="L10058"/>
          <cell r="M10058"/>
        </row>
        <row r="10059">
          <cell r="B10059"/>
          <cell r="C10059"/>
          <cell r="E10059"/>
          <cell r="F10059"/>
          <cell r="G10059"/>
          <cell r="H10059"/>
          <cell r="J10059"/>
          <cell r="L10059"/>
          <cell r="M10059"/>
        </row>
        <row r="10060">
          <cell r="B10060"/>
          <cell r="C10060"/>
          <cell r="E10060"/>
          <cell r="F10060"/>
          <cell r="G10060"/>
          <cell r="H10060"/>
          <cell r="J10060"/>
          <cell r="L10060"/>
          <cell r="M10060"/>
        </row>
        <row r="10061">
          <cell r="B10061"/>
          <cell r="C10061"/>
          <cell r="E10061"/>
          <cell r="F10061"/>
          <cell r="G10061"/>
          <cell r="H10061"/>
          <cell r="J10061"/>
          <cell r="L10061"/>
          <cell r="M10061"/>
        </row>
        <row r="10062">
          <cell r="B10062"/>
          <cell r="C10062"/>
          <cell r="E10062"/>
          <cell r="F10062"/>
          <cell r="G10062"/>
          <cell r="H10062"/>
          <cell r="J10062"/>
          <cell r="L10062"/>
          <cell r="M10062"/>
        </row>
        <row r="10063">
          <cell r="B10063"/>
          <cell r="C10063"/>
          <cell r="E10063"/>
          <cell r="F10063"/>
          <cell r="G10063"/>
          <cell r="H10063"/>
          <cell r="J10063"/>
          <cell r="L10063"/>
          <cell r="M10063"/>
        </row>
        <row r="10064">
          <cell r="B10064"/>
          <cell r="C10064"/>
          <cell r="E10064"/>
          <cell r="F10064"/>
          <cell r="G10064"/>
          <cell r="H10064"/>
          <cell r="J10064"/>
          <cell r="L10064"/>
          <cell r="M10064"/>
        </row>
        <row r="10065">
          <cell r="B10065"/>
          <cell r="C10065"/>
          <cell r="E10065"/>
          <cell r="F10065"/>
          <cell r="G10065"/>
          <cell r="H10065"/>
          <cell r="J10065"/>
          <cell r="L10065"/>
          <cell r="M10065"/>
        </row>
        <row r="10066">
          <cell r="B10066"/>
          <cell r="C10066"/>
          <cell r="E10066"/>
          <cell r="F10066"/>
          <cell r="G10066"/>
          <cell r="H10066"/>
          <cell r="J10066"/>
          <cell r="L10066"/>
          <cell r="M10066"/>
        </row>
        <row r="10067">
          <cell r="B10067"/>
          <cell r="C10067"/>
          <cell r="E10067"/>
          <cell r="F10067"/>
          <cell r="G10067"/>
          <cell r="H10067"/>
          <cell r="J10067"/>
          <cell r="L10067"/>
          <cell r="M10067"/>
        </row>
        <row r="10068">
          <cell r="B10068"/>
          <cell r="C10068"/>
          <cell r="E10068"/>
          <cell r="F10068"/>
          <cell r="G10068"/>
          <cell r="H10068"/>
          <cell r="J10068"/>
          <cell r="L10068"/>
          <cell r="M10068"/>
        </row>
        <row r="10069">
          <cell r="B10069"/>
          <cell r="C10069"/>
          <cell r="E10069"/>
          <cell r="F10069"/>
          <cell r="G10069"/>
          <cell r="H10069"/>
          <cell r="J10069"/>
          <cell r="L10069"/>
          <cell r="M10069"/>
        </row>
        <row r="10070">
          <cell r="B10070"/>
          <cell r="C10070"/>
          <cell r="E10070"/>
          <cell r="F10070"/>
          <cell r="G10070"/>
          <cell r="H10070"/>
          <cell r="J10070"/>
          <cell r="L10070"/>
          <cell r="M10070"/>
        </row>
        <row r="10071">
          <cell r="B10071"/>
          <cell r="C10071"/>
          <cell r="E10071"/>
          <cell r="F10071"/>
          <cell r="G10071"/>
          <cell r="H10071"/>
          <cell r="J10071"/>
          <cell r="L10071"/>
          <cell r="M10071"/>
        </row>
        <row r="10072">
          <cell r="B10072"/>
          <cell r="C10072"/>
          <cell r="E10072"/>
          <cell r="F10072"/>
          <cell r="G10072"/>
          <cell r="H10072"/>
          <cell r="J10072"/>
          <cell r="L10072"/>
          <cell r="M10072"/>
        </row>
        <row r="10073">
          <cell r="B10073"/>
          <cell r="C10073"/>
          <cell r="E10073"/>
          <cell r="F10073"/>
          <cell r="G10073"/>
          <cell r="H10073"/>
          <cell r="J10073"/>
          <cell r="L10073"/>
          <cell r="M10073"/>
        </row>
        <row r="10074">
          <cell r="B10074"/>
          <cell r="C10074"/>
          <cell r="E10074"/>
          <cell r="F10074"/>
          <cell r="G10074"/>
          <cell r="H10074"/>
          <cell r="J10074"/>
          <cell r="L10074"/>
          <cell r="M10074"/>
        </row>
        <row r="10075">
          <cell r="B10075"/>
          <cell r="C10075"/>
          <cell r="E10075"/>
          <cell r="F10075"/>
          <cell r="G10075"/>
          <cell r="H10075"/>
          <cell r="J10075"/>
          <cell r="L10075"/>
          <cell r="M10075"/>
        </row>
        <row r="10076">
          <cell r="B10076"/>
          <cell r="C10076"/>
          <cell r="E10076"/>
          <cell r="F10076"/>
          <cell r="G10076"/>
          <cell r="H10076"/>
          <cell r="J10076"/>
          <cell r="L10076"/>
          <cell r="M10076"/>
        </row>
        <row r="10077">
          <cell r="B10077"/>
          <cell r="C10077"/>
          <cell r="E10077"/>
          <cell r="F10077"/>
          <cell r="G10077"/>
          <cell r="H10077"/>
          <cell r="J10077"/>
          <cell r="L10077"/>
          <cell r="M10077"/>
        </row>
        <row r="10078">
          <cell r="B10078"/>
          <cell r="C10078"/>
          <cell r="E10078"/>
          <cell r="F10078"/>
          <cell r="G10078"/>
          <cell r="H10078"/>
          <cell r="J10078"/>
          <cell r="L10078"/>
          <cell r="M10078"/>
        </row>
        <row r="10079">
          <cell r="B10079"/>
          <cell r="C10079"/>
          <cell r="E10079"/>
          <cell r="F10079"/>
          <cell r="G10079"/>
          <cell r="H10079"/>
          <cell r="J10079"/>
          <cell r="L10079"/>
          <cell r="M10079"/>
        </row>
        <row r="10080">
          <cell r="B10080"/>
          <cell r="C10080"/>
          <cell r="E10080"/>
          <cell r="F10080"/>
          <cell r="G10080"/>
          <cell r="H10080"/>
          <cell r="J10080"/>
          <cell r="L10080"/>
          <cell r="M10080"/>
        </row>
        <row r="10081">
          <cell r="B10081"/>
          <cell r="C10081"/>
          <cell r="E10081"/>
          <cell r="F10081"/>
          <cell r="G10081"/>
          <cell r="H10081"/>
          <cell r="J10081"/>
          <cell r="L10081"/>
          <cell r="M10081"/>
        </row>
        <row r="10082">
          <cell r="B10082"/>
          <cell r="C10082"/>
          <cell r="E10082"/>
          <cell r="F10082"/>
          <cell r="G10082"/>
          <cell r="H10082"/>
          <cell r="J10082"/>
          <cell r="L10082"/>
          <cell r="M10082"/>
        </row>
        <row r="10083">
          <cell r="B10083"/>
          <cell r="C10083"/>
          <cell r="E10083"/>
          <cell r="F10083"/>
          <cell r="G10083"/>
          <cell r="H10083"/>
          <cell r="J10083"/>
          <cell r="L10083"/>
          <cell r="M10083"/>
        </row>
        <row r="10084">
          <cell r="B10084"/>
          <cell r="C10084"/>
          <cell r="E10084"/>
          <cell r="F10084"/>
          <cell r="G10084"/>
          <cell r="H10084"/>
          <cell r="J10084"/>
          <cell r="L10084"/>
          <cell r="M10084"/>
        </row>
        <row r="10085">
          <cell r="B10085"/>
          <cell r="C10085"/>
          <cell r="E10085"/>
          <cell r="F10085"/>
          <cell r="G10085"/>
          <cell r="H10085"/>
          <cell r="J10085"/>
          <cell r="L10085"/>
          <cell r="M10085"/>
        </row>
        <row r="10086">
          <cell r="B10086"/>
          <cell r="C10086"/>
          <cell r="E10086"/>
          <cell r="F10086"/>
          <cell r="G10086"/>
          <cell r="H10086"/>
          <cell r="J10086"/>
          <cell r="L10086"/>
          <cell r="M10086"/>
        </row>
        <row r="10087">
          <cell r="B10087"/>
          <cell r="C10087"/>
          <cell r="E10087"/>
          <cell r="F10087"/>
          <cell r="G10087"/>
          <cell r="H10087"/>
          <cell r="J10087"/>
          <cell r="L10087"/>
          <cell r="M10087"/>
        </row>
        <row r="10088">
          <cell r="B10088"/>
          <cell r="C10088"/>
          <cell r="E10088"/>
          <cell r="F10088"/>
          <cell r="G10088"/>
          <cell r="H10088"/>
          <cell r="J10088"/>
          <cell r="L10088"/>
          <cell r="M10088"/>
        </row>
        <row r="10089">
          <cell r="B10089"/>
          <cell r="C10089"/>
          <cell r="E10089"/>
          <cell r="F10089"/>
          <cell r="G10089"/>
          <cell r="H10089"/>
          <cell r="J10089"/>
          <cell r="L10089"/>
          <cell r="M10089"/>
        </row>
        <row r="10090">
          <cell r="B10090"/>
          <cell r="C10090"/>
          <cell r="E10090"/>
          <cell r="F10090"/>
          <cell r="G10090"/>
          <cell r="H10090"/>
          <cell r="J10090"/>
          <cell r="L10090"/>
          <cell r="M10090"/>
        </row>
        <row r="10091">
          <cell r="B10091"/>
          <cell r="C10091"/>
          <cell r="E10091"/>
          <cell r="F10091"/>
          <cell r="G10091"/>
          <cell r="H10091"/>
          <cell r="J10091"/>
          <cell r="L10091"/>
          <cell r="M10091"/>
        </row>
        <row r="10092">
          <cell r="B10092"/>
          <cell r="C10092"/>
          <cell r="E10092"/>
          <cell r="F10092"/>
          <cell r="G10092"/>
          <cell r="H10092"/>
          <cell r="J10092"/>
          <cell r="L10092"/>
          <cell r="M10092"/>
        </row>
        <row r="10093">
          <cell r="B10093"/>
          <cell r="C10093"/>
          <cell r="E10093"/>
          <cell r="F10093"/>
          <cell r="G10093"/>
          <cell r="H10093"/>
          <cell r="J10093"/>
          <cell r="L10093"/>
          <cell r="M10093"/>
        </row>
        <row r="10094">
          <cell r="B10094"/>
          <cell r="C10094"/>
          <cell r="E10094"/>
          <cell r="F10094"/>
          <cell r="G10094"/>
          <cell r="H10094"/>
          <cell r="J10094"/>
          <cell r="L10094"/>
          <cell r="M10094"/>
        </row>
        <row r="10095">
          <cell r="B10095"/>
          <cell r="C10095"/>
          <cell r="E10095"/>
          <cell r="F10095"/>
          <cell r="G10095"/>
          <cell r="H10095"/>
          <cell r="J10095"/>
          <cell r="L10095"/>
          <cell r="M10095"/>
        </row>
        <row r="10096">
          <cell r="B10096"/>
          <cell r="C10096"/>
          <cell r="E10096"/>
          <cell r="F10096"/>
          <cell r="G10096"/>
          <cell r="H10096"/>
          <cell r="J10096"/>
          <cell r="L10096"/>
          <cell r="M10096"/>
        </row>
        <row r="10097">
          <cell r="B10097"/>
          <cell r="C10097"/>
          <cell r="E10097"/>
          <cell r="F10097"/>
          <cell r="G10097"/>
          <cell r="H10097"/>
          <cell r="J10097"/>
          <cell r="L10097"/>
          <cell r="M10097"/>
        </row>
        <row r="10098">
          <cell r="B10098"/>
          <cell r="C10098"/>
          <cell r="E10098"/>
          <cell r="F10098"/>
          <cell r="G10098"/>
          <cell r="H10098"/>
          <cell r="J10098"/>
          <cell r="L10098"/>
          <cell r="M10098"/>
        </row>
        <row r="10099">
          <cell r="B10099"/>
          <cell r="C10099"/>
          <cell r="E10099"/>
          <cell r="F10099"/>
          <cell r="G10099"/>
          <cell r="H10099"/>
          <cell r="J10099"/>
          <cell r="L10099"/>
          <cell r="M10099"/>
        </row>
        <row r="10100">
          <cell r="B10100"/>
          <cell r="C10100"/>
          <cell r="E10100"/>
          <cell r="F10100"/>
          <cell r="G10100"/>
          <cell r="H10100"/>
          <cell r="J10100"/>
          <cell r="L10100"/>
          <cell r="M10100"/>
        </row>
        <row r="10101">
          <cell r="B10101"/>
          <cell r="C10101"/>
          <cell r="E10101"/>
          <cell r="F10101"/>
          <cell r="G10101"/>
          <cell r="H10101"/>
          <cell r="J10101"/>
          <cell r="L10101"/>
          <cell r="M10101"/>
        </row>
        <row r="10102">
          <cell r="B10102"/>
          <cell r="C10102"/>
          <cell r="E10102"/>
          <cell r="F10102"/>
          <cell r="G10102"/>
          <cell r="H10102"/>
          <cell r="J10102"/>
          <cell r="L10102"/>
          <cell r="M10102"/>
        </row>
        <row r="10103">
          <cell r="B10103"/>
          <cell r="C10103"/>
          <cell r="E10103"/>
          <cell r="F10103"/>
          <cell r="G10103"/>
          <cell r="H10103"/>
          <cell r="J10103"/>
          <cell r="L10103"/>
          <cell r="M10103"/>
        </row>
        <row r="10104">
          <cell r="B10104"/>
          <cell r="C10104"/>
          <cell r="E10104"/>
          <cell r="F10104"/>
          <cell r="G10104"/>
          <cell r="H10104"/>
          <cell r="J10104"/>
          <cell r="L10104"/>
          <cell r="M10104"/>
        </row>
        <row r="10105">
          <cell r="B10105"/>
          <cell r="C10105"/>
          <cell r="E10105"/>
          <cell r="F10105"/>
          <cell r="G10105"/>
          <cell r="H10105"/>
          <cell r="J10105"/>
          <cell r="L10105"/>
          <cell r="M10105"/>
        </row>
        <row r="10106">
          <cell r="B10106"/>
          <cell r="C10106"/>
          <cell r="E10106"/>
          <cell r="F10106"/>
          <cell r="G10106"/>
          <cell r="H10106"/>
          <cell r="J10106"/>
          <cell r="L10106"/>
          <cell r="M10106"/>
        </row>
        <row r="10107">
          <cell r="B10107"/>
          <cell r="C10107"/>
          <cell r="E10107"/>
          <cell r="F10107"/>
          <cell r="G10107"/>
          <cell r="H10107"/>
          <cell r="J10107"/>
          <cell r="L10107"/>
          <cell r="M10107"/>
        </row>
        <row r="10108">
          <cell r="B10108"/>
          <cell r="C10108"/>
          <cell r="E10108"/>
          <cell r="F10108"/>
          <cell r="G10108"/>
          <cell r="H10108"/>
          <cell r="J10108"/>
          <cell r="L10108"/>
          <cell r="M10108"/>
        </row>
        <row r="10109">
          <cell r="B10109"/>
          <cell r="C10109"/>
          <cell r="E10109"/>
          <cell r="F10109"/>
          <cell r="G10109"/>
          <cell r="H10109"/>
          <cell r="J10109"/>
          <cell r="L10109"/>
          <cell r="M10109"/>
        </row>
        <row r="10110">
          <cell r="B10110"/>
          <cell r="C10110"/>
          <cell r="E10110"/>
          <cell r="F10110"/>
          <cell r="G10110"/>
          <cell r="H10110"/>
          <cell r="J10110"/>
          <cell r="L10110"/>
          <cell r="M10110"/>
        </row>
        <row r="10111">
          <cell r="B10111"/>
          <cell r="C10111"/>
          <cell r="E10111"/>
          <cell r="F10111"/>
          <cell r="G10111"/>
          <cell r="H10111"/>
          <cell r="J10111"/>
          <cell r="L10111"/>
          <cell r="M10111"/>
        </row>
        <row r="10112">
          <cell r="B10112"/>
          <cell r="C10112"/>
          <cell r="E10112"/>
          <cell r="F10112"/>
          <cell r="G10112"/>
          <cell r="H10112"/>
          <cell r="J10112"/>
          <cell r="L10112"/>
          <cell r="M10112"/>
        </row>
        <row r="10113">
          <cell r="B10113"/>
          <cell r="C10113"/>
          <cell r="E10113"/>
          <cell r="F10113"/>
          <cell r="G10113"/>
          <cell r="H10113"/>
          <cell r="J10113"/>
          <cell r="L10113"/>
          <cell r="M10113"/>
        </row>
        <row r="10114">
          <cell r="B10114"/>
          <cell r="C10114"/>
          <cell r="E10114"/>
          <cell r="F10114"/>
          <cell r="G10114"/>
          <cell r="H10114"/>
          <cell r="J10114"/>
          <cell r="L10114"/>
          <cell r="M10114"/>
        </row>
        <row r="10115">
          <cell r="B10115"/>
          <cell r="C10115"/>
          <cell r="E10115"/>
          <cell r="F10115"/>
          <cell r="G10115"/>
          <cell r="H10115"/>
          <cell r="J10115"/>
          <cell r="L10115"/>
          <cell r="M10115"/>
        </row>
        <row r="10116">
          <cell r="B10116"/>
          <cell r="C10116"/>
          <cell r="E10116"/>
          <cell r="F10116"/>
          <cell r="G10116"/>
          <cell r="H10116"/>
          <cell r="J10116"/>
          <cell r="L10116"/>
          <cell r="M10116"/>
        </row>
        <row r="10117">
          <cell r="B10117"/>
          <cell r="C10117"/>
          <cell r="E10117"/>
          <cell r="F10117"/>
          <cell r="G10117"/>
          <cell r="H10117"/>
          <cell r="J10117"/>
          <cell r="L10117"/>
          <cell r="M10117"/>
        </row>
        <row r="10118">
          <cell r="B10118"/>
          <cell r="C10118"/>
          <cell r="E10118"/>
          <cell r="F10118"/>
          <cell r="G10118"/>
          <cell r="H10118"/>
          <cell r="J10118"/>
          <cell r="L10118"/>
          <cell r="M10118"/>
        </row>
        <row r="10119">
          <cell r="B10119"/>
          <cell r="C10119"/>
          <cell r="E10119"/>
          <cell r="F10119"/>
          <cell r="G10119"/>
          <cell r="H10119"/>
          <cell r="J10119"/>
          <cell r="L10119"/>
          <cell r="M10119"/>
        </row>
        <row r="10120">
          <cell r="B10120"/>
          <cell r="C10120"/>
          <cell r="E10120"/>
          <cell r="F10120"/>
          <cell r="G10120"/>
          <cell r="H10120"/>
          <cell r="J10120"/>
          <cell r="L10120"/>
          <cell r="M10120"/>
        </row>
        <row r="10121">
          <cell r="B10121"/>
          <cell r="C10121"/>
          <cell r="E10121"/>
          <cell r="F10121"/>
          <cell r="G10121"/>
          <cell r="H10121"/>
          <cell r="J10121"/>
          <cell r="L10121"/>
          <cell r="M10121"/>
        </row>
        <row r="10122">
          <cell r="B10122"/>
          <cell r="C10122"/>
          <cell r="E10122"/>
          <cell r="F10122"/>
          <cell r="G10122"/>
          <cell r="H10122"/>
          <cell r="J10122"/>
          <cell r="L10122"/>
          <cell r="M10122"/>
        </row>
        <row r="10123">
          <cell r="B10123"/>
          <cell r="C10123"/>
          <cell r="E10123"/>
          <cell r="F10123"/>
          <cell r="G10123"/>
          <cell r="H10123"/>
          <cell r="J10123"/>
          <cell r="L10123"/>
          <cell r="M10123"/>
        </row>
        <row r="10124">
          <cell r="B10124"/>
          <cell r="C10124"/>
          <cell r="E10124"/>
          <cell r="F10124"/>
          <cell r="G10124"/>
          <cell r="H10124"/>
          <cell r="J10124"/>
          <cell r="L10124"/>
          <cell r="M10124"/>
        </row>
        <row r="10125">
          <cell r="B10125"/>
          <cell r="C10125"/>
          <cell r="E10125"/>
          <cell r="F10125"/>
          <cell r="G10125"/>
          <cell r="H10125"/>
          <cell r="J10125"/>
          <cell r="L10125"/>
          <cell r="M10125"/>
        </row>
        <row r="10126">
          <cell r="B10126"/>
          <cell r="C10126"/>
          <cell r="E10126"/>
          <cell r="F10126"/>
          <cell r="G10126"/>
          <cell r="H10126"/>
          <cell r="J10126"/>
          <cell r="L10126"/>
          <cell r="M10126"/>
        </row>
        <row r="10127">
          <cell r="B10127"/>
          <cell r="C10127"/>
          <cell r="E10127"/>
          <cell r="F10127"/>
          <cell r="G10127"/>
          <cell r="H10127"/>
          <cell r="J10127"/>
          <cell r="L10127"/>
          <cell r="M10127"/>
        </row>
        <row r="10128">
          <cell r="B10128"/>
          <cell r="C10128"/>
          <cell r="E10128"/>
          <cell r="F10128"/>
          <cell r="G10128"/>
          <cell r="H10128"/>
          <cell r="J10128"/>
          <cell r="L10128"/>
          <cell r="M10128"/>
        </row>
        <row r="10129">
          <cell r="B10129"/>
          <cell r="C10129"/>
          <cell r="E10129"/>
          <cell r="F10129"/>
          <cell r="G10129"/>
          <cell r="H10129"/>
          <cell r="J10129"/>
          <cell r="L10129"/>
          <cell r="M10129"/>
        </row>
        <row r="10130">
          <cell r="B10130"/>
          <cell r="C10130"/>
          <cell r="E10130"/>
          <cell r="F10130"/>
          <cell r="G10130"/>
          <cell r="H10130"/>
          <cell r="J10130"/>
          <cell r="L10130"/>
          <cell r="M10130"/>
        </row>
        <row r="10131">
          <cell r="B10131"/>
          <cell r="C10131"/>
          <cell r="E10131"/>
          <cell r="F10131"/>
          <cell r="G10131"/>
          <cell r="H10131"/>
          <cell r="J10131"/>
          <cell r="L10131"/>
          <cell r="M10131"/>
        </row>
        <row r="10132">
          <cell r="B10132"/>
          <cell r="C10132"/>
          <cell r="E10132"/>
          <cell r="F10132"/>
          <cell r="G10132"/>
          <cell r="H10132"/>
          <cell r="J10132"/>
          <cell r="L10132"/>
          <cell r="M10132"/>
        </row>
        <row r="10133">
          <cell r="B10133"/>
          <cell r="C10133"/>
          <cell r="E10133"/>
          <cell r="F10133"/>
          <cell r="G10133"/>
          <cell r="H10133"/>
          <cell r="J10133"/>
          <cell r="L10133"/>
          <cell r="M10133"/>
        </row>
        <row r="10134">
          <cell r="B10134"/>
          <cell r="C10134"/>
          <cell r="E10134"/>
          <cell r="F10134"/>
          <cell r="G10134"/>
          <cell r="H10134"/>
          <cell r="J10134"/>
          <cell r="L10134"/>
          <cell r="M10134"/>
        </row>
        <row r="10135">
          <cell r="B10135"/>
          <cell r="C10135"/>
          <cell r="E10135"/>
          <cell r="F10135"/>
          <cell r="G10135"/>
          <cell r="H10135"/>
          <cell r="J10135"/>
          <cell r="L10135"/>
          <cell r="M10135"/>
        </row>
        <row r="10136">
          <cell r="B10136"/>
          <cell r="C10136"/>
          <cell r="E10136"/>
          <cell r="F10136"/>
          <cell r="G10136"/>
          <cell r="H10136"/>
          <cell r="J10136"/>
          <cell r="L10136"/>
          <cell r="M10136"/>
        </row>
        <row r="10137">
          <cell r="B10137"/>
          <cell r="C10137"/>
          <cell r="E10137"/>
          <cell r="F10137"/>
          <cell r="G10137"/>
          <cell r="H10137"/>
          <cell r="J10137"/>
          <cell r="L10137"/>
          <cell r="M10137"/>
        </row>
        <row r="10138">
          <cell r="B10138"/>
          <cell r="C10138"/>
          <cell r="E10138"/>
          <cell r="F10138"/>
          <cell r="G10138"/>
          <cell r="H10138"/>
          <cell r="J10138"/>
          <cell r="L10138"/>
          <cell r="M10138"/>
        </row>
        <row r="10139">
          <cell r="B10139"/>
          <cell r="C10139"/>
          <cell r="E10139"/>
          <cell r="F10139"/>
          <cell r="G10139"/>
          <cell r="H10139"/>
          <cell r="J10139"/>
          <cell r="L10139"/>
          <cell r="M10139"/>
        </row>
        <row r="10140">
          <cell r="B10140"/>
          <cell r="C10140"/>
          <cell r="E10140"/>
          <cell r="F10140"/>
          <cell r="G10140"/>
          <cell r="H10140"/>
          <cell r="J10140"/>
          <cell r="L10140"/>
          <cell r="M10140"/>
        </row>
        <row r="10141">
          <cell r="B10141"/>
          <cell r="C10141"/>
          <cell r="E10141"/>
          <cell r="F10141"/>
          <cell r="G10141"/>
          <cell r="H10141"/>
          <cell r="J10141"/>
          <cell r="L10141"/>
          <cell r="M10141"/>
        </row>
        <row r="10142">
          <cell r="B10142"/>
          <cell r="C10142"/>
          <cell r="E10142"/>
          <cell r="F10142"/>
          <cell r="G10142"/>
          <cell r="H10142"/>
          <cell r="J10142"/>
          <cell r="L10142"/>
          <cell r="M10142"/>
        </row>
        <row r="10143">
          <cell r="B10143"/>
          <cell r="C10143"/>
          <cell r="E10143"/>
          <cell r="F10143"/>
          <cell r="G10143"/>
          <cell r="H10143"/>
          <cell r="J10143"/>
          <cell r="L10143"/>
          <cell r="M10143"/>
        </row>
        <row r="10144">
          <cell r="B10144"/>
          <cell r="C10144"/>
          <cell r="E10144"/>
          <cell r="F10144"/>
          <cell r="G10144"/>
          <cell r="H10144"/>
          <cell r="J10144"/>
          <cell r="L10144"/>
          <cell r="M10144"/>
        </row>
        <row r="10145">
          <cell r="B10145"/>
          <cell r="C10145"/>
          <cell r="E10145"/>
          <cell r="F10145"/>
          <cell r="G10145"/>
          <cell r="H10145"/>
          <cell r="J10145"/>
          <cell r="L10145"/>
          <cell r="M10145"/>
        </row>
        <row r="10146">
          <cell r="B10146"/>
          <cell r="C10146"/>
          <cell r="E10146"/>
          <cell r="F10146"/>
          <cell r="G10146"/>
          <cell r="H10146"/>
          <cell r="J10146"/>
          <cell r="L10146"/>
          <cell r="M10146"/>
        </row>
        <row r="10147">
          <cell r="B10147"/>
          <cell r="C10147"/>
          <cell r="E10147"/>
          <cell r="F10147"/>
          <cell r="G10147"/>
          <cell r="H10147"/>
          <cell r="J10147"/>
          <cell r="L10147"/>
          <cell r="M10147"/>
        </row>
        <row r="10148">
          <cell r="B10148"/>
          <cell r="C10148"/>
          <cell r="E10148"/>
          <cell r="F10148"/>
          <cell r="G10148"/>
          <cell r="H10148"/>
          <cell r="J10148"/>
          <cell r="L10148"/>
          <cell r="M10148"/>
        </row>
        <row r="10149">
          <cell r="B10149"/>
          <cell r="C10149"/>
          <cell r="E10149"/>
          <cell r="F10149"/>
          <cell r="G10149"/>
          <cell r="H10149"/>
          <cell r="J10149"/>
          <cell r="L10149"/>
          <cell r="M10149"/>
        </row>
        <row r="10150">
          <cell r="B10150"/>
          <cell r="C10150"/>
          <cell r="E10150"/>
          <cell r="F10150"/>
          <cell r="G10150"/>
          <cell r="H10150"/>
          <cell r="J10150"/>
          <cell r="L10150"/>
          <cell r="M10150"/>
        </row>
        <row r="10151">
          <cell r="B10151"/>
          <cell r="C10151"/>
          <cell r="E10151"/>
          <cell r="F10151"/>
          <cell r="G10151"/>
          <cell r="H10151"/>
          <cell r="J10151"/>
          <cell r="L10151"/>
          <cell r="M10151"/>
        </row>
        <row r="10152">
          <cell r="B10152"/>
          <cell r="C10152"/>
          <cell r="E10152"/>
          <cell r="F10152"/>
          <cell r="G10152"/>
          <cell r="H10152"/>
          <cell r="J10152"/>
          <cell r="L10152"/>
          <cell r="M10152"/>
        </row>
        <row r="10153">
          <cell r="B10153"/>
          <cell r="C10153"/>
          <cell r="E10153"/>
          <cell r="F10153"/>
          <cell r="G10153"/>
          <cell r="H10153"/>
          <cell r="J10153"/>
          <cell r="L10153"/>
          <cell r="M10153"/>
        </row>
        <row r="10154">
          <cell r="B10154"/>
          <cell r="C10154"/>
          <cell r="E10154"/>
          <cell r="F10154"/>
          <cell r="G10154"/>
          <cell r="H10154"/>
          <cell r="J10154"/>
          <cell r="L10154"/>
          <cell r="M10154"/>
        </row>
        <row r="10155">
          <cell r="B10155"/>
          <cell r="C10155"/>
          <cell r="E10155"/>
          <cell r="F10155"/>
          <cell r="G10155"/>
          <cell r="H10155"/>
          <cell r="J10155"/>
          <cell r="L10155"/>
          <cell r="M10155"/>
        </row>
        <row r="10156">
          <cell r="B10156"/>
          <cell r="C10156"/>
          <cell r="E10156"/>
          <cell r="F10156"/>
          <cell r="G10156"/>
          <cell r="H10156"/>
          <cell r="J10156"/>
          <cell r="L10156"/>
          <cell r="M10156"/>
        </row>
        <row r="10157">
          <cell r="B10157"/>
          <cell r="C10157"/>
          <cell r="E10157"/>
          <cell r="F10157"/>
          <cell r="G10157"/>
          <cell r="H10157"/>
          <cell r="J10157"/>
          <cell r="L10157"/>
          <cell r="M10157"/>
        </row>
        <row r="10158">
          <cell r="B10158"/>
          <cell r="C10158"/>
          <cell r="E10158"/>
          <cell r="F10158"/>
          <cell r="G10158"/>
          <cell r="H10158"/>
          <cell r="J10158"/>
          <cell r="L10158"/>
          <cell r="M10158"/>
        </row>
        <row r="10159">
          <cell r="B10159"/>
          <cell r="C10159"/>
          <cell r="E10159"/>
          <cell r="F10159"/>
          <cell r="G10159"/>
          <cell r="H10159"/>
          <cell r="J10159"/>
          <cell r="L10159"/>
          <cell r="M10159"/>
        </row>
        <row r="10160">
          <cell r="B10160"/>
          <cell r="C10160"/>
          <cell r="E10160"/>
          <cell r="F10160"/>
          <cell r="G10160"/>
          <cell r="H10160"/>
          <cell r="J10160"/>
          <cell r="L10160"/>
          <cell r="M10160"/>
        </row>
        <row r="10161">
          <cell r="B10161"/>
          <cell r="C10161"/>
          <cell r="E10161"/>
          <cell r="F10161"/>
          <cell r="G10161"/>
          <cell r="H10161"/>
          <cell r="J10161"/>
          <cell r="L10161"/>
          <cell r="M10161"/>
        </row>
        <row r="10162">
          <cell r="B10162"/>
          <cell r="C10162"/>
          <cell r="E10162"/>
          <cell r="F10162"/>
          <cell r="G10162"/>
          <cell r="H10162"/>
          <cell r="J10162"/>
          <cell r="L10162"/>
          <cell r="M10162"/>
        </row>
        <row r="10163">
          <cell r="B10163"/>
          <cell r="C10163"/>
          <cell r="E10163"/>
          <cell r="F10163"/>
          <cell r="G10163"/>
          <cell r="H10163"/>
          <cell r="J10163"/>
          <cell r="L10163"/>
          <cell r="M10163"/>
        </row>
        <row r="10164">
          <cell r="B10164"/>
          <cell r="C10164"/>
          <cell r="E10164"/>
          <cell r="F10164"/>
          <cell r="G10164"/>
          <cell r="H10164"/>
          <cell r="J10164"/>
          <cell r="L10164"/>
          <cell r="M10164"/>
        </row>
        <row r="10165">
          <cell r="B10165"/>
          <cell r="C10165"/>
          <cell r="E10165"/>
          <cell r="F10165"/>
          <cell r="G10165"/>
          <cell r="H10165"/>
          <cell r="J10165"/>
          <cell r="L10165"/>
          <cell r="M10165"/>
        </row>
        <row r="10166">
          <cell r="B10166"/>
          <cell r="C10166"/>
          <cell r="E10166"/>
          <cell r="F10166"/>
          <cell r="G10166"/>
          <cell r="H10166"/>
          <cell r="J10166"/>
          <cell r="L10166"/>
          <cell r="M10166"/>
        </row>
        <row r="10167">
          <cell r="B10167"/>
          <cell r="C10167"/>
          <cell r="E10167"/>
          <cell r="F10167"/>
          <cell r="G10167"/>
          <cell r="H10167"/>
          <cell r="J10167"/>
          <cell r="L10167"/>
          <cell r="M10167"/>
        </row>
        <row r="10168">
          <cell r="B10168"/>
          <cell r="C10168"/>
          <cell r="E10168"/>
          <cell r="F10168"/>
          <cell r="G10168"/>
          <cell r="H10168"/>
          <cell r="J10168"/>
          <cell r="L10168"/>
          <cell r="M10168"/>
        </row>
        <row r="10169">
          <cell r="B10169"/>
          <cell r="C10169"/>
          <cell r="E10169"/>
          <cell r="F10169"/>
          <cell r="G10169"/>
          <cell r="H10169"/>
          <cell r="J10169"/>
          <cell r="L10169"/>
          <cell r="M10169"/>
        </row>
        <row r="10170">
          <cell r="B10170"/>
          <cell r="C10170"/>
          <cell r="E10170"/>
          <cell r="F10170"/>
          <cell r="G10170"/>
          <cell r="H10170"/>
          <cell r="J10170"/>
          <cell r="L10170"/>
          <cell r="M10170"/>
        </row>
        <row r="10171">
          <cell r="B10171"/>
          <cell r="C10171"/>
          <cell r="E10171"/>
          <cell r="F10171"/>
          <cell r="G10171"/>
          <cell r="H10171"/>
          <cell r="J10171"/>
          <cell r="L10171"/>
          <cell r="M10171"/>
        </row>
        <row r="10172">
          <cell r="B10172"/>
          <cell r="C10172"/>
          <cell r="E10172"/>
          <cell r="F10172"/>
          <cell r="G10172"/>
          <cell r="H10172"/>
          <cell r="J10172"/>
          <cell r="L10172"/>
          <cell r="M10172"/>
        </row>
        <row r="10173">
          <cell r="B10173"/>
          <cell r="C10173"/>
          <cell r="E10173"/>
          <cell r="F10173"/>
          <cell r="G10173"/>
          <cell r="H10173"/>
          <cell r="J10173"/>
          <cell r="L10173"/>
          <cell r="M10173"/>
        </row>
        <row r="10174">
          <cell r="B10174"/>
          <cell r="C10174"/>
          <cell r="E10174"/>
          <cell r="F10174"/>
          <cell r="G10174"/>
          <cell r="H10174"/>
          <cell r="J10174"/>
          <cell r="L10174"/>
          <cell r="M10174"/>
        </row>
        <row r="10175">
          <cell r="B10175"/>
          <cell r="C10175"/>
          <cell r="E10175"/>
          <cell r="F10175"/>
          <cell r="G10175"/>
          <cell r="H10175"/>
          <cell r="J10175"/>
          <cell r="L10175"/>
          <cell r="M10175"/>
        </row>
        <row r="10176">
          <cell r="B10176"/>
          <cell r="C10176"/>
          <cell r="E10176"/>
          <cell r="F10176"/>
          <cell r="G10176"/>
          <cell r="H10176"/>
          <cell r="J10176"/>
          <cell r="L10176"/>
          <cell r="M10176"/>
        </row>
        <row r="10177">
          <cell r="B10177"/>
          <cell r="C10177"/>
          <cell r="E10177"/>
          <cell r="F10177"/>
          <cell r="G10177"/>
          <cell r="H10177"/>
          <cell r="J10177"/>
          <cell r="L10177"/>
          <cell r="M10177"/>
        </row>
        <row r="10178">
          <cell r="B10178"/>
          <cell r="C10178"/>
          <cell r="E10178"/>
          <cell r="F10178"/>
          <cell r="G10178"/>
          <cell r="H10178"/>
          <cell r="J10178"/>
          <cell r="L10178"/>
          <cell r="M10178"/>
        </row>
        <row r="10179">
          <cell r="B10179"/>
          <cell r="C10179"/>
          <cell r="E10179"/>
          <cell r="F10179"/>
          <cell r="G10179"/>
          <cell r="H10179"/>
          <cell r="J10179"/>
          <cell r="L10179"/>
          <cell r="M10179"/>
        </row>
        <row r="10180">
          <cell r="B10180"/>
          <cell r="C10180"/>
          <cell r="E10180"/>
          <cell r="F10180"/>
          <cell r="G10180"/>
          <cell r="H10180"/>
          <cell r="J10180"/>
          <cell r="L10180"/>
          <cell r="M10180"/>
        </row>
        <row r="10181">
          <cell r="B10181"/>
          <cell r="C10181"/>
          <cell r="E10181"/>
          <cell r="F10181"/>
          <cell r="G10181"/>
          <cell r="H10181"/>
          <cell r="J10181"/>
          <cell r="L10181"/>
          <cell r="M10181"/>
        </row>
        <row r="10182">
          <cell r="B10182"/>
          <cell r="C10182"/>
          <cell r="E10182"/>
          <cell r="F10182"/>
          <cell r="G10182"/>
          <cell r="H10182"/>
          <cell r="J10182"/>
          <cell r="L10182"/>
          <cell r="M10182"/>
        </row>
        <row r="10183">
          <cell r="B10183"/>
          <cell r="C10183"/>
          <cell r="E10183"/>
          <cell r="F10183"/>
          <cell r="G10183"/>
          <cell r="H10183"/>
          <cell r="J10183"/>
          <cell r="L10183"/>
          <cell r="M10183"/>
        </row>
        <row r="10184">
          <cell r="B10184"/>
          <cell r="C10184"/>
          <cell r="E10184"/>
          <cell r="F10184"/>
          <cell r="G10184"/>
          <cell r="H10184"/>
          <cell r="J10184"/>
          <cell r="L10184"/>
          <cell r="M10184"/>
        </row>
        <row r="10185">
          <cell r="B10185"/>
          <cell r="C10185"/>
          <cell r="E10185"/>
          <cell r="F10185"/>
          <cell r="G10185"/>
          <cell r="H10185"/>
          <cell r="J10185"/>
          <cell r="L10185"/>
          <cell r="M10185"/>
        </row>
        <row r="10186">
          <cell r="B10186"/>
          <cell r="C10186"/>
          <cell r="E10186"/>
          <cell r="F10186"/>
          <cell r="G10186"/>
          <cell r="H10186"/>
          <cell r="J10186"/>
          <cell r="L10186"/>
          <cell r="M10186"/>
        </row>
        <row r="10187">
          <cell r="B10187"/>
          <cell r="C10187"/>
          <cell r="E10187"/>
          <cell r="F10187"/>
          <cell r="G10187"/>
          <cell r="H10187"/>
          <cell r="J10187"/>
          <cell r="L10187"/>
          <cell r="M10187"/>
        </row>
        <row r="10188">
          <cell r="B10188"/>
          <cell r="C10188"/>
          <cell r="E10188"/>
          <cell r="F10188"/>
          <cell r="G10188"/>
          <cell r="H10188"/>
          <cell r="J10188"/>
          <cell r="L10188"/>
          <cell r="M10188"/>
        </row>
        <row r="10189">
          <cell r="B10189"/>
          <cell r="C10189"/>
          <cell r="E10189"/>
          <cell r="F10189"/>
          <cell r="G10189"/>
          <cell r="H10189"/>
          <cell r="J10189"/>
          <cell r="L10189"/>
          <cell r="M10189"/>
        </row>
        <row r="10190">
          <cell r="B10190"/>
          <cell r="C10190"/>
          <cell r="E10190"/>
          <cell r="F10190"/>
          <cell r="G10190"/>
          <cell r="H10190"/>
          <cell r="J10190"/>
          <cell r="L10190"/>
          <cell r="M10190"/>
        </row>
        <row r="10191">
          <cell r="B10191"/>
          <cell r="C10191"/>
          <cell r="E10191"/>
          <cell r="F10191"/>
          <cell r="G10191"/>
          <cell r="H10191"/>
          <cell r="J10191"/>
          <cell r="L10191"/>
          <cell r="M10191"/>
        </row>
        <row r="10192">
          <cell r="B10192"/>
          <cell r="C10192"/>
          <cell r="E10192"/>
          <cell r="F10192"/>
          <cell r="G10192"/>
          <cell r="H10192"/>
          <cell r="J10192"/>
          <cell r="L10192"/>
          <cell r="M10192"/>
        </row>
        <row r="10193">
          <cell r="B10193"/>
          <cell r="C10193"/>
          <cell r="E10193"/>
          <cell r="F10193"/>
          <cell r="G10193"/>
          <cell r="H10193"/>
          <cell r="J10193"/>
          <cell r="L10193"/>
          <cell r="M10193"/>
        </row>
        <row r="10194">
          <cell r="B10194"/>
          <cell r="C10194"/>
          <cell r="E10194"/>
          <cell r="F10194"/>
          <cell r="G10194"/>
          <cell r="H10194"/>
          <cell r="J10194"/>
          <cell r="L10194"/>
          <cell r="M10194"/>
        </row>
        <row r="10195">
          <cell r="B10195"/>
          <cell r="C10195"/>
          <cell r="E10195"/>
          <cell r="F10195"/>
          <cell r="G10195"/>
          <cell r="H10195"/>
          <cell r="J10195"/>
          <cell r="L10195"/>
          <cell r="M10195"/>
        </row>
        <row r="10196">
          <cell r="B10196"/>
          <cell r="C10196"/>
          <cell r="E10196"/>
          <cell r="F10196"/>
          <cell r="G10196"/>
          <cell r="H10196"/>
          <cell r="J10196"/>
          <cell r="L10196"/>
          <cell r="M10196"/>
        </row>
        <row r="10197">
          <cell r="B10197"/>
          <cell r="C10197"/>
          <cell r="E10197"/>
          <cell r="F10197"/>
          <cell r="G10197"/>
          <cell r="H10197"/>
          <cell r="J10197"/>
          <cell r="L10197"/>
          <cell r="M10197"/>
        </row>
        <row r="10198">
          <cell r="B10198"/>
          <cell r="C10198"/>
          <cell r="E10198"/>
          <cell r="F10198"/>
          <cell r="G10198"/>
          <cell r="H10198"/>
          <cell r="J10198"/>
          <cell r="L10198"/>
          <cell r="M10198"/>
        </row>
        <row r="10199">
          <cell r="B10199"/>
          <cell r="C10199"/>
          <cell r="E10199"/>
          <cell r="F10199"/>
          <cell r="G10199"/>
          <cell r="H10199"/>
          <cell r="J10199"/>
          <cell r="L10199"/>
          <cell r="M10199"/>
        </row>
        <row r="10200">
          <cell r="B10200"/>
          <cell r="C10200"/>
          <cell r="E10200"/>
          <cell r="F10200"/>
          <cell r="G10200"/>
          <cell r="H10200"/>
          <cell r="J10200"/>
          <cell r="L10200"/>
          <cell r="M10200"/>
        </row>
        <row r="10201">
          <cell r="B10201"/>
          <cell r="C10201"/>
          <cell r="E10201"/>
          <cell r="F10201"/>
          <cell r="G10201"/>
          <cell r="H10201"/>
          <cell r="J10201"/>
          <cell r="L10201"/>
          <cell r="M10201"/>
        </row>
        <row r="10202">
          <cell r="B10202"/>
          <cell r="C10202"/>
          <cell r="E10202"/>
          <cell r="F10202"/>
          <cell r="G10202"/>
          <cell r="H10202"/>
          <cell r="J10202"/>
          <cell r="L10202"/>
          <cell r="M10202"/>
        </row>
        <row r="10203">
          <cell r="B10203"/>
          <cell r="C10203"/>
          <cell r="E10203"/>
          <cell r="F10203"/>
          <cell r="G10203"/>
          <cell r="H10203"/>
          <cell r="J10203"/>
          <cell r="L10203"/>
          <cell r="M10203"/>
        </row>
        <row r="10204">
          <cell r="B10204"/>
          <cell r="C10204"/>
          <cell r="E10204"/>
          <cell r="F10204"/>
          <cell r="G10204"/>
          <cell r="H10204"/>
          <cell r="J10204"/>
          <cell r="L10204"/>
          <cell r="M10204"/>
        </row>
        <row r="10205">
          <cell r="B10205"/>
          <cell r="C10205"/>
          <cell r="E10205"/>
          <cell r="F10205"/>
          <cell r="G10205"/>
          <cell r="H10205"/>
          <cell r="J10205"/>
          <cell r="L10205"/>
          <cell r="M10205"/>
        </row>
        <row r="10206">
          <cell r="B10206"/>
          <cell r="C10206"/>
          <cell r="E10206"/>
          <cell r="F10206"/>
          <cell r="G10206"/>
          <cell r="H10206"/>
          <cell r="J10206"/>
          <cell r="L10206"/>
          <cell r="M10206"/>
        </row>
        <row r="10207">
          <cell r="B10207"/>
          <cell r="C10207"/>
          <cell r="E10207"/>
          <cell r="F10207"/>
          <cell r="G10207"/>
          <cell r="H10207"/>
          <cell r="J10207"/>
          <cell r="L10207"/>
          <cell r="M10207"/>
        </row>
        <row r="10208">
          <cell r="B10208"/>
          <cell r="C10208"/>
          <cell r="E10208"/>
          <cell r="F10208"/>
          <cell r="G10208"/>
          <cell r="H10208"/>
          <cell r="J10208"/>
          <cell r="L10208"/>
          <cell r="M10208"/>
        </row>
        <row r="10209">
          <cell r="B10209"/>
          <cell r="C10209"/>
          <cell r="E10209"/>
          <cell r="F10209"/>
          <cell r="G10209"/>
          <cell r="H10209"/>
          <cell r="J10209"/>
          <cell r="L10209"/>
          <cell r="M10209"/>
        </row>
        <row r="10210">
          <cell r="B10210"/>
          <cell r="C10210"/>
          <cell r="E10210"/>
          <cell r="F10210"/>
          <cell r="G10210"/>
          <cell r="H10210"/>
          <cell r="J10210"/>
          <cell r="L10210"/>
          <cell r="M10210"/>
        </row>
        <row r="10211">
          <cell r="B10211"/>
          <cell r="C10211"/>
          <cell r="E10211"/>
          <cell r="F10211"/>
          <cell r="G10211"/>
          <cell r="H10211"/>
          <cell r="J10211"/>
          <cell r="L10211"/>
          <cell r="M10211"/>
        </row>
        <row r="10212">
          <cell r="B10212"/>
          <cell r="C10212"/>
          <cell r="E10212"/>
          <cell r="F10212"/>
          <cell r="G10212"/>
          <cell r="H10212"/>
          <cell r="J10212"/>
          <cell r="L10212"/>
          <cell r="M10212"/>
        </row>
        <row r="10213">
          <cell r="B10213"/>
          <cell r="C10213"/>
          <cell r="E10213"/>
          <cell r="F10213"/>
          <cell r="G10213"/>
          <cell r="H10213"/>
          <cell r="J10213"/>
          <cell r="L10213"/>
          <cell r="M10213"/>
        </row>
        <row r="10214">
          <cell r="B10214"/>
          <cell r="C10214"/>
          <cell r="E10214"/>
          <cell r="F10214"/>
          <cell r="G10214"/>
          <cell r="H10214"/>
          <cell r="J10214"/>
          <cell r="L10214"/>
          <cell r="M10214"/>
        </row>
        <row r="10215">
          <cell r="B10215"/>
          <cell r="C10215"/>
          <cell r="E10215"/>
          <cell r="F10215"/>
          <cell r="G10215"/>
          <cell r="H10215"/>
          <cell r="J10215"/>
          <cell r="L10215"/>
          <cell r="M10215"/>
        </row>
        <row r="10216">
          <cell r="B10216"/>
          <cell r="C10216"/>
          <cell r="E10216"/>
          <cell r="F10216"/>
          <cell r="G10216"/>
          <cell r="H10216"/>
          <cell r="J10216"/>
          <cell r="L10216"/>
          <cell r="M10216"/>
        </row>
        <row r="10217">
          <cell r="B10217"/>
          <cell r="C10217"/>
          <cell r="E10217"/>
          <cell r="F10217"/>
          <cell r="G10217"/>
          <cell r="H10217"/>
          <cell r="J10217"/>
          <cell r="L10217"/>
          <cell r="M10217"/>
        </row>
        <row r="10218">
          <cell r="B10218"/>
          <cell r="C10218"/>
          <cell r="E10218"/>
          <cell r="F10218"/>
          <cell r="G10218"/>
          <cell r="H10218"/>
          <cell r="J10218"/>
          <cell r="L10218"/>
          <cell r="M10218"/>
        </row>
        <row r="10219">
          <cell r="B10219"/>
          <cell r="C10219"/>
          <cell r="E10219"/>
          <cell r="F10219"/>
          <cell r="G10219"/>
          <cell r="H10219"/>
          <cell r="J10219"/>
          <cell r="L10219"/>
          <cell r="M10219"/>
        </row>
        <row r="10220">
          <cell r="B10220"/>
          <cell r="C10220"/>
          <cell r="E10220"/>
          <cell r="F10220"/>
          <cell r="G10220"/>
          <cell r="H10220"/>
          <cell r="J10220"/>
          <cell r="L10220"/>
          <cell r="M10220"/>
        </row>
        <row r="10221">
          <cell r="B10221"/>
          <cell r="C10221"/>
          <cell r="E10221"/>
          <cell r="F10221"/>
          <cell r="G10221"/>
          <cell r="H10221"/>
          <cell r="J10221"/>
          <cell r="L10221"/>
          <cell r="M10221"/>
        </row>
        <row r="10222">
          <cell r="B10222"/>
          <cell r="C10222"/>
          <cell r="E10222"/>
          <cell r="F10222"/>
          <cell r="G10222"/>
          <cell r="H10222"/>
          <cell r="J10222"/>
          <cell r="L10222"/>
          <cell r="M10222"/>
        </row>
        <row r="10223">
          <cell r="B10223"/>
          <cell r="C10223"/>
          <cell r="E10223"/>
          <cell r="F10223"/>
          <cell r="G10223"/>
          <cell r="H10223"/>
          <cell r="J10223"/>
          <cell r="L10223"/>
          <cell r="M10223"/>
        </row>
        <row r="10224">
          <cell r="B10224"/>
          <cell r="C10224"/>
          <cell r="E10224"/>
          <cell r="F10224"/>
          <cell r="G10224"/>
          <cell r="H10224"/>
          <cell r="J10224"/>
          <cell r="L10224"/>
          <cell r="M10224"/>
        </row>
        <row r="10225">
          <cell r="B10225"/>
          <cell r="C10225"/>
          <cell r="E10225"/>
          <cell r="F10225"/>
          <cell r="G10225"/>
          <cell r="H10225"/>
          <cell r="J10225"/>
          <cell r="L10225"/>
          <cell r="M10225"/>
        </row>
        <row r="10226">
          <cell r="B10226"/>
          <cell r="C10226"/>
          <cell r="E10226"/>
          <cell r="F10226"/>
          <cell r="G10226"/>
          <cell r="H10226"/>
          <cell r="J10226"/>
          <cell r="L10226"/>
          <cell r="M10226"/>
        </row>
        <row r="10227">
          <cell r="B10227"/>
          <cell r="C10227"/>
          <cell r="E10227"/>
          <cell r="F10227"/>
          <cell r="G10227"/>
          <cell r="H10227"/>
          <cell r="J10227"/>
          <cell r="L10227"/>
          <cell r="M10227"/>
        </row>
        <row r="10228">
          <cell r="B10228"/>
          <cell r="C10228"/>
          <cell r="E10228"/>
          <cell r="F10228"/>
          <cell r="G10228"/>
          <cell r="H10228"/>
          <cell r="J10228"/>
          <cell r="L10228"/>
          <cell r="M10228"/>
        </row>
        <row r="10229">
          <cell r="B10229"/>
          <cell r="C10229"/>
          <cell r="E10229"/>
          <cell r="F10229"/>
          <cell r="G10229"/>
          <cell r="H10229"/>
          <cell r="J10229"/>
          <cell r="L10229"/>
          <cell r="M10229"/>
        </row>
        <row r="10230">
          <cell r="B10230"/>
          <cell r="C10230"/>
          <cell r="E10230"/>
          <cell r="F10230"/>
          <cell r="G10230"/>
          <cell r="H10230"/>
          <cell r="J10230"/>
          <cell r="L10230"/>
          <cell r="M10230"/>
        </row>
        <row r="10231">
          <cell r="B10231"/>
          <cell r="C10231"/>
          <cell r="E10231"/>
          <cell r="F10231"/>
          <cell r="G10231"/>
          <cell r="H10231"/>
          <cell r="J10231"/>
          <cell r="L10231"/>
          <cell r="M10231"/>
        </row>
        <row r="10232">
          <cell r="B10232"/>
          <cell r="C10232"/>
          <cell r="E10232"/>
          <cell r="F10232"/>
          <cell r="G10232"/>
          <cell r="H10232"/>
          <cell r="J10232"/>
          <cell r="L10232"/>
          <cell r="M10232"/>
        </row>
        <row r="10233">
          <cell r="B10233"/>
          <cell r="C10233"/>
          <cell r="E10233"/>
          <cell r="F10233"/>
          <cell r="G10233"/>
          <cell r="H10233"/>
          <cell r="J10233"/>
          <cell r="L10233"/>
          <cell r="M10233"/>
        </row>
        <row r="10234">
          <cell r="B10234"/>
          <cell r="C10234"/>
          <cell r="E10234"/>
          <cell r="F10234"/>
          <cell r="G10234"/>
          <cell r="H10234"/>
          <cell r="J10234"/>
          <cell r="L10234"/>
          <cell r="M10234"/>
        </row>
        <row r="10235">
          <cell r="B10235"/>
          <cell r="C10235"/>
          <cell r="E10235"/>
          <cell r="F10235"/>
          <cell r="G10235"/>
          <cell r="H10235"/>
          <cell r="J10235"/>
          <cell r="L10235"/>
          <cell r="M10235"/>
        </row>
        <row r="10236">
          <cell r="B10236"/>
          <cell r="C10236"/>
          <cell r="E10236"/>
          <cell r="F10236"/>
          <cell r="G10236"/>
          <cell r="H10236"/>
          <cell r="J10236"/>
          <cell r="L10236"/>
          <cell r="M10236"/>
        </row>
        <row r="10237">
          <cell r="B10237"/>
          <cell r="C10237"/>
          <cell r="E10237"/>
          <cell r="F10237"/>
          <cell r="G10237"/>
          <cell r="H10237"/>
          <cell r="J10237"/>
          <cell r="L10237"/>
          <cell r="M10237"/>
        </row>
        <row r="10238">
          <cell r="B10238"/>
          <cell r="C10238"/>
          <cell r="E10238"/>
          <cell r="F10238"/>
          <cell r="G10238"/>
          <cell r="H10238"/>
          <cell r="J10238"/>
          <cell r="L10238"/>
          <cell r="M10238"/>
        </row>
        <row r="10239">
          <cell r="B10239"/>
          <cell r="C10239"/>
          <cell r="E10239"/>
          <cell r="F10239"/>
          <cell r="G10239"/>
          <cell r="H10239"/>
          <cell r="J10239"/>
          <cell r="L10239"/>
          <cell r="M10239"/>
        </row>
        <row r="10240">
          <cell r="B10240"/>
          <cell r="C10240"/>
          <cell r="E10240"/>
          <cell r="F10240"/>
          <cell r="G10240"/>
          <cell r="H10240"/>
          <cell r="J10240"/>
          <cell r="L10240"/>
          <cell r="M10240"/>
        </row>
        <row r="10241">
          <cell r="B10241"/>
          <cell r="C10241"/>
          <cell r="E10241"/>
          <cell r="F10241"/>
          <cell r="G10241"/>
          <cell r="H10241"/>
          <cell r="J10241"/>
          <cell r="L10241"/>
          <cell r="M10241"/>
        </row>
        <row r="10242">
          <cell r="B10242"/>
          <cell r="C10242"/>
          <cell r="E10242"/>
          <cell r="F10242"/>
          <cell r="G10242"/>
          <cell r="H10242"/>
          <cell r="J10242"/>
          <cell r="L10242"/>
          <cell r="M10242"/>
        </row>
        <row r="10243">
          <cell r="B10243"/>
          <cell r="C10243"/>
          <cell r="E10243"/>
          <cell r="F10243"/>
          <cell r="G10243"/>
          <cell r="H10243"/>
          <cell r="J10243"/>
          <cell r="L10243"/>
          <cell r="M10243"/>
        </row>
        <row r="10244">
          <cell r="B10244"/>
          <cell r="C10244"/>
          <cell r="E10244"/>
          <cell r="F10244"/>
          <cell r="G10244"/>
          <cell r="H10244"/>
          <cell r="J10244"/>
          <cell r="L10244"/>
          <cell r="M10244"/>
        </row>
        <row r="10245">
          <cell r="B10245"/>
          <cell r="C10245"/>
          <cell r="E10245"/>
          <cell r="F10245"/>
          <cell r="G10245"/>
          <cell r="H10245"/>
          <cell r="J10245"/>
          <cell r="L10245"/>
          <cell r="M10245"/>
        </row>
        <row r="10246">
          <cell r="B10246"/>
          <cell r="C10246"/>
          <cell r="E10246"/>
          <cell r="F10246"/>
          <cell r="G10246"/>
          <cell r="H10246"/>
          <cell r="J10246"/>
          <cell r="L10246"/>
          <cell r="M10246"/>
        </row>
        <row r="10247">
          <cell r="B10247"/>
          <cell r="C10247"/>
          <cell r="E10247"/>
          <cell r="F10247"/>
          <cell r="G10247"/>
          <cell r="H10247"/>
          <cell r="J10247"/>
          <cell r="L10247"/>
          <cell r="M10247"/>
        </row>
        <row r="10248">
          <cell r="B10248"/>
          <cell r="C10248"/>
          <cell r="E10248"/>
          <cell r="F10248"/>
          <cell r="G10248"/>
          <cell r="H10248"/>
          <cell r="J10248"/>
          <cell r="L10248"/>
          <cell r="M10248"/>
        </row>
        <row r="10249">
          <cell r="B10249"/>
          <cell r="C10249"/>
          <cell r="E10249"/>
          <cell r="F10249"/>
          <cell r="G10249"/>
          <cell r="H10249"/>
          <cell r="J10249"/>
          <cell r="L10249"/>
          <cell r="M10249"/>
        </row>
        <row r="10250">
          <cell r="B10250"/>
          <cell r="C10250"/>
          <cell r="E10250"/>
          <cell r="F10250"/>
          <cell r="G10250"/>
          <cell r="H10250"/>
          <cell r="J10250"/>
          <cell r="L10250"/>
          <cell r="M10250"/>
        </row>
        <row r="10251">
          <cell r="B10251"/>
          <cell r="C10251"/>
          <cell r="E10251"/>
          <cell r="F10251"/>
          <cell r="G10251"/>
          <cell r="H10251"/>
          <cell r="J10251"/>
          <cell r="L10251"/>
          <cell r="M10251"/>
        </row>
        <row r="10252">
          <cell r="B10252"/>
          <cell r="C10252"/>
          <cell r="E10252"/>
          <cell r="F10252"/>
          <cell r="G10252"/>
          <cell r="H10252"/>
          <cell r="J10252"/>
          <cell r="L10252"/>
          <cell r="M10252"/>
        </row>
        <row r="10253">
          <cell r="B10253"/>
          <cell r="C10253"/>
          <cell r="E10253"/>
          <cell r="F10253"/>
          <cell r="G10253"/>
          <cell r="H10253"/>
          <cell r="J10253"/>
          <cell r="L10253"/>
          <cell r="M10253"/>
        </row>
        <row r="10254">
          <cell r="B10254"/>
          <cell r="C10254"/>
          <cell r="E10254"/>
          <cell r="F10254"/>
          <cell r="G10254"/>
          <cell r="H10254"/>
          <cell r="J10254"/>
          <cell r="L10254"/>
          <cell r="M10254"/>
        </row>
        <row r="10255">
          <cell r="B10255"/>
          <cell r="C10255"/>
          <cell r="E10255"/>
          <cell r="F10255"/>
          <cell r="G10255"/>
          <cell r="H10255"/>
          <cell r="J10255"/>
          <cell r="L10255"/>
          <cell r="M10255"/>
        </row>
        <row r="10256">
          <cell r="B10256"/>
          <cell r="C10256"/>
          <cell r="E10256"/>
          <cell r="F10256"/>
          <cell r="G10256"/>
          <cell r="H10256"/>
          <cell r="J10256"/>
          <cell r="L10256"/>
          <cell r="M10256"/>
        </row>
        <row r="10257">
          <cell r="B10257"/>
          <cell r="C10257"/>
          <cell r="E10257"/>
          <cell r="F10257"/>
          <cell r="G10257"/>
          <cell r="H10257"/>
          <cell r="J10257"/>
          <cell r="L10257"/>
          <cell r="M10257"/>
        </row>
        <row r="10258">
          <cell r="B10258"/>
          <cell r="C10258"/>
          <cell r="E10258"/>
          <cell r="F10258"/>
          <cell r="G10258"/>
          <cell r="H10258"/>
          <cell r="J10258"/>
          <cell r="L10258"/>
          <cell r="M10258"/>
        </row>
        <row r="10259">
          <cell r="B10259"/>
          <cell r="C10259"/>
          <cell r="E10259"/>
          <cell r="F10259"/>
          <cell r="G10259"/>
          <cell r="H10259"/>
          <cell r="J10259"/>
          <cell r="L10259"/>
          <cell r="M10259"/>
        </row>
        <row r="10260">
          <cell r="B10260"/>
          <cell r="C10260"/>
          <cell r="E10260"/>
          <cell r="F10260"/>
          <cell r="G10260"/>
          <cell r="H10260"/>
          <cell r="J10260"/>
          <cell r="L10260"/>
          <cell r="M10260"/>
        </row>
        <row r="10261">
          <cell r="B10261"/>
          <cell r="C10261"/>
          <cell r="E10261"/>
          <cell r="F10261"/>
          <cell r="G10261"/>
          <cell r="H10261"/>
          <cell r="J10261"/>
          <cell r="L10261"/>
          <cell r="M10261"/>
        </row>
        <row r="10262">
          <cell r="B10262"/>
          <cell r="C10262"/>
          <cell r="E10262"/>
          <cell r="F10262"/>
          <cell r="G10262"/>
          <cell r="H10262"/>
          <cell r="J10262"/>
          <cell r="L10262"/>
          <cell r="M10262"/>
        </row>
        <row r="10263">
          <cell r="B10263"/>
          <cell r="C10263"/>
          <cell r="E10263"/>
          <cell r="F10263"/>
          <cell r="G10263"/>
          <cell r="H10263"/>
          <cell r="J10263"/>
          <cell r="L10263"/>
          <cell r="M10263"/>
        </row>
        <row r="10264">
          <cell r="B10264"/>
          <cell r="C10264"/>
          <cell r="E10264"/>
          <cell r="F10264"/>
          <cell r="G10264"/>
          <cell r="H10264"/>
          <cell r="J10264"/>
          <cell r="L10264"/>
          <cell r="M10264"/>
        </row>
        <row r="10265">
          <cell r="B10265"/>
          <cell r="C10265"/>
          <cell r="E10265"/>
          <cell r="F10265"/>
          <cell r="G10265"/>
          <cell r="H10265"/>
          <cell r="J10265"/>
          <cell r="L10265"/>
          <cell r="M10265"/>
        </row>
        <row r="10266">
          <cell r="B10266"/>
          <cell r="C10266"/>
          <cell r="E10266"/>
          <cell r="F10266"/>
          <cell r="G10266"/>
          <cell r="H10266"/>
          <cell r="J10266"/>
          <cell r="L10266"/>
          <cell r="M10266"/>
        </row>
        <row r="10267">
          <cell r="B10267"/>
          <cell r="C10267"/>
          <cell r="E10267"/>
          <cell r="F10267"/>
          <cell r="G10267"/>
          <cell r="H10267"/>
          <cell r="J10267"/>
          <cell r="L10267"/>
          <cell r="M10267"/>
        </row>
        <row r="10268">
          <cell r="B10268"/>
          <cell r="C10268"/>
          <cell r="E10268"/>
          <cell r="F10268"/>
          <cell r="G10268"/>
          <cell r="H10268"/>
          <cell r="J10268"/>
          <cell r="L10268"/>
          <cell r="M10268"/>
        </row>
        <row r="10269">
          <cell r="B10269"/>
          <cell r="C10269"/>
          <cell r="E10269"/>
          <cell r="F10269"/>
          <cell r="G10269"/>
          <cell r="H10269"/>
          <cell r="J10269"/>
          <cell r="L10269"/>
          <cell r="M10269"/>
        </row>
        <row r="10270">
          <cell r="B10270"/>
          <cell r="C10270"/>
          <cell r="E10270"/>
          <cell r="F10270"/>
          <cell r="G10270"/>
          <cell r="H10270"/>
          <cell r="J10270"/>
          <cell r="L10270"/>
          <cell r="M10270"/>
        </row>
        <row r="10271">
          <cell r="B10271"/>
          <cell r="C10271"/>
          <cell r="E10271"/>
          <cell r="F10271"/>
          <cell r="G10271"/>
          <cell r="H10271"/>
          <cell r="J10271"/>
          <cell r="L10271"/>
          <cell r="M10271"/>
        </row>
        <row r="10272">
          <cell r="B10272"/>
          <cell r="C10272"/>
          <cell r="E10272"/>
          <cell r="F10272"/>
          <cell r="G10272"/>
          <cell r="H10272"/>
          <cell r="J10272"/>
          <cell r="L10272"/>
          <cell r="M10272"/>
        </row>
        <row r="10273">
          <cell r="B10273"/>
          <cell r="C10273"/>
          <cell r="E10273"/>
          <cell r="F10273"/>
          <cell r="G10273"/>
          <cell r="H10273"/>
          <cell r="J10273"/>
          <cell r="L10273"/>
          <cell r="M10273"/>
        </row>
        <row r="10274">
          <cell r="B10274"/>
          <cell r="C10274"/>
          <cell r="E10274"/>
          <cell r="F10274"/>
          <cell r="G10274"/>
          <cell r="H10274"/>
          <cell r="J10274"/>
          <cell r="L10274"/>
          <cell r="M10274"/>
        </row>
        <row r="10275">
          <cell r="B10275"/>
          <cell r="C10275"/>
          <cell r="E10275"/>
          <cell r="F10275"/>
          <cell r="G10275"/>
          <cell r="H10275"/>
          <cell r="J10275"/>
          <cell r="L10275"/>
          <cell r="M10275"/>
        </row>
        <row r="10276">
          <cell r="B10276"/>
          <cell r="C10276"/>
          <cell r="E10276"/>
          <cell r="F10276"/>
          <cell r="G10276"/>
          <cell r="H10276"/>
          <cell r="J10276"/>
          <cell r="L10276"/>
          <cell r="M10276"/>
        </row>
        <row r="10277">
          <cell r="B10277"/>
          <cell r="C10277"/>
          <cell r="E10277"/>
          <cell r="F10277"/>
          <cell r="G10277"/>
          <cell r="H10277"/>
          <cell r="J10277"/>
          <cell r="L10277"/>
          <cell r="M10277"/>
        </row>
        <row r="10278">
          <cell r="B10278"/>
          <cell r="C10278"/>
          <cell r="E10278"/>
          <cell r="F10278"/>
          <cell r="G10278"/>
          <cell r="H10278"/>
          <cell r="J10278"/>
          <cell r="L10278"/>
          <cell r="M10278"/>
        </row>
        <row r="10279">
          <cell r="B10279"/>
          <cell r="C10279"/>
          <cell r="E10279"/>
          <cell r="F10279"/>
          <cell r="G10279"/>
          <cell r="H10279"/>
          <cell r="J10279"/>
          <cell r="L10279"/>
          <cell r="M10279"/>
        </row>
        <row r="10280">
          <cell r="B10280"/>
          <cell r="C10280"/>
          <cell r="E10280"/>
          <cell r="F10280"/>
          <cell r="G10280"/>
          <cell r="H10280"/>
          <cell r="J10280"/>
          <cell r="L10280"/>
          <cell r="M10280"/>
        </row>
        <row r="10281">
          <cell r="B10281"/>
          <cell r="C10281"/>
          <cell r="E10281"/>
          <cell r="F10281"/>
          <cell r="G10281"/>
          <cell r="H10281"/>
          <cell r="J10281"/>
          <cell r="L10281"/>
          <cell r="M10281"/>
        </row>
        <row r="10282">
          <cell r="B10282"/>
          <cell r="C10282"/>
          <cell r="E10282"/>
          <cell r="F10282"/>
          <cell r="G10282"/>
          <cell r="H10282"/>
          <cell r="J10282"/>
          <cell r="L10282"/>
          <cell r="M10282"/>
        </row>
        <row r="10283">
          <cell r="B10283"/>
          <cell r="C10283"/>
          <cell r="E10283"/>
          <cell r="F10283"/>
          <cell r="G10283"/>
          <cell r="H10283"/>
          <cell r="J10283"/>
          <cell r="L10283"/>
          <cell r="M10283"/>
        </row>
        <row r="10284">
          <cell r="B10284"/>
          <cell r="C10284"/>
          <cell r="E10284"/>
          <cell r="F10284"/>
          <cell r="G10284"/>
          <cell r="H10284"/>
          <cell r="J10284"/>
          <cell r="L10284"/>
          <cell r="M10284"/>
        </row>
        <row r="10285">
          <cell r="B10285"/>
          <cell r="C10285"/>
          <cell r="E10285"/>
          <cell r="F10285"/>
          <cell r="G10285"/>
          <cell r="H10285"/>
          <cell r="J10285"/>
          <cell r="L10285"/>
          <cell r="M10285"/>
        </row>
        <row r="10286">
          <cell r="B10286"/>
          <cell r="C10286"/>
          <cell r="E10286"/>
          <cell r="F10286"/>
          <cell r="G10286"/>
          <cell r="H10286"/>
          <cell r="J10286"/>
          <cell r="L10286"/>
          <cell r="M10286"/>
        </row>
        <row r="10287">
          <cell r="B10287"/>
          <cell r="C10287"/>
          <cell r="E10287"/>
          <cell r="F10287"/>
          <cell r="G10287"/>
          <cell r="H10287"/>
          <cell r="J10287"/>
          <cell r="L10287"/>
          <cell r="M10287"/>
        </row>
        <row r="10288">
          <cell r="B10288"/>
          <cell r="C10288"/>
          <cell r="E10288"/>
          <cell r="F10288"/>
          <cell r="G10288"/>
          <cell r="H10288"/>
          <cell r="J10288"/>
          <cell r="L10288"/>
          <cell r="M10288"/>
        </row>
        <row r="10289">
          <cell r="B10289"/>
          <cell r="C10289"/>
          <cell r="E10289"/>
          <cell r="F10289"/>
          <cell r="G10289"/>
          <cell r="H10289"/>
          <cell r="J10289"/>
          <cell r="L10289"/>
          <cell r="M10289"/>
        </row>
        <row r="10290">
          <cell r="B10290"/>
          <cell r="C10290"/>
          <cell r="E10290"/>
          <cell r="F10290"/>
          <cell r="G10290"/>
          <cell r="H10290"/>
          <cell r="J10290"/>
          <cell r="L10290"/>
          <cell r="M10290"/>
        </row>
        <row r="10291">
          <cell r="B10291"/>
          <cell r="C10291"/>
          <cell r="E10291"/>
          <cell r="F10291"/>
          <cell r="G10291"/>
          <cell r="H10291"/>
          <cell r="J10291"/>
          <cell r="L10291"/>
          <cell r="M10291"/>
        </row>
        <row r="10292">
          <cell r="B10292"/>
          <cell r="C10292"/>
          <cell r="E10292"/>
          <cell r="F10292"/>
          <cell r="G10292"/>
          <cell r="H10292"/>
          <cell r="J10292"/>
          <cell r="L10292"/>
          <cell r="M10292"/>
        </row>
        <row r="10293">
          <cell r="B10293"/>
          <cell r="C10293"/>
          <cell r="E10293"/>
          <cell r="F10293"/>
          <cell r="G10293"/>
          <cell r="H10293"/>
          <cell r="J10293"/>
          <cell r="L10293"/>
          <cell r="M10293"/>
        </row>
        <row r="10294">
          <cell r="B10294"/>
          <cell r="C10294"/>
          <cell r="E10294"/>
          <cell r="F10294"/>
          <cell r="G10294"/>
          <cell r="H10294"/>
          <cell r="J10294"/>
          <cell r="L10294"/>
          <cell r="M10294"/>
        </row>
        <row r="10295">
          <cell r="B10295"/>
          <cell r="C10295"/>
          <cell r="E10295"/>
          <cell r="F10295"/>
          <cell r="G10295"/>
          <cell r="H10295"/>
          <cell r="J10295"/>
          <cell r="L10295"/>
          <cell r="M10295"/>
        </row>
        <row r="10296">
          <cell r="B10296"/>
          <cell r="C10296"/>
          <cell r="E10296"/>
          <cell r="F10296"/>
          <cell r="G10296"/>
          <cell r="H10296"/>
          <cell r="J10296"/>
          <cell r="L10296"/>
          <cell r="M10296"/>
        </row>
        <row r="10297">
          <cell r="B10297"/>
          <cell r="C10297"/>
          <cell r="E10297"/>
          <cell r="F10297"/>
          <cell r="G10297"/>
          <cell r="H10297"/>
          <cell r="J10297"/>
          <cell r="L10297"/>
          <cell r="M10297"/>
        </row>
        <row r="10298">
          <cell r="B10298"/>
          <cell r="C10298"/>
          <cell r="E10298"/>
          <cell r="F10298"/>
          <cell r="G10298"/>
          <cell r="H10298"/>
          <cell r="J10298"/>
          <cell r="L10298"/>
          <cell r="M10298"/>
        </row>
        <row r="10299">
          <cell r="B10299"/>
          <cell r="C10299"/>
          <cell r="E10299"/>
          <cell r="F10299"/>
          <cell r="G10299"/>
          <cell r="H10299"/>
          <cell r="J10299"/>
          <cell r="L10299"/>
          <cell r="M10299"/>
        </row>
        <row r="10300">
          <cell r="B10300"/>
          <cell r="C10300"/>
          <cell r="E10300"/>
          <cell r="F10300"/>
          <cell r="G10300"/>
          <cell r="H10300"/>
          <cell r="J10300"/>
          <cell r="L10300"/>
          <cell r="M10300"/>
        </row>
        <row r="10301">
          <cell r="B10301"/>
          <cell r="C10301"/>
          <cell r="E10301"/>
          <cell r="F10301"/>
          <cell r="G10301"/>
          <cell r="H10301"/>
          <cell r="J10301"/>
          <cell r="L10301"/>
          <cell r="M10301"/>
        </row>
        <row r="10302">
          <cell r="B10302"/>
          <cell r="C10302"/>
          <cell r="E10302"/>
          <cell r="F10302"/>
          <cell r="G10302"/>
          <cell r="H10302"/>
          <cell r="J10302"/>
          <cell r="L10302"/>
          <cell r="M10302"/>
        </row>
        <row r="10303">
          <cell r="B10303"/>
          <cell r="C10303"/>
          <cell r="E10303"/>
          <cell r="F10303"/>
          <cell r="G10303"/>
          <cell r="H10303"/>
          <cell r="J10303"/>
          <cell r="L10303"/>
          <cell r="M10303"/>
        </row>
        <row r="10304">
          <cell r="B10304"/>
          <cell r="C10304"/>
          <cell r="E10304"/>
          <cell r="F10304"/>
          <cell r="G10304"/>
          <cell r="H10304"/>
          <cell r="J10304"/>
          <cell r="L10304"/>
          <cell r="M10304"/>
        </row>
        <row r="10305">
          <cell r="B10305"/>
          <cell r="C10305"/>
          <cell r="E10305"/>
          <cell r="F10305"/>
          <cell r="G10305"/>
          <cell r="H10305"/>
          <cell r="J10305"/>
          <cell r="L10305"/>
          <cell r="M10305"/>
        </row>
        <row r="10306">
          <cell r="B10306"/>
          <cell r="C10306"/>
          <cell r="E10306"/>
          <cell r="F10306"/>
          <cell r="G10306"/>
          <cell r="H10306"/>
          <cell r="J10306"/>
          <cell r="L10306"/>
          <cell r="M10306"/>
        </row>
        <row r="10307">
          <cell r="B10307"/>
          <cell r="C10307"/>
          <cell r="E10307"/>
          <cell r="F10307"/>
          <cell r="G10307"/>
          <cell r="H10307"/>
          <cell r="J10307"/>
          <cell r="L10307"/>
          <cell r="M10307"/>
        </row>
        <row r="10308">
          <cell r="B10308"/>
          <cell r="C10308"/>
          <cell r="E10308"/>
          <cell r="F10308"/>
          <cell r="G10308"/>
          <cell r="H10308"/>
          <cell r="J10308"/>
          <cell r="L10308"/>
          <cell r="M10308"/>
        </row>
        <row r="10309">
          <cell r="B10309"/>
          <cell r="C10309"/>
          <cell r="E10309"/>
          <cell r="F10309"/>
          <cell r="G10309"/>
          <cell r="H10309"/>
          <cell r="J10309"/>
          <cell r="L10309"/>
          <cell r="M10309"/>
        </row>
        <row r="10310">
          <cell r="B10310"/>
          <cell r="C10310"/>
          <cell r="E10310"/>
          <cell r="F10310"/>
          <cell r="G10310"/>
          <cell r="H10310"/>
          <cell r="J10310"/>
          <cell r="L10310"/>
          <cell r="M10310"/>
        </row>
        <row r="10311">
          <cell r="B10311"/>
          <cell r="C10311"/>
          <cell r="E10311"/>
          <cell r="F10311"/>
          <cell r="G10311"/>
          <cell r="H10311"/>
          <cell r="J10311"/>
          <cell r="L10311"/>
          <cell r="M10311"/>
        </row>
        <row r="10312">
          <cell r="B10312"/>
          <cell r="C10312"/>
          <cell r="E10312"/>
          <cell r="F10312"/>
          <cell r="G10312"/>
          <cell r="H10312"/>
          <cell r="J10312"/>
          <cell r="L10312"/>
          <cell r="M10312"/>
        </row>
        <row r="10313">
          <cell r="B10313"/>
          <cell r="C10313"/>
          <cell r="E10313"/>
          <cell r="F10313"/>
          <cell r="G10313"/>
          <cell r="H10313"/>
          <cell r="J10313"/>
          <cell r="L10313"/>
          <cell r="M10313"/>
        </row>
        <row r="10314">
          <cell r="B10314"/>
          <cell r="C10314"/>
          <cell r="E10314"/>
          <cell r="F10314"/>
          <cell r="G10314"/>
          <cell r="H10314"/>
          <cell r="J10314"/>
          <cell r="L10314"/>
          <cell r="M10314"/>
        </row>
        <row r="10315">
          <cell r="B10315"/>
          <cell r="C10315"/>
          <cell r="E10315"/>
          <cell r="F10315"/>
          <cell r="G10315"/>
          <cell r="H10315"/>
          <cell r="J10315"/>
          <cell r="L10315"/>
          <cell r="M10315"/>
        </row>
        <row r="10316">
          <cell r="B10316"/>
          <cell r="C10316"/>
          <cell r="E10316"/>
          <cell r="F10316"/>
          <cell r="G10316"/>
          <cell r="H10316"/>
          <cell r="J10316"/>
          <cell r="L10316"/>
          <cell r="M10316"/>
        </row>
        <row r="10317">
          <cell r="B10317"/>
          <cell r="C10317"/>
          <cell r="E10317"/>
          <cell r="F10317"/>
          <cell r="G10317"/>
          <cell r="H10317"/>
          <cell r="J10317"/>
          <cell r="L10317"/>
          <cell r="M10317"/>
        </row>
        <row r="10318">
          <cell r="B10318"/>
          <cell r="C10318"/>
          <cell r="E10318"/>
          <cell r="F10318"/>
          <cell r="G10318"/>
          <cell r="H10318"/>
          <cell r="J10318"/>
          <cell r="L10318"/>
          <cell r="M10318"/>
        </row>
        <row r="10319">
          <cell r="B10319"/>
          <cell r="C10319"/>
          <cell r="E10319"/>
          <cell r="F10319"/>
          <cell r="G10319"/>
          <cell r="H10319"/>
          <cell r="J10319"/>
          <cell r="L10319"/>
          <cell r="M10319"/>
        </row>
        <row r="10320">
          <cell r="B10320"/>
          <cell r="C10320"/>
          <cell r="E10320"/>
          <cell r="F10320"/>
          <cell r="G10320"/>
          <cell r="H10320"/>
          <cell r="J10320"/>
          <cell r="L10320"/>
          <cell r="M10320"/>
        </row>
        <row r="10321">
          <cell r="B10321"/>
          <cell r="C10321"/>
          <cell r="E10321"/>
          <cell r="F10321"/>
          <cell r="G10321"/>
          <cell r="H10321"/>
          <cell r="J10321"/>
          <cell r="L10321"/>
          <cell r="M10321"/>
        </row>
        <row r="10322">
          <cell r="B10322"/>
          <cell r="C10322"/>
          <cell r="E10322"/>
          <cell r="F10322"/>
          <cell r="G10322"/>
          <cell r="H10322"/>
          <cell r="J10322"/>
          <cell r="L10322"/>
          <cell r="M10322"/>
        </row>
        <row r="10323">
          <cell r="B10323"/>
          <cell r="C10323"/>
          <cell r="E10323"/>
          <cell r="F10323"/>
          <cell r="G10323"/>
          <cell r="H10323"/>
          <cell r="J10323"/>
          <cell r="L10323"/>
          <cell r="M10323"/>
        </row>
        <row r="10324">
          <cell r="B10324"/>
          <cell r="C10324"/>
          <cell r="E10324"/>
          <cell r="F10324"/>
          <cell r="G10324"/>
          <cell r="H10324"/>
          <cell r="J10324"/>
          <cell r="L10324"/>
          <cell r="M10324"/>
        </row>
        <row r="10325">
          <cell r="B10325"/>
          <cell r="C10325"/>
          <cell r="E10325"/>
          <cell r="F10325"/>
          <cell r="G10325"/>
          <cell r="H10325"/>
          <cell r="J10325"/>
          <cell r="L10325"/>
          <cell r="M10325"/>
        </row>
        <row r="10326">
          <cell r="B10326"/>
          <cell r="C10326"/>
          <cell r="E10326"/>
          <cell r="F10326"/>
          <cell r="G10326"/>
          <cell r="H10326"/>
          <cell r="J10326"/>
          <cell r="L10326"/>
          <cell r="M10326"/>
        </row>
        <row r="10327">
          <cell r="B10327"/>
          <cell r="C10327"/>
          <cell r="E10327"/>
          <cell r="F10327"/>
          <cell r="G10327"/>
          <cell r="H10327"/>
          <cell r="J10327"/>
          <cell r="L10327"/>
          <cell r="M10327"/>
        </row>
        <row r="10328">
          <cell r="B10328"/>
          <cell r="C10328"/>
          <cell r="E10328"/>
          <cell r="F10328"/>
          <cell r="G10328"/>
          <cell r="H10328"/>
          <cell r="J10328"/>
          <cell r="L10328"/>
          <cell r="M10328"/>
        </row>
        <row r="10329">
          <cell r="B10329"/>
          <cell r="C10329"/>
          <cell r="E10329"/>
          <cell r="F10329"/>
          <cell r="G10329"/>
          <cell r="H10329"/>
          <cell r="J10329"/>
          <cell r="L10329"/>
          <cell r="M10329"/>
        </row>
        <row r="10330">
          <cell r="B10330"/>
          <cell r="C10330"/>
          <cell r="E10330"/>
          <cell r="F10330"/>
          <cell r="G10330"/>
          <cell r="H10330"/>
          <cell r="J10330"/>
          <cell r="L10330"/>
          <cell r="M10330"/>
        </row>
        <row r="10331">
          <cell r="B10331"/>
          <cell r="C10331"/>
          <cell r="E10331"/>
          <cell r="F10331"/>
          <cell r="G10331"/>
          <cell r="H10331"/>
          <cell r="J10331"/>
          <cell r="L10331"/>
          <cell r="M10331"/>
        </row>
        <row r="10332">
          <cell r="B10332"/>
          <cell r="C10332"/>
          <cell r="E10332"/>
          <cell r="F10332"/>
          <cell r="G10332"/>
          <cell r="H10332"/>
          <cell r="J10332"/>
          <cell r="L10332"/>
          <cell r="M10332"/>
        </row>
        <row r="10333">
          <cell r="B10333"/>
          <cell r="C10333"/>
          <cell r="E10333"/>
          <cell r="F10333"/>
          <cell r="G10333"/>
          <cell r="H10333"/>
          <cell r="J10333"/>
          <cell r="L10333"/>
          <cell r="M10333"/>
        </row>
        <row r="10334">
          <cell r="B10334"/>
          <cell r="C10334"/>
          <cell r="E10334"/>
          <cell r="F10334"/>
          <cell r="G10334"/>
          <cell r="H10334"/>
          <cell r="J10334"/>
          <cell r="L10334"/>
          <cell r="M10334"/>
        </row>
        <row r="10335">
          <cell r="B10335"/>
          <cell r="C10335"/>
          <cell r="E10335"/>
          <cell r="F10335"/>
          <cell r="G10335"/>
          <cell r="H10335"/>
          <cell r="J10335"/>
          <cell r="L10335"/>
          <cell r="M10335"/>
        </row>
        <row r="10336">
          <cell r="B10336"/>
          <cell r="C10336"/>
          <cell r="E10336"/>
          <cell r="F10336"/>
          <cell r="G10336"/>
          <cell r="H10336"/>
          <cell r="J10336"/>
          <cell r="L10336"/>
          <cell r="M10336"/>
        </row>
        <row r="10337">
          <cell r="B10337"/>
          <cell r="C10337"/>
          <cell r="E10337"/>
          <cell r="F10337"/>
          <cell r="G10337"/>
          <cell r="H10337"/>
          <cell r="J10337"/>
          <cell r="L10337"/>
          <cell r="M10337"/>
        </row>
        <row r="10338">
          <cell r="B10338"/>
          <cell r="C10338"/>
          <cell r="E10338"/>
          <cell r="F10338"/>
          <cell r="G10338"/>
          <cell r="H10338"/>
          <cell r="J10338"/>
          <cell r="L10338"/>
          <cell r="M10338"/>
        </row>
        <row r="10339">
          <cell r="B10339"/>
          <cell r="C10339"/>
          <cell r="E10339"/>
          <cell r="F10339"/>
          <cell r="G10339"/>
          <cell r="H10339"/>
          <cell r="J10339"/>
          <cell r="L10339"/>
          <cell r="M10339"/>
        </row>
        <row r="10340">
          <cell r="B10340"/>
          <cell r="C10340"/>
          <cell r="E10340"/>
          <cell r="F10340"/>
          <cell r="G10340"/>
          <cell r="H10340"/>
          <cell r="J10340"/>
          <cell r="L10340"/>
          <cell r="M10340"/>
        </row>
        <row r="10341">
          <cell r="B10341"/>
          <cell r="C10341"/>
          <cell r="E10341"/>
          <cell r="F10341"/>
          <cell r="G10341"/>
          <cell r="H10341"/>
          <cell r="J10341"/>
          <cell r="L10341"/>
          <cell r="M10341"/>
        </row>
        <row r="10342">
          <cell r="B10342"/>
          <cell r="C10342"/>
          <cell r="E10342"/>
          <cell r="F10342"/>
          <cell r="G10342"/>
          <cell r="H10342"/>
          <cell r="J10342"/>
          <cell r="L10342"/>
          <cell r="M10342"/>
        </row>
        <row r="10343">
          <cell r="B10343"/>
          <cell r="C10343"/>
          <cell r="E10343"/>
          <cell r="F10343"/>
          <cell r="G10343"/>
          <cell r="H10343"/>
          <cell r="J10343"/>
          <cell r="L10343"/>
          <cell r="M10343"/>
        </row>
        <row r="10344">
          <cell r="B10344"/>
          <cell r="C10344"/>
          <cell r="E10344"/>
          <cell r="F10344"/>
          <cell r="G10344"/>
          <cell r="H10344"/>
          <cell r="J10344"/>
          <cell r="L10344"/>
          <cell r="M10344"/>
        </row>
        <row r="10345">
          <cell r="B10345"/>
          <cell r="C10345"/>
          <cell r="E10345"/>
          <cell r="F10345"/>
          <cell r="G10345"/>
          <cell r="H10345"/>
          <cell r="J10345"/>
          <cell r="L10345"/>
          <cell r="M10345"/>
        </row>
        <row r="10346">
          <cell r="B10346"/>
          <cell r="C10346"/>
          <cell r="E10346"/>
          <cell r="F10346"/>
          <cell r="G10346"/>
          <cell r="H10346"/>
          <cell r="J10346"/>
          <cell r="L10346"/>
          <cell r="M10346"/>
        </row>
        <row r="10347">
          <cell r="B10347"/>
          <cell r="C10347"/>
          <cell r="E10347"/>
          <cell r="F10347"/>
          <cell r="G10347"/>
          <cell r="H10347"/>
          <cell r="J10347"/>
          <cell r="L10347"/>
          <cell r="M10347"/>
        </row>
        <row r="10348">
          <cell r="B10348"/>
          <cell r="C10348"/>
          <cell r="E10348"/>
          <cell r="F10348"/>
          <cell r="G10348"/>
          <cell r="H10348"/>
          <cell r="J10348"/>
          <cell r="L10348"/>
          <cell r="M10348"/>
        </row>
        <row r="10349">
          <cell r="B10349"/>
          <cell r="C10349"/>
          <cell r="E10349"/>
          <cell r="F10349"/>
          <cell r="G10349"/>
          <cell r="H10349"/>
          <cell r="J10349"/>
          <cell r="L10349"/>
          <cell r="M10349"/>
        </row>
        <row r="10350">
          <cell r="B10350"/>
          <cell r="C10350"/>
          <cell r="E10350"/>
          <cell r="F10350"/>
          <cell r="G10350"/>
          <cell r="H10350"/>
          <cell r="J10350"/>
          <cell r="L10350"/>
          <cell r="M10350"/>
        </row>
        <row r="10351">
          <cell r="B10351"/>
          <cell r="C10351"/>
          <cell r="E10351"/>
          <cell r="F10351"/>
          <cell r="G10351"/>
          <cell r="H10351"/>
          <cell r="J10351"/>
          <cell r="L10351"/>
          <cell r="M10351"/>
        </row>
        <row r="10352">
          <cell r="B10352"/>
          <cell r="C10352"/>
          <cell r="E10352"/>
          <cell r="F10352"/>
          <cell r="G10352"/>
          <cell r="H10352"/>
          <cell r="J10352"/>
          <cell r="L10352"/>
          <cell r="M10352"/>
        </row>
        <row r="10353">
          <cell r="B10353"/>
          <cell r="C10353"/>
          <cell r="E10353"/>
          <cell r="F10353"/>
          <cell r="G10353"/>
          <cell r="H10353"/>
          <cell r="J10353"/>
          <cell r="L10353"/>
          <cell r="M10353"/>
        </row>
        <row r="10354">
          <cell r="B10354"/>
          <cell r="C10354"/>
          <cell r="E10354"/>
          <cell r="F10354"/>
          <cell r="G10354"/>
          <cell r="H10354"/>
          <cell r="J10354"/>
          <cell r="L10354"/>
          <cell r="M10354"/>
        </row>
        <row r="10355">
          <cell r="B10355"/>
          <cell r="C10355"/>
          <cell r="E10355"/>
          <cell r="F10355"/>
          <cell r="G10355"/>
          <cell r="H10355"/>
          <cell r="J10355"/>
          <cell r="L10355"/>
          <cell r="M10355"/>
        </row>
        <row r="10356">
          <cell r="B10356"/>
          <cell r="C10356"/>
          <cell r="E10356"/>
          <cell r="F10356"/>
          <cell r="G10356"/>
          <cell r="H10356"/>
          <cell r="J10356"/>
          <cell r="L10356"/>
          <cell r="M10356"/>
        </row>
        <row r="10357">
          <cell r="B10357"/>
          <cell r="C10357"/>
          <cell r="E10357"/>
          <cell r="F10357"/>
          <cell r="G10357"/>
          <cell r="H10357"/>
          <cell r="J10357"/>
          <cell r="L10357"/>
          <cell r="M10357"/>
        </row>
        <row r="10358">
          <cell r="B10358"/>
          <cell r="C10358"/>
          <cell r="E10358"/>
          <cell r="F10358"/>
          <cell r="G10358"/>
          <cell r="H10358"/>
          <cell r="J10358"/>
          <cell r="L10358"/>
          <cell r="M10358"/>
        </row>
        <row r="10359">
          <cell r="B10359"/>
          <cell r="C10359"/>
          <cell r="E10359"/>
          <cell r="F10359"/>
          <cell r="G10359"/>
          <cell r="H10359"/>
          <cell r="J10359"/>
          <cell r="L10359"/>
          <cell r="M10359"/>
        </row>
        <row r="10360">
          <cell r="B10360"/>
          <cell r="C10360"/>
          <cell r="E10360"/>
          <cell r="F10360"/>
          <cell r="G10360"/>
          <cell r="H10360"/>
          <cell r="J10360"/>
          <cell r="L10360"/>
          <cell r="M10360"/>
        </row>
        <row r="10361">
          <cell r="B10361"/>
          <cell r="C10361"/>
          <cell r="E10361"/>
          <cell r="F10361"/>
          <cell r="G10361"/>
          <cell r="H10361"/>
          <cell r="J10361"/>
          <cell r="L10361"/>
          <cell r="M10361"/>
        </row>
        <row r="10362">
          <cell r="B10362"/>
          <cell r="C10362"/>
          <cell r="E10362"/>
          <cell r="F10362"/>
          <cell r="G10362"/>
          <cell r="H10362"/>
          <cell r="J10362"/>
          <cell r="L10362"/>
          <cell r="M10362"/>
        </row>
        <row r="10363">
          <cell r="B10363"/>
          <cell r="C10363"/>
          <cell r="E10363"/>
          <cell r="F10363"/>
          <cell r="G10363"/>
          <cell r="H10363"/>
          <cell r="J10363"/>
          <cell r="L10363"/>
          <cell r="M10363"/>
        </row>
        <row r="10364">
          <cell r="B10364"/>
          <cell r="C10364"/>
          <cell r="E10364"/>
          <cell r="F10364"/>
          <cell r="G10364"/>
          <cell r="H10364"/>
          <cell r="J10364"/>
          <cell r="L10364"/>
          <cell r="M10364"/>
        </row>
        <row r="10365">
          <cell r="B10365"/>
          <cell r="C10365"/>
          <cell r="E10365"/>
          <cell r="F10365"/>
          <cell r="G10365"/>
          <cell r="H10365"/>
          <cell r="J10365"/>
          <cell r="L10365"/>
          <cell r="M10365"/>
        </row>
        <row r="10366">
          <cell r="B10366"/>
          <cell r="C10366"/>
          <cell r="E10366"/>
          <cell r="F10366"/>
          <cell r="G10366"/>
          <cell r="H10366"/>
          <cell r="J10366"/>
          <cell r="L10366"/>
          <cell r="M10366"/>
        </row>
        <row r="10367">
          <cell r="B10367"/>
          <cell r="C10367"/>
          <cell r="E10367"/>
          <cell r="F10367"/>
          <cell r="G10367"/>
          <cell r="H10367"/>
          <cell r="J10367"/>
          <cell r="L10367"/>
          <cell r="M10367"/>
        </row>
        <row r="10368">
          <cell r="B10368"/>
          <cell r="C10368"/>
          <cell r="E10368"/>
          <cell r="F10368"/>
          <cell r="G10368"/>
          <cell r="H10368"/>
          <cell r="J10368"/>
          <cell r="L10368"/>
          <cell r="M10368"/>
        </row>
        <row r="10369">
          <cell r="B10369"/>
          <cell r="C10369"/>
          <cell r="E10369"/>
          <cell r="F10369"/>
          <cell r="G10369"/>
          <cell r="H10369"/>
          <cell r="J10369"/>
          <cell r="L10369"/>
          <cell r="M10369"/>
        </row>
        <row r="10370">
          <cell r="B10370"/>
          <cell r="C10370"/>
          <cell r="E10370"/>
          <cell r="F10370"/>
          <cell r="G10370"/>
          <cell r="H10370"/>
          <cell r="J10370"/>
          <cell r="L10370"/>
          <cell r="M10370"/>
        </row>
        <row r="10371">
          <cell r="B10371"/>
          <cell r="C10371"/>
          <cell r="E10371"/>
          <cell r="F10371"/>
          <cell r="G10371"/>
          <cell r="H10371"/>
          <cell r="J10371"/>
          <cell r="L10371"/>
          <cell r="M10371"/>
        </row>
        <row r="10372">
          <cell r="B10372"/>
          <cell r="C10372"/>
          <cell r="E10372"/>
          <cell r="F10372"/>
          <cell r="G10372"/>
          <cell r="H10372"/>
          <cell r="J10372"/>
          <cell r="L10372"/>
          <cell r="M10372"/>
        </row>
        <row r="10373">
          <cell r="B10373"/>
          <cell r="C10373"/>
          <cell r="E10373"/>
          <cell r="F10373"/>
          <cell r="G10373"/>
          <cell r="H10373"/>
          <cell r="J10373"/>
          <cell r="L10373"/>
          <cell r="M10373"/>
        </row>
        <row r="10374">
          <cell r="B10374"/>
          <cell r="C10374"/>
          <cell r="E10374"/>
          <cell r="F10374"/>
          <cell r="G10374"/>
          <cell r="H10374"/>
          <cell r="J10374"/>
          <cell r="L10374"/>
          <cell r="M10374"/>
        </row>
        <row r="10375">
          <cell r="B10375"/>
          <cell r="C10375"/>
          <cell r="E10375"/>
          <cell r="F10375"/>
          <cell r="G10375"/>
          <cell r="H10375"/>
          <cell r="J10375"/>
          <cell r="L10375"/>
          <cell r="M10375"/>
        </row>
        <row r="10376">
          <cell r="B10376"/>
          <cell r="C10376"/>
          <cell r="E10376"/>
          <cell r="F10376"/>
          <cell r="G10376"/>
          <cell r="H10376"/>
          <cell r="J10376"/>
          <cell r="L10376"/>
          <cell r="M10376"/>
        </row>
        <row r="10377">
          <cell r="B10377"/>
          <cell r="C10377"/>
          <cell r="E10377"/>
          <cell r="F10377"/>
          <cell r="G10377"/>
          <cell r="H10377"/>
          <cell r="J10377"/>
          <cell r="L10377"/>
          <cell r="M10377"/>
        </row>
        <row r="10378">
          <cell r="B10378"/>
          <cell r="C10378"/>
          <cell r="E10378"/>
          <cell r="F10378"/>
          <cell r="G10378"/>
          <cell r="H10378"/>
          <cell r="J10378"/>
          <cell r="L10378"/>
          <cell r="M10378"/>
        </row>
        <row r="10379">
          <cell r="B10379"/>
          <cell r="C10379"/>
          <cell r="E10379"/>
          <cell r="F10379"/>
          <cell r="G10379"/>
          <cell r="H10379"/>
          <cell r="J10379"/>
          <cell r="L10379"/>
          <cell r="M10379"/>
        </row>
        <row r="10380">
          <cell r="B10380"/>
          <cell r="C10380"/>
          <cell r="E10380"/>
          <cell r="F10380"/>
          <cell r="G10380"/>
          <cell r="H10380"/>
          <cell r="J10380"/>
          <cell r="L10380"/>
          <cell r="M10380"/>
        </row>
        <row r="10381">
          <cell r="B10381"/>
          <cell r="C10381"/>
          <cell r="E10381"/>
          <cell r="F10381"/>
          <cell r="G10381"/>
          <cell r="H10381"/>
          <cell r="J10381"/>
          <cell r="L10381"/>
          <cell r="M10381"/>
        </row>
        <row r="10382">
          <cell r="B10382"/>
          <cell r="C10382"/>
          <cell r="E10382"/>
          <cell r="F10382"/>
          <cell r="G10382"/>
          <cell r="H10382"/>
          <cell r="J10382"/>
          <cell r="L10382"/>
          <cell r="M10382"/>
        </row>
        <row r="10383">
          <cell r="B10383"/>
          <cell r="C10383"/>
          <cell r="E10383"/>
          <cell r="F10383"/>
          <cell r="G10383"/>
          <cell r="H10383"/>
          <cell r="J10383"/>
          <cell r="L10383"/>
          <cell r="M10383"/>
        </row>
        <row r="10384">
          <cell r="B10384"/>
          <cell r="C10384"/>
          <cell r="E10384"/>
          <cell r="F10384"/>
          <cell r="G10384"/>
          <cell r="H10384"/>
          <cell r="J10384"/>
          <cell r="L10384"/>
          <cell r="M10384"/>
        </row>
        <row r="10385">
          <cell r="B10385"/>
          <cell r="C10385"/>
          <cell r="E10385"/>
          <cell r="F10385"/>
          <cell r="G10385"/>
          <cell r="H10385"/>
          <cell r="J10385"/>
          <cell r="L10385"/>
          <cell r="M10385"/>
        </row>
        <row r="10386">
          <cell r="B10386"/>
          <cell r="C10386"/>
          <cell r="E10386"/>
          <cell r="F10386"/>
          <cell r="G10386"/>
          <cell r="H10386"/>
          <cell r="J10386"/>
          <cell r="L10386"/>
          <cell r="M10386"/>
        </row>
        <row r="10387">
          <cell r="B10387"/>
          <cell r="C10387"/>
          <cell r="E10387"/>
          <cell r="F10387"/>
          <cell r="G10387"/>
          <cell r="H10387"/>
          <cell r="J10387"/>
          <cell r="L10387"/>
          <cell r="M10387"/>
        </row>
        <row r="10388">
          <cell r="B10388"/>
          <cell r="C10388"/>
          <cell r="E10388"/>
          <cell r="F10388"/>
          <cell r="G10388"/>
          <cell r="H10388"/>
          <cell r="J10388"/>
          <cell r="L10388"/>
          <cell r="M10388"/>
        </row>
        <row r="10389">
          <cell r="B10389"/>
          <cell r="C10389"/>
          <cell r="E10389"/>
          <cell r="F10389"/>
          <cell r="G10389"/>
          <cell r="H10389"/>
          <cell r="J10389"/>
          <cell r="L10389"/>
          <cell r="M10389"/>
        </row>
        <row r="10390">
          <cell r="B10390"/>
          <cell r="C10390"/>
          <cell r="E10390"/>
          <cell r="F10390"/>
          <cell r="G10390"/>
          <cell r="H10390"/>
          <cell r="J10390"/>
          <cell r="L10390"/>
          <cell r="M10390"/>
        </row>
        <row r="10391">
          <cell r="B10391"/>
          <cell r="C10391"/>
          <cell r="E10391"/>
          <cell r="F10391"/>
          <cell r="G10391"/>
          <cell r="H10391"/>
          <cell r="J10391"/>
          <cell r="L10391"/>
          <cell r="M10391"/>
        </row>
        <row r="10392">
          <cell r="B10392"/>
          <cell r="C10392"/>
          <cell r="E10392"/>
          <cell r="F10392"/>
          <cell r="G10392"/>
          <cell r="H10392"/>
          <cell r="J10392"/>
          <cell r="L10392"/>
          <cell r="M10392"/>
        </row>
        <row r="10393">
          <cell r="B10393"/>
          <cell r="C10393"/>
          <cell r="E10393"/>
          <cell r="F10393"/>
          <cell r="G10393"/>
          <cell r="H10393"/>
          <cell r="J10393"/>
          <cell r="L10393"/>
          <cell r="M10393"/>
        </row>
        <row r="10394">
          <cell r="B10394"/>
          <cell r="C10394"/>
          <cell r="E10394"/>
          <cell r="F10394"/>
          <cell r="G10394"/>
          <cell r="H10394"/>
          <cell r="J10394"/>
          <cell r="L10394"/>
          <cell r="M10394"/>
        </row>
        <row r="10395">
          <cell r="B10395"/>
          <cell r="C10395"/>
          <cell r="E10395"/>
          <cell r="F10395"/>
          <cell r="G10395"/>
          <cell r="H10395"/>
          <cell r="J10395"/>
          <cell r="L10395"/>
          <cell r="M10395"/>
        </row>
        <row r="10396">
          <cell r="B10396"/>
          <cell r="C10396"/>
          <cell r="E10396"/>
          <cell r="F10396"/>
          <cell r="G10396"/>
          <cell r="H10396"/>
          <cell r="J10396"/>
          <cell r="L10396"/>
          <cell r="M10396"/>
        </row>
        <row r="10397">
          <cell r="B10397"/>
          <cell r="C10397"/>
          <cell r="E10397"/>
          <cell r="F10397"/>
          <cell r="G10397"/>
          <cell r="H10397"/>
          <cell r="J10397"/>
          <cell r="L10397"/>
          <cell r="M10397"/>
        </row>
        <row r="10398">
          <cell r="B10398"/>
          <cell r="C10398"/>
          <cell r="E10398"/>
          <cell r="F10398"/>
          <cell r="G10398"/>
          <cell r="H10398"/>
          <cell r="J10398"/>
          <cell r="L10398"/>
          <cell r="M10398"/>
        </row>
        <row r="10399">
          <cell r="B10399"/>
          <cell r="C10399"/>
          <cell r="E10399"/>
          <cell r="F10399"/>
          <cell r="G10399"/>
          <cell r="H10399"/>
          <cell r="J10399"/>
          <cell r="L10399"/>
          <cell r="M10399"/>
        </row>
        <row r="10400">
          <cell r="B10400"/>
          <cell r="C10400"/>
          <cell r="E10400"/>
          <cell r="F10400"/>
          <cell r="G10400"/>
          <cell r="H10400"/>
          <cell r="J10400"/>
          <cell r="L10400"/>
          <cell r="M10400"/>
        </row>
        <row r="10401">
          <cell r="B10401"/>
          <cell r="C10401"/>
          <cell r="E10401"/>
          <cell r="F10401"/>
          <cell r="G10401"/>
          <cell r="H10401"/>
          <cell r="J10401"/>
          <cell r="L10401"/>
          <cell r="M10401"/>
        </row>
        <row r="10402">
          <cell r="B10402"/>
          <cell r="C10402"/>
          <cell r="E10402"/>
          <cell r="F10402"/>
          <cell r="G10402"/>
          <cell r="H10402"/>
          <cell r="J10402"/>
          <cell r="L10402"/>
          <cell r="M10402"/>
        </row>
        <row r="10403">
          <cell r="B10403"/>
          <cell r="C10403"/>
          <cell r="E10403"/>
          <cell r="F10403"/>
          <cell r="G10403"/>
          <cell r="H10403"/>
          <cell r="J10403"/>
          <cell r="L10403"/>
          <cell r="M10403"/>
        </row>
        <row r="10404">
          <cell r="B10404"/>
          <cell r="C10404"/>
          <cell r="E10404"/>
          <cell r="F10404"/>
          <cell r="G10404"/>
          <cell r="H10404"/>
          <cell r="J10404"/>
          <cell r="L10404"/>
          <cell r="M10404"/>
        </row>
        <row r="10405">
          <cell r="B10405"/>
          <cell r="C10405"/>
          <cell r="E10405"/>
          <cell r="F10405"/>
          <cell r="G10405"/>
          <cell r="H10405"/>
          <cell r="J10405"/>
          <cell r="L10405"/>
          <cell r="M10405"/>
        </row>
        <row r="10406">
          <cell r="B10406"/>
          <cell r="C10406"/>
          <cell r="E10406"/>
          <cell r="F10406"/>
          <cell r="G10406"/>
          <cell r="H10406"/>
          <cell r="J10406"/>
          <cell r="L10406"/>
          <cell r="M10406"/>
        </row>
        <row r="10407">
          <cell r="B10407"/>
          <cell r="C10407"/>
          <cell r="E10407"/>
          <cell r="F10407"/>
          <cell r="G10407"/>
          <cell r="H10407"/>
          <cell r="J10407"/>
          <cell r="L10407"/>
          <cell r="M10407"/>
        </row>
        <row r="10408">
          <cell r="B10408"/>
          <cell r="C10408"/>
          <cell r="E10408"/>
          <cell r="F10408"/>
          <cell r="G10408"/>
          <cell r="H10408"/>
          <cell r="J10408"/>
          <cell r="L10408"/>
          <cell r="M10408"/>
        </row>
        <row r="10409">
          <cell r="B10409"/>
          <cell r="C10409"/>
          <cell r="E10409"/>
          <cell r="F10409"/>
          <cell r="G10409"/>
          <cell r="H10409"/>
          <cell r="J10409"/>
          <cell r="L10409"/>
          <cell r="M10409"/>
        </row>
        <row r="10410">
          <cell r="B10410"/>
          <cell r="C10410"/>
          <cell r="E10410"/>
          <cell r="F10410"/>
          <cell r="G10410"/>
          <cell r="H10410"/>
          <cell r="J10410"/>
          <cell r="L10410"/>
          <cell r="M10410"/>
        </row>
        <row r="10411">
          <cell r="B10411"/>
          <cell r="C10411"/>
          <cell r="E10411"/>
          <cell r="F10411"/>
          <cell r="G10411"/>
          <cell r="H10411"/>
          <cell r="J10411"/>
          <cell r="L10411"/>
          <cell r="M10411"/>
        </row>
        <row r="10412">
          <cell r="B10412"/>
          <cell r="C10412"/>
          <cell r="E10412"/>
          <cell r="F10412"/>
          <cell r="G10412"/>
          <cell r="H10412"/>
          <cell r="J10412"/>
          <cell r="L10412"/>
          <cell r="M10412"/>
        </row>
        <row r="10413">
          <cell r="B10413"/>
          <cell r="C10413"/>
          <cell r="E10413"/>
          <cell r="F10413"/>
          <cell r="G10413"/>
          <cell r="H10413"/>
          <cell r="J10413"/>
          <cell r="L10413"/>
          <cell r="M10413"/>
        </row>
        <row r="10414">
          <cell r="B10414"/>
          <cell r="C10414"/>
          <cell r="E10414"/>
          <cell r="F10414"/>
          <cell r="G10414"/>
          <cell r="H10414"/>
          <cell r="J10414"/>
          <cell r="L10414"/>
          <cell r="M10414"/>
        </row>
        <row r="10415">
          <cell r="B10415"/>
          <cell r="C10415"/>
          <cell r="E10415"/>
          <cell r="F10415"/>
          <cell r="G10415"/>
          <cell r="H10415"/>
          <cell r="J10415"/>
          <cell r="L10415"/>
          <cell r="M10415"/>
        </row>
        <row r="10416">
          <cell r="B10416"/>
          <cell r="C10416"/>
          <cell r="E10416"/>
          <cell r="F10416"/>
          <cell r="G10416"/>
          <cell r="H10416"/>
          <cell r="J10416"/>
          <cell r="L10416"/>
          <cell r="M10416"/>
        </row>
        <row r="10417">
          <cell r="B10417"/>
          <cell r="C10417"/>
          <cell r="E10417"/>
          <cell r="F10417"/>
          <cell r="G10417"/>
          <cell r="H10417"/>
          <cell r="J10417"/>
          <cell r="L10417"/>
          <cell r="M10417"/>
        </row>
        <row r="10418">
          <cell r="B10418"/>
          <cell r="C10418"/>
          <cell r="E10418"/>
          <cell r="F10418"/>
          <cell r="G10418"/>
          <cell r="H10418"/>
          <cell r="J10418"/>
          <cell r="L10418"/>
          <cell r="M10418"/>
        </row>
        <row r="10419">
          <cell r="B10419"/>
          <cell r="C10419"/>
          <cell r="E10419"/>
          <cell r="F10419"/>
          <cell r="G10419"/>
          <cell r="H10419"/>
          <cell r="J10419"/>
          <cell r="L10419"/>
          <cell r="M10419"/>
        </row>
        <row r="10420">
          <cell r="B10420"/>
          <cell r="C10420"/>
          <cell r="E10420"/>
          <cell r="F10420"/>
          <cell r="G10420"/>
          <cell r="H10420"/>
          <cell r="J10420"/>
          <cell r="L10420"/>
          <cell r="M10420"/>
        </row>
        <row r="10421">
          <cell r="B10421"/>
          <cell r="C10421"/>
          <cell r="E10421"/>
          <cell r="F10421"/>
          <cell r="G10421"/>
          <cell r="H10421"/>
          <cell r="J10421"/>
          <cell r="L10421"/>
          <cell r="M10421"/>
        </row>
        <row r="10422">
          <cell r="B10422"/>
          <cell r="C10422"/>
          <cell r="E10422"/>
          <cell r="F10422"/>
          <cell r="G10422"/>
          <cell r="H10422"/>
          <cell r="J10422"/>
          <cell r="L10422"/>
          <cell r="M10422"/>
        </row>
        <row r="10423">
          <cell r="B10423"/>
          <cell r="C10423"/>
          <cell r="E10423"/>
          <cell r="F10423"/>
          <cell r="G10423"/>
          <cell r="H10423"/>
          <cell r="J10423"/>
          <cell r="L10423"/>
          <cell r="M10423"/>
        </row>
        <row r="10424">
          <cell r="B10424"/>
          <cell r="C10424"/>
          <cell r="E10424"/>
          <cell r="F10424"/>
          <cell r="G10424"/>
          <cell r="H10424"/>
          <cell r="J10424"/>
          <cell r="L10424"/>
          <cell r="M10424"/>
        </row>
        <row r="10425">
          <cell r="B10425"/>
          <cell r="C10425"/>
          <cell r="E10425"/>
          <cell r="F10425"/>
          <cell r="G10425"/>
          <cell r="H10425"/>
          <cell r="J10425"/>
          <cell r="L10425"/>
          <cell r="M10425"/>
        </row>
        <row r="10426">
          <cell r="B10426"/>
          <cell r="C10426"/>
          <cell r="E10426"/>
          <cell r="F10426"/>
          <cell r="G10426"/>
          <cell r="H10426"/>
          <cell r="J10426"/>
          <cell r="L10426"/>
          <cell r="M10426"/>
        </row>
        <row r="10427">
          <cell r="B10427"/>
          <cell r="C10427"/>
          <cell r="E10427"/>
          <cell r="F10427"/>
          <cell r="G10427"/>
          <cell r="H10427"/>
          <cell r="J10427"/>
          <cell r="L10427"/>
          <cell r="M10427"/>
        </row>
        <row r="10428">
          <cell r="B10428"/>
          <cell r="C10428"/>
          <cell r="E10428"/>
          <cell r="F10428"/>
          <cell r="G10428"/>
          <cell r="H10428"/>
          <cell r="J10428"/>
          <cell r="L10428"/>
          <cell r="M10428"/>
        </row>
        <row r="10429">
          <cell r="B10429"/>
          <cell r="C10429"/>
          <cell r="E10429"/>
          <cell r="F10429"/>
          <cell r="G10429"/>
          <cell r="H10429"/>
          <cell r="J10429"/>
          <cell r="L10429"/>
          <cell r="M10429"/>
        </row>
        <row r="10430">
          <cell r="B10430"/>
          <cell r="C10430"/>
          <cell r="E10430"/>
          <cell r="F10430"/>
          <cell r="G10430"/>
          <cell r="H10430"/>
          <cell r="J10430"/>
          <cell r="L10430"/>
          <cell r="M10430"/>
        </row>
        <row r="10431">
          <cell r="B10431"/>
          <cell r="C10431"/>
          <cell r="E10431"/>
          <cell r="F10431"/>
          <cell r="G10431"/>
          <cell r="H10431"/>
          <cell r="J10431"/>
          <cell r="L10431"/>
          <cell r="M10431"/>
        </row>
        <row r="10432">
          <cell r="B10432"/>
          <cell r="C10432"/>
          <cell r="E10432"/>
          <cell r="F10432"/>
          <cell r="G10432"/>
          <cell r="H10432"/>
          <cell r="J10432"/>
          <cell r="L10432"/>
          <cell r="M10432"/>
        </row>
        <row r="10433">
          <cell r="B10433"/>
          <cell r="C10433"/>
          <cell r="E10433"/>
          <cell r="F10433"/>
          <cell r="G10433"/>
          <cell r="H10433"/>
          <cell r="J10433"/>
          <cell r="L10433"/>
          <cell r="M10433"/>
        </row>
        <row r="10434">
          <cell r="B10434"/>
          <cell r="C10434"/>
          <cell r="E10434"/>
          <cell r="F10434"/>
          <cell r="G10434"/>
          <cell r="H10434"/>
          <cell r="J10434"/>
          <cell r="L10434"/>
          <cell r="M10434"/>
        </row>
        <row r="10435">
          <cell r="B10435"/>
          <cell r="C10435"/>
          <cell r="E10435"/>
          <cell r="F10435"/>
          <cell r="G10435"/>
          <cell r="H10435"/>
          <cell r="J10435"/>
          <cell r="L10435"/>
          <cell r="M10435"/>
        </row>
        <row r="10436">
          <cell r="B10436"/>
          <cell r="C10436"/>
          <cell r="E10436"/>
          <cell r="F10436"/>
          <cell r="G10436"/>
          <cell r="H10436"/>
          <cell r="J10436"/>
          <cell r="L10436"/>
          <cell r="M10436"/>
        </row>
        <row r="10437">
          <cell r="B10437"/>
          <cell r="C10437"/>
          <cell r="E10437"/>
          <cell r="F10437"/>
          <cell r="G10437"/>
          <cell r="H10437"/>
          <cell r="J10437"/>
          <cell r="L10437"/>
          <cell r="M10437"/>
        </row>
        <row r="10438">
          <cell r="B10438"/>
          <cell r="C10438"/>
          <cell r="E10438"/>
          <cell r="F10438"/>
          <cell r="G10438"/>
          <cell r="H10438"/>
          <cell r="J10438"/>
          <cell r="L10438"/>
          <cell r="M10438"/>
        </row>
        <row r="10439">
          <cell r="B10439"/>
          <cell r="C10439"/>
          <cell r="E10439"/>
          <cell r="F10439"/>
          <cell r="G10439"/>
          <cell r="H10439"/>
          <cell r="J10439"/>
          <cell r="L10439"/>
          <cell r="M10439"/>
        </row>
        <row r="10440">
          <cell r="B10440"/>
          <cell r="C10440"/>
          <cell r="E10440"/>
          <cell r="F10440"/>
          <cell r="G10440"/>
          <cell r="H10440"/>
          <cell r="J10440"/>
          <cell r="L10440"/>
          <cell r="M10440"/>
        </row>
        <row r="10441">
          <cell r="B10441"/>
          <cell r="C10441"/>
          <cell r="E10441"/>
          <cell r="F10441"/>
          <cell r="G10441"/>
          <cell r="H10441"/>
          <cell r="J10441"/>
          <cell r="L10441"/>
          <cell r="M10441"/>
        </row>
        <row r="10442">
          <cell r="B10442"/>
          <cell r="C10442"/>
          <cell r="E10442"/>
          <cell r="F10442"/>
          <cell r="G10442"/>
          <cell r="H10442"/>
          <cell r="J10442"/>
          <cell r="L10442"/>
          <cell r="M10442"/>
        </row>
        <row r="10443">
          <cell r="B10443"/>
          <cell r="C10443"/>
          <cell r="E10443"/>
          <cell r="F10443"/>
          <cell r="G10443"/>
          <cell r="H10443"/>
          <cell r="J10443"/>
          <cell r="L10443"/>
          <cell r="M10443"/>
        </row>
        <row r="10444">
          <cell r="B10444"/>
          <cell r="C10444"/>
          <cell r="E10444"/>
          <cell r="F10444"/>
          <cell r="G10444"/>
          <cell r="H10444"/>
          <cell r="J10444"/>
          <cell r="L10444"/>
          <cell r="M10444"/>
        </row>
        <row r="10445">
          <cell r="B10445"/>
          <cell r="C10445"/>
          <cell r="E10445"/>
          <cell r="F10445"/>
          <cell r="G10445"/>
          <cell r="H10445"/>
          <cell r="J10445"/>
          <cell r="L10445"/>
          <cell r="M10445"/>
        </row>
        <row r="10446">
          <cell r="B10446"/>
          <cell r="C10446"/>
          <cell r="E10446"/>
          <cell r="F10446"/>
          <cell r="G10446"/>
          <cell r="H10446"/>
          <cell r="J10446"/>
          <cell r="L10446"/>
          <cell r="M10446"/>
        </row>
        <row r="10447">
          <cell r="B10447"/>
          <cell r="C10447"/>
          <cell r="E10447"/>
          <cell r="F10447"/>
          <cell r="G10447"/>
          <cell r="H10447"/>
          <cell r="J10447"/>
          <cell r="L10447"/>
          <cell r="M10447"/>
        </row>
        <row r="10448">
          <cell r="B10448"/>
          <cell r="C10448"/>
          <cell r="E10448"/>
          <cell r="F10448"/>
          <cell r="G10448"/>
          <cell r="H10448"/>
          <cell r="J10448"/>
          <cell r="L10448"/>
          <cell r="M10448"/>
        </row>
        <row r="10449">
          <cell r="B10449"/>
          <cell r="C10449"/>
          <cell r="E10449"/>
          <cell r="F10449"/>
          <cell r="G10449"/>
          <cell r="H10449"/>
          <cell r="J10449"/>
          <cell r="L10449"/>
          <cell r="M10449"/>
        </row>
        <row r="10450">
          <cell r="B10450"/>
          <cell r="C10450"/>
          <cell r="E10450"/>
          <cell r="F10450"/>
          <cell r="G10450"/>
          <cell r="H10450"/>
          <cell r="J10450"/>
          <cell r="L10450"/>
          <cell r="M10450"/>
        </row>
        <row r="10451">
          <cell r="B10451"/>
          <cell r="C10451"/>
          <cell r="E10451"/>
          <cell r="F10451"/>
          <cell r="G10451"/>
          <cell r="H10451"/>
          <cell r="J10451"/>
          <cell r="L10451"/>
          <cell r="M10451"/>
        </row>
        <row r="10452">
          <cell r="B10452"/>
          <cell r="C10452"/>
          <cell r="E10452"/>
          <cell r="F10452"/>
          <cell r="G10452"/>
          <cell r="H10452"/>
          <cell r="J10452"/>
          <cell r="L10452"/>
          <cell r="M10452"/>
        </row>
        <row r="10453">
          <cell r="B10453"/>
          <cell r="C10453"/>
          <cell r="E10453"/>
          <cell r="F10453"/>
          <cell r="G10453"/>
          <cell r="H10453"/>
          <cell r="J10453"/>
          <cell r="L10453"/>
          <cell r="M10453"/>
        </row>
        <row r="10454">
          <cell r="B10454"/>
          <cell r="C10454"/>
          <cell r="E10454"/>
          <cell r="F10454"/>
          <cell r="G10454"/>
          <cell r="H10454"/>
          <cell r="J10454"/>
          <cell r="L10454"/>
          <cell r="M10454"/>
        </row>
        <row r="10455">
          <cell r="B10455"/>
          <cell r="C10455"/>
          <cell r="E10455"/>
          <cell r="F10455"/>
          <cell r="G10455"/>
          <cell r="H10455"/>
          <cell r="J10455"/>
          <cell r="L10455"/>
          <cell r="M10455"/>
        </row>
        <row r="10456">
          <cell r="B10456"/>
          <cell r="C10456"/>
          <cell r="E10456"/>
          <cell r="F10456"/>
          <cell r="G10456"/>
          <cell r="H10456"/>
          <cell r="J10456"/>
          <cell r="L10456"/>
          <cell r="M10456"/>
        </row>
        <row r="10457">
          <cell r="B10457"/>
          <cell r="C10457"/>
          <cell r="E10457"/>
          <cell r="F10457"/>
          <cell r="G10457"/>
          <cell r="H10457"/>
          <cell r="J10457"/>
          <cell r="L10457"/>
          <cell r="M10457"/>
        </row>
        <row r="10458">
          <cell r="B10458"/>
          <cell r="C10458"/>
          <cell r="E10458"/>
          <cell r="F10458"/>
          <cell r="G10458"/>
          <cell r="H10458"/>
          <cell r="J10458"/>
          <cell r="L10458"/>
          <cell r="M10458"/>
        </row>
        <row r="10459">
          <cell r="B10459"/>
          <cell r="C10459"/>
          <cell r="E10459"/>
          <cell r="F10459"/>
          <cell r="G10459"/>
          <cell r="H10459"/>
          <cell r="J10459"/>
          <cell r="L10459"/>
          <cell r="M10459"/>
        </row>
        <row r="10460">
          <cell r="B10460"/>
          <cell r="C10460"/>
          <cell r="E10460"/>
          <cell r="F10460"/>
          <cell r="G10460"/>
          <cell r="H10460"/>
          <cell r="J10460"/>
          <cell r="L10460"/>
          <cell r="M10460"/>
        </row>
        <row r="10461">
          <cell r="B10461"/>
          <cell r="C10461"/>
          <cell r="E10461"/>
          <cell r="F10461"/>
          <cell r="G10461"/>
          <cell r="H10461"/>
          <cell r="J10461"/>
          <cell r="L10461"/>
          <cell r="M10461"/>
        </row>
        <row r="10462">
          <cell r="B10462"/>
          <cell r="C10462"/>
          <cell r="E10462"/>
          <cell r="F10462"/>
          <cell r="G10462"/>
          <cell r="H10462"/>
          <cell r="J10462"/>
          <cell r="L10462"/>
          <cell r="M10462"/>
        </row>
        <row r="10463">
          <cell r="B10463"/>
          <cell r="C10463"/>
          <cell r="E10463"/>
          <cell r="F10463"/>
          <cell r="G10463"/>
          <cell r="H10463"/>
          <cell r="J10463"/>
          <cell r="L10463"/>
          <cell r="M10463"/>
        </row>
        <row r="10464">
          <cell r="B10464"/>
          <cell r="C10464"/>
          <cell r="E10464"/>
          <cell r="F10464"/>
          <cell r="G10464"/>
          <cell r="H10464"/>
          <cell r="J10464"/>
          <cell r="L10464"/>
          <cell r="M10464"/>
        </row>
        <row r="10465">
          <cell r="B10465"/>
          <cell r="C10465"/>
          <cell r="E10465"/>
          <cell r="F10465"/>
          <cell r="G10465"/>
          <cell r="H10465"/>
          <cell r="J10465"/>
          <cell r="L10465"/>
          <cell r="M10465"/>
        </row>
        <row r="10466">
          <cell r="B10466"/>
          <cell r="C10466"/>
          <cell r="E10466"/>
          <cell r="F10466"/>
          <cell r="G10466"/>
          <cell r="H10466"/>
          <cell r="J10466"/>
          <cell r="L10466"/>
          <cell r="M10466"/>
        </row>
        <row r="10467">
          <cell r="B10467"/>
          <cell r="C10467"/>
          <cell r="E10467"/>
          <cell r="F10467"/>
          <cell r="G10467"/>
          <cell r="H10467"/>
          <cell r="J10467"/>
          <cell r="L10467"/>
          <cell r="M10467"/>
        </row>
        <row r="10468">
          <cell r="B10468"/>
          <cell r="C10468"/>
          <cell r="E10468"/>
          <cell r="F10468"/>
          <cell r="G10468"/>
          <cell r="H10468"/>
          <cell r="J10468"/>
          <cell r="L10468"/>
          <cell r="M10468"/>
        </row>
        <row r="10469">
          <cell r="B10469"/>
          <cell r="C10469"/>
          <cell r="E10469"/>
          <cell r="F10469"/>
          <cell r="G10469"/>
          <cell r="H10469"/>
          <cell r="J10469"/>
          <cell r="L10469"/>
          <cell r="M10469"/>
        </row>
        <row r="10470">
          <cell r="B10470"/>
          <cell r="C10470"/>
          <cell r="E10470"/>
          <cell r="F10470"/>
          <cell r="G10470"/>
          <cell r="H10470"/>
          <cell r="J10470"/>
          <cell r="L10470"/>
          <cell r="M10470"/>
        </row>
        <row r="10471">
          <cell r="B10471"/>
          <cell r="C10471"/>
          <cell r="E10471"/>
          <cell r="F10471"/>
          <cell r="G10471"/>
          <cell r="H10471"/>
          <cell r="J10471"/>
          <cell r="L10471"/>
          <cell r="M10471"/>
        </row>
        <row r="10472">
          <cell r="B10472"/>
          <cell r="C10472"/>
          <cell r="E10472"/>
          <cell r="F10472"/>
          <cell r="G10472"/>
          <cell r="H10472"/>
          <cell r="J10472"/>
          <cell r="L10472"/>
          <cell r="M10472"/>
        </row>
        <row r="10473">
          <cell r="B10473"/>
          <cell r="C10473"/>
          <cell r="E10473"/>
          <cell r="F10473"/>
          <cell r="G10473"/>
          <cell r="H10473"/>
          <cell r="J10473"/>
          <cell r="L10473"/>
          <cell r="M10473"/>
        </row>
        <row r="10474">
          <cell r="B10474"/>
          <cell r="C10474"/>
          <cell r="E10474"/>
          <cell r="F10474"/>
          <cell r="G10474"/>
          <cell r="H10474"/>
          <cell r="J10474"/>
          <cell r="L10474"/>
          <cell r="M10474"/>
        </row>
        <row r="10475">
          <cell r="B10475"/>
          <cell r="C10475"/>
          <cell r="E10475"/>
          <cell r="F10475"/>
          <cell r="G10475"/>
          <cell r="H10475"/>
          <cell r="J10475"/>
          <cell r="L10475"/>
          <cell r="M10475"/>
        </row>
        <row r="10476">
          <cell r="B10476"/>
          <cell r="C10476"/>
          <cell r="E10476"/>
          <cell r="F10476"/>
          <cell r="G10476"/>
          <cell r="H10476"/>
          <cell r="J10476"/>
          <cell r="L10476"/>
          <cell r="M10476"/>
        </row>
        <row r="10477">
          <cell r="B10477"/>
          <cell r="C10477"/>
          <cell r="E10477"/>
          <cell r="F10477"/>
          <cell r="G10477"/>
          <cell r="H10477"/>
          <cell r="J10477"/>
          <cell r="L10477"/>
          <cell r="M10477"/>
        </row>
        <row r="10478">
          <cell r="B10478"/>
          <cell r="C10478"/>
          <cell r="E10478"/>
          <cell r="F10478"/>
          <cell r="G10478"/>
          <cell r="H10478"/>
          <cell r="J10478"/>
          <cell r="L10478"/>
          <cell r="M10478"/>
        </row>
        <row r="10479">
          <cell r="B10479"/>
          <cell r="C10479"/>
          <cell r="E10479"/>
          <cell r="F10479"/>
          <cell r="G10479"/>
          <cell r="H10479"/>
          <cell r="J10479"/>
          <cell r="L10479"/>
          <cell r="M10479"/>
        </row>
        <row r="10480">
          <cell r="B10480"/>
          <cell r="C10480"/>
          <cell r="E10480"/>
          <cell r="F10480"/>
          <cell r="G10480"/>
          <cell r="H10480"/>
          <cell r="J10480"/>
          <cell r="L10480"/>
          <cell r="M10480"/>
        </row>
        <row r="10481">
          <cell r="B10481"/>
          <cell r="C10481"/>
          <cell r="E10481"/>
          <cell r="F10481"/>
          <cell r="G10481"/>
          <cell r="H10481"/>
          <cell r="J10481"/>
          <cell r="L10481"/>
          <cell r="M10481"/>
        </row>
        <row r="10482">
          <cell r="B10482"/>
          <cell r="C10482"/>
          <cell r="E10482"/>
          <cell r="F10482"/>
          <cell r="G10482"/>
          <cell r="H10482"/>
          <cell r="J10482"/>
          <cell r="L10482"/>
          <cell r="M10482"/>
        </row>
        <row r="10483">
          <cell r="B10483"/>
          <cell r="C10483"/>
          <cell r="E10483"/>
          <cell r="F10483"/>
          <cell r="G10483"/>
          <cell r="H10483"/>
          <cell r="J10483"/>
          <cell r="L10483"/>
          <cell r="M10483"/>
        </row>
        <row r="10484">
          <cell r="B10484"/>
          <cell r="C10484"/>
          <cell r="E10484"/>
          <cell r="F10484"/>
          <cell r="G10484"/>
          <cell r="H10484"/>
          <cell r="J10484"/>
          <cell r="L10484"/>
          <cell r="M10484"/>
        </row>
        <row r="10485">
          <cell r="B10485"/>
          <cell r="C10485"/>
          <cell r="E10485"/>
          <cell r="F10485"/>
          <cell r="G10485"/>
          <cell r="H10485"/>
          <cell r="J10485"/>
          <cell r="L10485"/>
          <cell r="M10485"/>
        </row>
        <row r="10486">
          <cell r="B10486"/>
          <cell r="C10486"/>
          <cell r="E10486"/>
          <cell r="F10486"/>
          <cell r="G10486"/>
          <cell r="H10486"/>
          <cell r="J10486"/>
          <cell r="L10486"/>
          <cell r="M10486"/>
        </row>
        <row r="10487">
          <cell r="B10487"/>
          <cell r="C10487"/>
          <cell r="E10487"/>
          <cell r="F10487"/>
          <cell r="G10487"/>
          <cell r="H10487"/>
          <cell r="J10487"/>
          <cell r="L10487"/>
          <cell r="M10487"/>
        </row>
        <row r="10488">
          <cell r="B10488"/>
          <cell r="C10488"/>
          <cell r="E10488"/>
          <cell r="F10488"/>
          <cell r="G10488"/>
          <cell r="H10488"/>
          <cell r="J10488"/>
          <cell r="L10488"/>
          <cell r="M10488"/>
        </row>
        <row r="10489">
          <cell r="B10489"/>
          <cell r="C10489"/>
          <cell r="E10489"/>
          <cell r="F10489"/>
          <cell r="G10489"/>
          <cell r="H10489"/>
          <cell r="J10489"/>
          <cell r="L10489"/>
          <cell r="M10489"/>
        </row>
        <row r="10490">
          <cell r="B10490"/>
          <cell r="C10490"/>
          <cell r="E10490"/>
          <cell r="F10490"/>
          <cell r="G10490"/>
          <cell r="H10490"/>
          <cell r="J10490"/>
          <cell r="L10490"/>
          <cell r="M10490"/>
        </row>
        <row r="10491">
          <cell r="B10491"/>
          <cell r="C10491"/>
          <cell r="E10491"/>
          <cell r="F10491"/>
          <cell r="G10491"/>
          <cell r="H10491"/>
          <cell r="J10491"/>
          <cell r="L10491"/>
          <cell r="M10491"/>
        </row>
        <row r="10492">
          <cell r="B10492"/>
          <cell r="C10492"/>
          <cell r="E10492"/>
          <cell r="F10492"/>
          <cell r="G10492"/>
          <cell r="H10492"/>
          <cell r="J10492"/>
          <cell r="L10492"/>
          <cell r="M10492"/>
        </row>
        <row r="10493">
          <cell r="B10493"/>
          <cell r="C10493"/>
          <cell r="E10493"/>
          <cell r="F10493"/>
          <cell r="G10493"/>
          <cell r="H10493"/>
          <cell r="J10493"/>
          <cell r="L10493"/>
          <cell r="M10493"/>
        </row>
        <row r="10494">
          <cell r="B10494"/>
          <cell r="C10494"/>
          <cell r="E10494"/>
          <cell r="F10494"/>
          <cell r="G10494"/>
          <cell r="H10494"/>
          <cell r="J10494"/>
          <cell r="L10494"/>
          <cell r="M10494"/>
        </row>
        <row r="10495">
          <cell r="B10495"/>
          <cell r="C10495"/>
          <cell r="E10495"/>
          <cell r="F10495"/>
          <cell r="G10495"/>
          <cell r="H10495"/>
          <cell r="J10495"/>
          <cell r="L10495"/>
          <cell r="M10495"/>
        </row>
        <row r="10496">
          <cell r="B10496"/>
          <cell r="C10496"/>
          <cell r="E10496"/>
          <cell r="F10496"/>
          <cell r="G10496"/>
          <cell r="H10496"/>
          <cell r="J10496"/>
          <cell r="L10496"/>
          <cell r="M10496"/>
        </row>
        <row r="10497">
          <cell r="B10497"/>
          <cell r="C10497"/>
          <cell r="E10497"/>
          <cell r="F10497"/>
          <cell r="G10497"/>
          <cell r="H10497"/>
          <cell r="J10497"/>
          <cell r="L10497"/>
          <cell r="M10497"/>
        </row>
        <row r="10498">
          <cell r="B10498"/>
          <cell r="C10498"/>
          <cell r="E10498"/>
          <cell r="F10498"/>
          <cell r="G10498"/>
          <cell r="H10498"/>
          <cell r="J10498"/>
          <cell r="L10498"/>
          <cell r="M10498"/>
        </row>
        <row r="10499">
          <cell r="B10499"/>
          <cell r="C10499"/>
          <cell r="E10499"/>
          <cell r="F10499"/>
          <cell r="G10499"/>
          <cell r="H10499"/>
          <cell r="J10499"/>
          <cell r="L10499"/>
          <cell r="M10499"/>
        </row>
        <row r="10500">
          <cell r="B10500"/>
          <cell r="C10500"/>
          <cell r="E10500"/>
          <cell r="F10500"/>
          <cell r="G10500"/>
          <cell r="H10500"/>
          <cell r="J10500"/>
          <cell r="L10500"/>
          <cell r="M10500"/>
        </row>
        <row r="10501">
          <cell r="B10501"/>
          <cell r="C10501"/>
          <cell r="E10501"/>
          <cell r="F10501"/>
          <cell r="G10501"/>
          <cell r="H10501"/>
          <cell r="J10501"/>
          <cell r="L10501"/>
          <cell r="M10501"/>
        </row>
        <row r="10502">
          <cell r="B10502"/>
          <cell r="C10502"/>
          <cell r="E10502"/>
          <cell r="F10502"/>
          <cell r="G10502"/>
          <cell r="H10502"/>
          <cell r="J10502"/>
          <cell r="L10502"/>
          <cell r="M10502"/>
        </row>
        <row r="10503">
          <cell r="B10503"/>
          <cell r="C10503"/>
          <cell r="E10503"/>
          <cell r="F10503"/>
          <cell r="G10503"/>
          <cell r="H10503"/>
          <cell r="J10503"/>
          <cell r="L10503"/>
          <cell r="M10503"/>
        </row>
        <row r="10504">
          <cell r="B10504"/>
          <cell r="C10504"/>
          <cell r="E10504"/>
          <cell r="F10504"/>
          <cell r="G10504"/>
          <cell r="H10504"/>
          <cell r="J10504"/>
          <cell r="L10504"/>
          <cell r="M10504"/>
        </row>
        <row r="10505">
          <cell r="B10505"/>
          <cell r="C10505"/>
          <cell r="E10505"/>
          <cell r="F10505"/>
          <cell r="G10505"/>
          <cell r="H10505"/>
          <cell r="J10505"/>
          <cell r="L10505"/>
          <cell r="M10505"/>
        </row>
        <row r="10506">
          <cell r="B10506"/>
          <cell r="C10506"/>
          <cell r="E10506"/>
          <cell r="F10506"/>
          <cell r="G10506"/>
          <cell r="H10506"/>
          <cell r="J10506"/>
          <cell r="L10506"/>
          <cell r="M10506"/>
        </row>
        <row r="10507">
          <cell r="B10507"/>
          <cell r="C10507"/>
          <cell r="E10507"/>
          <cell r="F10507"/>
          <cell r="G10507"/>
          <cell r="H10507"/>
          <cell r="J10507"/>
          <cell r="L10507"/>
          <cell r="M10507"/>
        </row>
        <row r="10508">
          <cell r="B10508"/>
          <cell r="C10508"/>
          <cell r="E10508"/>
          <cell r="F10508"/>
          <cell r="G10508"/>
          <cell r="H10508"/>
          <cell r="J10508"/>
          <cell r="L10508"/>
          <cell r="M10508"/>
        </row>
        <row r="10509">
          <cell r="B10509"/>
          <cell r="C10509"/>
          <cell r="E10509"/>
          <cell r="F10509"/>
          <cell r="G10509"/>
          <cell r="H10509"/>
          <cell r="J10509"/>
          <cell r="L10509"/>
          <cell r="M10509"/>
        </row>
        <row r="10510">
          <cell r="B10510"/>
          <cell r="C10510"/>
          <cell r="E10510"/>
          <cell r="F10510"/>
          <cell r="G10510"/>
          <cell r="H10510"/>
          <cell r="J10510"/>
          <cell r="L10510"/>
          <cell r="M10510"/>
        </row>
        <row r="10511">
          <cell r="B10511"/>
          <cell r="C10511"/>
          <cell r="E10511"/>
          <cell r="F10511"/>
          <cell r="G10511"/>
          <cell r="H10511"/>
          <cell r="J10511"/>
          <cell r="L10511"/>
          <cell r="M10511"/>
        </row>
        <row r="10512">
          <cell r="B10512"/>
          <cell r="C10512"/>
          <cell r="E10512"/>
          <cell r="F10512"/>
          <cell r="G10512"/>
          <cell r="H10512"/>
          <cell r="J10512"/>
          <cell r="L10512"/>
          <cell r="M10512"/>
        </row>
        <row r="10513">
          <cell r="B10513"/>
          <cell r="C10513"/>
          <cell r="E10513"/>
          <cell r="F10513"/>
          <cell r="G10513"/>
          <cell r="H10513"/>
          <cell r="J10513"/>
          <cell r="L10513"/>
          <cell r="M10513"/>
        </row>
        <row r="10514">
          <cell r="B10514"/>
          <cell r="C10514"/>
          <cell r="E10514"/>
          <cell r="F10514"/>
          <cell r="G10514"/>
          <cell r="H10514"/>
          <cell r="J10514"/>
          <cell r="L10514"/>
          <cell r="M10514"/>
        </row>
        <row r="10515">
          <cell r="B10515"/>
          <cell r="C10515"/>
          <cell r="E10515"/>
          <cell r="F10515"/>
          <cell r="G10515"/>
          <cell r="H10515"/>
          <cell r="J10515"/>
          <cell r="L10515"/>
          <cell r="M10515"/>
        </row>
        <row r="10516">
          <cell r="B10516"/>
          <cell r="C10516"/>
          <cell r="E10516"/>
          <cell r="F10516"/>
          <cell r="G10516"/>
          <cell r="H10516"/>
          <cell r="J10516"/>
          <cell r="L10516"/>
          <cell r="M10516"/>
        </row>
        <row r="10517">
          <cell r="B10517"/>
          <cell r="C10517"/>
          <cell r="E10517"/>
          <cell r="F10517"/>
          <cell r="G10517"/>
          <cell r="H10517"/>
          <cell r="J10517"/>
          <cell r="L10517"/>
          <cell r="M10517"/>
        </row>
        <row r="10518">
          <cell r="B10518"/>
          <cell r="C10518"/>
          <cell r="E10518"/>
          <cell r="F10518"/>
          <cell r="G10518"/>
          <cell r="H10518"/>
          <cell r="J10518"/>
          <cell r="L10518"/>
          <cell r="M10518"/>
        </row>
        <row r="10519">
          <cell r="B10519"/>
          <cell r="C10519"/>
          <cell r="E10519"/>
          <cell r="F10519"/>
          <cell r="G10519"/>
          <cell r="H10519"/>
          <cell r="J10519"/>
          <cell r="L10519"/>
          <cell r="M10519"/>
        </row>
        <row r="10520">
          <cell r="B10520"/>
          <cell r="C10520"/>
          <cell r="E10520"/>
          <cell r="F10520"/>
          <cell r="G10520"/>
          <cell r="H10520"/>
          <cell r="J10520"/>
          <cell r="L10520"/>
          <cell r="M10520"/>
        </row>
        <row r="10521">
          <cell r="B10521"/>
          <cell r="C10521"/>
          <cell r="E10521"/>
          <cell r="F10521"/>
          <cell r="G10521"/>
          <cell r="H10521"/>
          <cell r="J10521"/>
          <cell r="L10521"/>
          <cell r="M10521"/>
        </row>
        <row r="10522">
          <cell r="B10522"/>
          <cell r="C10522"/>
          <cell r="E10522"/>
          <cell r="F10522"/>
          <cell r="G10522"/>
          <cell r="H10522"/>
          <cell r="J10522"/>
          <cell r="L10522"/>
          <cell r="M10522"/>
        </row>
        <row r="10523">
          <cell r="B10523"/>
          <cell r="C10523"/>
          <cell r="E10523"/>
          <cell r="F10523"/>
          <cell r="G10523"/>
          <cell r="H10523"/>
          <cell r="J10523"/>
          <cell r="L10523"/>
          <cell r="M10523"/>
        </row>
        <row r="10524">
          <cell r="B10524"/>
          <cell r="C10524"/>
          <cell r="E10524"/>
          <cell r="F10524"/>
          <cell r="G10524"/>
          <cell r="H10524"/>
          <cell r="J10524"/>
          <cell r="L10524"/>
          <cell r="M10524"/>
        </row>
        <row r="10525">
          <cell r="B10525"/>
          <cell r="C10525"/>
          <cell r="E10525"/>
          <cell r="F10525"/>
          <cell r="G10525"/>
          <cell r="H10525"/>
          <cell r="J10525"/>
          <cell r="L10525"/>
          <cell r="M10525"/>
        </row>
        <row r="10526">
          <cell r="B10526"/>
          <cell r="C10526"/>
          <cell r="E10526"/>
          <cell r="F10526"/>
          <cell r="G10526"/>
          <cell r="H10526"/>
          <cell r="J10526"/>
          <cell r="L10526"/>
          <cell r="M10526"/>
        </row>
        <row r="10527">
          <cell r="B10527"/>
          <cell r="C10527"/>
          <cell r="E10527"/>
          <cell r="F10527"/>
          <cell r="G10527"/>
          <cell r="H10527"/>
          <cell r="J10527"/>
          <cell r="L10527"/>
          <cell r="M10527"/>
        </row>
        <row r="10528">
          <cell r="B10528"/>
          <cell r="C10528"/>
          <cell r="E10528"/>
          <cell r="F10528"/>
          <cell r="G10528"/>
          <cell r="H10528"/>
          <cell r="J10528"/>
          <cell r="L10528"/>
          <cell r="M10528"/>
        </row>
        <row r="10529">
          <cell r="B10529"/>
          <cell r="C10529"/>
          <cell r="E10529"/>
          <cell r="F10529"/>
          <cell r="G10529"/>
          <cell r="H10529"/>
          <cell r="J10529"/>
          <cell r="L10529"/>
          <cell r="M10529"/>
        </row>
        <row r="10530">
          <cell r="B10530"/>
          <cell r="C10530"/>
          <cell r="E10530"/>
          <cell r="F10530"/>
          <cell r="G10530"/>
          <cell r="H10530"/>
          <cell r="J10530"/>
          <cell r="L10530"/>
          <cell r="M10530"/>
        </row>
        <row r="10531">
          <cell r="B10531"/>
          <cell r="C10531"/>
          <cell r="E10531"/>
          <cell r="F10531"/>
          <cell r="G10531"/>
          <cell r="H10531"/>
          <cell r="J10531"/>
          <cell r="L10531"/>
          <cell r="M10531"/>
        </row>
        <row r="10532">
          <cell r="B10532"/>
          <cell r="C10532"/>
          <cell r="E10532"/>
          <cell r="F10532"/>
          <cell r="G10532"/>
          <cell r="H10532"/>
          <cell r="J10532"/>
          <cell r="L10532"/>
          <cell r="M10532"/>
        </row>
        <row r="10533">
          <cell r="B10533"/>
          <cell r="C10533"/>
          <cell r="E10533"/>
          <cell r="F10533"/>
          <cell r="G10533"/>
          <cell r="H10533"/>
          <cell r="J10533"/>
          <cell r="L10533"/>
          <cell r="M10533"/>
        </row>
        <row r="10534">
          <cell r="B10534"/>
          <cell r="C10534"/>
          <cell r="E10534"/>
          <cell r="F10534"/>
          <cell r="G10534"/>
          <cell r="H10534"/>
          <cell r="J10534"/>
          <cell r="L10534"/>
          <cell r="M10534"/>
        </row>
        <row r="10535">
          <cell r="B10535"/>
          <cell r="C10535"/>
          <cell r="E10535"/>
          <cell r="F10535"/>
          <cell r="G10535"/>
          <cell r="H10535"/>
          <cell r="J10535"/>
          <cell r="L10535"/>
          <cell r="M10535"/>
        </row>
        <row r="10536">
          <cell r="B10536"/>
          <cell r="C10536"/>
          <cell r="E10536"/>
          <cell r="F10536"/>
          <cell r="G10536"/>
          <cell r="H10536"/>
          <cell r="J10536"/>
          <cell r="L10536"/>
          <cell r="M10536"/>
        </row>
        <row r="10537">
          <cell r="B10537"/>
          <cell r="C10537"/>
          <cell r="E10537"/>
          <cell r="F10537"/>
          <cell r="G10537"/>
          <cell r="H10537"/>
          <cell r="J10537"/>
          <cell r="L10537"/>
          <cell r="M10537"/>
        </row>
        <row r="10538">
          <cell r="B10538"/>
          <cell r="C10538"/>
          <cell r="E10538"/>
          <cell r="F10538"/>
          <cell r="G10538"/>
          <cell r="H10538"/>
          <cell r="J10538"/>
          <cell r="L10538"/>
          <cell r="M10538"/>
        </row>
        <row r="10539">
          <cell r="B10539"/>
          <cell r="C10539"/>
          <cell r="E10539"/>
          <cell r="F10539"/>
          <cell r="G10539"/>
          <cell r="H10539"/>
          <cell r="J10539"/>
          <cell r="L10539"/>
          <cell r="M10539"/>
        </row>
        <row r="10540">
          <cell r="B10540"/>
          <cell r="C10540"/>
          <cell r="E10540"/>
          <cell r="F10540"/>
          <cell r="G10540"/>
          <cell r="H10540"/>
          <cell r="J10540"/>
          <cell r="L10540"/>
          <cell r="M10540"/>
        </row>
        <row r="10541">
          <cell r="B10541"/>
          <cell r="C10541"/>
          <cell r="E10541"/>
          <cell r="F10541"/>
          <cell r="G10541"/>
          <cell r="H10541"/>
          <cell r="J10541"/>
          <cell r="L10541"/>
          <cell r="M10541"/>
        </row>
        <row r="10542">
          <cell r="B10542"/>
          <cell r="C10542"/>
          <cell r="E10542"/>
          <cell r="F10542"/>
          <cell r="G10542"/>
          <cell r="H10542"/>
          <cell r="J10542"/>
          <cell r="L10542"/>
          <cell r="M10542"/>
        </row>
        <row r="10543">
          <cell r="B10543"/>
          <cell r="C10543"/>
          <cell r="E10543"/>
          <cell r="F10543"/>
          <cell r="G10543"/>
          <cell r="H10543"/>
          <cell r="J10543"/>
          <cell r="L10543"/>
          <cell r="M10543"/>
        </row>
        <row r="10544">
          <cell r="B10544"/>
          <cell r="C10544"/>
          <cell r="E10544"/>
          <cell r="F10544"/>
          <cell r="G10544"/>
          <cell r="H10544"/>
          <cell r="J10544"/>
          <cell r="L10544"/>
          <cell r="M10544"/>
        </row>
        <row r="10545">
          <cell r="B10545"/>
          <cell r="C10545"/>
          <cell r="E10545"/>
          <cell r="F10545"/>
          <cell r="G10545"/>
          <cell r="H10545"/>
          <cell r="J10545"/>
          <cell r="L10545"/>
          <cell r="M10545"/>
        </row>
        <row r="10546">
          <cell r="B10546"/>
          <cell r="C10546"/>
          <cell r="E10546"/>
          <cell r="F10546"/>
          <cell r="G10546"/>
          <cell r="H10546"/>
          <cell r="J10546"/>
          <cell r="L10546"/>
          <cell r="M10546"/>
        </row>
        <row r="10547">
          <cell r="B10547"/>
          <cell r="C10547"/>
          <cell r="E10547"/>
          <cell r="F10547"/>
          <cell r="G10547"/>
          <cell r="H10547"/>
          <cell r="J10547"/>
          <cell r="L10547"/>
          <cell r="M10547"/>
        </row>
        <row r="10548">
          <cell r="B10548"/>
          <cell r="C10548"/>
          <cell r="E10548"/>
          <cell r="F10548"/>
          <cell r="G10548"/>
          <cell r="H10548"/>
          <cell r="J10548"/>
          <cell r="L10548"/>
          <cell r="M10548"/>
        </row>
        <row r="10549">
          <cell r="B10549"/>
          <cell r="C10549"/>
          <cell r="E10549"/>
          <cell r="F10549"/>
          <cell r="G10549"/>
          <cell r="H10549"/>
          <cell r="J10549"/>
          <cell r="L10549"/>
          <cell r="M10549"/>
        </row>
        <row r="10550">
          <cell r="B10550"/>
          <cell r="C10550"/>
          <cell r="E10550"/>
          <cell r="F10550"/>
          <cell r="G10550"/>
          <cell r="H10550"/>
          <cell r="J10550"/>
          <cell r="L10550"/>
          <cell r="M10550"/>
        </row>
        <row r="10551">
          <cell r="B10551"/>
          <cell r="C10551"/>
          <cell r="E10551"/>
          <cell r="F10551"/>
          <cell r="G10551"/>
          <cell r="H10551"/>
          <cell r="J10551"/>
          <cell r="L10551"/>
          <cell r="M10551"/>
        </row>
        <row r="10552">
          <cell r="B10552"/>
          <cell r="C10552"/>
          <cell r="E10552"/>
          <cell r="F10552"/>
          <cell r="G10552"/>
          <cell r="H10552"/>
          <cell r="J10552"/>
          <cell r="L10552"/>
          <cell r="M10552"/>
        </row>
        <row r="10553">
          <cell r="B10553"/>
          <cell r="C10553"/>
          <cell r="E10553"/>
          <cell r="F10553"/>
          <cell r="G10553"/>
          <cell r="H10553"/>
          <cell r="J10553"/>
          <cell r="L10553"/>
          <cell r="M10553"/>
        </row>
        <row r="10554">
          <cell r="B10554"/>
          <cell r="C10554"/>
          <cell r="E10554"/>
          <cell r="F10554"/>
          <cell r="G10554"/>
          <cell r="H10554"/>
          <cell r="J10554"/>
          <cell r="L10554"/>
          <cell r="M10554"/>
        </row>
        <row r="10555">
          <cell r="B10555"/>
          <cell r="C10555"/>
          <cell r="E10555"/>
          <cell r="F10555"/>
          <cell r="G10555"/>
          <cell r="H10555"/>
          <cell r="J10555"/>
          <cell r="L10555"/>
          <cell r="M10555"/>
        </row>
        <row r="10556">
          <cell r="B10556"/>
          <cell r="C10556"/>
          <cell r="E10556"/>
          <cell r="F10556"/>
          <cell r="G10556"/>
          <cell r="H10556"/>
          <cell r="J10556"/>
          <cell r="L10556"/>
          <cell r="M10556"/>
        </row>
        <row r="10557">
          <cell r="B10557"/>
          <cell r="C10557"/>
          <cell r="E10557"/>
          <cell r="F10557"/>
          <cell r="G10557"/>
          <cell r="H10557"/>
          <cell r="J10557"/>
          <cell r="L10557"/>
          <cell r="M10557"/>
        </row>
        <row r="10558">
          <cell r="B10558"/>
          <cell r="C10558"/>
          <cell r="E10558"/>
          <cell r="F10558"/>
          <cell r="G10558"/>
          <cell r="H10558"/>
          <cell r="J10558"/>
          <cell r="L10558"/>
          <cell r="M10558"/>
        </row>
        <row r="10559">
          <cell r="B10559"/>
          <cell r="C10559"/>
          <cell r="E10559"/>
          <cell r="F10559"/>
          <cell r="G10559"/>
          <cell r="H10559"/>
          <cell r="J10559"/>
          <cell r="L10559"/>
          <cell r="M10559"/>
        </row>
        <row r="10560">
          <cell r="B10560"/>
          <cell r="C10560"/>
          <cell r="E10560"/>
          <cell r="F10560"/>
          <cell r="G10560"/>
          <cell r="H10560"/>
          <cell r="J10560"/>
          <cell r="L10560"/>
          <cell r="M10560"/>
        </row>
        <row r="10561">
          <cell r="B10561"/>
          <cell r="C10561"/>
          <cell r="E10561"/>
          <cell r="F10561"/>
          <cell r="G10561"/>
          <cell r="H10561"/>
          <cell r="J10561"/>
          <cell r="L10561"/>
          <cell r="M10561"/>
        </row>
        <row r="10562">
          <cell r="B10562"/>
          <cell r="C10562"/>
          <cell r="E10562"/>
          <cell r="F10562"/>
          <cell r="G10562"/>
          <cell r="H10562"/>
          <cell r="J10562"/>
          <cell r="L10562"/>
          <cell r="M10562"/>
        </row>
        <row r="10563">
          <cell r="B10563"/>
          <cell r="C10563"/>
          <cell r="E10563"/>
          <cell r="F10563"/>
          <cell r="G10563"/>
          <cell r="H10563"/>
          <cell r="J10563"/>
          <cell r="L10563"/>
          <cell r="M10563"/>
        </row>
        <row r="10564">
          <cell r="B10564"/>
          <cell r="C10564"/>
          <cell r="E10564"/>
          <cell r="F10564"/>
          <cell r="G10564"/>
          <cell r="H10564"/>
          <cell r="J10564"/>
          <cell r="L10564"/>
          <cell r="M10564"/>
        </row>
        <row r="10565">
          <cell r="B10565"/>
          <cell r="C10565"/>
          <cell r="E10565"/>
          <cell r="F10565"/>
          <cell r="G10565"/>
          <cell r="H10565"/>
          <cell r="J10565"/>
          <cell r="L10565"/>
          <cell r="M10565"/>
        </row>
        <row r="10566">
          <cell r="B10566"/>
          <cell r="C10566"/>
          <cell r="E10566"/>
          <cell r="F10566"/>
          <cell r="G10566"/>
          <cell r="H10566"/>
          <cell r="J10566"/>
          <cell r="L10566"/>
          <cell r="M10566"/>
        </row>
        <row r="10567">
          <cell r="B10567"/>
          <cell r="C10567"/>
          <cell r="E10567"/>
          <cell r="F10567"/>
          <cell r="G10567"/>
          <cell r="H10567"/>
          <cell r="J10567"/>
          <cell r="L10567"/>
          <cell r="M10567"/>
        </row>
        <row r="10568">
          <cell r="B10568"/>
          <cell r="C10568"/>
          <cell r="E10568"/>
          <cell r="F10568"/>
          <cell r="G10568"/>
          <cell r="H10568"/>
          <cell r="J10568"/>
          <cell r="L10568"/>
          <cell r="M10568"/>
        </row>
        <row r="10569">
          <cell r="B10569"/>
          <cell r="C10569"/>
          <cell r="E10569"/>
          <cell r="F10569"/>
          <cell r="G10569"/>
          <cell r="H10569"/>
          <cell r="J10569"/>
          <cell r="L10569"/>
          <cell r="M10569"/>
        </row>
        <row r="10570">
          <cell r="B10570"/>
          <cell r="C10570"/>
          <cell r="E10570"/>
          <cell r="F10570"/>
          <cell r="G10570"/>
          <cell r="H10570"/>
          <cell r="J10570"/>
          <cell r="L10570"/>
          <cell r="M10570"/>
        </row>
        <row r="10571">
          <cell r="B10571"/>
          <cell r="C10571"/>
          <cell r="E10571"/>
          <cell r="F10571"/>
          <cell r="G10571"/>
          <cell r="H10571"/>
          <cell r="J10571"/>
          <cell r="L10571"/>
          <cell r="M10571"/>
        </row>
        <row r="10572">
          <cell r="B10572"/>
          <cell r="C10572"/>
          <cell r="E10572"/>
          <cell r="F10572"/>
          <cell r="G10572"/>
          <cell r="H10572"/>
          <cell r="J10572"/>
          <cell r="L10572"/>
          <cell r="M10572"/>
        </row>
        <row r="10573">
          <cell r="B10573"/>
          <cell r="C10573"/>
          <cell r="E10573"/>
          <cell r="F10573"/>
          <cell r="G10573"/>
          <cell r="H10573"/>
          <cell r="J10573"/>
          <cell r="L10573"/>
          <cell r="M10573"/>
        </row>
        <row r="10574">
          <cell r="B10574"/>
          <cell r="C10574"/>
          <cell r="E10574"/>
          <cell r="F10574"/>
          <cell r="G10574"/>
          <cell r="H10574"/>
          <cell r="J10574"/>
          <cell r="L10574"/>
          <cell r="M10574"/>
        </row>
        <row r="10575">
          <cell r="B10575"/>
          <cell r="C10575"/>
          <cell r="E10575"/>
          <cell r="F10575"/>
          <cell r="G10575"/>
          <cell r="H10575"/>
          <cell r="J10575"/>
          <cell r="L10575"/>
          <cell r="M10575"/>
        </row>
        <row r="10576">
          <cell r="B10576"/>
          <cell r="C10576"/>
          <cell r="E10576"/>
          <cell r="F10576"/>
          <cell r="G10576"/>
          <cell r="H10576"/>
          <cell r="J10576"/>
          <cell r="L10576"/>
          <cell r="M10576"/>
        </row>
        <row r="10577">
          <cell r="B10577"/>
          <cell r="C10577"/>
          <cell r="E10577"/>
          <cell r="F10577"/>
          <cell r="G10577"/>
          <cell r="H10577"/>
          <cell r="J10577"/>
          <cell r="L10577"/>
          <cell r="M10577"/>
        </row>
        <row r="10578">
          <cell r="B10578"/>
          <cell r="C10578"/>
          <cell r="E10578"/>
          <cell r="F10578"/>
          <cell r="G10578"/>
          <cell r="H10578"/>
          <cell r="J10578"/>
          <cell r="L10578"/>
          <cell r="M10578"/>
        </row>
        <row r="10579">
          <cell r="B10579"/>
          <cell r="C10579"/>
          <cell r="E10579"/>
          <cell r="F10579"/>
          <cell r="G10579"/>
          <cell r="H10579"/>
          <cell r="J10579"/>
          <cell r="L10579"/>
          <cell r="M10579"/>
        </row>
        <row r="10580">
          <cell r="B10580"/>
          <cell r="C10580"/>
          <cell r="E10580"/>
          <cell r="F10580"/>
          <cell r="G10580"/>
          <cell r="H10580"/>
          <cell r="J10580"/>
          <cell r="L10580"/>
          <cell r="M10580"/>
        </row>
        <row r="10581">
          <cell r="B10581"/>
          <cell r="C10581"/>
          <cell r="E10581"/>
          <cell r="F10581"/>
          <cell r="G10581"/>
          <cell r="H10581"/>
          <cell r="J10581"/>
          <cell r="L10581"/>
          <cell r="M10581"/>
        </row>
        <row r="10582">
          <cell r="B10582"/>
          <cell r="C10582"/>
          <cell r="E10582"/>
          <cell r="F10582"/>
          <cell r="G10582"/>
          <cell r="H10582"/>
          <cell r="J10582"/>
          <cell r="L10582"/>
          <cell r="M10582"/>
        </row>
        <row r="10583">
          <cell r="B10583"/>
          <cell r="C10583"/>
          <cell r="E10583"/>
          <cell r="F10583"/>
          <cell r="G10583"/>
          <cell r="H10583"/>
          <cell r="J10583"/>
          <cell r="L10583"/>
          <cell r="M10583"/>
        </row>
        <row r="10584">
          <cell r="B10584"/>
          <cell r="C10584"/>
          <cell r="E10584"/>
          <cell r="F10584"/>
          <cell r="G10584"/>
          <cell r="H10584"/>
          <cell r="J10584"/>
          <cell r="L10584"/>
          <cell r="M10584"/>
        </row>
        <row r="10585">
          <cell r="B10585"/>
          <cell r="C10585"/>
          <cell r="E10585"/>
          <cell r="F10585"/>
          <cell r="G10585"/>
          <cell r="H10585"/>
          <cell r="J10585"/>
          <cell r="L10585"/>
          <cell r="M10585"/>
        </row>
        <row r="10586">
          <cell r="B10586"/>
          <cell r="C10586"/>
          <cell r="E10586"/>
          <cell r="F10586"/>
          <cell r="G10586"/>
          <cell r="H10586"/>
          <cell r="J10586"/>
          <cell r="L10586"/>
          <cell r="M10586"/>
        </row>
        <row r="10587">
          <cell r="B10587"/>
          <cell r="C10587"/>
          <cell r="E10587"/>
          <cell r="F10587"/>
          <cell r="G10587"/>
          <cell r="H10587"/>
          <cell r="J10587"/>
          <cell r="L10587"/>
          <cell r="M10587"/>
        </row>
        <row r="10588">
          <cell r="B10588"/>
          <cell r="C10588"/>
          <cell r="E10588"/>
          <cell r="F10588"/>
          <cell r="G10588"/>
          <cell r="H10588"/>
          <cell r="J10588"/>
          <cell r="L10588"/>
          <cell r="M10588"/>
        </row>
        <row r="10589">
          <cell r="B10589"/>
          <cell r="C10589"/>
          <cell r="E10589"/>
          <cell r="F10589"/>
          <cell r="G10589"/>
          <cell r="H10589"/>
          <cell r="J10589"/>
          <cell r="L10589"/>
          <cell r="M10589"/>
        </row>
        <row r="10590">
          <cell r="B10590"/>
          <cell r="C10590"/>
          <cell r="E10590"/>
          <cell r="F10590"/>
          <cell r="G10590"/>
          <cell r="H10590"/>
          <cell r="J10590"/>
          <cell r="L10590"/>
          <cell r="M10590"/>
        </row>
        <row r="10591">
          <cell r="B10591"/>
          <cell r="C10591"/>
          <cell r="E10591"/>
          <cell r="F10591"/>
          <cell r="G10591"/>
          <cell r="H10591"/>
          <cell r="J10591"/>
          <cell r="L10591"/>
          <cell r="M10591"/>
        </row>
        <row r="10592">
          <cell r="B10592"/>
          <cell r="C10592"/>
          <cell r="E10592"/>
          <cell r="F10592"/>
          <cell r="G10592"/>
          <cell r="H10592"/>
          <cell r="J10592"/>
          <cell r="L10592"/>
          <cell r="M10592"/>
        </row>
        <row r="10593">
          <cell r="B10593"/>
          <cell r="C10593"/>
          <cell r="E10593"/>
          <cell r="F10593"/>
          <cell r="G10593"/>
          <cell r="H10593"/>
          <cell r="J10593"/>
          <cell r="L10593"/>
          <cell r="M10593"/>
        </row>
        <row r="10594">
          <cell r="B10594"/>
          <cell r="C10594"/>
          <cell r="E10594"/>
          <cell r="F10594"/>
          <cell r="G10594"/>
          <cell r="H10594"/>
          <cell r="J10594"/>
          <cell r="L10594"/>
          <cell r="M10594"/>
        </row>
        <row r="10595">
          <cell r="B10595"/>
          <cell r="C10595"/>
          <cell r="E10595"/>
          <cell r="F10595"/>
          <cell r="G10595"/>
          <cell r="H10595"/>
          <cell r="J10595"/>
          <cell r="L10595"/>
          <cell r="M10595"/>
        </row>
        <row r="10596">
          <cell r="B10596"/>
          <cell r="C10596"/>
          <cell r="E10596"/>
          <cell r="F10596"/>
          <cell r="G10596"/>
          <cell r="H10596"/>
          <cell r="J10596"/>
          <cell r="L10596"/>
          <cell r="M10596"/>
        </row>
        <row r="10597">
          <cell r="B10597"/>
          <cell r="C10597"/>
          <cell r="E10597"/>
          <cell r="F10597"/>
          <cell r="G10597"/>
          <cell r="H10597"/>
          <cell r="J10597"/>
          <cell r="L10597"/>
          <cell r="M10597"/>
        </row>
        <row r="10598">
          <cell r="B10598"/>
          <cell r="C10598"/>
          <cell r="E10598"/>
          <cell r="F10598"/>
          <cell r="G10598"/>
          <cell r="H10598"/>
          <cell r="J10598"/>
          <cell r="L10598"/>
          <cell r="M10598"/>
        </row>
        <row r="10599">
          <cell r="B10599"/>
          <cell r="C10599"/>
          <cell r="E10599"/>
          <cell r="F10599"/>
          <cell r="G10599"/>
          <cell r="H10599"/>
          <cell r="J10599"/>
          <cell r="L10599"/>
          <cell r="M10599"/>
        </row>
        <row r="10600">
          <cell r="B10600"/>
          <cell r="C10600"/>
          <cell r="E10600"/>
          <cell r="F10600"/>
          <cell r="G10600"/>
          <cell r="H10600"/>
          <cell r="J10600"/>
          <cell r="L10600"/>
          <cell r="M10600"/>
        </row>
        <row r="10601">
          <cell r="B10601"/>
          <cell r="C10601"/>
          <cell r="E10601"/>
          <cell r="F10601"/>
          <cell r="G10601"/>
          <cell r="H10601"/>
          <cell r="J10601"/>
          <cell r="L10601"/>
          <cell r="M10601"/>
        </row>
        <row r="10602">
          <cell r="B10602"/>
          <cell r="C10602"/>
          <cell r="E10602"/>
          <cell r="F10602"/>
          <cell r="G10602"/>
          <cell r="H10602"/>
          <cell r="J10602"/>
          <cell r="L10602"/>
          <cell r="M10602"/>
        </row>
        <row r="10603">
          <cell r="B10603"/>
          <cell r="C10603"/>
          <cell r="E10603"/>
          <cell r="F10603"/>
          <cell r="G10603"/>
          <cell r="H10603"/>
          <cell r="J10603"/>
          <cell r="L10603"/>
          <cell r="M10603"/>
        </row>
        <row r="10604">
          <cell r="B10604"/>
          <cell r="C10604"/>
          <cell r="E10604"/>
          <cell r="F10604"/>
          <cell r="G10604"/>
          <cell r="H10604"/>
          <cell r="J10604"/>
          <cell r="L10604"/>
          <cell r="M10604"/>
        </row>
        <row r="10605">
          <cell r="B10605"/>
          <cell r="C10605"/>
          <cell r="E10605"/>
          <cell r="F10605"/>
          <cell r="G10605"/>
          <cell r="H10605"/>
          <cell r="J10605"/>
          <cell r="L10605"/>
          <cell r="M10605"/>
        </row>
        <row r="10606">
          <cell r="B10606"/>
          <cell r="C10606"/>
          <cell r="E10606"/>
          <cell r="F10606"/>
          <cell r="G10606"/>
          <cell r="H10606"/>
          <cell r="J10606"/>
          <cell r="L10606"/>
          <cell r="M10606"/>
        </row>
        <row r="10607">
          <cell r="B10607"/>
          <cell r="C10607"/>
          <cell r="E10607"/>
          <cell r="F10607"/>
          <cell r="G10607"/>
          <cell r="H10607"/>
          <cell r="J10607"/>
          <cell r="L10607"/>
          <cell r="M10607"/>
        </row>
        <row r="10608">
          <cell r="B10608"/>
          <cell r="C10608"/>
          <cell r="E10608"/>
          <cell r="F10608"/>
          <cell r="G10608"/>
          <cell r="H10608"/>
          <cell r="J10608"/>
          <cell r="L10608"/>
          <cell r="M10608"/>
        </row>
        <row r="10609">
          <cell r="B10609"/>
          <cell r="C10609"/>
          <cell r="E10609"/>
          <cell r="F10609"/>
          <cell r="G10609"/>
          <cell r="H10609"/>
          <cell r="J10609"/>
          <cell r="L10609"/>
          <cell r="M10609"/>
        </row>
        <row r="10610">
          <cell r="B10610"/>
          <cell r="C10610"/>
          <cell r="E10610"/>
          <cell r="F10610"/>
          <cell r="G10610"/>
          <cell r="H10610"/>
          <cell r="J10610"/>
          <cell r="L10610"/>
          <cell r="M10610"/>
        </row>
        <row r="10611">
          <cell r="B10611"/>
          <cell r="C10611"/>
          <cell r="E10611"/>
          <cell r="F10611"/>
          <cell r="G10611"/>
          <cell r="H10611"/>
          <cell r="J10611"/>
          <cell r="L10611"/>
          <cell r="M10611"/>
        </row>
        <row r="10612">
          <cell r="B10612"/>
          <cell r="C10612"/>
          <cell r="E10612"/>
          <cell r="F10612"/>
          <cell r="G10612"/>
          <cell r="H10612"/>
          <cell r="J10612"/>
          <cell r="L10612"/>
          <cell r="M10612"/>
        </row>
        <row r="10613">
          <cell r="B10613"/>
          <cell r="C10613"/>
          <cell r="E10613"/>
          <cell r="F10613"/>
          <cell r="G10613"/>
          <cell r="H10613"/>
          <cell r="J10613"/>
          <cell r="L10613"/>
          <cell r="M10613"/>
        </row>
        <row r="10614">
          <cell r="B10614"/>
          <cell r="C10614"/>
          <cell r="E10614"/>
          <cell r="F10614"/>
          <cell r="G10614"/>
          <cell r="H10614"/>
          <cell r="J10614"/>
          <cell r="L10614"/>
          <cell r="M10614"/>
        </row>
        <row r="10615">
          <cell r="B10615"/>
          <cell r="C10615"/>
          <cell r="E10615"/>
          <cell r="F10615"/>
          <cell r="G10615"/>
          <cell r="H10615"/>
          <cell r="J10615"/>
          <cell r="L10615"/>
          <cell r="M10615"/>
        </row>
        <row r="10616">
          <cell r="B10616"/>
          <cell r="C10616"/>
          <cell r="E10616"/>
          <cell r="F10616"/>
          <cell r="G10616"/>
          <cell r="H10616"/>
          <cell r="J10616"/>
          <cell r="L10616"/>
          <cell r="M10616"/>
        </row>
        <row r="10617">
          <cell r="B10617"/>
          <cell r="C10617"/>
          <cell r="E10617"/>
          <cell r="F10617"/>
          <cell r="G10617"/>
          <cell r="H10617"/>
          <cell r="J10617"/>
          <cell r="L10617"/>
          <cell r="M10617"/>
        </row>
        <row r="10618">
          <cell r="B10618"/>
          <cell r="C10618"/>
          <cell r="E10618"/>
          <cell r="F10618"/>
          <cell r="G10618"/>
          <cell r="H10618"/>
          <cell r="J10618"/>
          <cell r="L10618"/>
          <cell r="M10618"/>
        </row>
        <row r="10619">
          <cell r="B10619"/>
          <cell r="C10619"/>
          <cell r="E10619"/>
          <cell r="F10619"/>
          <cell r="G10619"/>
          <cell r="H10619"/>
          <cell r="J10619"/>
          <cell r="L10619"/>
          <cell r="M10619"/>
        </row>
        <row r="10620">
          <cell r="B10620"/>
          <cell r="C10620"/>
          <cell r="E10620"/>
          <cell r="F10620"/>
          <cell r="G10620"/>
          <cell r="H10620"/>
          <cell r="J10620"/>
          <cell r="L10620"/>
          <cell r="M10620"/>
        </row>
        <row r="10621">
          <cell r="B10621"/>
          <cell r="C10621"/>
          <cell r="E10621"/>
          <cell r="F10621"/>
          <cell r="G10621"/>
          <cell r="H10621"/>
          <cell r="J10621"/>
          <cell r="L10621"/>
          <cell r="M10621"/>
        </row>
        <row r="10622">
          <cell r="B10622"/>
          <cell r="C10622"/>
          <cell r="E10622"/>
          <cell r="F10622"/>
          <cell r="G10622"/>
          <cell r="H10622"/>
          <cell r="J10622"/>
          <cell r="L10622"/>
          <cell r="M10622"/>
        </row>
        <row r="10623">
          <cell r="B10623"/>
          <cell r="C10623"/>
          <cell r="E10623"/>
          <cell r="F10623"/>
          <cell r="G10623"/>
          <cell r="H10623"/>
          <cell r="J10623"/>
          <cell r="L10623"/>
          <cell r="M10623"/>
        </row>
        <row r="10624">
          <cell r="B10624"/>
          <cell r="C10624"/>
          <cell r="E10624"/>
          <cell r="F10624"/>
          <cell r="G10624"/>
          <cell r="H10624"/>
          <cell r="J10624"/>
          <cell r="L10624"/>
          <cell r="M10624"/>
        </row>
        <row r="10625">
          <cell r="B10625"/>
          <cell r="C10625"/>
          <cell r="E10625"/>
          <cell r="F10625"/>
          <cell r="G10625"/>
          <cell r="H10625"/>
          <cell r="J10625"/>
          <cell r="L10625"/>
          <cell r="M10625"/>
        </row>
        <row r="10626">
          <cell r="B10626"/>
          <cell r="C10626"/>
          <cell r="E10626"/>
          <cell r="F10626"/>
          <cell r="G10626"/>
          <cell r="H10626"/>
          <cell r="J10626"/>
          <cell r="L10626"/>
          <cell r="M10626"/>
        </row>
        <row r="10627">
          <cell r="B10627"/>
          <cell r="C10627"/>
          <cell r="E10627"/>
          <cell r="F10627"/>
          <cell r="G10627"/>
          <cell r="H10627"/>
          <cell r="J10627"/>
          <cell r="L10627"/>
          <cell r="M10627"/>
        </row>
        <row r="10628">
          <cell r="B10628"/>
          <cell r="C10628"/>
          <cell r="E10628"/>
          <cell r="F10628"/>
          <cell r="G10628"/>
          <cell r="H10628"/>
          <cell r="J10628"/>
          <cell r="L10628"/>
          <cell r="M10628"/>
        </row>
        <row r="10629">
          <cell r="B10629"/>
          <cell r="C10629"/>
          <cell r="E10629"/>
          <cell r="F10629"/>
          <cell r="G10629"/>
          <cell r="H10629"/>
          <cell r="J10629"/>
          <cell r="L10629"/>
          <cell r="M10629"/>
        </row>
        <row r="10630">
          <cell r="B10630"/>
          <cell r="C10630"/>
          <cell r="E10630"/>
          <cell r="F10630"/>
          <cell r="G10630"/>
          <cell r="H10630"/>
          <cell r="J10630"/>
          <cell r="L10630"/>
          <cell r="M10630"/>
        </row>
        <row r="10631">
          <cell r="B10631"/>
          <cell r="C10631"/>
          <cell r="E10631"/>
          <cell r="F10631"/>
          <cell r="G10631"/>
          <cell r="H10631"/>
          <cell r="J10631"/>
          <cell r="L10631"/>
          <cell r="M10631"/>
        </row>
        <row r="10632">
          <cell r="B10632"/>
          <cell r="C10632"/>
          <cell r="E10632"/>
          <cell r="F10632"/>
          <cell r="G10632"/>
          <cell r="H10632"/>
          <cell r="J10632"/>
          <cell r="L10632"/>
          <cell r="M10632"/>
        </row>
        <row r="10633">
          <cell r="B10633"/>
          <cell r="C10633"/>
          <cell r="E10633"/>
          <cell r="F10633"/>
          <cell r="G10633"/>
          <cell r="H10633"/>
          <cell r="J10633"/>
          <cell r="L10633"/>
          <cell r="M10633"/>
        </row>
        <row r="10634">
          <cell r="B10634"/>
          <cell r="C10634"/>
          <cell r="E10634"/>
          <cell r="F10634"/>
          <cell r="G10634"/>
          <cell r="H10634"/>
          <cell r="J10634"/>
          <cell r="L10634"/>
          <cell r="M10634"/>
        </row>
        <row r="10635">
          <cell r="B10635"/>
          <cell r="C10635"/>
          <cell r="E10635"/>
          <cell r="F10635"/>
          <cell r="G10635"/>
          <cell r="H10635"/>
          <cell r="J10635"/>
          <cell r="L10635"/>
          <cell r="M10635"/>
        </row>
        <row r="10636">
          <cell r="B10636"/>
          <cell r="C10636"/>
          <cell r="E10636"/>
          <cell r="F10636"/>
          <cell r="G10636"/>
          <cell r="H10636"/>
          <cell r="J10636"/>
          <cell r="L10636"/>
          <cell r="M10636"/>
        </row>
        <row r="10637">
          <cell r="B10637"/>
          <cell r="C10637"/>
          <cell r="E10637"/>
          <cell r="F10637"/>
          <cell r="G10637"/>
          <cell r="H10637"/>
          <cell r="J10637"/>
          <cell r="L10637"/>
          <cell r="M10637"/>
        </row>
        <row r="10638">
          <cell r="B10638"/>
          <cell r="C10638"/>
          <cell r="E10638"/>
          <cell r="F10638"/>
          <cell r="G10638"/>
          <cell r="H10638"/>
          <cell r="J10638"/>
          <cell r="L10638"/>
          <cell r="M10638"/>
        </row>
        <row r="10639">
          <cell r="B10639"/>
          <cell r="C10639"/>
          <cell r="E10639"/>
          <cell r="F10639"/>
          <cell r="G10639"/>
          <cell r="H10639"/>
          <cell r="J10639"/>
          <cell r="L10639"/>
          <cell r="M10639"/>
        </row>
        <row r="10640">
          <cell r="B10640"/>
          <cell r="C10640"/>
          <cell r="E10640"/>
          <cell r="F10640"/>
          <cell r="G10640"/>
          <cell r="H10640"/>
          <cell r="J10640"/>
          <cell r="L10640"/>
          <cell r="M10640"/>
        </row>
        <row r="10641">
          <cell r="B10641"/>
          <cell r="C10641"/>
          <cell r="E10641"/>
          <cell r="F10641"/>
          <cell r="G10641"/>
          <cell r="H10641"/>
          <cell r="J10641"/>
          <cell r="L10641"/>
          <cell r="M10641"/>
        </row>
        <row r="10642">
          <cell r="B10642"/>
          <cell r="C10642"/>
          <cell r="E10642"/>
          <cell r="F10642"/>
          <cell r="G10642"/>
          <cell r="H10642"/>
          <cell r="J10642"/>
          <cell r="L10642"/>
          <cell r="M10642"/>
        </row>
        <row r="10643">
          <cell r="B10643"/>
          <cell r="C10643"/>
          <cell r="E10643"/>
          <cell r="F10643"/>
          <cell r="G10643"/>
          <cell r="H10643"/>
          <cell r="J10643"/>
          <cell r="L10643"/>
          <cell r="M10643"/>
        </row>
        <row r="10644">
          <cell r="B10644"/>
          <cell r="C10644"/>
          <cell r="E10644"/>
          <cell r="F10644"/>
          <cell r="G10644"/>
          <cell r="H10644"/>
          <cell r="J10644"/>
          <cell r="L10644"/>
          <cell r="M10644"/>
        </row>
        <row r="10645">
          <cell r="B10645"/>
          <cell r="C10645"/>
          <cell r="E10645"/>
          <cell r="F10645"/>
          <cell r="G10645"/>
          <cell r="H10645"/>
          <cell r="J10645"/>
          <cell r="L10645"/>
          <cell r="M10645"/>
        </row>
        <row r="10646">
          <cell r="B10646"/>
          <cell r="C10646"/>
          <cell r="E10646"/>
          <cell r="F10646"/>
          <cell r="G10646"/>
          <cell r="H10646"/>
          <cell r="J10646"/>
          <cell r="L10646"/>
          <cell r="M10646"/>
        </row>
        <row r="10647">
          <cell r="B10647"/>
          <cell r="C10647"/>
          <cell r="E10647"/>
          <cell r="F10647"/>
          <cell r="G10647"/>
          <cell r="H10647"/>
          <cell r="J10647"/>
          <cell r="L10647"/>
          <cell r="M10647"/>
        </row>
        <row r="10648">
          <cell r="B10648"/>
          <cell r="C10648"/>
          <cell r="E10648"/>
          <cell r="F10648"/>
          <cell r="G10648"/>
          <cell r="H10648"/>
          <cell r="J10648"/>
          <cell r="L10648"/>
          <cell r="M10648"/>
        </row>
        <row r="10649">
          <cell r="B10649"/>
          <cell r="C10649"/>
          <cell r="E10649"/>
          <cell r="F10649"/>
          <cell r="G10649"/>
          <cell r="H10649"/>
          <cell r="J10649"/>
          <cell r="L10649"/>
          <cell r="M10649"/>
        </row>
        <row r="10650">
          <cell r="B10650"/>
          <cell r="C10650"/>
          <cell r="E10650"/>
          <cell r="F10650"/>
          <cell r="G10650"/>
          <cell r="H10650"/>
          <cell r="J10650"/>
          <cell r="L10650"/>
          <cell r="M10650"/>
        </row>
        <row r="10651">
          <cell r="B10651"/>
          <cell r="C10651"/>
          <cell r="E10651"/>
          <cell r="F10651"/>
          <cell r="G10651"/>
          <cell r="H10651"/>
          <cell r="J10651"/>
          <cell r="L10651"/>
          <cell r="M10651"/>
        </row>
        <row r="10652">
          <cell r="B10652"/>
          <cell r="C10652"/>
          <cell r="E10652"/>
          <cell r="F10652"/>
          <cell r="G10652"/>
          <cell r="H10652"/>
          <cell r="J10652"/>
          <cell r="L10652"/>
          <cell r="M10652"/>
        </row>
        <row r="10653">
          <cell r="B10653"/>
          <cell r="C10653"/>
          <cell r="E10653"/>
          <cell r="F10653"/>
          <cell r="G10653"/>
          <cell r="H10653"/>
          <cell r="J10653"/>
          <cell r="L10653"/>
          <cell r="M10653"/>
        </row>
        <row r="10654">
          <cell r="B10654"/>
          <cell r="C10654"/>
          <cell r="E10654"/>
          <cell r="F10654"/>
          <cell r="G10654"/>
          <cell r="H10654"/>
          <cell r="J10654"/>
          <cell r="L10654"/>
          <cell r="M10654"/>
        </row>
        <row r="10655">
          <cell r="B10655"/>
          <cell r="C10655"/>
          <cell r="E10655"/>
          <cell r="F10655"/>
          <cell r="G10655"/>
          <cell r="H10655"/>
          <cell r="J10655"/>
          <cell r="L10655"/>
          <cell r="M10655"/>
        </row>
        <row r="10656">
          <cell r="B10656"/>
          <cell r="C10656"/>
          <cell r="E10656"/>
          <cell r="F10656"/>
          <cell r="G10656"/>
          <cell r="H10656"/>
          <cell r="J10656"/>
          <cell r="L10656"/>
          <cell r="M10656"/>
        </row>
        <row r="10657">
          <cell r="B10657"/>
          <cell r="C10657"/>
          <cell r="E10657"/>
          <cell r="F10657"/>
          <cell r="G10657"/>
          <cell r="H10657"/>
          <cell r="J10657"/>
          <cell r="L10657"/>
          <cell r="M10657"/>
        </row>
        <row r="10658">
          <cell r="B10658"/>
          <cell r="C10658"/>
          <cell r="E10658"/>
          <cell r="F10658"/>
          <cell r="G10658"/>
          <cell r="H10658"/>
          <cell r="J10658"/>
          <cell r="L10658"/>
          <cell r="M10658"/>
        </row>
        <row r="10659">
          <cell r="B10659"/>
          <cell r="C10659"/>
          <cell r="E10659"/>
          <cell r="F10659"/>
          <cell r="G10659"/>
          <cell r="H10659"/>
          <cell r="J10659"/>
          <cell r="L10659"/>
          <cell r="M10659"/>
        </row>
        <row r="10660">
          <cell r="B10660"/>
          <cell r="C10660"/>
          <cell r="E10660"/>
          <cell r="F10660"/>
          <cell r="G10660"/>
          <cell r="H10660"/>
          <cell r="J10660"/>
          <cell r="L10660"/>
          <cell r="M10660"/>
        </row>
        <row r="10661">
          <cell r="B10661"/>
          <cell r="C10661"/>
          <cell r="E10661"/>
          <cell r="F10661"/>
          <cell r="G10661"/>
          <cell r="H10661"/>
          <cell r="J10661"/>
          <cell r="L10661"/>
          <cell r="M10661"/>
        </row>
        <row r="10662">
          <cell r="B10662"/>
          <cell r="C10662"/>
          <cell r="E10662"/>
          <cell r="F10662"/>
          <cell r="G10662"/>
          <cell r="H10662"/>
          <cell r="J10662"/>
          <cell r="L10662"/>
          <cell r="M10662"/>
        </row>
        <row r="10663">
          <cell r="B10663"/>
          <cell r="C10663"/>
          <cell r="E10663"/>
          <cell r="F10663"/>
          <cell r="G10663"/>
          <cell r="H10663"/>
          <cell r="J10663"/>
          <cell r="L10663"/>
          <cell r="M10663"/>
        </row>
        <row r="10664">
          <cell r="B10664"/>
          <cell r="C10664"/>
          <cell r="E10664"/>
          <cell r="F10664"/>
          <cell r="G10664"/>
          <cell r="H10664"/>
          <cell r="J10664"/>
          <cell r="L10664"/>
          <cell r="M10664"/>
        </row>
        <row r="10665">
          <cell r="B10665"/>
          <cell r="C10665"/>
          <cell r="E10665"/>
          <cell r="F10665"/>
          <cell r="G10665"/>
          <cell r="H10665"/>
          <cell r="J10665"/>
          <cell r="L10665"/>
          <cell r="M10665"/>
        </row>
        <row r="10666">
          <cell r="B10666"/>
          <cell r="C10666"/>
          <cell r="E10666"/>
          <cell r="F10666"/>
          <cell r="G10666"/>
          <cell r="H10666"/>
          <cell r="J10666"/>
          <cell r="L10666"/>
          <cell r="M10666"/>
        </row>
        <row r="10667">
          <cell r="B10667"/>
          <cell r="C10667"/>
          <cell r="E10667"/>
          <cell r="F10667"/>
          <cell r="G10667"/>
          <cell r="H10667"/>
          <cell r="J10667"/>
          <cell r="L10667"/>
          <cell r="M10667"/>
        </row>
        <row r="10668">
          <cell r="B10668"/>
          <cell r="C10668"/>
          <cell r="E10668"/>
          <cell r="F10668"/>
          <cell r="G10668"/>
          <cell r="H10668"/>
          <cell r="J10668"/>
          <cell r="L10668"/>
          <cell r="M10668"/>
        </row>
        <row r="10669">
          <cell r="B10669"/>
          <cell r="C10669"/>
          <cell r="E10669"/>
          <cell r="F10669"/>
          <cell r="G10669"/>
          <cell r="H10669"/>
          <cell r="J10669"/>
          <cell r="L10669"/>
          <cell r="M10669"/>
        </row>
        <row r="10670">
          <cell r="B10670"/>
          <cell r="C10670"/>
          <cell r="E10670"/>
          <cell r="F10670"/>
          <cell r="G10670"/>
          <cell r="H10670"/>
          <cell r="J10670"/>
          <cell r="L10670"/>
          <cell r="M10670"/>
        </row>
        <row r="10671">
          <cell r="B10671"/>
          <cell r="C10671"/>
          <cell r="E10671"/>
          <cell r="F10671"/>
          <cell r="G10671"/>
          <cell r="H10671"/>
          <cell r="J10671"/>
          <cell r="L10671"/>
          <cell r="M10671"/>
        </row>
        <row r="10672">
          <cell r="B10672"/>
          <cell r="C10672"/>
          <cell r="E10672"/>
          <cell r="F10672"/>
          <cell r="G10672"/>
          <cell r="H10672"/>
          <cell r="J10672"/>
          <cell r="L10672"/>
          <cell r="M10672"/>
        </row>
        <row r="10673">
          <cell r="B10673"/>
          <cell r="C10673"/>
          <cell r="E10673"/>
          <cell r="F10673"/>
          <cell r="G10673"/>
          <cell r="H10673"/>
          <cell r="J10673"/>
          <cell r="L10673"/>
          <cell r="M10673"/>
        </row>
        <row r="10674">
          <cell r="B10674"/>
          <cell r="C10674"/>
          <cell r="E10674"/>
          <cell r="F10674"/>
          <cell r="G10674"/>
          <cell r="H10674"/>
          <cell r="J10674"/>
          <cell r="L10674"/>
          <cell r="M10674"/>
        </row>
        <row r="10675">
          <cell r="B10675"/>
          <cell r="C10675"/>
          <cell r="E10675"/>
          <cell r="F10675"/>
          <cell r="G10675"/>
          <cell r="H10675"/>
          <cell r="J10675"/>
          <cell r="L10675"/>
          <cell r="M10675"/>
        </row>
        <row r="10676">
          <cell r="B10676"/>
          <cell r="C10676"/>
          <cell r="E10676"/>
          <cell r="F10676"/>
          <cell r="G10676"/>
          <cell r="H10676"/>
          <cell r="J10676"/>
          <cell r="L10676"/>
          <cell r="M10676"/>
        </row>
        <row r="10677">
          <cell r="B10677"/>
          <cell r="C10677"/>
          <cell r="E10677"/>
          <cell r="F10677"/>
          <cell r="G10677"/>
          <cell r="H10677"/>
          <cell r="J10677"/>
          <cell r="L10677"/>
          <cell r="M10677"/>
        </row>
        <row r="10678">
          <cell r="B10678"/>
          <cell r="C10678"/>
          <cell r="E10678"/>
          <cell r="F10678"/>
          <cell r="G10678"/>
          <cell r="H10678"/>
          <cell r="J10678"/>
          <cell r="L10678"/>
          <cell r="M10678"/>
        </row>
        <row r="10679">
          <cell r="B10679"/>
          <cell r="C10679"/>
          <cell r="E10679"/>
          <cell r="F10679"/>
          <cell r="G10679"/>
          <cell r="H10679"/>
          <cell r="J10679"/>
          <cell r="L10679"/>
          <cell r="M10679"/>
        </row>
        <row r="10680">
          <cell r="B10680"/>
          <cell r="C10680"/>
          <cell r="E10680"/>
          <cell r="F10680"/>
          <cell r="G10680"/>
          <cell r="H10680"/>
          <cell r="J10680"/>
          <cell r="L10680"/>
          <cell r="M10680"/>
        </row>
        <row r="10681">
          <cell r="B10681"/>
          <cell r="C10681"/>
          <cell r="E10681"/>
          <cell r="F10681"/>
          <cell r="G10681"/>
          <cell r="H10681"/>
          <cell r="J10681"/>
          <cell r="L10681"/>
          <cell r="M10681"/>
        </row>
        <row r="10682">
          <cell r="B10682"/>
          <cell r="C10682"/>
          <cell r="E10682"/>
          <cell r="F10682"/>
          <cell r="G10682"/>
          <cell r="H10682"/>
          <cell r="J10682"/>
          <cell r="L10682"/>
          <cell r="M10682"/>
        </row>
        <row r="10683">
          <cell r="B10683"/>
          <cell r="C10683"/>
          <cell r="E10683"/>
          <cell r="F10683"/>
          <cell r="G10683"/>
          <cell r="H10683"/>
          <cell r="J10683"/>
          <cell r="L10683"/>
          <cell r="M10683"/>
        </row>
        <row r="10684">
          <cell r="B10684"/>
          <cell r="C10684"/>
          <cell r="E10684"/>
          <cell r="F10684"/>
          <cell r="G10684"/>
          <cell r="H10684"/>
          <cell r="J10684"/>
          <cell r="L10684"/>
          <cell r="M10684"/>
        </row>
        <row r="10685">
          <cell r="B10685"/>
          <cell r="C10685"/>
          <cell r="E10685"/>
          <cell r="F10685"/>
          <cell r="G10685"/>
          <cell r="H10685"/>
          <cell r="J10685"/>
          <cell r="L10685"/>
          <cell r="M10685"/>
        </row>
        <row r="10686">
          <cell r="B10686"/>
          <cell r="C10686"/>
          <cell r="E10686"/>
          <cell r="F10686"/>
          <cell r="G10686"/>
          <cell r="H10686"/>
          <cell r="J10686"/>
          <cell r="L10686"/>
          <cell r="M10686"/>
        </row>
        <row r="10687">
          <cell r="B10687"/>
          <cell r="C10687"/>
          <cell r="E10687"/>
          <cell r="F10687"/>
          <cell r="G10687"/>
          <cell r="H10687"/>
          <cell r="J10687"/>
          <cell r="L10687"/>
          <cell r="M10687"/>
        </row>
        <row r="10688">
          <cell r="B10688"/>
          <cell r="C10688"/>
          <cell r="E10688"/>
          <cell r="F10688"/>
          <cell r="G10688"/>
          <cell r="H10688"/>
          <cell r="J10688"/>
          <cell r="L10688"/>
          <cell r="M10688"/>
        </row>
        <row r="10689">
          <cell r="B10689"/>
          <cell r="C10689"/>
          <cell r="E10689"/>
          <cell r="F10689"/>
          <cell r="G10689"/>
          <cell r="H10689"/>
          <cell r="J10689"/>
          <cell r="L10689"/>
          <cell r="M10689"/>
        </row>
        <row r="10690">
          <cell r="B10690"/>
          <cell r="C10690"/>
          <cell r="E10690"/>
          <cell r="F10690"/>
          <cell r="G10690"/>
          <cell r="H10690"/>
          <cell r="J10690"/>
          <cell r="L10690"/>
          <cell r="M10690"/>
        </row>
        <row r="10691">
          <cell r="B10691"/>
          <cell r="C10691"/>
          <cell r="E10691"/>
          <cell r="F10691"/>
          <cell r="G10691"/>
          <cell r="H10691"/>
          <cell r="J10691"/>
          <cell r="L10691"/>
          <cell r="M10691"/>
        </row>
        <row r="10692">
          <cell r="B10692"/>
          <cell r="C10692"/>
          <cell r="E10692"/>
          <cell r="F10692"/>
          <cell r="G10692"/>
          <cell r="H10692"/>
          <cell r="J10692"/>
          <cell r="L10692"/>
          <cell r="M10692"/>
        </row>
        <row r="10693">
          <cell r="B10693"/>
          <cell r="C10693"/>
          <cell r="E10693"/>
          <cell r="F10693"/>
          <cell r="G10693"/>
          <cell r="H10693"/>
          <cell r="J10693"/>
          <cell r="L10693"/>
          <cell r="M10693"/>
        </row>
        <row r="10694">
          <cell r="B10694"/>
          <cell r="C10694"/>
          <cell r="E10694"/>
          <cell r="F10694"/>
          <cell r="G10694"/>
          <cell r="H10694"/>
          <cell r="J10694"/>
          <cell r="L10694"/>
          <cell r="M10694"/>
        </row>
        <row r="10695">
          <cell r="B10695"/>
          <cell r="C10695"/>
          <cell r="E10695"/>
          <cell r="F10695"/>
          <cell r="G10695"/>
          <cell r="H10695"/>
          <cell r="J10695"/>
          <cell r="L10695"/>
          <cell r="M10695"/>
        </row>
        <row r="10696">
          <cell r="B10696"/>
          <cell r="C10696"/>
          <cell r="E10696"/>
          <cell r="F10696"/>
          <cell r="G10696"/>
          <cell r="H10696"/>
          <cell r="J10696"/>
          <cell r="L10696"/>
          <cell r="M10696"/>
        </row>
        <row r="10697">
          <cell r="B10697"/>
          <cell r="C10697"/>
          <cell r="E10697"/>
          <cell r="F10697"/>
          <cell r="G10697"/>
          <cell r="H10697"/>
          <cell r="J10697"/>
          <cell r="L10697"/>
          <cell r="M10697"/>
        </row>
        <row r="10698">
          <cell r="B10698"/>
          <cell r="C10698"/>
          <cell r="E10698"/>
          <cell r="F10698"/>
          <cell r="G10698"/>
          <cell r="H10698"/>
          <cell r="J10698"/>
          <cell r="L10698"/>
          <cell r="M10698"/>
        </row>
        <row r="10699">
          <cell r="B10699"/>
          <cell r="C10699"/>
          <cell r="E10699"/>
          <cell r="F10699"/>
          <cell r="G10699"/>
          <cell r="H10699"/>
          <cell r="J10699"/>
          <cell r="L10699"/>
          <cell r="M10699"/>
        </row>
        <row r="10700">
          <cell r="B10700"/>
          <cell r="C10700"/>
          <cell r="E10700"/>
          <cell r="F10700"/>
          <cell r="G10700"/>
          <cell r="H10700"/>
          <cell r="J10700"/>
          <cell r="L10700"/>
          <cell r="M10700"/>
        </row>
        <row r="10701">
          <cell r="B10701"/>
          <cell r="C10701"/>
          <cell r="E10701"/>
          <cell r="F10701"/>
          <cell r="G10701"/>
          <cell r="H10701"/>
          <cell r="J10701"/>
          <cell r="L10701"/>
          <cell r="M10701"/>
        </row>
        <row r="10702">
          <cell r="B10702"/>
          <cell r="C10702"/>
          <cell r="E10702"/>
          <cell r="F10702"/>
          <cell r="G10702"/>
          <cell r="H10702"/>
          <cell r="J10702"/>
          <cell r="L10702"/>
          <cell r="M10702"/>
        </row>
        <row r="10703">
          <cell r="B10703"/>
          <cell r="C10703"/>
          <cell r="E10703"/>
          <cell r="F10703"/>
          <cell r="G10703"/>
          <cell r="H10703"/>
          <cell r="J10703"/>
          <cell r="L10703"/>
          <cell r="M10703"/>
        </row>
        <row r="10704">
          <cell r="B10704"/>
          <cell r="C10704"/>
          <cell r="E10704"/>
          <cell r="F10704"/>
          <cell r="G10704"/>
          <cell r="H10704"/>
          <cell r="J10704"/>
          <cell r="L10704"/>
          <cell r="M10704"/>
        </row>
        <row r="10705">
          <cell r="B10705"/>
          <cell r="C10705"/>
          <cell r="E10705"/>
          <cell r="F10705"/>
          <cell r="G10705"/>
          <cell r="H10705"/>
          <cell r="J10705"/>
          <cell r="L10705"/>
          <cell r="M10705"/>
        </row>
        <row r="10706">
          <cell r="B10706"/>
          <cell r="C10706"/>
          <cell r="E10706"/>
          <cell r="F10706"/>
          <cell r="G10706"/>
          <cell r="H10706"/>
          <cell r="J10706"/>
          <cell r="L10706"/>
          <cell r="M10706"/>
        </row>
        <row r="10707">
          <cell r="B10707"/>
          <cell r="C10707"/>
          <cell r="E10707"/>
          <cell r="F10707"/>
          <cell r="G10707"/>
          <cell r="H10707"/>
          <cell r="J10707"/>
          <cell r="L10707"/>
          <cell r="M10707"/>
        </row>
        <row r="10708">
          <cell r="B10708"/>
          <cell r="C10708"/>
          <cell r="E10708"/>
          <cell r="F10708"/>
          <cell r="G10708"/>
          <cell r="H10708"/>
          <cell r="J10708"/>
          <cell r="L10708"/>
          <cell r="M10708"/>
        </row>
        <row r="10709">
          <cell r="B10709"/>
          <cell r="C10709"/>
          <cell r="E10709"/>
          <cell r="F10709"/>
          <cell r="G10709"/>
          <cell r="H10709"/>
          <cell r="J10709"/>
          <cell r="L10709"/>
          <cell r="M10709"/>
        </row>
        <row r="10710">
          <cell r="B10710"/>
          <cell r="C10710"/>
          <cell r="E10710"/>
          <cell r="F10710"/>
          <cell r="G10710"/>
          <cell r="H10710"/>
          <cell r="J10710"/>
          <cell r="L10710"/>
          <cell r="M10710"/>
        </row>
        <row r="10711">
          <cell r="B10711"/>
          <cell r="C10711"/>
          <cell r="E10711"/>
          <cell r="F10711"/>
          <cell r="G10711"/>
          <cell r="H10711"/>
          <cell r="J10711"/>
          <cell r="L10711"/>
          <cell r="M10711"/>
        </row>
        <row r="10712">
          <cell r="B10712"/>
          <cell r="C10712"/>
          <cell r="E10712"/>
          <cell r="F10712"/>
          <cell r="G10712"/>
          <cell r="H10712"/>
          <cell r="J10712"/>
          <cell r="L10712"/>
          <cell r="M10712"/>
        </row>
        <row r="10713">
          <cell r="B10713"/>
          <cell r="C10713"/>
          <cell r="E10713"/>
          <cell r="F10713"/>
          <cell r="G10713"/>
          <cell r="H10713"/>
          <cell r="J10713"/>
          <cell r="L10713"/>
          <cell r="M10713"/>
        </row>
        <row r="10714">
          <cell r="B10714"/>
          <cell r="C10714"/>
          <cell r="E10714"/>
          <cell r="F10714"/>
          <cell r="G10714"/>
          <cell r="H10714"/>
          <cell r="J10714"/>
          <cell r="L10714"/>
          <cell r="M10714"/>
        </row>
        <row r="10715">
          <cell r="B10715"/>
          <cell r="C10715"/>
          <cell r="E10715"/>
          <cell r="F10715"/>
          <cell r="G10715"/>
          <cell r="H10715"/>
          <cell r="J10715"/>
          <cell r="L10715"/>
          <cell r="M10715"/>
        </row>
        <row r="10716">
          <cell r="B10716"/>
          <cell r="C10716"/>
          <cell r="E10716"/>
          <cell r="F10716"/>
          <cell r="G10716"/>
          <cell r="H10716"/>
          <cell r="J10716"/>
          <cell r="L10716"/>
          <cell r="M10716"/>
        </row>
        <row r="10717">
          <cell r="B10717"/>
          <cell r="C10717"/>
          <cell r="E10717"/>
          <cell r="F10717"/>
          <cell r="G10717"/>
          <cell r="H10717"/>
          <cell r="J10717"/>
          <cell r="L10717"/>
          <cell r="M10717"/>
        </row>
        <row r="10718">
          <cell r="B10718"/>
          <cell r="C10718"/>
          <cell r="E10718"/>
          <cell r="F10718"/>
          <cell r="G10718"/>
          <cell r="H10718"/>
          <cell r="J10718"/>
          <cell r="L10718"/>
          <cell r="M10718"/>
        </row>
        <row r="10719">
          <cell r="B10719"/>
          <cell r="C10719"/>
          <cell r="E10719"/>
          <cell r="F10719"/>
          <cell r="G10719"/>
          <cell r="H10719"/>
          <cell r="J10719"/>
          <cell r="L10719"/>
          <cell r="M10719"/>
        </row>
        <row r="10720">
          <cell r="B10720"/>
          <cell r="C10720"/>
          <cell r="E10720"/>
          <cell r="F10720"/>
          <cell r="G10720"/>
          <cell r="H10720"/>
          <cell r="J10720"/>
          <cell r="L10720"/>
          <cell r="M10720"/>
        </row>
        <row r="10721">
          <cell r="B10721"/>
          <cell r="C10721"/>
          <cell r="E10721"/>
          <cell r="F10721"/>
          <cell r="G10721"/>
          <cell r="H10721"/>
          <cell r="J10721"/>
          <cell r="L10721"/>
          <cell r="M10721"/>
        </row>
        <row r="10722">
          <cell r="B10722"/>
          <cell r="C10722"/>
          <cell r="E10722"/>
          <cell r="F10722"/>
          <cell r="G10722"/>
          <cell r="H10722"/>
          <cell r="J10722"/>
          <cell r="L10722"/>
          <cell r="M10722"/>
        </row>
        <row r="10723">
          <cell r="B10723"/>
          <cell r="C10723"/>
          <cell r="E10723"/>
          <cell r="F10723"/>
          <cell r="G10723"/>
          <cell r="H10723"/>
          <cell r="J10723"/>
          <cell r="L10723"/>
          <cell r="M10723"/>
        </row>
        <row r="10724">
          <cell r="B10724"/>
          <cell r="C10724"/>
          <cell r="E10724"/>
          <cell r="F10724"/>
          <cell r="G10724"/>
          <cell r="H10724"/>
          <cell r="J10724"/>
          <cell r="L10724"/>
          <cell r="M10724"/>
        </row>
        <row r="10725">
          <cell r="B10725"/>
          <cell r="C10725"/>
          <cell r="E10725"/>
          <cell r="F10725"/>
          <cell r="G10725"/>
          <cell r="H10725"/>
          <cell r="J10725"/>
          <cell r="L10725"/>
          <cell r="M10725"/>
        </row>
        <row r="10726">
          <cell r="B10726"/>
          <cell r="C10726"/>
          <cell r="E10726"/>
          <cell r="F10726"/>
          <cell r="G10726"/>
          <cell r="H10726"/>
          <cell r="J10726"/>
          <cell r="L10726"/>
          <cell r="M10726"/>
        </row>
        <row r="10727">
          <cell r="B10727"/>
          <cell r="C10727"/>
          <cell r="E10727"/>
          <cell r="F10727"/>
          <cell r="G10727"/>
          <cell r="H10727"/>
          <cell r="J10727"/>
          <cell r="L10727"/>
          <cell r="M10727"/>
        </row>
        <row r="10728">
          <cell r="B10728"/>
          <cell r="C10728"/>
          <cell r="E10728"/>
          <cell r="F10728"/>
          <cell r="G10728"/>
          <cell r="H10728"/>
          <cell r="J10728"/>
          <cell r="L10728"/>
          <cell r="M10728"/>
        </row>
        <row r="10729">
          <cell r="B10729"/>
          <cell r="C10729"/>
          <cell r="E10729"/>
          <cell r="F10729"/>
          <cell r="G10729"/>
          <cell r="H10729"/>
          <cell r="J10729"/>
          <cell r="L10729"/>
          <cell r="M10729"/>
        </row>
        <row r="10730">
          <cell r="B10730"/>
          <cell r="C10730"/>
          <cell r="E10730"/>
          <cell r="F10730"/>
          <cell r="G10730"/>
          <cell r="H10730"/>
          <cell r="J10730"/>
          <cell r="L10730"/>
          <cell r="M10730"/>
        </row>
        <row r="10731">
          <cell r="B10731"/>
          <cell r="C10731"/>
          <cell r="E10731"/>
          <cell r="F10731"/>
          <cell r="G10731"/>
          <cell r="H10731"/>
          <cell r="J10731"/>
          <cell r="L10731"/>
          <cell r="M10731"/>
        </row>
        <row r="10732">
          <cell r="B10732"/>
          <cell r="C10732"/>
          <cell r="E10732"/>
          <cell r="F10732"/>
          <cell r="G10732"/>
          <cell r="H10732"/>
          <cell r="J10732"/>
          <cell r="L10732"/>
          <cell r="M10732"/>
        </row>
        <row r="10733">
          <cell r="B10733"/>
          <cell r="C10733"/>
          <cell r="E10733"/>
          <cell r="F10733"/>
          <cell r="G10733"/>
          <cell r="H10733"/>
          <cell r="J10733"/>
          <cell r="L10733"/>
          <cell r="M10733"/>
        </row>
        <row r="10734">
          <cell r="B10734"/>
          <cell r="C10734"/>
          <cell r="E10734"/>
          <cell r="F10734"/>
          <cell r="G10734"/>
          <cell r="H10734"/>
          <cell r="J10734"/>
          <cell r="L10734"/>
          <cell r="M10734"/>
        </row>
        <row r="10735">
          <cell r="B10735"/>
          <cell r="C10735"/>
          <cell r="E10735"/>
          <cell r="F10735"/>
          <cell r="G10735"/>
          <cell r="H10735"/>
          <cell r="J10735"/>
          <cell r="L10735"/>
          <cell r="M10735"/>
        </row>
        <row r="10736">
          <cell r="B10736"/>
          <cell r="C10736"/>
          <cell r="E10736"/>
          <cell r="F10736"/>
          <cell r="G10736"/>
          <cell r="H10736"/>
          <cell r="J10736"/>
          <cell r="L10736"/>
          <cell r="M10736"/>
        </row>
        <row r="10737">
          <cell r="B10737"/>
          <cell r="C10737"/>
          <cell r="E10737"/>
          <cell r="F10737"/>
          <cell r="G10737"/>
          <cell r="H10737"/>
          <cell r="J10737"/>
          <cell r="L10737"/>
          <cell r="M10737"/>
        </row>
        <row r="10738">
          <cell r="B10738"/>
          <cell r="C10738"/>
          <cell r="E10738"/>
          <cell r="F10738"/>
          <cell r="G10738"/>
          <cell r="H10738"/>
          <cell r="J10738"/>
          <cell r="L10738"/>
          <cell r="M10738"/>
        </row>
        <row r="10739">
          <cell r="B10739"/>
          <cell r="C10739"/>
          <cell r="E10739"/>
          <cell r="F10739"/>
          <cell r="G10739"/>
          <cell r="H10739"/>
          <cell r="J10739"/>
          <cell r="L10739"/>
          <cell r="M10739"/>
        </row>
        <row r="10740">
          <cell r="B10740"/>
          <cell r="C10740"/>
          <cell r="E10740"/>
          <cell r="F10740"/>
          <cell r="G10740"/>
          <cell r="H10740"/>
          <cell r="J10740"/>
          <cell r="L10740"/>
          <cell r="M10740"/>
        </row>
        <row r="10741">
          <cell r="B10741"/>
          <cell r="C10741"/>
          <cell r="E10741"/>
          <cell r="F10741"/>
          <cell r="G10741"/>
          <cell r="H10741"/>
          <cell r="J10741"/>
          <cell r="L10741"/>
          <cell r="M10741"/>
        </row>
        <row r="10742">
          <cell r="B10742"/>
          <cell r="C10742"/>
          <cell r="E10742"/>
          <cell r="F10742"/>
          <cell r="G10742"/>
          <cell r="H10742"/>
          <cell r="J10742"/>
          <cell r="L10742"/>
          <cell r="M10742"/>
        </row>
        <row r="10743">
          <cell r="B10743"/>
          <cell r="C10743"/>
          <cell r="E10743"/>
          <cell r="F10743"/>
          <cell r="G10743"/>
          <cell r="H10743"/>
          <cell r="J10743"/>
          <cell r="L10743"/>
          <cell r="M10743"/>
        </row>
        <row r="10744">
          <cell r="B10744"/>
          <cell r="C10744"/>
          <cell r="E10744"/>
          <cell r="F10744"/>
          <cell r="G10744"/>
          <cell r="H10744"/>
          <cell r="J10744"/>
          <cell r="L10744"/>
          <cell r="M10744"/>
        </row>
        <row r="10745">
          <cell r="B10745"/>
          <cell r="C10745"/>
          <cell r="E10745"/>
          <cell r="F10745"/>
          <cell r="G10745"/>
          <cell r="H10745"/>
          <cell r="J10745"/>
          <cell r="L10745"/>
          <cell r="M10745"/>
        </row>
        <row r="10746">
          <cell r="B10746"/>
          <cell r="C10746"/>
          <cell r="E10746"/>
          <cell r="F10746"/>
          <cell r="G10746"/>
          <cell r="H10746"/>
          <cell r="J10746"/>
          <cell r="L10746"/>
          <cell r="M10746"/>
        </row>
        <row r="10747">
          <cell r="B10747"/>
          <cell r="C10747"/>
          <cell r="E10747"/>
          <cell r="F10747"/>
          <cell r="G10747"/>
          <cell r="H10747"/>
          <cell r="J10747"/>
          <cell r="L10747"/>
          <cell r="M10747"/>
        </row>
        <row r="10748">
          <cell r="B10748"/>
          <cell r="C10748"/>
          <cell r="E10748"/>
          <cell r="F10748"/>
          <cell r="G10748"/>
          <cell r="H10748"/>
          <cell r="J10748"/>
          <cell r="L10748"/>
          <cell r="M10748"/>
        </row>
        <row r="10749">
          <cell r="B10749"/>
          <cell r="C10749"/>
          <cell r="E10749"/>
          <cell r="F10749"/>
          <cell r="G10749"/>
          <cell r="H10749"/>
          <cell r="J10749"/>
          <cell r="L10749"/>
          <cell r="M10749"/>
        </row>
        <row r="10750">
          <cell r="B10750"/>
          <cell r="C10750"/>
          <cell r="E10750"/>
          <cell r="F10750"/>
          <cell r="G10750"/>
          <cell r="H10750"/>
          <cell r="J10750"/>
          <cell r="L10750"/>
          <cell r="M10750"/>
        </row>
        <row r="10751">
          <cell r="B10751"/>
          <cell r="C10751"/>
          <cell r="E10751"/>
          <cell r="F10751"/>
          <cell r="G10751"/>
          <cell r="H10751"/>
          <cell r="J10751"/>
          <cell r="L10751"/>
          <cell r="M10751"/>
        </row>
        <row r="10752">
          <cell r="B10752"/>
          <cell r="C10752"/>
          <cell r="E10752"/>
          <cell r="F10752"/>
          <cell r="G10752"/>
          <cell r="H10752"/>
          <cell r="J10752"/>
          <cell r="L10752"/>
          <cell r="M10752"/>
        </row>
        <row r="10753">
          <cell r="B10753"/>
          <cell r="C10753"/>
          <cell r="E10753"/>
          <cell r="F10753"/>
          <cell r="G10753"/>
          <cell r="H10753"/>
          <cell r="J10753"/>
          <cell r="L10753"/>
          <cell r="M10753"/>
        </row>
        <row r="10754">
          <cell r="B10754"/>
          <cell r="C10754"/>
          <cell r="E10754"/>
          <cell r="F10754"/>
          <cell r="G10754"/>
          <cell r="H10754"/>
          <cell r="J10754"/>
          <cell r="L10754"/>
          <cell r="M10754"/>
        </row>
        <row r="10755">
          <cell r="B10755"/>
          <cell r="C10755"/>
          <cell r="E10755"/>
          <cell r="F10755"/>
          <cell r="G10755"/>
          <cell r="H10755"/>
          <cell r="J10755"/>
          <cell r="L10755"/>
          <cell r="M10755"/>
        </row>
        <row r="10756">
          <cell r="B10756"/>
          <cell r="C10756"/>
          <cell r="E10756"/>
          <cell r="F10756"/>
          <cell r="G10756"/>
          <cell r="H10756"/>
          <cell r="J10756"/>
          <cell r="L10756"/>
          <cell r="M10756"/>
        </row>
        <row r="10757">
          <cell r="B10757"/>
          <cell r="C10757"/>
          <cell r="E10757"/>
          <cell r="F10757"/>
          <cell r="G10757"/>
          <cell r="H10757"/>
          <cell r="J10757"/>
          <cell r="L10757"/>
          <cell r="M10757"/>
        </row>
        <row r="10758">
          <cell r="B10758"/>
          <cell r="C10758"/>
          <cell r="E10758"/>
          <cell r="F10758"/>
          <cell r="G10758"/>
          <cell r="H10758"/>
          <cell r="J10758"/>
          <cell r="L10758"/>
          <cell r="M10758"/>
        </row>
        <row r="10759">
          <cell r="B10759"/>
          <cell r="C10759"/>
          <cell r="E10759"/>
          <cell r="F10759"/>
          <cell r="G10759"/>
          <cell r="H10759"/>
          <cell r="J10759"/>
          <cell r="L10759"/>
          <cell r="M10759"/>
        </row>
        <row r="10760">
          <cell r="B10760"/>
          <cell r="C10760"/>
          <cell r="E10760"/>
          <cell r="F10760"/>
          <cell r="G10760"/>
          <cell r="H10760"/>
          <cell r="J10760"/>
          <cell r="L10760"/>
          <cell r="M10760"/>
        </row>
        <row r="10761">
          <cell r="B10761"/>
          <cell r="C10761"/>
          <cell r="E10761"/>
          <cell r="F10761"/>
          <cell r="G10761"/>
          <cell r="H10761"/>
          <cell r="J10761"/>
          <cell r="L10761"/>
          <cell r="M10761"/>
        </row>
        <row r="10762">
          <cell r="B10762"/>
          <cell r="C10762"/>
          <cell r="E10762"/>
          <cell r="F10762"/>
          <cell r="G10762"/>
          <cell r="H10762"/>
          <cell r="J10762"/>
          <cell r="L10762"/>
          <cell r="M10762"/>
        </row>
        <row r="10763">
          <cell r="B10763"/>
          <cell r="C10763"/>
          <cell r="E10763"/>
          <cell r="F10763"/>
          <cell r="G10763"/>
          <cell r="H10763"/>
          <cell r="J10763"/>
          <cell r="L10763"/>
          <cell r="M10763"/>
        </row>
        <row r="10764">
          <cell r="B10764"/>
          <cell r="C10764"/>
          <cell r="E10764"/>
          <cell r="F10764"/>
          <cell r="G10764"/>
          <cell r="H10764"/>
          <cell r="J10764"/>
          <cell r="L10764"/>
          <cell r="M10764"/>
        </row>
        <row r="10765">
          <cell r="B10765"/>
          <cell r="C10765"/>
          <cell r="E10765"/>
          <cell r="F10765"/>
          <cell r="G10765"/>
          <cell r="H10765"/>
          <cell r="J10765"/>
          <cell r="L10765"/>
          <cell r="M10765"/>
        </row>
        <row r="10766">
          <cell r="B10766"/>
          <cell r="C10766"/>
          <cell r="E10766"/>
          <cell r="F10766"/>
          <cell r="G10766"/>
          <cell r="H10766"/>
          <cell r="J10766"/>
          <cell r="L10766"/>
          <cell r="M10766"/>
        </row>
        <row r="10767">
          <cell r="B10767"/>
          <cell r="C10767"/>
          <cell r="E10767"/>
          <cell r="F10767"/>
          <cell r="G10767"/>
          <cell r="H10767"/>
          <cell r="J10767"/>
          <cell r="L10767"/>
          <cell r="M10767"/>
        </row>
        <row r="10768">
          <cell r="B10768"/>
          <cell r="C10768"/>
          <cell r="E10768"/>
          <cell r="F10768"/>
          <cell r="G10768"/>
          <cell r="H10768"/>
          <cell r="J10768"/>
          <cell r="L10768"/>
          <cell r="M10768"/>
        </row>
        <row r="10769">
          <cell r="B10769"/>
          <cell r="C10769"/>
          <cell r="E10769"/>
          <cell r="F10769"/>
          <cell r="G10769"/>
          <cell r="H10769"/>
          <cell r="J10769"/>
          <cell r="L10769"/>
          <cell r="M10769"/>
        </row>
        <row r="10770">
          <cell r="B10770"/>
          <cell r="C10770"/>
          <cell r="E10770"/>
          <cell r="F10770"/>
          <cell r="G10770"/>
          <cell r="H10770"/>
          <cell r="J10770"/>
          <cell r="L10770"/>
          <cell r="M10770"/>
        </row>
        <row r="10771">
          <cell r="B10771"/>
          <cell r="C10771"/>
          <cell r="E10771"/>
          <cell r="F10771"/>
          <cell r="G10771"/>
          <cell r="H10771"/>
          <cell r="J10771"/>
          <cell r="L10771"/>
          <cell r="M10771"/>
        </row>
        <row r="10772">
          <cell r="B10772"/>
          <cell r="C10772"/>
          <cell r="E10772"/>
          <cell r="F10772"/>
          <cell r="G10772"/>
          <cell r="H10772"/>
          <cell r="J10772"/>
          <cell r="L10772"/>
          <cell r="M10772"/>
        </row>
        <row r="10773">
          <cell r="B10773"/>
          <cell r="C10773"/>
          <cell r="E10773"/>
          <cell r="F10773"/>
          <cell r="G10773"/>
          <cell r="H10773"/>
          <cell r="J10773"/>
          <cell r="L10773"/>
          <cell r="M10773"/>
        </row>
        <row r="10774">
          <cell r="B10774"/>
          <cell r="C10774"/>
          <cell r="E10774"/>
          <cell r="F10774"/>
          <cell r="G10774"/>
          <cell r="H10774"/>
          <cell r="J10774"/>
          <cell r="L10774"/>
          <cell r="M10774"/>
        </row>
        <row r="10775">
          <cell r="B10775"/>
          <cell r="C10775"/>
          <cell r="E10775"/>
          <cell r="F10775"/>
          <cell r="G10775"/>
          <cell r="H10775"/>
          <cell r="J10775"/>
          <cell r="L10775"/>
          <cell r="M10775"/>
        </row>
        <row r="10776">
          <cell r="B10776"/>
          <cell r="C10776"/>
          <cell r="E10776"/>
          <cell r="F10776"/>
          <cell r="G10776"/>
          <cell r="H10776"/>
          <cell r="J10776"/>
          <cell r="L10776"/>
          <cell r="M10776"/>
        </row>
        <row r="10777">
          <cell r="B10777"/>
          <cell r="C10777"/>
          <cell r="E10777"/>
          <cell r="F10777"/>
          <cell r="G10777"/>
          <cell r="H10777"/>
          <cell r="J10777"/>
          <cell r="L10777"/>
          <cell r="M10777"/>
        </row>
        <row r="10778">
          <cell r="B10778"/>
          <cell r="C10778"/>
          <cell r="E10778"/>
          <cell r="F10778"/>
          <cell r="G10778"/>
          <cell r="H10778"/>
          <cell r="J10778"/>
          <cell r="L10778"/>
          <cell r="M10778"/>
        </row>
        <row r="10779">
          <cell r="B10779"/>
          <cell r="C10779"/>
          <cell r="E10779"/>
          <cell r="F10779"/>
          <cell r="G10779"/>
          <cell r="H10779"/>
          <cell r="J10779"/>
          <cell r="L10779"/>
          <cell r="M10779"/>
        </row>
        <row r="10780">
          <cell r="B10780"/>
          <cell r="C10780"/>
          <cell r="E10780"/>
          <cell r="F10780"/>
          <cell r="G10780"/>
          <cell r="H10780"/>
          <cell r="J10780"/>
          <cell r="L10780"/>
          <cell r="M10780"/>
        </row>
        <row r="10781">
          <cell r="B10781"/>
          <cell r="C10781"/>
          <cell r="E10781"/>
          <cell r="F10781"/>
          <cell r="G10781"/>
          <cell r="H10781"/>
          <cell r="J10781"/>
          <cell r="L10781"/>
          <cell r="M10781"/>
        </row>
        <row r="10782">
          <cell r="B10782"/>
          <cell r="C10782"/>
          <cell r="E10782"/>
          <cell r="F10782"/>
          <cell r="G10782"/>
          <cell r="H10782"/>
          <cell r="J10782"/>
          <cell r="L10782"/>
          <cell r="M10782"/>
        </row>
        <row r="10783">
          <cell r="B10783"/>
          <cell r="C10783"/>
          <cell r="E10783"/>
          <cell r="F10783"/>
          <cell r="G10783"/>
          <cell r="H10783"/>
          <cell r="J10783"/>
          <cell r="L10783"/>
          <cell r="M10783"/>
        </row>
        <row r="10784">
          <cell r="B10784"/>
          <cell r="C10784"/>
          <cell r="E10784"/>
          <cell r="F10784"/>
          <cell r="G10784"/>
          <cell r="H10784"/>
          <cell r="J10784"/>
          <cell r="L10784"/>
          <cell r="M10784"/>
        </row>
        <row r="10785">
          <cell r="B10785"/>
          <cell r="C10785"/>
          <cell r="E10785"/>
          <cell r="F10785"/>
          <cell r="G10785"/>
          <cell r="H10785"/>
          <cell r="J10785"/>
          <cell r="L10785"/>
          <cell r="M10785"/>
        </row>
        <row r="10786">
          <cell r="B10786"/>
          <cell r="C10786"/>
          <cell r="E10786"/>
          <cell r="F10786"/>
          <cell r="G10786"/>
          <cell r="H10786"/>
          <cell r="J10786"/>
          <cell r="L10786"/>
          <cell r="M10786"/>
        </row>
        <row r="10787">
          <cell r="B10787"/>
          <cell r="C10787"/>
          <cell r="E10787"/>
          <cell r="F10787"/>
          <cell r="G10787"/>
          <cell r="H10787"/>
          <cell r="J10787"/>
          <cell r="L10787"/>
          <cell r="M10787"/>
        </row>
        <row r="10788">
          <cell r="B10788"/>
          <cell r="C10788"/>
          <cell r="E10788"/>
          <cell r="F10788"/>
          <cell r="G10788"/>
          <cell r="H10788"/>
          <cell r="J10788"/>
          <cell r="L10788"/>
          <cell r="M10788"/>
        </row>
        <row r="10789">
          <cell r="B10789"/>
          <cell r="C10789"/>
          <cell r="E10789"/>
          <cell r="F10789"/>
          <cell r="G10789"/>
          <cell r="H10789"/>
          <cell r="J10789"/>
          <cell r="L10789"/>
          <cell r="M10789"/>
        </row>
        <row r="10790">
          <cell r="B10790"/>
          <cell r="C10790"/>
          <cell r="E10790"/>
          <cell r="F10790"/>
          <cell r="G10790"/>
          <cell r="H10790"/>
          <cell r="J10790"/>
          <cell r="L10790"/>
          <cell r="M10790"/>
        </row>
        <row r="10791">
          <cell r="B10791"/>
          <cell r="C10791"/>
          <cell r="E10791"/>
          <cell r="F10791"/>
          <cell r="G10791"/>
          <cell r="H10791"/>
          <cell r="J10791"/>
          <cell r="L10791"/>
          <cell r="M10791"/>
        </row>
        <row r="10792">
          <cell r="B10792"/>
          <cell r="C10792"/>
          <cell r="E10792"/>
          <cell r="F10792"/>
          <cell r="G10792"/>
          <cell r="H10792"/>
          <cell r="J10792"/>
          <cell r="L10792"/>
          <cell r="M10792"/>
        </row>
        <row r="10793">
          <cell r="B10793"/>
          <cell r="C10793"/>
          <cell r="E10793"/>
          <cell r="F10793"/>
          <cell r="G10793"/>
          <cell r="H10793"/>
          <cell r="J10793"/>
          <cell r="L10793"/>
          <cell r="M10793"/>
        </row>
        <row r="10794">
          <cell r="B10794"/>
          <cell r="C10794"/>
          <cell r="E10794"/>
          <cell r="F10794"/>
          <cell r="G10794"/>
          <cell r="H10794"/>
          <cell r="J10794"/>
          <cell r="L10794"/>
          <cell r="M10794"/>
        </row>
        <row r="10795">
          <cell r="B10795"/>
          <cell r="C10795"/>
          <cell r="E10795"/>
          <cell r="F10795"/>
          <cell r="G10795"/>
          <cell r="H10795"/>
          <cell r="J10795"/>
          <cell r="L10795"/>
          <cell r="M10795"/>
        </row>
        <row r="10796">
          <cell r="B10796"/>
          <cell r="C10796"/>
          <cell r="E10796"/>
          <cell r="F10796"/>
          <cell r="G10796"/>
          <cell r="H10796"/>
          <cell r="J10796"/>
          <cell r="L10796"/>
          <cell r="M10796"/>
        </row>
        <row r="10797">
          <cell r="B10797"/>
          <cell r="C10797"/>
          <cell r="E10797"/>
          <cell r="F10797"/>
          <cell r="G10797"/>
          <cell r="H10797"/>
          <cell r="J10797"/>
          <cell r="L10797"/>
          <cell r="M10797"/>
        </row>
        <row r="10798">
          <cell r="B10798"/>
          <cell r="C10798"/>
          <cell r="E10798"/>
          <cell r="F10798"/>
          <cell r="G10798"/>
          <cell r="H10798"/>
          <cell r="J10798"/>
          <cell r="L10798"/>
          <cell r="M10798"/>
        </row>
        <row r="10799">
          <cell r="B10799"/>
          <cell r="C10799"/>
          <cell r="E10799"/>
          <cell r="F10799"/>
          <cell r="G10799"/>
          <cell r="H10799"/>
          <cell r="J10799"/>
          <cell r="L10799"/>
          <cell r="M10799"/>
        </row>
        <row r="10800">
          <cell r="B10800"/>
          <cell r="C10800"/>
          <cell r="E10800"/>
          <cell r="F10800"/>
          <cell r="G10800"/>
          <cell r="H10800"/>
          <cell r="J10800"/>
          <cell r="L10800"/>
          <cell r="M10800"/>
        </row>
        <row r="10801">
          <cell r="B10801"/>
          <cell r="C10801"/>
          <cell r="E10801"/>
          <cell r="F10801"/>
          <cell r="G10801"/>
          <cell r="H10801"/>
          <cell r="J10801"/>
          <cell r="L10801"/>
          <cell r="M10801"/>
        </row>
        <row r="10802">
          <cell r="B10802"/>
          <cell r="C10802"/>
          <cell r="E10802"/>
          <cell r="F10802"/>
          <cell r="G10802"/>
          <cell r="H10802"/>
          <cell r="J10802"/>
          <cell r="L10802"/>
          <cell r="M10802"/>
        </row>
        <row r="10803">
          <cell r="B10803"/>
          <cell r="C10803"/>
          <cell r="E10803"/>
          <cell r="F10803"/>
          <cell r="G10803"/>
          <cell r="H10803"/>
          <cell r="J10803"/>
          <cell r="L10803"/>
          <cell r="M10803"/>
        </row>
        <row r="10804">
          <cell r="B10804"/>
          <cell r="C10804"/>
          <cell r="E10804"/>
          <cell r="F10804"/>
          <cell r="G10804"/>
          <cell r="H10804"/>
          <cell r="J10804"/>
          <cell r="L10804"/>
          <cell r="M10804"/>
        </row>
        <row r="10805">
          <cell r="B10805"/>
          <cell r="C10805"/>
          <cell r="E10805"/>
          <cell r="F10805"/>
          <cell r="G10805"/>
          <cell r="H10805"/>
          <cell r="J10805"/>
          <cell r="L10805"/>
          <cell r="M10805"/>
        </row>
        <row r="10806">
          <cell r="B10806"/>
          <cell r="C10806"/>
          <cell r="E10806"/>
          <cell r="F10806"/>
          <cell r="G10806"/>
          <cell r="H10806"/>
          <cell r="J10806"/>
          <cell r="L10806"/>
          <cell r="M10806"/>
        </row>
        <row r="10807">
          <cell r="B10807"/>
          <cell r="C10807"/>
          <cell r="E10807"/>
          <cell r="F10807"/>
          <cell r="G10807"/>
          <cell r="H10807"/>
          <cell r="J10807"/>
          <cell r="L10807"/>
          <cell r="M10807"/>
        </row>
        <row r="10808">
          <cell r="B10808"/>
          <cell r="C10808"/>
          <cell r="E10808"/>
          <cell r="F10808"/>
          <cell r="G10808"/>
          <cell r="H10808"/>
          <cell r="J10808"/>
          <cell r="L10808"/>
          <cell r="M10808"/>
        </row>
        <row r="10809">
          <cell r="B10809"/>
          <cell r="C10809"/>
          <cell r="E10809"/>
          <cell r="F10809"/>
          <cell r="G10809"/>
          <cell r="H10809"/>
          <cell r="J10809"/>
          <cell r="L10809"/>
          <cell r="M10809"/>
        </row>
        <row r="10810">
          <cell r="B10810"/>
          <cell r="C10810"/>
          <cell r="E10810"/>
          <cell r="F10810"/>
          <cell r="G10810"/>
          <cell r="H10810"/>
          <cell r="J10810"/>
          <cell r="L10810"/>
          <cell r="M10810"/>
        </row>
        <row r="10811">
          <cell r="B10811"/>
          <cell r="C10811"/>
          <cell r="E10811"/>
          <cell r="F10811"/>
          <cell r="G10811"/>
          <cell r="H10811"/>
          <cell r="J10811"/>
          <cell r="L10811"/>
          <cell r="M10811"/>
        </row>
        <row r="10812">
          <cell r="B10812"/>
          <cell r="C10812"/>
          <cell r="E10812"/>
          <cell r="F10812"/>
          <cell r="G10812"/>
          <cell r="H10812"/>
          <cell r="J10812"/>
          <cell r="L10812"/>
          <cell r="M10812"/>
        </row>
        <row r="10813">
          <cell r="B10813"/>
          <cell r="C10813"/>
          <cell r="E10813"/>
          <cell r="F10813"/>
          <cell r="G10813"/>
          <cell r="H10813"/>
          <cell r="J10813"/>
          <cell r="L10813"/>
          <cell r="M10813"/>
        </row>
        <row r="10814">
          <cell r="B10814"/>
          <cell r="C10814"/>
          <cell r="E10814"/>
          <cell r="F10814"/>
          <cell r="G10814"/>
          <cell r="H10814"/>
          <cell r="J10814"/>
          <cell r="L10814"/>
          <cell r="M10814"/>
        </row>
        <row r="10815">
          <cell r="B10815"/>
          <cell r="C10815"/>
          <cell r="E10815"/>
          <cell r="F10815"/>
          <cell r="G10815"/>
          <cell r="H10815"/>
          <cell r="J10815"/>
          <cell r="L10815"/>
          <cell r="M10815"/>
        </row>
        <row r="10816">
          <cell r="B10816"/>
          <cell r="C10816"/>
          <cell r="E10816"/>
          <cell r="F10816"/>
          <cell r="G10816"/>
          <cell r="H10816"/>
          <cell r="J10816"/>
          <cell r="L10816"/>
          <cell r="M10816"/>
        </row>
        <row r="10817">
          <cell r="B10817"/>
          <cell r="C10817"/>
          <cell r="E10817"/>
          <cell r="F10817"/>
          <cell r="G10817"/>
          <cell r="H10817"/>
          <cell r="J10817"/>
          <cell r="L10817"/>
          <cell r="M10817"/>
        </row>
        <row r="10818">
          <cell r="B10818"/>
          <cell r="C10818"/>
          <cell r="E10818"/>
          <cell r="F10818"/>
          <cell r="G10818"/>
          <cell r="H10818"/>
          <cell r="J10818"/>
          <cell r="L10818"/>
          <cell r="M10818"/>
        </row>
        <row r="10819">
          <cell r="B10819"/>
          <cell r="C10819"/>
          <cell r="E10819"/>
          <cell r="F10819"/>
          <cell r="G10819"/>
          <cell r="H10819"/>
          <cell r="J10819"/>
          <cell r="L10819"/>
          <cell r="M10819"/>
        </row>
        <row r="10820">
          <cell r="B10820"/>
          <cell r="C10820"/>
          <cell r="E10820"/>
          <cell r="F10820"/>
          <cell r="G10820"/>
          <cell r="H10820"/>
          <cell r="J10820"/>
          <cell r="L10820"/>
          <cell r="M10820"/>
        </row>
        <row r="10821">
          <cell r="B10821"/>
          <cell r="C10821"/>
          <cell r="E10821"/>
          <cell r="F10821"/>
          <cell r="G10821"/>
          <cell r="H10821"/>
          <cell r="J10821"/>
          <cell r="L10821"/>
          <cell r="M10821"/>
        </row>
        <row r="10822">
          <cell r="B10822"/>
          <cell r="C10822"/>
          <cell r="E10822"/>
          <cell r="F10822"/>
          <cell r="G10822"/>
          <cell r="H10822"/>
          <cell r="J10822"/>
          <cell r="L10822"/>
          <cell r="M10822"/>
        </row>
        <row r="10823">
          <cell r="B10823"/>
          <cell r="C10823"/>
          <cell r="E10823"/>
          <cell r="F10823"/>
          <cell r="G10823"/>
          <cell r="H10823"/>
          <cell r="J10823"/>
          <cell r="L10823"/>
          <cell r="M10823"/>
        </row>
        <row r="10824">
          <cell r="B10824"/>
          <cell r="C10824"/>
          <cell r="E10824"/>
          <cell r="F10824"/>
          <cell r="G10824"/>
          <cell r="H10824"/>
          <cell r="J10824"/>
          <cell r="L10824"/>
          <cell r="M10824"/>
        </row>
        <row r="10825">
          <cell r="B10825"/>
          <cell r="C10825"/>
          <cell r="E10825"/>
          <cell r="F10825"/>
          <cell r="G10825"/>
          <cell r="H10825"/>
          <cell r="J10825"/>
          <cell r="L10825"/>
          <cell r="M10825"/>
        </row>
        <row r="10826">
          <cell r="B10826"/>
          <cell r="C10826"/>
          <cell r="E10826"/>
          <cell r="F10826"/>
          <cell r="G10826"/>
          <cell r="H10826"/>
          <cell r="J10826"/>
          <cell r="L10826"/>
          <cell r="M10826"/>
        </row>
        <row r="10827">
          <cell r="B10827"/>
          <cell r="C10827"/>
          <cell r="E10827"/>
          <cell r="F10827"/>
          <cell r="G10827"/>
          <cell r="H10827"/>
          <cell r="J10827"/>
          <cell r="L10827"/>
          <cell r="M10827"/>
        </row>
        <row r="10828">
          <cell r="B10828"/>
          <cell r="C10828"/>
          <cell r="E10828"/>
          <cell r="F10828"/>
          <cell r="G10828"/>
          <cell r="H10828"/>
          <cell r="J10828"/>
          <cell r="L10828"/>
          <cell r="M10828"/>
        </row>
        <row r="10829">
          <cell r="B10829"/>
          <cell r="C10829"/>
          <cell r="E10829"/>
          <cell r="F10829"/>
          <cell r="G10829"/>
          <cell r="H10829"/>
          <cell r="J10829"/>
          <cell r="L10829"/>
          <cell r="M10829"/>
        </row>
        <row r="10830">
          <cell r="B10830"/>
          <cell r="C10830"/>
          <cell r="E10830"/>
          <cell r="F10830"/>
          <cell r="G10830"/>
          <cell r="H10830"/>
          <cell r="J10830"/>
          <cell r="L10830"/>
          <cell r="M10830"/>
        </row>
        <row r="10831">
          <cell r="B10831"/>
          <cell r="C10831"/>
          <cell r="E10831"/>
          <cell r="F10831"/>
          <cell r="G10831"/>
          <cell r="H10831"/>
          <cell r="J10831"/>
          <cell r="L10831"/>
          <cell r="M10831"/>
        </row>
        <row r="10832">
          <cell r="B10832"/>
          <cell r="C10832"/>
          <cell r="E10832"/>
          <cell r="F10832"/>
          <cell r="G10832"/>
          <cell r="H10832"/>
          <cell r="J10832"/>
          <cell r="L10832"/>
          <cell r="M10832"/>
        </row>
        <row r="10833">
          <cell r="B10833"/>
          <cell r="C10833"/>
          <cell r="E10833"/>
          <cell r="F10833"/>
          <cell r="G10833"/>
          <cell r="H10833"/>
          <cell r="J10833"/>
          <cell r="L10833"/>
          <cell r="M10833"/>
        </row>
        <row r="10834">
          <cell r="B10834"/>
          <cell r="C10834"/>
          <cell r="E10834"/>
          <cell r="F10834"/>
          <cell r="G10834"/>
          <cell r="H10834"/>
          <cell r="J10834"/>
          <cell r="L10834"/>
          <cell r="M10834"/>
        </row>
        <row r="10835">
          <cell r="B10835"/>
          <cell r="C10835"/>
          <cell r="E10835"/>
          <cell r="F10835"/>
          <cell r="G10835"/>
          <cell r="H10835"/>
          <cell r="J10835"/>
          <cell r="L10835"/>
          <cell r="M10835"/>
        </row>
        <row r="10836">
          <cell r="B10836"/>
          <cell r="C10836"/>
          <cell r="E10836"/>
          <cell r="F10836"/>
          <cell r="G10836"/>
          <cell r="H10836"/>
          <cell r="J10836"/>
          <cell r="L10836"/>
          <cell r="M10836"/>
        </row>
        <row r="10837">
          <cell r="B10837"/>
          <cell r="C10837"/>
          <cell r="E10837"/>
          <cell r="F10837"/>
          <cell r="G10837"/>
          <cell r="H10837"/>
          <cell r="J10837"/>
          <cell r="L10837"/>
          <cell r="M10837"/>
        </row>
        <row r="10838">
          <cell r="B10838"/>
          <cell r="C10838"/>
          <cell r="E10838"/>
          <cell r="F10838"/>
          <cell r="G10838"/>
          <cell r="H10838"/>
          <cell r="J10838"/>
          <cell r="L10838"/>
          <cell r="M10838"/>
        </row>
        <row r="10839">
          <cell r="B10839"/>
          <cell r="C10839"/>
          <cell r="E10839"/>
          <cell r="F10839"/>
          <cell r="G10839"/>
          <cell r="H10839"/>
          <cell r="J10839"/>
          <cell r="L10839"/>
          <cell r="M10839"/>
        </row>
        <row r="10840">
          <cell r="B10840"/>
          <cell r="C10840"/>
          <cell r="E10840"/>
          <cell r="F10840"/>
          <cell r="G10840"/>
          <cell r="H10840"/>
          <cell r="J10840"/>
          <cell r="L10840"/>
          <cell r="M10840"/>
        </row>
        <row r="10841">
          <cell r="B10841"/>
          <cell r="C10841"/>
          <cell r="E10841"/>
          <cell r="F10841"/>
          <cell r="G10841"/>
          <cell r="H10841"/>
          <cell r="J10841"/>
          <cell r="L10841"/>
          <cell r="M10841"/>
        </row>
        <row r="10842">
          <cell r="B10842"/>
          <cell r="C10842"/>
          <cell r="E10842"/>
          <cell r="F10842"/>
          <cell r="G10842"/>
          <cell r="H10842"/>
          <cell r="J10842"/>
          <cell r="L10842"/>
          <cell r="M10842"/>
        </row>
        <row r="10843">
          <cell r="B10843"/>
          <cell r="C10843"/>
          <cell r="E10843"/>
          <cell r="F10843"/>
          <cell r="G10843"/>
          <cell r="H10843"/>
          <cell r="J10843"/>
          <cell r="L10843"/>
          <cell r="M10843"/>
        </row>
        <row r="10844">
          <cell r="B10844"/>
          <cell r="C10844"/>
          <cell r="E10844"/>
          <cell r="F10844"/>
          <cell r="G10844"/>
          <cell r="H10844"/>
          <cell r="J10844"/>
          <cell r="L10844"/>
          <cell r="M10844"/>
        </row>
        <row r="10845">
          <cell r="B10845"/>
          <cell r="C10845"/>
          <cell r="E10845"/>
          <cell r="F10845"/>
          <cell r="G10845"/>
          <cell r="H10845"/>
          <cell r="J10845"/>
          <cell r="L10845"/>
          <cell r="M10845"/>
        </row>
        <row r="10846">
          <cell r="B10846"/>
          <cell r="C10846"/>
          <cell r="E10846"/>
          <cell r="F10846"/>
          <cell r="G10846"/>
          <cell r="H10846"/>
          <cell r="J10846"/>
          <cell r="L10846"/>
          <cell r="M10846"/>
        </row>
        <row r="10847">
          <cell r="B10847"/>
          <cell r="C10847"/>
          <cell r="E10847"/>
          <cell r="F10847"/>
          <cell r="G10847"/>
          <cell r="H10847"/>
          <cell r="J10847"/>
          <cell r="L10847"/>
          <cell r="M10847"/>
        </row>
        <row r="10848">
          <cell r="B10848"/>
          <cell r="C10848"/>
          <cell r="E10848"/>
          <cell r="F10848"/>
          <cell r="G10848"/>
          <cell r="H10848"/>
          <cell r="J10848"/>
          <cell r="L10848"/>
          <cell r="M10848"/>
        </row>
        <row r="10849">
          <cell r="B10849"/>
          <cell r="C10849"/>
          <cell r="E10849"/>
          <cell r="F10849"/>
          <cell r="G10849"/>
          <cell r="H10849"/>
          <cell r="J10849"/>
          <cell r="L10849"/>
          <cell r="M10849"/>
        </row>
        <row r="10850">
          <cell r="B10850"/>
          <cell r="C10850"/>
          <cell r="E10850"/>
          <cell r="F10850"/>
          <cell r="G10850"/>
          <cell r="H10850"/>
          <cell r="J10850"/>
          <cell r="L10850"/>
          <cell r="M10850"/>
        </row>
        <row r="10851">
          <cell r="B10851"/>
          <cell r="C10851"/>
          <cell r="E10851"/>
          <cell r="F10851"/>
          <cell r="G10851"/>
          <cell r="H10851"/>
          <cell r="J10851"/>
          <cell r="L10851"/>
          <cell r="M10851"/>
        </row>
        <row r="10852">
          <cell r="B10852"/>
          <cell r="C10852"/>
          <cell r="E10852"/>
          <cell r="F10852"/>
          <cell r="G10852"/>
          <cell r="H10852"/>
          <cell r="J10852"/>
          <cell r="L10852"/>
          <cell r="M10852"/>
        </row>
        <row r="10853">
          <cell r="B10853"/>
          <cell r="C10853"/>
          <cell r="E10853"/>
          <cell r="F10853"/>
          <cell r="G10853"/>
          <cell r="H10853"/>
          <cell r="J10853"/>
          <cell r="L10853"/>
          <cell r="M10853"/>
        </row>
        <row r="10854">
          <cell r="B10854"/>
          <cell r="C10854"/>
          <cell r="E10854"/>
          <cell r="F10854"/>
          <cell r="G10854"/>
          <cell r="H10854"/>
          <cell r="J10854"/>
          <cell r="L10854"/>
          <cell r="M10854"/>
        </row>
        <row r="10855">
          <cell r="B10855"/>
          <cell r="C10855"/>
          <cell r="E10855"/>
          <cell r="F10855"/>
          <cell r="G10855"/>
          <cell r="H10855"/>
          <cell r="J10855"/>
          <cell r="L10855"/>
          <cell r="M10855"/>
        </row>
        <row r="10856">
          <cell r="B10856"/>
          <cell r="C10856"/>
          <cell r="E10856"/>
          <cell r="F10856"/>
          <cell r="G10856"/>
          <cell r="H10856"/>
          <cell r="J10856"/>
          <cell r="L10856"/>
          <cell r="M10856"/>
        </row>
        <row r="10857">
          <cell r="B10857"/>
          <cell r="C10857"/>
          <cell r="E10857"/>
          <cell r="F10857"/>
          <cell r="G10857"/>
          <cell r="H10857"/>
          <cell r="J10857"/>
          <cell r="L10857"/>
          <cell r="M10857"/>
        </row>
        <row r="10858">
          <cell r="B10858"/>
          <cell r="C10858"/>
          <cell r="E10858"/>
          <cell r="F10858"/>
          <cell r="G10858"/>
          <cell r="H10858"/>
          <cell r="J10858"/>
          <cell r="L10858"/>
          <cell r="M10858"/>
        </row>
        <row r="10859">
          <cell r="B10859"/>
          <cell r="C10859"/>
          <cell r="E10859"/>
          <cell r="F10859"/>
          <cell r="G10859"/>
          <cell r="H10859"/>
          <cell r="J10859"/>
          <cell r="L10859"/>
          <cell r="M10859"/>
        </row>
        <row r="10860">
          <cell r="B10860"/>
          <cell r="C10860"/>
          <cell r="E10860"/>
          <cell r="F10860"/>
          <cell r="G10860"/>
          <cell r="H10860"/>
          <cell r="J10860"/>
          <cell r="L10860"/>
          <cell r="M10860"/>
        </row>
        <row r="10861">
          <cell r="B10861"/>
          <cell r="C10861"/>
          <cell r="E10861"/>
          <cell r="F10861"/>
          <cell r="G10861"/>
          <cell r="H10861"/>
          <cell r="J10861"/>
          <cell r="L10861"/>
          <cell r="M10861"/>
        </row>
        <row r="10862">
          <cell r="B10862"/>
          <cell r="C10862"/>
          <cell r="E10862"/>
          <cell r="F10862"/>
          <cell r="G10862"/>
          <cell r="H10862"/>
          <cell r="J10862"/>
          <cell r="L10862"/>
          <cell r="M10862"/>
        </row>
        <row r="10863">
          <cell r="B10863"/>
          <cell r="C10863"/>
          <cell r="E10863"/>
          <cell r="F10863"/>
          <cell r="G10863"/>
          <cell r="H10863"/>
          <cell r="J10863"/>
          <cell r="L10863"/>
          <cell r="M10863"/>
        </row>
        <row r="10864">
          <cell r="B10864"/>
          <cell r="C10864"/>
          <cell r="E10864"/>
          <cell r="F10864"/>
          <cell r="G10864"/>
          <cell r="H10864"/>
          <cell r="J10864"/>
          <cell r="L10864"/>
          <cell r="M10864"/>
        </row>
        <row r="10865">
          <cell r="B10865"/>
          <cell r="C10865"/>
          <cell r="E10865"/>
          <cell r="F10865"/>
          <cell r="G10865"/>
          <cell r="H10865"/>
          <cell r="J10865"/>
          <cell r="L10865"/>
          <cell r="M10865"/>
        </row>
        <row r="10866">
          <cell r="B10866"/>
          <cell r="C10866"/>
          <cell r="E10866"/>
          <cell r="F10866"/>
          <cell r="G10866"/>
          <cell r="H10866"/>
          <cell r="J10866"/>
          <cell r="L10866"/>
          <cell r="M10866"/>
        </row>
        <row r="10867">
          <cell r="B10867"/>
          <cell r="C10867"/>
          <cell r="E10867"/>
          <cell r="F10867"/>
          <cell r="G10867"/>
          <cell r="H10867"/>
          <cell r="J10867"/>
          <cell r="L10867"/>
          <cell r="M10867"/>
        </row>
        <row r="10868">
          <cell r="B10868"/>
          <cell r="C10868"/>
          <cell r="E10868"/>
          <cell r="F10868"/>
          <cell r="G10868"/>
          <cell r="H10868"/>
          <cell r="J10868"/>
          <cell r="L10868"/>
          <cell r="M10868"/>
        </row>
        <row r="10869">
          <cell r="B10869"/>
          <cell r="C10869"/>
          <cell r="E10869"/>
          <cell r="F10869"/>
          <cell r="G10869"/>
          <cell r="H10869"/>
          <cell r="J10869"/>
          <cell r="L10869"/>
          <cell r="M10869"/>
        </row>
        <row r="10870">
          <cell r="B10870"/>
          <cell r="C10870"/>
          <cell r="E10870"/>
          <cell r="F10870"/>
          <cell r="G10870"/>
          <cell r="H10870"/>
          <cell r="J10870"/>
          <cell r="L10870"/>
          <cell r="M10870"/>
        </row>
        <row r="10871">
          <cell r="B10871"/>
          <cell r="C10871"/>
          <cell r="E10871"/>
          <cell r="F10871"/>
          <cell r="G10871"/>
          <cell r="H10871"/>
          <cell r="J10871"/>
          <cell r="L10871"/>
          <cell r="M10871"/>
        </row>
        <row r="10872">
          <cell r="B10872"/>
          <cell r="C10872"/>
          <cell r="E10872"/>
          <cell r="F10872"/>
          <cell r="G10872"/>
          <cell r="H10872"/>
          <cell r="J10872"/>
          <cell r="L10872"/>
          <cell r="M10872"/>
        </row>
        <row r="10873">
          <cell r="B10873"/>
          <cell r="C10873"/>
          <cell r="E10873"/>
          <cell r="F10873"/>
          <cell r="G10873"/>
          <cell r="H10873"/>
          <cell r="J10873"/>
          <cell r="L10873"/>
          <cell r="M10873"/>
        </row>
        <row r="10874">
          <cell r="B10874"/>
          <cell r="C10874"/>
          <cell r="E10874"/>
          <cell r="F10874"/>
          <cell r="G10874"/>
          <cell r="H10874"/>
          <cell r="J10874"/>
          <cell r="L10874"/>
          <cell r="M10874"/>
        </row>
        <row r="10875">
          <cell r="B10875"/>
          <cell r="C10875"/>
          <cell r="E10875"/>
          <cell r="F10875"/>
          <cell r="G10875"/>
          <cell r="H10875"/>
          <cell r="J10875"/>
          <cell r="L10875"/>
          <cell r="M10875"/>
        </row>
        <row r="10876">
          <cell r="B10876"/>
          <cell r="C10876"/>
          <cell r="E10876"/>
          <cell r="F10876"/>
          <cell r="G10876"/>
          <cell r="H10876"/>
          <cell r="J10876"/>
          <cell r="L10876"/>
          <cell r="M10876"/>
        </row>
        <row r="10877">
          <cell r="B10877"/>
          <cell r="C10877"/>
          <cell r="E10877"/>
          <cell r="F10877"/>
          <cell r="G10877"/>
          <cell r="H10877"/>
          <cell r="J10877"/>
          <cell r="L10877"/>
          <cell r="M10877"/>
        </row>
        <row r="10878">
          <cell r="B10878"/>
          <cell r="C10878"/>
          <cell r="E10878"/>
          <cell r="F10878"/>
          <cell r="G10878"/>
          <cell r="H10878"/>
          <cell r="J10878"/>
          <cell r="L10878"/>
          <cell r="M10878"/>
        </row>
        <row r="10879">
          <cell r="B10879"/>
          <cell r="C10879"/>
          <cell r="E10879"/>
          <cell r="F10879"/>
          <cell r="G10879"/>
          <cell r="H10879"/>
          <cell r="J10879"/>
          <cell r="L10879"/>
          <cell r="M10879"/>
        </row>
        <row r="10880">
          <cell r="B10880"/>
          <cell r="C10880"/>
          <cell r="E10880"/>
          <cell r="F10880"/>
          <cell r="G10880"/>
          <cell r="H10880"/>
          <cell r="J10880"/>
          <cell r="L10880"/>
          <cell r="M10880"/>
        </row>
        <row r="10881">
          <cell r="B10881"/>
          <cell r="C10881"/>
          <cell r="E10881"/>
          <cell r="F10881"/>
          <cell r="G10881"/>
          <cell r="H10881"/>
          <cell r="J10881"/>
          <cell r="L10881"/>
          <cell r="M10881"/>
        </row>
        <row r="10882">
          <cell r="B10882"/>
          <cell r="C10882"/>
          <cell r="E10882"/>
          <cell r="F10882"/>
          <cell r="G10882"/>
          <cell r="H10882"/>
          <cell r="J10882"/>
          <cell r="L10882"/>
          <cell r="M10882"/>
        </row>
        <row r="10883">
          <cell r="B10883"/>
          <cell r="C10883"/>
          <cell r="E10883"/>
          <cell r="F10883"/>
          <cell r="G10883"/>
          <cell r="H10883"/>
          <cell r="J10883"/>
          <cell r="L10883"/>
          <cell r="M10883"/>
        </row>
        <row r="10884">
          <cell r="B10884"/>
          <cell r="C10884"/>
          <cell r="E10884"/>
          <cell r="F10884"/>
          <cell r="G10884"/>
          <cell r="H10884"/>
          <cell r="J10884"/>
          <cell r="L10884"/>
          <cell r="M10884"/>
        </row>
        <row r="10885">
          <cell r="B10885"/>
          <cell r="C10885"/>
          <cell r="E10885"/>
          <cell r="F10885"/>
          <cell r="G10885"/>
          <cell r="H10885"/>
          <cell r="J10885"/>
          <cell r="L10885"/>
          <cell r="M10885"/>
        </row>
        <row r="10886">
          <cell r="B10886"/>
          <cell r="C10886"/>
          <cell r="E10886"/>
          <cell r="F10886"/>
          <cell r="G10886"/>
          <cell r="H10886"/>
          <cell r="J10886"/>
          <cell r="L10886"/>
          <cell r="M10886"/>
        </row>
        <row r="10887">
          <cell r="B10887"/>
          <cell r="C10887"/>
          <cell r="E10887"/>
          <cell r="F10887"/>
          <cell r="G10887"/>
          <cell r="H10887"/>
          <cell r="J10887"/>
          <cell r="L10887"/>
          <cell r="M10887"/>
        </row>
        <row r="10888">
          <cell r="B10888"/>
          <cell r="C10888"/>
          <cell r="E10888"/>
          <cell r="F10888"/>
          <cell r="G10888"/>
          <cell r="H10888"/>
          <cell r="J10888"/>
          <cell r="L10888"/>
          <cell r="M10888"/>
        </row>
        <row r="10889">
          <cell r="B10889"/>
          <cell r="C10889"/>
          <cell r="E10889"/>
          <cell r="F10889"/>
          <cell r="G10889"/>
          <cell r="H10889"/>
          <cell r="J10889"/>
          <cell r="L10889"/>
          <cell r="M10889"/>
        </row>
        <row r="10890">
          <cell r="B10890"/>
          <cell r="C10890"/>
          <cell r="E10890"/>
          <cell r="F10890"/>
          <cell r="G10890"/>
          <cell r="H10890"/>
          <cell r="J10890"/>
          <cell r="L10890"/>
          <cell r="M10890"/>
        </row>
        <row r="10891">
          <cell r="B10891"/>
          <cell r="C10891"/>
          <cell r="E10891"/>
          <cell r="F10891"/>
          <cell r="G10891"/>
          <cell r="H10891"/>
          <cell r="J10891"/>
          <cell r="L10891"/>
          <cell r="M10891"/>
        </row>
        <row r="10892">
          <cell r="B10892"/>
          <cell r="C10892"/>
          <cell r="E10892"/>
          <cell r="F10892"/>
          <cell r="G10892"/>
          <cell r="H10892"/>
          <cell r="J10892"/>
          <cell r="L10892"/>
          <cell r="M10892"/>
        </row>
        <row r="10893">
          <cell r="B10893"/>
          <cell r="C10893"/>
          <cell r="E10893"/>
          <cell r="F10893"/>
          <cell r="G10893"/>
          <cell r="H10893"/>
          <cell r="J10893"/>
          <cell r="L10893"/>
          <cell r="M10893"/>
        </row>
        <row r="10894">
          <cell r="B10894"/>
          <cell r="C10894"/>
          <cell r="E10894"/>
          <cell r="F10894"/>
          <cell r="G10894"/>
          <cell r="H10894"/>
          <cell r="J10894"/>
          <cell r="L10894"/>
          <cell r="M10894"/>
        </row>
        <row r="10895">
          <cell r="B10895"/>
          <cell r="C10895"/>
          <cell r="E10895"/>
          <cell r="F10895"/>
          <cell r="G10895"/>
          <cell r="H10895"/>
          <cell r="J10895"/>
          <cell r="L10895"/>
          <cell r="M10895"/>
        </row>
        <row r="10896">
          <cell r="B10896"/>
          <cell r="C10896"/>
          <cell r="E10896"/>
          <cell r="F10896"/>
          <cell r="G10896"/>
          <cell r="H10896"/>
          <cell r="J10896"/>
          <cell r="L10896"/>
          <cell r="M10896"/>
        </row>
        <row r="10897">
          <cell r="B10897"/>
          <cell r="C10897"/>
          <cell r="E10897"/>
          <cell r="F10897"/>
          <cell r="G10897"/>
          <cell r="H10897"/>
          <cell r="J10897"/>
          <cell r="L10897"/>
          <cell r="M10897"/>
        </row>
        <row r="10898">
          <cell r="B10898"/>
          <cell r="C10898"/>
          <cell r="E10898"/>
          <cell r="F10898"/>
          <cell r="G10898"/>
          <cell r="H10898"/>
          <cell r="J10898"/>
          <cell r="L10898"/>
          <cell r="M10898"/>
        </row>
        <row r="10899">
          <cell r="B10899"/>
          <cell r="C10899"/>
          <cell r="E10899"/>
          <cell r="F10899"/>
          <cell r="G10899"/>
          <cell r="H10899"/>
          <cell r="J10899"/>
          <cell r="L10899"/>
          <cell r="M10899"/>
        </row>
        <row r="10900">
          <cell r="B10900"/>
          <cell r="C10900"/>
          <cell r="E10900"/>
          <cell r="F10900"/>
          <cell r="G10900"/>
          <cell r="H10900"/>
          <cell r="J10900"/>
          <cell r="L10900"/>
          <cell r="M10900"/>
        </row>
        <row r="10901">
          <cell r="B10901"/>
          <cell r="C10901"/>
          <cell r="E10901"/>
          <cell r="F10901"/>
          <cell r="G10901"/>
          <cell r="H10901"/>
          <cell r="J10901"/>
          <cell r="L10901"/>
          <cell r="M10901"/>
        </row>
        <row r="10902">
          <cell r="B10902"/>
          <cell r="C10902"/>
          <cell r="E10902"/>
          <cell r="F10902"/>
          <cell r="G10902"/>
          <cell r="H10902"/>
          <cell r="J10902"/>
          <cell r="L10902"/>
          <cell r="M10902"/>
        </row>
        <row r="10903">
          <cell r="B10903"/>
          <cell r="C10903"/>
          <cell r="E10903"/>
          <cell r="F10903"/>
          <cell r="G10903"/>
          <cell r="H10903"/>
          <cell r="J10903"/>
          <cell r="L10903"/>
          <cell r="M10903"/>
        </row>
        <row r="10904">
          <cell r="B10904"/>
          <cell r="C10904"/>
          <cell r="E10904"/>
          <cell r="F10904"/>
          <cell r="G10904"/>
          <cell r="H10904"/>
          <cell r="J10904"/>
          <cell r="L10904"/>
          <cell r="M10904"/>
        </row>
        <row r="10905">
          <cell r="B10905"/>
          <cell r="C10905"/>
          <cell r="E10905"/>
          <cell r="F10905"/>
          <cell r="G10905"/>
          <cell r="H10905"/>
          <cell r="J10905"/>
          <cell r="L10905"/>
          <cell r="M10905"/>
        </row>
        <row r="10906">
          <cell r="B10906"/>
          <cell r="C10906"/>
          <cell r="E10906"/>
          <cell r="F10906"/>
          <cell r="G10906"/>
          <cell r="H10906"/>
          <cell r="J10906"/>
          <cell r="L10906"/>
          <cell r="M10906"/>
        </row>
        <row r="10907">
          <cell r="B10907"/>
          <cell r="C10907"/>
          <cell r="E10907"/>
          <cell r="F10907"/>
          <cell r="G10907"/>
          <cell r="H10907"/>
          <cell r="J10907"/>
          <cell r="L10907"/>
          <cell r="M10907"/>
        </row>
        <row r="10908">
          <cell r="B10908"/>
          <cell r="C10908"/>
          <cell r="E10908"/>
          <cell r="F10908"/>
          <cell r="G10908"/>
          <cell r="H10908"/>
          <cell r="J10908"/>
          <cell r="L10908"/>
          <cell r="M10908"/>
        </row>
        <row r="10909">
          <cell r="B10909"/>
          <cell r="C10909"/>
          <cell r="E10909"/>
          <cell r="F10909"/>
          <cell r="G10909"/>
          <cell r="H10909"/>
          <cell r="J10909"/>
          <cell r="L10909"/>
          <cell r="M10909"/>
        </row>
        <row r="10910">
          <cell r="B10910"/>
          <cell r="C10910"/>
          <cell r="E10910"/>
          <cell r="F10910"/>
          <cell r="G10910"/>
          <cell r="H10910"/>
          <cell r="J10910"/>
          <cell r="L10910"/>
          <cell r="M10910"/>
        </row>
        <row r="10911">
          <cell r="B10911"/>
          <cell r="C10911"/>
          <cell r="E10911"/>
          <cell r="F10911"/>
          <cell r="G10911"/>
          <cell r="H10911"/>
          <cell r="J10911"/>
          <cell r="L10911"/>
          <cell r="M10911"/>
        </row>
        <row r="10912">
          <cell r="B10912"/>
          <cell r="C10912"/>
          <cell r="E10912"/>
          <cell r="F10912"/>
          <cell r="G10912"/>
          <cell r="H10912"/>
          <cell r="J10912"/>
          <cell r="L10912"/>
          <cell r="M10912"/>
        </row>
        <row r="10913">
          <cell r="B10913"/>
          <cell r="C10913"/>
          <cell r="E10913"/>
          <cell r="F10913"/>
          <cell r="G10913"/>
          <cell r="H10913"/>
          <cell r="J10913"/>
          <cell r="L10913"/>
          <cell r="M10913"/>
        </row>
        <row r="10914">
          <cell r="B10914"/>
          <cell r="C10914"/>
          <cell r="E10914"/>
          <cell r="F10914"/>
          <cell r="G10914"/>
          <cell r="H10914"/>
          <cell r="J10914"/>
          <cell r="L10914"/>
          <cell r="M10914"/>
        </row>
        <row r="10915">
          <cell r="B10915"/>
          <cell r="C10915"/>
          <cell r="E10915"/>
          <cell r="F10915"/>
          <cell r="G10915"/>
          <cell r="H10915"/>
          <cell r="J10915"/>
          <cell r="L10915"/>
          <cell r="M10915"/>
        </row>
        <row r="10916">
          <cell r="B10916"/>
          <cell r="C10916"/>
          <cell r="E10916"/>
          <cell r="F10916"/>
          <cell r="G10916"/>
          <cell r="H10916"/>
          <cell r="J10916"/>
          <cell r="L10916"/>
          <cell r="M10916"/>
        </row>
        <row r="10917">
          <cell r="B10917"/>
          <cell r="C10917"/>
          <cell r="E10917"/>
          <cell r="F10917"/>
          <cell r="G10917"/>
          <cell r="H10917"/>
          <cell r="J10917"/>
          <cell r="L10917"/>
          <cell r="M10917"/>
        </row>
        <row r="10918">
          <cell r="B10918"/>
          <cell r="C10918"/>
          <cell r="E10918"/>
          <cell r="F10918"/>
          <cell r="G10918"/>
          <cell r="H10918"/>
          <cell r="J10918"/>
          <cell r="L10918"/>
          <cell r="M10918"/>
        </row>
        <row r="10919">
          <cell r="B10919"/>
          <cell r="C10919"/>
          <cell r="E10919"/>
          <cell r="F10919"/>
          <cell r="G10919"/>
          <cell r="H10919"/>
          <cell r="J10919"/>
          <cell r="L10919"/>
          <cell r="M10919"/>
        </row>
        <row r="10920">
          <cell r="B10920"/>
          <cell r="C10920"/>
          <cell r="E10920"/>
          <cell r="F10920"/>
          <cell r="G10920"/>
          <cell r="H10920"/>
          <cell r="J10920"/>
          <cell r="L10920"/>
          <cell r="M10920"/>
        </row>
        <row r="10921">
          <cell r="B10921"/>
          <cell r="C10921"/>
          <cell r="E10921"/>
          <cell r="F10921"/>
          <cell r="G10921"/>
          <cell r="H10921"/>
          <cell r="J10921"/>
          <cell r="L10921"/>
          <cell r="M10921"/>
        </row>
        <row r="10922">
          <cell r="B10922"/>
          <cell r="C10922"/>
          <cell r="E10922"/>
          <cell r="F10922"/>
          <cell r="G10922"/>
          <cell r="H10922"/>
          <cell r="J10922"/>
          <cell r="L10922"/>
          <cell r="M10922"/>
        </row>
        <row r="10923">
          <cell r="B10923"/>
          <cell r="C10923"/>
          <cell r="E10923"/>
          <cell r="F10923"/>
          <cell r="G10923"/>
          <cell r="H10923"/>
          <cell r="J10923"/>
          <cell r="L10923"/>
          <cell r="M10923"/>
        </row>
        <row r="10924">
          <cell r="B10924"/>
          <cell r="C10924"/>
          <cell r="E10924"/>
          <cell r="F10924"/>
          <cell r="G10924"/>
          <cell r="H10924"/>
          <cell r="J10924"/>
          <cell r="L10924"/>
          <cell r="M10924"/>
        </row>
        <row r="10925">
          <cell r="B10925"/>
          <cell r="C10925"/>
          <cell r="E10925"/>
          <cell r="F10925"/>
          <cell r="G10925"/>
          <cell r="H10925"/>
          <cell r="J10925"/>
          <cell r="L10925"/>
          <cell r="M10925"/>
        </row>
        <row r="10926">
          <cell r="B10926"/>
          <cell r="C10926"/>
          <cell r="E10926"/>
          <cell r="F10926"/>
          <cell r="G10926"/>
          <cell r="H10926"/>
          <cell r="J10926"/>
          <cell r="L10926"/>
          <cell r="M10926"/>
        </row>
        <row r="10927">
          <cell r="B10927"/>
          <cell r="C10927"/>
          <cell r="E10927"/>
          <cell r="F10927"/>
          <cell r="G10927"/>
          <cell r="H10927"/>
          <cell r="J10927"/>
          <cell r="L10927"/>
          <cell r="M10927"/>
        </row>
        <row r="10928">
          <cell r="B10928"/>
          <cell r="C10928"/>
          <cell r="E10928"/>
          <cell r="F10928"/>
          <cell r="G10928"/>
          <cell r="H10928"/>
          <cell r="J10928"/>
          <cell r="L10928"/>
          <cell r="M10928"/>
        </row>
        <row r="10929">
          <cell r="B10929"/>
          <cell r="C10929"/>
          <cell r="E10929"/>
          <cell r="F10929"/>
          <cell r="G10929"/>
          <cell r="H10929"/>
          <cell r="J10929"/>
          <cell r="L10929"/>
          <cell r="M10929"/>
        </row>
        <row r="10930">
          <cell r="B10930"/>
          <cell r="C10930"/>
          <cell r="E10930"/>
          <cell r="F10930"/>
          <cell r="G10930"/>
          <cell r="H10930"/>
          <cell r="J10930"/>
          <cell r="L10930"/>
          <cell r="M10930"/>
        </row>
        <row r="10931">
          <cell r="B10931"/>
          <cell r="C10931"/>
          <cell r="E10931"/>
          <cell r="F10931"/>
          <cell r="G10931"/>
          <cell r="H10931"/>
          <cell r="J10931"/>
          <cell r="L10931"/>
          <cell r="M10931"/>
        </row>
        <row r="10932">
          <cell r="B10932"/>
          <cell r="C10932"/>
          <cell r="E10932"/>
          <cell r="F10932"/>
          <cell r="G10932"/>
          <cell r="H10932"/>
          <cell r="J10932"/>
          <cell r="L10932"/>
          <cell r="M10932"/>
        </row>
        <row r="10933">
          <cell r="B10933"/>
          <cell r="C10933"/>
          <cell r="E10933"/>
          <cell r="F10933"/>
          <cell r="G10933"/>
          <cell r="H10933"/>
          <cell r="J10933"/>
          <cell r="L10933"/>
          <cell r="M10933"/>
        </row>
        <row r="10934">
          <cell r="B10934"/>
          <cell r="C10934"/>
          <cell r="E10934"/>
          <cell r="F10934"/>
          <cell r="G10934"/>
          <cell r="H10934"/>
          <cell r="J10934"/>
          <cell r="L10934"/>
          <cell r="M10934"/>
        </row>
        <row r="10935">
          <cell r="B10935"/>
          <cell r="C10935"/>
          <cell r="E10935"/>
          <cell r="F10935"/>
          <cell r="G10935"/>
          <cell r="H10935"/>
          <cell r="J10935"/>
          <cell r="L10935"/>
          <cell r="M10935"/>
        </row>
        <row r="10936">
          <cell r="B10936"/>
          <cell r="C10936"/>
          <cell r="E10936"/>
          <cell r="F10936"/>
          <cell r="G10936"/>
          <cell r="H10936"/>
          <cell r="J10936"/>
          <cell r="L10936"/>
          <cell r="M10936"/>
        </row>
        <row r="10937">
          <cell r="B10937"/>
          <cell r="C10937"/>
          <cell r="E10937"/>
          <cell r="F10937"/>
          <cell r="G10937"/>
          <cell r="H10937"/>
          <cell r="J10937"/>
          <cell r="L10937"/>
          <cell r="M10937"/>
        </row>
        <row r="10938">
          <cell r="B10938"/>
          <cell r="C10938"/>
          <cell r="E10938"/>
          <cell r="F10938"/>
          <cell r="G10938"/>
          <cell r="H10938"/>
          <cell r="J10938"/>
          <cell r="L10938"/>
          <cell r="M10938"/>
        </row>
        <row r="10939">
          <cell r="B10939"/>
          <cell r="C10939"/>
          <cell r="E10939"/>
          <cell r="F10939"/>
          <cell r="G10939"/>
          <cell r="H10939"/>
          <cell r="J10939"/>
          <cell r="L10939"/>
          <cell r="M10939"/>
        </row>
        <row r="10940">
          <cell r="B10940"/>
          <cell r="C10940"/>
          <cell r="E10940"/>
          <cell r="F10940"/>
          <cell r="G10940"/>
          <cell r="H10940"/>
          <cell r="J10940"/>
          <cell r="L10940"/>
          <cell r="M10940"/>
        </row>
        <row r="10941">
          <cell r="B10941"/>
          <cell r="C10941"/>
          <cell r="E10941"/>
          <cell r="F10941"/>
          <cell r="G10941"/>
          <cell r="H10941"/>
          <cell r="J10941"/>
          <cell r="L10941"/>
          <cell r="M10941"/>
        </row>
        <row r="10942">
          <cell r="B10942"/>
          <cell r="C10942"/>
          <cell r="E10942"/>
          <cell r="F10942"/>
          <cell r="G10942"/>
          <cell r="H10942"/>
          <cell r="J10942"/>
          <cell r="L10942"/>
          <cell r="M10942"/>
        </row>
        <row r="10943">
          <cell r="B10943"/>
          <cell r="C10943"/>
          <cell r="E10943"/>
          <cell r="F10943"/>
          <cell r="G10943"/>
          <cell r="H10943"/>
          <cell r="J10943"/>
          <cell r="L10943"/>
          <cell r="M10943"/>
        </row>
        <row r="10944">
          <cell r="B10944"/>
          <cell r="C10944"/>
          <cell r="E10944"/>
          <cell r="F10944"/>
          <cell r="G10944"/>
          <cell r="H10944"/>
          <cell r="J10944"/>
          <cell r="L10944"/>
          <cell r="M10944"/>
        </row>
        <row r="10945">
          <cell r="B10945"/>
          <cell r="C10945"/>
          <cell r="E10945"/>
          <cell r="F10945"/>
          <cell r="G10945"/>
          <cell r="H10945"/>
          <cell r="J10945"/>
          <cell r="L10945"/>
          <cell r="M10945"/>
        </row>
        <row r="10946">
          <cell r="B10946"/>
          <cell r="C10946"/>
          <cell r="E10946"/>
          <cell r="F10946"/>
          <cell r="G10946"/>
          <cell r="H10946"/>
          <cell r="J10946"/>
          <cell r="L10946"/>
          <cell r="M10946"/>
        </row>
        <row r="10947">
          <cell r="B10947"/>
          <cell r="C10947"/>
          <cell r="E10947"/>
          <cell r="F10947"/>
          <cell r="G10947"/>
          <cell r="H10947"/>
          <cell r="J10947"/>
          <cell r="L10947"/>
          <cell r="M10947"/>
        </row>
        <row r="10948">
          <cell r="B10948"/>
          <cell r="C10948"/>
          <cell r="E10948"/>
          <cell r="F10948"/>
          <cell r="G10948"/>
          <cell r="H10948"/>
          <cell r="J10948"/>
          <cell r="L10948"/>
          <cell r="M10948"/>
        </row>
        <row r="10949">
          <cell r="B10949"/>
          <cell r="C10949"/>
          <cell r="E10949"/>
          <cell r="F10949"/>
          <cell r="G10949"/>
          <cell r="H10949"/>
          <cell r="J10949"/>
          <cell r="L10949"/>
          <cell r="M10949"/>
        </row>
        <row r="10950">
          <cell r="B10950"/>
          <cell r="C10950"/>
          <cell r="E10950"/>
          <cell r="F10950"/>
          <cell r="G10950"/>
          <cell r="H10950"/>
          <cell r="J10950"/>
          <cell r="L10950"/>
          <cell r="M10950"/>
        </row>
        <row r="10951">
          <cell r="B10951"/>
          <cell r="C10951"/>
          <cell r="E10951"/>
          <cell r="F10951"/>
          <cell r="G10951"/>
          <cell r="H10951"/>
          <cell r="J10951"/>
          <cell r="L10951"/>
          <cell r="M10951"/>
        </row>
        <row r="10952">
          <cell r="B10952"/>
          <cell r="C10952"/>
          <cell r="E10952"/>
          <cell r="F10952"/>
          <cell r="G10952"/>
          <cell r="H10952"/>
          <cell r="J10952"/>
          <cell r="L10952"/>
          <cell r="M10952"/>
        </row>
        <row r="10953">
          <cell r="B10953"/>
          <cell r="C10953"/>
          <cell r="E10953"/>
          <cell r="F10953"/>
          <cell r="G10953"/>
          <cell r="H10953"/>
          <cell r="J10953"/>
          <cell r="L10953"/>
          <cell r="M10953"/>
        </row>
        <row r="10954">
          <cell r="B10954"/>
          <cell r="C10954"/>
          <cell r="E10954"/>
          <cell r="F10954"/>
          <cell r="G10954"/>
          <cell r="H10954"/>
          <cell r="J10954"/>
          <cell r="L10954"/>
          <cell r="M10954"/>
        </row>
        <row r="10955">
          <cell r="B10955"/>
          <cell r="C10955"/>
          <cell r="E10955"/>
          <cell r="F10955"/>
          <cell r="G10955"/>
          <cell r="H10955"/>
          <cell r="J10955"/>
          <cell r="L10955"/>
          <cell r="M10955"/>
        </row>
        <row r="10956">
          <cell r="B10956"/>
          <cell r="C10956"/>
          <cell r="E10956"/>
          <cell r="F10956"/>
          <cell r="G10956"/>
          <cell r="H10956"/>
          <cell r="J10956"/>
          <cell r="L10956"/>
          <cell r="M10956"/>
        </row>
        <row r="10957">
          <cell r="B10957"/>
          <cell r="C10957"/>
          <cell r="E10957"/>
          <cell r="F10957"/>
          <cell r="G10957"/>
          <cell r="H10957"/>
          <cell r="J10957"/>
          <cell r="L10957"/>
          <cell r="M10957"/>
        </row>
        <row r="10958">
          <cell r="B10958"/>
          <cell r="C10958"/>
          <cell r="E10958"/>
          <cell r="F10958"/>
          <cell r="G10958"/>
          <cell r="H10958"/>
          <cell r="J10958"/>
          <cell r="L10958"/>
          <cell r="M10958"/>
        </row>
        <row r="10959">
          <cell r="B10959"/>
          <cell r="C10959"/>
          <cell r="E10959"/>
          <cell r="F10959"/>
          <cell r="G10959"/>
          <cell r="H10959"/>
          <cell r="J10959"/>
          <cell r="L10959"/>
          <cell r="M10959"/>
        </row>
        <row r="10960">
          <cell r="B10960"/>
          <cell r="C10960"/>
          <cell r="E10960"/>
          <cell r="F10960"/>
          <cell r="G10960"/>
          <cell r="H10960"/>
          <cell r="J10960"/>
          <cell r="L10960"/>
          <cell r="M10960"/>
        </row>
        <row r="10961">
          <cell r="B10961"/>
          <cell r="C10961"/>
          <cell r="E10961"/>
          <cell r="F10961"/>
          <cell r="G10961"/>
          <cell r="H10961"/>
          <cell r="J10961"/>
          <cell r="L10961"/>
          <cell r="M10961"/>
        </row>
        <row r="10962">
          <cell r="B10962"/>
          <cell r="C10962"/>
          <cell r="E10962"/>
          <cell r="F10962"/>
          <cell r="G10962"/>
          <cell r="H10962"/>
          <cell r="J10962"/>
          <cell r="L10962"/>
          <cell r="M10962"/>
        </row>
        <row r="10963">
          <cell r="B10963"/>
          <cell r="C10963"/>
          <cell r="E10963"/>
          <cell r="F10963"/>
          <cell r="G10963"/>
          <cell r="H10963"/>
          <cell r="J10963"/>
          <cell r="L10963"/>
          <cell r="M10963"/>
        </row>
        <row r="10964">
          <cell r="B10964"/>
          <cell r="C10964"/>
          <cell r="E10964"/>
          <cell r="F10964"/>
          <cell r="G10964"/>
          <cell r="H10964"/>
          <cell r="J10964"/>
          <cell r="L10964"/>
          <cell r="M10964"/>
        </row>
        <row r="10965">
          <cell r="B10965"/>
          <cell r="C10965"/>
          <cell r="E10965"/>
          <cell r="F10965"/>
          <cell r="G10965"/>
          <cell r="H10965"/>
          <cell r="J10965"/>
          <cell r="L10965"/>
          <cell r="M10965"/>
        </row>
        <row r="10966">
          <cell r="B10966"/>
          <cell r="C10966"/>
          <cell r="E10966"/>
          <cell r="F10966"/>
          <cell r="G10966"/>
          <cell r="H10966"/>
          <cell r="J10966"/>
          <cell r="L10966"/>
          <cell r="M10966"/>
        </row>
        <row r="10967">
          <cell r="B10967"/>
          <cell r="C10967"/>
          <cell r="E10967"/>
          <cell r="F10967"/>
          <cell r="G10967"/>
          <cell r="H10967"/>
          <cell r="J10967"/>
          <cell r="L10967"/>
          <cell r="M10967"/>
        </row>
        <row r="10968">
          <cell r="B10968"/>
          <cell r="C10968"/>
          <cell r="E10968"/>
          <cell r="F10968"/>
          <cell r="G10968"/>
          <cell r="H10968"/>
          <cell r="J10968"/>
          <cell r="L10968"/>
          <cell r="M10968"/>
        </row>
        <row r="10969">
          <cell r="B10969"/>
          <cell r="C10969"/>
          <cell r="E10969"/>
          <cell r="F10969"/>
          <cell r="G10969"/>
          <cell r="H10969"/>
          <cell r="J10969"/>
          <cell r="L10969"/>
          <cell r="M10969"/>
        </row>
        <row r="10970">
          <cell r="B10970"/>
          <cell r="C10970"/>
          <cell r="E10970"/>
          <cell r="F10970"/>
          <cell r="G10970"/>
          <cell r="H10970"/>
          <cell r="J10970"/>
          <cell r="L10970"/>
          <cell r="M10970"/>
        </row>
        <row r="10971">
          <cell r="B10971"/>
          <cell r="C10971"/>
          <cell r="E10971"/>
          <cell r="F10971"/>
          <cell r="G10971"/>
          <cell r="H10971"/>
          <cell r="J10971"/>
          <cell r="L10971"/>
          <cell r="M10971"/>
        </row>
        <row r="10972">
          <cell r="B10972"/>
          <cell r="C10972"/>
          <cell r="E10972"/>
          <cell r="F10972"/>
          <cell r="G10972"/>
          <cell r="H10972"/>
          <cell r="J10972"/>
          <cell r="L10972"/>
          <cell r="M10972"/>
        </row>
        <row r="10973">
          <cell r="B10973"/>
          <cell r="C10973"/>
          <cell r="E10973"/>
          <cell r="F10973"/>
          <cell r="G10973"/>
          <cell r="H10973"/>
          <cell r="J10973"/>
          <cell r="L10973"/>
          <cell r="M10973"/>
        </row>
        <row r="10974">
          <cell r="B10974"/>
          <cell r="C10974"/>
          <cell r="E10974"/>
          <cell r="F10974"/>
          <cell r="G10974"/>
          <cell r="H10974"/>
          <cell r="J10974"/>
          <cell r="L10974"/>
          <cell r="M10974"/>
        </row>
        <row r="10975">
          <cell r="B10975"/>
          <cell r="C10975"/>
          <cell r="E10975"/>
          <cell r="F10975"/>
          <cell r="G10975"/>
          <cell r="H10975"/>
          <cell r="J10975"/>
          <cell r="L10975"/>
          <cell r="M10975"/>
        </row>
        <row r="10976">
          <cell r="B10976"/>
          <cell r="C10976"/>
          <cell r="E10976"/>
          <cell r="F10976"/>
          <cell r="G10976"/>
          <cell r="H10976"/>
          <cell r="J10976"/>
          <cell r="L10976"/>
          <cell r="M10976"/>
        </row>
        <row r="10977">
          <cell r="B10977"/>
          <cell r="C10977"/>
          <cell r="E10977"/>
          <cell r="F10977"/>
          <cell r="G10977"/>
          <cell r="H10977"/>
          <cell r="J10977"/>
          <cell r="L10977"/>
          <cell r="M10977"/>
        </row>
        <row r="10978">
          <cell r="B10978"/>
          <cell r="C10978"/>
          <cell r="E10978"/>
          <cell r="F10978"/>
          <cell r="G10978"/>
          <cell r="H10978"/>
          <cell r="J10978"/>
          <cell r="L10978"/>
          <cell r="M10978"/>
        </row>
        <row r="10979">
          <cell r="B10979"/>
          <cell r="C10979"/>
          <cell r="E10979"/>
          <cell r="F10979"/>
          <cell r="G10979"/>
          <cell r="H10979"/>
          <cell r="J10979"/>
          <cell r="L10979"/>
          <cell r="M10979"/>
        </row>
        <row r="10980">
          <cell r="B10980"/>
          <cell r="C10980"/>
          <cell r="E10980"/>
          <cell r="F10980"/>
          <cell r="G10980"/>
          <cell r="H10980"/>
          <cell r="J10980"/>
          <cell r="L10980"/>
          <cell r="M10980"/>
        </row>
        <row r="10981">
          <cell r="B10981"/>
          <cell r="C10981"/>
          <cell r="E10981"/>
          <cell r="F10981"/>
          <cell r="G10981"/>
          <cell r="H10981"/>
          <cell r="J10981"/>
          <cell r="L10981"/>
          <cell r="M10981"/>
        </row>
        <row r="10982">
          <cell r="B10982"/>
          <cell r="C10982"/>
          <cell r="E10982"/>
          <cell r="F10982"/>
          <cell r="G10982"/>
          <cell r="H10982"/>
          <cell r="J10982"/>
          <cell r="L10982"/>
          <cell r="M10982"/>
        </row>
        <row r="10983">
          <cell r="B10983"/>
          <cell r="C10983"/>
          <cell r="E10983"/>
          <cell r="F10983"/>
          <cell r="G10983"/>
          <cell r="H10983"/>
          <cell r="J10983"/>
          <cell r="L10983"/>
          <cell r="M10983"/>
        </row>
        <row r="10984">
          <cell r="B10984"/>
          <cell r="C10984"/>
          <cell r="E10984"/>
          <cell r="F10984"/>
          <cell r="G10984"/>
          <cell r="H10984"/>
          <cell r="J10984"/>
          <cell r="L10984"/>
          <cell r="M10984"/>
        </row>
        <row r="10985">
          <cell r="B10985"/>
          <cell r="C10985"/>
          <cell r="E10985"/>
          <cell r="F10985"/>
          <cell r="G10985"/>
          <cell r="H10985"/>
          <cell r="J10985"/>
          <cell r="L10985"/>
          <cell r="M10985"/>
        </row>
        <row r="10986">
          <cell r="B10986"/>
          <cell r="C10986"/>
          <cell r="E10986"/>
          <cell r="F10986"/>
          <cell r="G10986"/>
          <cell r="H10986"/>
          <cell r="J10986"/>
          <cell r="L10986"/>
          <cell r="M10986"/>
        </row>
        <row r="10987">
          <cell r="B10987"/>
          <cell r="C10987"/>
          <cell r="E10987"/>
          <cell r="F10987"/>
          <cell r="G10987"/>
          <cell r="H10987"/>
          <cell r="J10987"/>
          <cell r="L10987"/>
          <cell r="M10987"/>
        </row>
        <row r="10988">
          <cell r="B10988"/>
          <cell r="C10988"/>
          <cell r="E10988"/>
          <cell r="F10988"/>
          <cell r="G10988"/>
          <cell r="H10988"/>
          <cell r="J10988"/>
          <cell r="L10988"/>
          <cell r="M10988"/>
        </row>
        <row r="10989">
          <cell r="B10989"/>
          <cell r="C10989"/>
          <cell r="E10989"/>
          <cell r="F10989"/>
          <cell r="G10989"/>
          <cell r="H10989"/>
          <cell r="J10989"/>
          <cell r="L10989"/>
          <cell r="M10989"/>
        </row>
        <row r="10990">
          <cell r="B10990"/>
          <cell r="C10990"/>
          <cell r="E10990"/>
          <cell r="F10990"/>
          <cell r="G10990"/>
          <cell r="H10990"/>
          <cell r="J10990"/>
          <cell r="L10990"/>
          <cell r="M10990"/>
        </row>
        <row r="10991">
          <cell r="B10991"/>
          <cell r="C10991"/>
          <cell r="E10991"/>
          <cell r="F10991"/>
          <cell r="G10991"/>
          <cell r="H10991"/>
          <cell r="J10991"/>
          <cell r="L10991"/>
          <cell r="M10991"/>
        </row>
        <row r="10992">
          <cell r="B10992"/>
          <cell r="C10992"/>
          <cell r="E10992"/>
          <cell r="F10992"/>
          <cell r="G10992"/>
          <cell r="H10992"/>
          <cell r="J10992"/>
          <cell r="L10992"/>
          <cell r="M10992"/>
        </row>
        <row r="10993">
          <cell r="B10993"/>
          <cell r="C10993"/>
          <cell r="E10993"/>
          <cell r="F10993"/>
          <cell r="G10993"/>
          <cell r="H10993"/>
          <cell r="J10993"/>
          <cell r="L10993"/>
          <cell r="M10993"/>
        </row>
        <row r="10994">
          <cell r="B10994"/>
          <cell r="C10994"/>
          <cell r="E10994"/>
          <cell r="F10994"/>
          <cell r="G10994"/>
          <cell r="H10994"/>
          <cell r="J10994"/>
          <cell r="L10994"/>
          <cell r="M10994"/>
        </row>
        <row r="10995">
          <cell r="B10995"/>
          <cell r="C10995"/>
          <cell r="E10995"/>
          <cell r="F10995"/>
          <cell r="G10995"/>
          <cell r="H10995"/>
          <cell r="J10995"/>
          <cell r="L10995"/>
          <cell r="M10995"/>
        </row>
        <row r="10996">
          <cell r="B10996"/>
          <cell r="C10996"/>
          <cell r="E10996"/>
          <cell r="F10996"/>
          <cell r="G10996"/>
          <cell r="H10996"/>
          <cell r="J10996"/>
          <cell r="L10996"/>
          <cell r="M10996"/>
        </row>
        <row r="10997">
          <cell r="B10997"/>
          <cell r="C10997"/>
          <cell r="E10997"/>
          <cell r="F10997"/>
          <cell r="G10997"/>
          <cell r="H10997"/>
          <cell r="J10997"/>
          <cell r="L10997"/>
          <cell r="M10997"/>
        </row>
        <row r="10998">
          <cell r="B10998"/>
          <cell r="C10998"/>
          <cell r="E10998"/>
          <cell r="F10998"/>
          <cell r="G10998"/>
          <cell r="H10998"/>
          <cell r="J10998"/>
          <cell r="L10998"/>
          <cell r="M10998"/>
        </row>
        <row r="10999">
          <cell r="B10999"/>
          <cell r="C10999"/>
          <cell r="E10999"/>
          <cell r="F10999"/>
          <cell r="G10999"/>
          <cell r="H10999"/>
          <cell r="J10999"/>
          <cell r="L10999"/>
          <cell r="M10999"/>
        </row>
        <row r="11000">
          <cell r="B11000"/>
          <cell r="C11000"/>
          <cell r="E11000"/>
          <cell r="F11000"/>
          <cell r="G11000"/>
          <cell r="H11000"/>
          <cell r="J11000"/>
          <cell r="L11000"/>
          <cell r="M11000"/>
        </row>
        <row r="11001">
          <cell r="B11001"/>
          <cell r="C11001"/>
          <cell r="E11001"/>
          <cell r="F11001"/>
          <cell r="G11001"/>
          <cell r="H11001"/>
          <cell r="J11001"/>
          <cell r="L11001"/>
          <cell r="M11001"/>
        </row>
        <row r="11002">
          <cell r="B11002"/>
          <cell r="C11002"/>
          <cell r="E11002"/>
          <cell r="F11002"/>
          <cell r="G11002"/>
          <cell r="H11002"/>
          <cell r="J11002"/>
          <cell r="L11002"/>
          <cell r="M11002"/>
        </row>
        <row r="11003">
          <cell r="B11003"/>
          <cell r="C11003"/>
          <cell r="E11003"/>
          <cell r="F11003"/>
          <cell r="G11003"/>
          <cell r="H11003"/>
          <cell r="J11003"/>
          <cell r="L11003"/>
          <cell r="M11003"/>
        </row>
        <row r="11004">
          <cell r="B11004"/>
          <cell r="C11004"/>
          <cell r="E11004"/>
          <cell r="F11004"/>
          <cell r="G11004"/>
          <cell r="H11004"/>
          <cell r="J11004"/>
          <cell r="L11004"/>
          <cell r="M11004"/>
        </row>
        <row r="11005">
          <cell r="B11005"/>
          <cell r="C11005"/>
          <cell r="E11005"/>
          <cell r="F11005"/>
          <cell r="G11005"/>
          <cell r="H11005"/>
          <cell r="J11005"/>
          <cell r="L11005"/>
          <cell r="M11005"/>
        </row>
        <row r="11006">
          <cell r="B11006"/>
          <cell r="C11006"/>
          <cell r="E11006"/>
          <cell r="F11006"/>
          <cell r="G11006"/>
          <cell r="H11006"/>
          <cell r="J11006"/>
          <cell r="L11006"/>
          <cell r="M11006"/>
        </row>
        <row r="11007">
          <cell r="B11007"/>
          <cell r="C11007"/>
          <cell r="E11007"/>
          <cell r="F11007"/>
          <cell r="G11007"/>
          <cell r="H11007"/>
          <cell r="J11007"/>
          <cell r="L11007"/>
          <cell r="M11007"/>
        </row>
        <row r="11008">
          <cell r="B11008"/>
          <cell r="C11008"/>
          <cell r="E11008"/>
          <cell r="F11008"/>
          <cell r="G11008"/>
          <cell r="H11008"/>
          <cell r="J11008"/>
          <cell r="L11008"/>
          <cell r="M11008"/>
        </row>
        <row r="11009">
          <cell r="B11009"/>
          <cell r="C11009"/>
          <cell r="E11009"/>
          <cell r="F11009"/>
          <cell r="G11009"/>
          <cell r="H11009"/>
          <cell r="J11009"/>
          <cell r="L11009"/>
          <cell r="M11009"/>
        </row>
        <row r="11010">
          <cell r="B11010"/>
          <cell r="C11010"/>
          <cell r="E11010"/>
          <cell r="F11010"/>
          <cell r="G11010"/>
          <cell r="H11010"/>
          <cell r="J11010"/>
          <cell r="L11010"/>
          <cell r="M11010"/>
        </row>
        <row r="11011">
          <cell r="B11011"/>
          <cell r="C11011"/>
          <cell r="E11011"/>
          <cell r="F11011"/>
          <cell r="G11011"/>
          <cell r="H11011"/>
          <cell r="J11011"/>
          <cell r="L11011"/>
          <cell r="M11011"/>
        </row>
        <row r="11012">
          <cell r="B11012"/>
          <cell r="C11012"/>
          <cell r="E11012"/>
          <cell r="F11012"/>
          <cell r="G11012"/>
          <cell r="H11012"/>
          <cell r="J11012"/>
          <cell r="L11012"/>
          <cell r="M11012"/>
        </row>
        <row r="11013">
          <cell r="B11013"/>
          <cell r="C11013"/>
          <cell r="E11013"/>
          <cell r="F11013"/>
          <cell r="G11013"/>
          <cell r="H11013"/>
          <cell r="J11013"/>
          <cell r="L11013"/>
          <cell r="M11013"/>
        </row>
        <row r="11014">
          <cell r="B11014"/>
          <cell r="C11014"/>
          <cell r="E11014"/>
          <cell r="F11014"/>
          <cell r="G11014"/>
          <cell r="H11014"/>
          <cell r="J11014"/>
          <cell r="L11014"/>
          <cell r="M11014"/>
        </row>
        <row r="11015">
          <cell r="B11015"/>
          <cell r="C11015"/>
          <cell r="E11015"/>
          <cell r="F11015"/>
          <cell r="G11015"/>
          <cell r="H11015"/>
          <cell r="J11015"/>
          <cell r="L11015"/>
          <cell r="M11015"/>
        </row>
        <row r="11016">
          <cell r="B11016"/>
          <cell r="C11016"/>
          <cell r="E11016"/>
          <cell r="F11016"/>
          <cell r="G11016"/>
          <cell r="H11016"/>
          <cell r="J11016"/>
          <cell r="L11016"/>
          <cell r="M11016"/>
        </row>
        <row r="11017">
          <cell r="B11017"/>
          <cell r="C11017"/>
          <cell r="E11017"/>
          <cell r="F11017"/>
          <cell r="G11017"/>
          <cell r="H11017"/>
          <cell r="J11017"/>
          <cell r="L11017"/>
          <cell r="M11017"/>
        </row>
        <row r="11018">
          <cell r="B11018"/>
          <cell r="C11018"/>
          <cell r="E11018"/>
          <cell r="F11018"/>
          <cell r="G11018"/>
          <cell r="H11018"/>
          <cell r="J11018"/>
          <cell r="L11018"/>
          <cell r="M11018"/>
        </row>
        <row r="11019">
          <cell r="B11019"/>
          <cell r="C11019"/>
          <cell r="E11019"/>
          <cell r="F11019"/>
          <cell r="G11019"/>
          <cell r="H11019"/>
          <cell r="J11019"/>
          <cell r="L11019"/>
          <cell r="M11019"/>
        </row>
        <row r="11020">
          <cell r="B11020"/>
          <cell r="C11020"/>
          <cell r="E11020"/>
          <cell r="F11020"/>
          <cell r="G11020"/>
          <cell r="H11020"/>
          <cell r="J11020"/>
          <cell r="L11020"/>
          <cell r="M11020"/>
        </row>
        <row r="11021">
          <cell r="B11021"/>
          <cell r="C11021"/>
          <cell r="E11021"/>
          <cell r="F11021"/>
          <cell r="G11021"/>
          <cell r="H11021"/>
          <cell r="J11021"/>
          <cell r="L11021"/>
          <cell r="M11021"/>
        </row>
        <row r="11022">
          <cell r="B11022"/>
          <cell r="C11022"/>
          <cell r="E11022"/>
          <cell r="F11022"/>
          <cell r="G11022"/>
          <cell r="H11022"/>
          <cell r="J11022"/>
          <cell r="L11022"/>
          <cell r="M11022"/>
        </row>
        <row r="11023">
          <cell r="B11023"/>
          <cell r="C11023"/>
          <cell r="E11023"/>
          <cell r="F11023"/>
          <cell r="G11023"/>
          <cell r="H11023"/>
          <cell r="J11023"/>
          <cell r="L11023"/>
          <cell r="M11023"/>
        </row>
        <row r="11024">
          <cell r="B11024"/>
          <cell r="C11024"/>
          <cell r="E11024"/>
          <cell r="F11024"/>
          <cell r="G11024"/>
          <cell r="H11024"/>
          <cell r="J11024"/>
          <cell r="L11024"/>
          <cell r="M11024"/>
        </row>
        <row r="11025">
          <cell r="B11025"/>
          <cell r="C11025"/>
          <cell r="E11025"/>
          <cell r="F11025"/>
          <cell r="G11025"/>
          <cell r="H11025"/>
          <cell r="J11025"/>
          <cell r="L11025"/>
          <cell r="M11025"/>
        </row>
        <row r="11026">
          <cell r="B11026"/>
          <cell r="C11026"/>
          <cell r="E11026"/>
          <cell r="F11026"/>
          <cell r="G11026"/>
          <cell r="H11026"/>
          <cell r="J11026"/>
          <cell r="L11026"/>
          <cell r="M11026"/>
        </row>
        <row r="11027">
          <cell r="B11027"/>
          <cell r="C11027"/>
          <cell r="E11027"/>
          <cell r="F11027"/>
          <cell r="G11027"/>
          <cell r="H11027"/>
          <cell r="J11027"/>
          <cell r="L11027"/>
          <cell r="M11027"/>
        </row>
        <row r="11028">
          <cell r="B11028"/>
          <cell r="C11028"/>
          <cell r="E11028"/>
          <cell r="F11028"/>
          <cell r="G11028"/>
          <cell r="H11028"/>
          <cell r="J11028"/>
          <cell r="L11028"/>
          <cell r="M11028"/>
        </row>
        <row r="11029">
          <cell r="B11029"/>
          <cell r="C11029"/>
          <cell r="E11029"/>
          <cell r="F11029"/>
          <cell r="G11029"/>
          <cell r="H11029"/>
          <cell r="J11029"/>
          <cell r="L11029"/>
          <cell r="M11029"/>
        </row>
        <row r="11030">
          <cell r="B11030"/>
          <cell r="C11030"/>
          <cell r="E11030"/>
          <cell r="F11030"/>
          <cell r="G11030"/>
          <cell r="H11030"/>
          <cell r="J11030"/>
          <cell r="L11030"/>
          <cell r="M11030"/>
        </row>
        <row r="11031">
          <cell r="B11031"/>
          <cell r="C11031"/>
          <cell r="E11031"/>
          <cell r="F11031"/>
          <cell r="G11031"/>
          <cell r="H11031"/>
          <cell r="J11031"/>
          <cell r="L11031"/>
          <cell r="M11031"/>
        </row>
        <row r="11032">
          <cell r="B11032"/>
          <cell r="C11032"/>
          <cell r="E11032"/>
          <cell r="F11032"/>
          <cell r="G11032"/>
          <cell r="H11032"/>
          <cell r="J11032"/>
          <cell r="L11032"/>
          <cell r="M11032"/>
        </row>
        <row r="11033">
          <cell r="B11033"/>
          <cell r="C11033"/>
          <cell r="E11033"/>
          <cell r="F11033"/>
          <cell r="G11033"/>
          <cell r="H11033"/>
          <cell r="J11033"/>
          <cell r="L11033"/>
          <cell r="M11033"/>
        </row>
        <row r="11034">
          <cell r="B11034"/>
          <cell r="C11034"/>
          <cell r="E11034"/>
          <cell r="F11034"/>
          <cell r="G11034"/>
          <cell r="H11034"/>
          <cell r="J11034"/>
          <cell r="L11034"/>
          <cell r="M11034"/>
        </row>
        <row r="11035">
          <cell r="B11035"/>
          <cell r="C11035"/>
          <cell r="E11035"/>
          <cell r="F11035"/>
          <cell r="G11035"/>
          <cell r="H11035"/>
          <cell r="J11035"/>
          <cell r="L11035"/>
          <cell r="M11035"/>
        </row>
        <row r="11036">
          <cell r="B11036"/>
          <cell r="C11036"/>
          <cell r="E11036"/>
          <cell r="F11036"/>
          <cell r="G11036"/>
          <cell r="H11036"/>
          <cell r="J11036"/>
          <cell r="L11036"/>
          <cell r="M11036"/>
        </row>
        <row r="11037">
          <cell r="B11037"/>
          <cell r="C11037"/>
          <cell r="E11037"/>
          <cell r="F11037"/>
          <cell r="G11037"/>
          <cell r="H11037"/>
          <cell r="J11037"/>
          <cell r="L11037"/>
          <cell r="M11037"/>
        </row>
        <row r="11038">
          <cell r="B11038"/>
          <cell r="C11038"/>
          <cell r="E11038"/>
          <cell r="F11038"/>
          <cell r="G11038"/>
          <cell r="H11038"/>
          <cell r="J11038"/>
          <cell r="L11038"/>
          <cell r="M11038"/>
        </row>
        <row r="11039">
          <cell r="B11039"/>
          <cell r="C11039"/>
          <cell r="E11039"/>
          <cell r="F11039"/>
          <cell r="G11039"/>
          <cell r="H11039"/>
          <cell r="J11039"/>
          <cell r="L11039"/>
          <cell r="M11039"/>
        </row>
        <row r="11040">
          <cell r="B11040"/>
          <cell r="C11040"/>
          <cell r="E11040"/>
          <cell r="F11040"/>
          <cell r="G11040"/>
          <cell r="H11040"/>
          <cell r="J11040"/>
          <cell r="L11040"/>
          <cell r="M11040"/>
        </row>
        <row r="11041">
          <cell r="B11041"/>
          <cell r="C11041"/>
          <cell r="E11041"/>
          <cell r="F11041"/>
          <cell r="G11041"/>
          <cell r="H11041"/>
          <cell r="J11041"/>
          <cell r="L11041"/>
          <cell r="M11041"/>
        </row>
        <row r="11042">
          <cell r="B11042"/>
          <cell r="C11042"/>
          <cell r="E11042"/>
          <cell r="F11042"/>
          <cell r="G11042"/>
          <cell r="H11042"/>
          <cell r="J11042"/>
          <cell r="L11042"/>
          <cell r="M11042"/>
        </row>
        <row r="11043">
          <cell r="B11043"/>
          <cell r="C11043"/>
          <cell r="E11043"/>
          <cell r="F11043"/>
          <cell r="G11043"/>
          <cell r="H11043"/>
          <cell r="J11043"/>
          <cell r="L11043"/>
          <cell r="M11043"/>
        </row>
        <row r="11044">
          <cell r="B11044"/>
          <cell r="C11044"/>
          <cell r="E11044"/>
          <cell r="F11044"/>
          <cell r="G11044"/>
          <cell r="H11044"/>
          <cell r="J11044"/>
          <cell r="L11044"/>
          <cell r="M11044"/>
        </row>
        <row r="11045">
          <cell r="B11045"/>
          <cell r="C11045"/>
          <cell r="E11045"/>
          <cell r="F11045"/>
          <cell r="G11045"/>
          <cell r="H11045"/>
          <cell r="J11045"/>
          <cell r="L11045"/>
          <cell r="M11045"/>
        </row>
        <row r="11046">
          <cell r="B11046"/>
          <cell r="C11046"/>
          <cell r="E11046"/>
          <cell r="F11046"/>
          <cell r="G11046"/>
          <cell r="H11046"/>
          <cell r="J11046"/>
          <cell r="L11046"/>
          <cell r="M11046"/>
        </row>
        <row r="11047">
          <cell r="B11047"/>
          <cell r="C11047"/>
          <cell r="E11047"/>
          <cell r="F11047"/>
          <cell r="G11047"/>
          <cell r="H11047"/>
          <cell r="J11047"/>
          <cell r="L11047"/>
          <cell r="M11047"/>
        </row>
        <row r="11048">
          <cell r="B11048"/>
          <cell r="C11048"/>
          <cell r="E11048"/>
          <cell r="F11048"/>
          <cell r="G11048"/>
          <cell r="H11048"/>
          <cell r="J11048"/>
          <cell r="L11048"/>
          <cell r="M11048"/>
        </row>
        <row r="11049">
          <cell r="B11049"/>
          <cell r="C11049"/>
          <cell r="E11049"/>
          <cell r="F11049"/>
          <cell r="G11049"/>
          <cell r="H11049"/>
          <cell r="J11049"/>
          <cell r="L11049"/>
          <cell r="M11049"/>
        </row>
        <row r="11050">
          <cell r="B11050"/>
          <cell r="C11050"/>
          <cell r="E11050"/>
          <cell r="F11050"/>
          <cell r="G11050"/>
          <cell r="H11050"/>
          <cell r="J11050"/>
          <cell r="L11050"/>
          <cell r="M11050"/>
        </row>
        <row r="11051">
          <cell r="B11051"/>
          <cell r="C11051"/>
          <cell r="E11051"/>
          <cell r="F11051"/>
          <cell r="G11051"/>
          <cell r="H11051"/>
          <cell r="J11051"/>
          <cell r="L11051"/>
          <cell r="M11051"/>
        </row>
        <row r="11052">
          <cell r="B11052"/>
          <cell r="C11052"/>
          <cell r="E11052"/>
          <cell r="F11052"/>
          <cell r="G11052"/>
          <cell r="H11052"/>
          <cell r="J11052"/>
          <cell r="L11052"/>
          <cell r="M11052"/>
        </row>
        <row r="11053">
          <cell r="B11053"/>
          <cell r="C11053"/>
          <cell r="E11053"/>
          <cell r="F11053"/>
          <cell r="G11053"/>
          <cell r="H11053"/>
          <cell r="J11053"/>
          <cell r="L11053"/>
          <cell r="M11053"/>
        </row>
        <row r="11054">
          <cell r="B11054"/>
          <cell r="C11054"/>
          <cell r="E11054"/>
          <cell r="F11054"/>
          <cell r="G11054"/>
          <cell r="H11054"/>
          <cell r="J11054"/>
          <cell r="L11054"/>
          <cell r="M11054"/>
        </row>
        <row r="11055">
          <cell r="B11055"/>
          <cell r="C11055"/>
          <cell r="E11055"/>
          <cell r="F11055"/>
          <cell r="G11055"/>
          <cell r="H11055"/>
          <cell r="J11055"/>
          <cell r="L11055"/>
          <cell r="M11055"/>
        </row>
        <row r="11056">
          <cell r="B11056"/>
          <cell r="C11056"/>
          <cell r="E11056"/>
          <cell r="F11056"/>
          <cell r="G11056"/>
          <cell r="H11056"/>
          <cell r="J11056"/>
          <cell r="L11056"/>
          <cell r="M11056"/>
        </row>
        <row r="11057">
          <cell r="B11057"/>
          <cell r="C11057"/>
          <cell r="E11057"/>
          <cell r="F11057"/>
          <cell r="G11057"/>
          <cell r="H11057"/>
          <cell r="J11057"/>
          <cell r="L11057"/>
          <cell r="M11057"/>
        </row>
        <row r="11058">
          <cell r="B11058"/>
          <cell r="C11058"/>
          <cell r="E11058"/>
          <cell r="F11058"/>
          <cell r="G11058"/>
          <cell r="H11058"/>
          <cell r="J11058"/>
          <cell r="L11058"/>
          <cell r="M11058"/>
        </row>
        <row r="11059">
          <cell r="B11059"/>
          <cell r="C11059"/>
          <cell r="E11059"/>
          <cell r="F11059"/>
          <cell r="G11059"/>
          <cell r="H11059"/>
          <cell r="J11059"/>
          <cell r="L11059"/>
          <cell r="M11059"/>
        </row>
        <row r="11060">
          <cell r="B11060"/>
          <cell r="C11060"/>
          <cell r="E11060"/>
          <cell r="F11060"/>
          <cell r="G11060"/>
          <cell r="H11060"/>
          <cell r="J11060"/>
          <cell r="L11060"/>
          <cell r="M11060"/>
        </row>
        <row r="11061">
          <cell r="B11061"/>
          <cell r="C11061"/>
          <cell r="E11061"/>
          <cell r="F11061"/>
          <cell r="G11061"/>
          <cell r="H11061"/>
          <cell r="J11061"/>
          <cell r="L11061"/>
          <cell r="M11061"/>
        </row>
        <row r="11062">
          <cell r="B11062"/>
          <cell r="C11062"/>
          <cell r="E11062"/>
          <cell r="F11062"/>
          <cell r="G11062"/>
          <cell r="H11062"/>
          <cell r="J11062"/>
          <cell r="L11062"/>
          <cell r="M11062"/>
        </row>
        <row r="11063">
          <cell r="B11063"/>
          <cell r="C11063"/>
          <cell r="E11063"/>
          <cell r="F11063"/>
          <cell r="G11063"/>
          <cell r="H11063"/>
          <cell r="J11063"/>
          <cell r="L11063"/>
          <cell r="M11063"/>
        </row>
        <row r="11064">
          <cell r="B11064"/>
          <cell r="C11064"/>
          <cell r="E11064"/>
          <cell r="F11064"/>
          <cell r="G11064"/>
          <cell r="H11064"/>
          <cell r="J11064"/>
          <cell r="L11064"/>
          <cell r="M11064"/>
        </row>
        <row r="11065">
          <cell r="B11065"/>
          <cell r="C11065"/>
          <cell r="E11065"/>
          <cell r="F11065"/>
          <cell r="G11065"/>
          <cell r="H11065"/>
          <cell r="J11065"/>
          <cell r="L11065"/>
          <cell r="M11065"/>
        </row>
        <row r="11066">
          <cell r="B11066"/>
          <cell r="C11066"/>
          <cell r="E11066"/>
          <cell r="F11066"/>
          <cell r="G11066"/>
          <cell r="H11066"/>
          <cell r="J11066"/>
          <cell r="L11066"/>
          <cell r="M11066"/>
        </row>
        <row r="11067">
          <cell r="B11067"/>
          <cell r="C11067"/>
          <cell r="E11067"/>
          <cell r="F11067"/>
          <cell r="G11067"/>
          <cell r="H11067"/>
          <cell r="J11067"/>
          <cell r="L11067"/>
          <cell r="M11067"/>
        </row>
        <row r="11068">
          <cell r="B11068"/>
          <cell r="C11068"/>
          <cell r="E11068"/>
          <cell r="F11068"/>
          <cell r="G11068"/>
          <cell r="H11068"/>
          <cell r="J11068"/>
          <cell r="L11068"/>
          <cell r="M11068"/>
        </row>
        <row r="11069">
          <cell r="B11069"/>
          <cell r="C11069"/>
          <cell r="E11069"/>
          <cell r="F11069"/>
          <cell r="G11069"/>
          <cell r="H11069"/>
          <cell r="J11069"/>
          <cell r="L11069"/>
          <cell r="M11069"/>
        </row>
        <row r="11070">
          <cell r="B11070"/>
          <cell r="C11070"/>
          <cell r="E11070"/>
          <cell r="F11070"/>
          <cell r="G11070"/>
          <cell r="H11070"/>
          <cell r="J11070"/>
          <cell r="L11070"/>
          <cell r="M11070"/>
        </row>
        <row r="11071">
          <cell r="B11071"/>
          <cell r="C11071"/>
          <cell r="E11071"/>
          <cell r="F11071"/>
          <cell r="G11071"/>
          <cell r="H11071"/>
          <cell r="J11071"/>
          <cell r="L11071"/>
          <cell r="M11071"/>
        </row>
        <row r="11072">
          <cell r="B11072"/>
          <cell r="C11072"/>
          <cell r="E11072"/>
          <cell r="F11072"/>
          <cell r="G11072"/>
          <cell r="H11072"/>
          <cell r="J11072"/>
          <cell r="L11072"/>
          <cell r="M11072"/>
        </row>
        <row r="11073">
          <cell r="B11073"/>
          <cell r="C11073"/>
          <cell r="E11073"/>
          <cell r="F11073"/>
          <cell r="G11073"/>
          <cell r="H11073"/>
          <cell r="J11073"/>
          <cell r="L11073"/>
          <cell r="M11073"/>
        </row>
        <row r="11074">
          <cell r="B11074"/>
          <cell r="C11074"/>
          <cell r="E11074"/>
          <cell r="F11074"/>
          <cell r="G11074"/>
          <cell r="H11074"/>
          <cell r="J11074"/>
          <cell r="L11074"/>
          <cell r="M11074"/>
        </row>
        <row r="11075">
          <cell r="B11075"/>
          <cell r="C11075"/>
          <cell r="E11075"/>
          <cell r="F11075"/>
          <cell r="G11075"/>
          <cell r="H11075"/>
          <cell r="J11075"/>
          <cell r="L11075"/>
          <cell r="M11075"/>
        </row>
        <row r="11076">
          <cell r="B11076"/>
          <cell r="C11076"/>
          <cell r="E11076"/>
          <cell r="F11076"/>
          <cell r="G11076"/>
          <cell r="H11076"/>
          <cell r="J11076"/>
          <cell r="L11076"/>
          <cell r="M11076"/>
        </row>
        <row r="11077">
          <cell r="B11077"/>
          <cell r="C11077"/>
          <cell r="E11077"/>
          <cell r="F11077"/>
          <cell r="G11077"/>
          <cell r="H11077"/>
          <cell r="J11077"/>
          <cell r="L11077"/>
          <cell r="M11077"/>
        </row>
        <row r="11078">
          <cell r="B11078"/>
          <cell r="C11078"/>
          <cell r="E11078"/>
          <cell r="F11078"/>
          <cell r="G11078"/>
          <cell r="H11078"/>
          <cell r="J11078"/>
          <cell r="L11078"/>
          <cell r="M11078"/>
        </row>
        <row r="11079">
          <cell r="B11079"/>
          <cell r="C11079"/>
          <cell r="E11079"/>
          <cell r="F11079"/>
          <cell r="G11079"/>
          <cell r="H11079"/>
          <cell r="J11079"/>
          <cell r="L11079"/>
          <cell r="M11079"/>
        </row>
        <row r="11080">
          <cell r="B11080"/>
          <cell r="C11080"/>
          <cell r="E11080"/>
          <cell r="F11080"/>
          <cell r="G11080"/>
          <cell r="H11080"/>
          <cell r="J11080"/>
          <cell r="L11080"/>
          <cell r="M11080"/>
        </row>
        <row r="11081">
          <cell r="B11081"/>
          <cell r="C11081"/>
          <cell r="E11081"/>
          <cell r="F11081"/>
          <cell r="G11081"/>
          <cell r="H11081"/>
          <cell r="J11081"/>
          <cell r="L11081"/>
          <cell r="M11081"/>
        </row>
        <row r="11082">
          <cell r="B11082"/>
          <cell r="C11082"/>
          <cell r="E11082"/>
          <cell r="F11082"/>
          <cell r="G11082"/>
          <cell r="H11082"/>
          <cell r="J11082"/>
          <cell r="L11082"/>
          <cell r="M11082"/>
        </row>
        <row r="11083">
          <cell r="B11083"/>
          <cell r="C11083"/>
          <cell r="E11083"/>
          <cell r="F11083"/>
          <cell r="G11083"/>
          <cell r="H11083"/>
          <cell r="J11083"/>
          <cell r="L11083"/>
          <cell r="M11083"/>
        </row>
        <row r="11084">
          <cell r="B11084"/>
          <cell r="C11084"/>
          <cell r="E11084"/>
          <cell r="F11084"/>
          <cell r="G11084"/>
          <cell r="H11084"/>
          <cell r="J11084"/>
          <cell r="L11084"/>
          <cell r="M11084"/>
        </row>
        <row r="11085">
          <cell r="B11085"/>
          <cell r="C11085"/>
          <cell r="E11085"/>
          <cell r="F11085"/>
          <cell r="G11085"/>
          <cell r="H11085"/>
          <cell r="J11085"/>
          <cell r="L11085"/>
          <cell r="M11085"/>
        </row>
        <row r="11086">
          <cell r="B11086"/>
          <cell r="C11086"/>
          <cell r="E11086"/>
          <cell r="F11086"/>
          <cell r="G11086"/>
          <cell r="H11086"/>
          <cell r="J11086"/>
          <cell r="L11086"/>
          <cell r="M11086"/>
        </row>
        <row r="11087">
          <cell r="B11087"/>
          <cell r="C11087"/>
          <cell r="E11087"/>
          <cell r="F11087"/>
          <cell r="G11087"/>
          <cell r="H11087"/>
          <cell r="J11087"/>
          <cell r="L11087"/>
          <cell r="M11087"/>
        </row>
        <row r="11088">
          <cell r="B11088"/>
          <cell r="C11088"/>
          <cell r="E11088"/>
          <cell r="F11088"/>
          <cell r="G11088"/>
          <cell r="H11088"/>
          <cell r="J11088"/>
          <cell r="L11088"/>
          <cell r="M11088"/>
        </row>
        <row r="11089">
          <cell r="B11089"/>
          <cell r="C11089"/>
          <cell r="E11089"/>
          <cell r="F11089"/>
          <cell r="G11089"/>
          <cell r="H11089"/>
          <cell r="J11089"/>
          <cell r="L11089"/>
          <cell r="M11089"/>
        </row>
        <row r="11090">
          <cell r="B11090"/>
          <cell r="C11090"/>
          <cell r="E11090"/>
          <cell r="F11090"/>
          <cell r="G11090"/>
          <cell r="H11090"/>
          <cell r="J11090"/>
          <cell r="L11090"/>
          <cell r="M11090"/>
        </row>
        <row r="11091">
          <cell r="B11091"/>
          <cell r="C11091"/>
          <cell r="E11091"/>
          <cell r="F11091"/>
          <cell r="G11091"/>
          <cell r="H11091"/>
          <cell r="J11091"/>
          <cell r="L11091"/>
          <cell r="M11091"/>
        </row>
        <row r="11092">
          <cell r="B11092"/>
          <cell r="C11092"/>
          <cell r="E11092"/>
          <cell r="F11092"/>
          <cell r="G11092"/>
          <cell r="H11092"/>
          <cell r="J11092"/>
          <cell r="L11092"/>
          <cell r="M11092"/>
        </row>
        <row r="11093">
          <cell r="B11093"/>
          <cell r="C11093"/>
          <cell r="E11093"/>
          <cell r="F11093"/>
          <cell r="G11093"/>
          <cell r="H11093"/>
          <cell r="J11093"/>
          <cell r="L11093"/>
          <cell r="M11093"/>
        </row>
        <row r="11094">
          <cell r="B11094"/>
          <cell r="C11094"/>
          <cell r="E11094"/>
          <cell r="F11094"/>
          <cell r="G11094"/>
          <cell r="H11094"/>
          <cell r="J11094"/>
          <cell r="L11094"/>
          <cell r="M11094"/>
        </row>
        <row r="11095">
          <cell r="B11095"/>
          <cell r="C11095"/>
          <cell r="E11095"/>
          <cell r="F11095"/>
          <cell r="G11095"/>
          <cell r="H11095"/>
          <cell r="J11095"/>
          <cell r="L11095"/>
          <cell r="M11095"/>
        </row>
        <row r="11096">
          <cell r="B11096"/>
          <cell r="C11096"/>
          <cell r="E11096"/>
          <cell r="F11096"/>
          <cell r="G11096"/>
          <cell r="H11096"/>
          <cell r="J11096"/>
          <cell r="L11096"/>
          <cell r="M11096"/>
        </row>
        <row r="11097">
          <cell r="B11097"/>
          <cell r="C11097"/>
          <cell r="E11097"/>
          <cell r="F11097"/>
          <cell r="G11097"/>
          <cell r="H11097"/>
          <cell r="J11097"/>
          <cell r="L11097"/>
          <cell r="M11097"/>
        </row>
        <row r="11098">
          <cell r="B11098"/>
          <cell r="C11098"/>
          <cell r="E11098"/>
          <cell r="F11098"/>
          <cell r="G11098"/>
          <cell r="H11098"/>
          <cell r="J11098"/>
          <cell r="L11098"/>
          <cell r="M11098"/>
        </row>
        <row r="11099">
          <cell r="B11099"/>
          <cell r="C11099"/>
          <cell r="E11099"/>
          <cell r="F11099"/>
          <cell r="G11099"/>
          <cell r="H11099"/>
          <cell r="J11099"/>
          <cell r="L11099"/>
          <cell r="M11099"/>
        </row>
        <row r="11100">
          <cell r="B11100"/>
          <cell r="C11100"/>
          <cell r="E11100"/>
          <cell r="F11100"/>
          <cell r="G11100"/>
          <cell r="H11100"/>
          <cell r="J11100"/>
          <cell r="L11100"/>
          <cell r="M11100"/>
        </row>
        <row r="11101">
          <cell r="B11101"/>
          <cell r="C11101"/>
          <cell r="E11101"/>
          <cell r="F11101"/>
          <cell r="G11101"/>
          <cell r="H11101"/>
          <cell r="J11101"/>
          <cell r="L11101"/>
          <cell r="M11101"/>
        </row>
        <row r="11102">
          <cell r="B11102"/>
          <cell r="C11102"/>
          <cell r="E11102"/>
          <cell r="F11102"/>
          <cell r="G11102"/>
          <cell r="H11102"/>
          <cell r="J11102"/>
          <cell r="L11102"/>
          <cell r="M11102"/>
        </row>
        <row r="11103">
          <cell r="B11103"/>
          <cell r="C11103"/>
          <cell r="E11103"/>
          <cell r="F11103"/>
          <cell r="G11103"/>
          <cell r="H11103"/>
          <cell r="J11103"/>
          <cell r="L11103"/>
          <cell r="M11103"/>
        </row>
        <row r="11104">
          <cell r="B11104"/>
          <cell r="C11104"/>
          <cell r="E11104"/>
          <cell r="F11104"/>
          <cell r="G11104"/>
          <cell r="H11104"/>
          <cell r="J11104"/>
          <cell r="L11104"/>
          <cell r="M11104"/>
        </row>
        <row r="11105">
          <cell r="B11105"/>
          <cell r="C11105"/>
          <cell r="E11105"/>
          <cell r="F11105"/>
          <cell r="G11105"/>
          <cell r="H11105"/>
          <cell r="J11105"/>
          <cell r="L11105"/>
          <cell r="M11105"/>
        </row>
        <row r="11106">
          <cell r="B11106"/>
          <cell r="C11106"/>
          <cell r="E11106"/>
          <cell r="F11106"/>
          <cell r="G11106"/>
          <cell r="H11106"/>
          <cell r="J11106"/>
          <cell r="L11106"/>
          <cell r="M11106"/>
        </row>
        <row r="11107">
          <cell r="B11107"/>
          <cell r="C11107"/>
          <cell r="E11107"/>
          <cell r="F11107"/>
          <cell r="G11107"/>
          <cell r="H11107"/>
          <cell r="J11107"/>
          <cell r="L11107"/>
          <cell r="M11107"/>
        </row>
        <row r="11108">
          <cell r="B11108"/>
          <cell r="C11108"/>
          <cell r="E11108"/>
          <cell r="F11108"/>
          <cell r="G11108"/>
          <cell r="H11108"/>
          <cell r="J11108"/>
          <cell r="L11108"/>
          <cell r="M11108"/>
        </row>
        <row r="11109">
          <cell r="B11109"/>
          <cell r="C11109"/>
          <cell r="E11109"/>
          <cell r="F11109"/>
          <cell r="G11109"/>
          <cell r="H11109"/>
          <cell r="J11109"/>
          <cell r="L11109"/>
          <cell r="M11109"/>
        </row>
        <row r="11110">
          <cell r="B11110"/>
          <cell r="C11110"/>
          <cell r="E11110"/>
          <cell r="F11110"/>
          <cell r="G11110"/>
          <cell r="H11110"/>
          <cell r="J11110"/>
          <cell r="L11110"/>
          <cell r="M11110"/>
        </row>
        <row r="11111">
          <cell r="B11111"/>
          <cell r="C11111"/>
          <cell r="E11111"/>
          <cell r="F11111"/>
          <cell r="G11111"/>
          <cell r="H11111"/>
          <cell r="J11111"/>
          <cell r="L11111"/>
          <cell r="M11111"/>
        </row>
        <row r="11112">
          <cell r="B11112"/>
          <cell r="C11112"/>
          <cell r="E11112"/>
          <cell r="F11112"/>
          <cell r="G11112"/>
          <cell r="H11112"/>
          <cell r="J11112"/>
          <cell r="L11112"/>
          <cell r="M11112"/>
        </row>
        <row r="11113">
          <cell r="B11113"/>
          <cell r="C11113"/>
          <cell r="E11113"/>
          <cell r="F11113"/>
          <cell r="G11113"/>
          <cell r="H11113"/>
          <cell r="J11113"/>
          <cell r="L11113"/>
          <cell r="M11113"/>
        </row>
        <row r="11114">
          <cell r="B11114"/>
          <cell r="C11114"/>
          <cell r="E11114"/>
          <cell r="F11114"/>
          <cell r="G11114"/>
          <cell r="H11114"/>
          <cell r="J11114"/>
          <cell r="L11114"/>
          <cell r="M11114"/>
        </row>
        <row r="11115">
          <cell r="B11115"/>
          <cell r="C11115"/>
          <cell r="E11115"/>
          <cell r="F11115"/>
          <cell r="G11115"/>
          <cell r="H11115"/>
          <cell r="J11115"/>
          <cell r="L11115"/>
          <cell r="M11115"/>
        </row>
        <row r="11116">
          <cell r="B11116"/>
          <cell r="C11116"/>
          <cell r="E11116"/>
          <cell r="F11116"/>
          <cell r="G11116"/>
          <cell r="H11116"/>
          <cell r="J11116"/>
          <cell r="L11116"/>
          <cell r="M11116"/>
        </row>
        <row r="11117">
          <cell r="B11117"/>
          <cell r="C11117"/>
          <cell r="E11117"/>
          <cell r="F11117"/>
          <cell r="G11117"/>
          <cell r="H11117"/>
          <cell r="J11117"/>
          <cell r="L11117"/>
          <cell r="M11117"/>
        </row>
        <row r="11118">
          <cell r="B11118"/>
          <cell r="C11118"/>
          <cell r="E11118"/>
          <cell r="F11118"/>
          <cell r="G11118"/>
          <cell r="H11118"/>
          <cell r="J11118"/>
          <cell r="L11118"/>
          <cell r="M11118"/>
        </row>
        <row r="11119">
          <cell r="B11119"/>
          <cell r="C11119"/>
          <cell r="E11119"/>
          <cell r="F11119"/>
          <cell r="G11119"/>
          <cell r="H11119"/>
          <cell r="J11119"/>
          <cell r="L11119"/>
          <cell r="M11119"/>
        </row>
        <row r="11120">
          <cell r="B11120"/>
          <cell r="C11120"/>
          <cell r="E11120"/>
          <cell r="F11120"/>
          <cell r="G11120"/>
          <cell r="H11120"/>
          <cell r="J11120"/>
          <cell r="L11120"/>
          <cell r="M11120"/>
        </row>
        <row r="11121">
          <cell r="B11121"/>
          <cell r="C11121"/>
          <cell r="E11121"/>
          <cell r="F11121"/>
          <cell r="G11121"/>
          <cell r="H11121"/>
          <cell r="J11121"/>
          <cell r="L11121"/>
          <cell r="M11121"/>
        </row>
        <row r="11122">
          <cell r="B11122"/>
          <cell r="C11122"/>
          <cell r="E11122"/>
          <cell r="F11122"/>
          <cell r="G11122"/>
          <cell r="H11122"/>
          <cell r="J11122"/>
          <cell r="L11122"/>
          <cell r="M11122"/>
        </row>
        <row r="11123">
          <cell r="B11123"/>
          <cell r="C11123"/>
          <cell r="E11123"/>
          <cell r="F11123"/>
          <cell r="G11123"/>
          <cell r="H11123"/>
          <cell r="J11123"/>
          <cell r="L11123"/>
          <cell r="M11123"/>
        </row>
        <row r="11124">
          <cell r="B11124"/>
          <cell r="C11124"/>
          <cell r="E11124"/>
          <cell r="F11124"/>
          <cell r="G11124"/>
          <cell r="H11124"/>
          <cell r="J11124"/>
          <cell r="L11124"/>
          <cell r="M11124"/>
        </row>
        <row r="11125">
          <cell r="B11125"/>
          <cell r="C11125"/>
          <cell r="E11125"/>
          <cell r="F11125"/>
          <cell r="G11125"/>
          <cell r="H11125"/>
          <cell r="J11125"/>
          <cell r="L11125"/>
          <cell r="M11125"/>
        </row>
        <row r="11126">
          <cell r="B11126"/>
          <cell r="C11126"/>
          <cell r="E11126"/>
          <cell r="F11126"/>
          <cell r="G11126"/>
          <cell r="H11126"/>
          <cell r="J11126"/>
          <cell r="L11126"/>
          <cell r="M11126"/>
        </row>
        <row r="11127">
          <cell r="B11127"/>
          <cell r="C11127"/>
          <cell r="E11127"/>
          <cell r="F11127"/>
          <cell r="G11127"/>
          <cell r="H11127"/>
          <cell r="J11127"/>
          <cell r="L11127"/>
          <cell r="M11127"/>
        </row>
        <row r="11128">
          <cell r="B11128"/>
          <cell r="C11128"/>
          <cell r="E11128"/>
          <cell r="F11128"/>
          <cell r="G11128"/>
          <cell r="H11128"/>
          <cell r="J11128"/>
          <cell r="L11128"/>
          <cell r="M11128"/>
        </row>
        <row r="11129">
          <cell r="B11129"/>
          <cell r="C11129"/>
          <cell r="E11129"/>
          <cell r="F11129"/>
          <cell r="G11129"/>
          <cell r="H11129"/>
          <cell r="J11129"/>
          <cell r="L11129"/>
          <cell r="M11129"/>
        </row>
        <row r="11130">
          <cell r="B11130"/>
          <cell r="C11130"/>
          <cell r="E11130"/>
          <cell r="F11130"/>
          <cell r="G11130"/>
          <cell r="H11130"/>
          <cell r="J11130"/>
          <cell r="L11130"/>
          <cell r="M11130"/>
        </row>
        <row r="11131">
          <cell r="B11131"/>
          <cell r="C11131"/>
          <cell r="E11131"/>
          <cell r="F11131"/>
          <cell r="G11131"/>
          <cell r="H11131"/>
          <cell r="J11131"/>
          <cell r="L11131"/>
          <cell r="M11131"/>
        </row>
        <row r="11132">
          <cell r="B11132"/>
          <cell r="C11132"/>
          <cell r="E11132"/>
          <cell r="F11132"/>
          <cell r="G11132"/>
          <cell r="H11132"/>
          <cell r="J11132"/>
          <cell r="L11132"/>
          <cell r="M11132"/>
        </row>
        <row r="11133">
          <cell r="B11133"/>
          <cell r="C11133"/>
          <cell r="E11133"/>
          <cell r="F11133"/>
          <cell r="G11133"/>
          <cell r="H11133"/>
          <cell r="J11133"/>
          <cell r="L11133"/>
          <cell r="M11133"/>
        </row>
        <row r="11134">
          <cell r="B11134"/>
          <cell r="C11134"/>
          <cell r="E11134"/>
          <cell r="F11134"/>
          <cell r="G11134"/>
          <cell r="H11134"/>
          <cell r="J11134"/>
          <cell r="L11134"/>
          <cell r="M11134"/>
        </row>
        <row r="11135">
          <cell r="B11135"/>
          <cell r="C11135"/>
          <cell r="E11135"/>
          <cell r="F11135"/>
          <cell r="G11135"/>
          <cell r="H11135"/>
          <cell r="J11135"/>
          <cell r="L11135"/>
          <cell r="M11135"/>
        </row>
        <row r="11136">
          <cell r="B11136"/>
          <cell r="C11136"/>
          <cell r="E11136"/>
          <cell r="F11136"/>
          <cell r="G11136"/>
          <cell r="H11136"/>
          <cell r="J11136"/>
          <cell r="L11136"/>
          <cell r="M11136"/>
        </row>
        <row r="11137">
          <cell r="B11137"/>
          <cell r="C11137"/>
          <cell r="E11137"/>
          <cell r="F11137"/>
          <cell r="G11137"/>
          <cell r="H11137"/>
          <cell r="J11137"/>
          <cell r="L11137"/>
          <cell r="M11137"/>
        </row>
        <row r="11138">
          <cell r="B11138"/>
          <cell r="C11138"/>
          <cell r="E11138"/>
          <cell r="F11138"/>
          <cell r="G11138"/>
          <cell r="H11138"/>
          <cell r="J11138"/>
          <cell r="L11138"/>
          <cell r="M11138"/>
        </row>
        <row r="11139">
          <cell r="B11139"/>
          <cell r="C11139"/>
          <cell r="E11139"/>
          <cell r="F11139"/>
          <cell r="G11139"/>
          <cell r="H11139"/>
          <cell r="J11139"/>
          <cell r="L11139"/>
          <cell r="M11139"/>
        </row>
        <row r="11140">
          <cell r="B11140"/>
          <cell r="C11140"/>
          <cell r="E11140"/>
          <cell r="F11140"/>
          <cell r="G11140"/>
          <cell r="H11140"/>
          <cell r="J11140"/>
          <cell r="L11140"/>
          <cell r="M11140"/>
        </row>
        <row r="11141">
          <cell r="B11141"/>
          <cell r="C11141"/>
          <cell r="E11141"/>
          <cell r="F11141"/>
          <cell r="G11141"/>
          <cell r="H11141"/>
          <cell r="J11141"/>
          <cell r="L11141"/>
          <cell r="M11141"/>
        </row>
        <row r="11142">
          <cell r="B11142"/>
          <cell r="C11142"/>
          <cell r="E11142"/>
          <cell r="F11142"/>
          <cell r="G11142"/>
          <cell r="H11142"/>
          <cell r="J11142"/>
          <cell r="L11142"/>
          <cell r="M11142"/>
        </row>
        <row r="11143">
          <cell r="B11143"/>
          <cell r="C11143"/>
          <cell r="E11143"/>
          <cell r="F11143"/>
          <cell r="G11143"/>
          <cell r="H11143"/>
          <cell r="J11143"/>
          <cell r="L11143"/>
          <cell r="M11143"/>
        </row>
        <row r="11144">
          <cell r="B11144"/>
          <cell r="C11144"/>
          <cell r="E11144"/>
          <cell r="F11144"/>
          <cell r="G11144"/>
          <cell r="H11144"/>
          <cell r="J11144"/>
          <cell r="L11144"/>
          <cell r="M11144"/>
        </row>
        <row r="11145">
          <cell r="B11145"/>
          <cell r="C11145"/>
          <cell r="E11145"/>
          <cell r="F11145"/>
          <cell r="G11145"/>
          <cell r="H11145"/>
          <cell r="J11145"/>
          <cell r="L11145"/>
          <cell r="M11145"/>
        </row>
        <row r="11146">
          <cell r="B11146"/>
          <cell r="C11146"/>
          <cell r="E11146"/>
          <cell r="F11146"/>
          <cell r="G11146"/>
          <cell r="H11146"/>
          <cell r="J11146"/>
          <cell r="L11146"/>
          <cell r="M11146"/>
        </row>
        <row r="11147">
          <cell r="B11147"/>
          <cell r="C11147"/>
          <cell r="E11147"/>
          <cell r="F11147"/>
          <cell r="G11147"/>
          <cell r="H11147"/>
          <cell r="J11147"/>
          <cell r="L11147"/>
          <cell r="M11147"/>
        </row>
        <row r="11148">
          <cell r="B11148"/>
          <cell r="C11148"/>
          <cell r="E11148"/>
          <cell r="F11148"/>
          <cell r="G11148"/>
          <cell r="H11148"/>
          <cell r="J11148"/>
          <cell r="L11148"/>
          <cell r="M11148"/>
        </row>
        <row r="11149">
          <cell r="B11149"/>
          <cell r="C11149"/>
          <cell r="E11149"/>
          <cell r="F11149"/>
          <cell r="G11149"/>
          <cell r="H11149"/>
          <cell r="J11149"/>
          <cell r="L11149"/>
          <cell r="M11149"/>
        </row>
        <row r="11150">
          <cell r="B11150"/>
          <cell r="C11150"/>
          <cell r="E11150"/>
          <cell r="F11150"/>
          <cell r="G11150"/>
          <cell r="H11150"/>
          <cell r="J11150"/>
          <cell r="L11150"/>
          <cell r="M11150"/>
        </row>
        <row r="11151">
          <cell r="B11151"/>
          <cell r="C11151"/>
          <cell r="E11151"/>
          <cell r="F11151"/>
          <cell r="G11151"/>
          <cell r="H11151"/>
          <cell r="J11151"/>
          <cell r="L11151"/>
          <cell r="M11151"/>
        </row>
        <row r="11152">
          <cell r="B11152"/>
          <cell r="C11152"/>
          <cell r="E11152"/>
          <cell r="F11152"/>
          <cell r="G11152"/>
          <cell r="H11152"/>
          <cell r="J11152"/>
          <cell r="L11152"/>
          <cell r="M11152"/>
        </row>
        <row r="11153">
          <cell r="B11153"/>
          <cell r="C11153"/>
          <cell r="E11153"/>
          <cell r="F11153"/>
          <cell r="G11153"/>
          <cell r="H11153"/>
          <cell r="J11153"/>
          <cell r="L11153"/>
          <cell r="M11153"/>
        </row>
        <row r="11154">
          <cell r="B11154"/>
          <cell r="C11154"/>
          <cell r="E11154"/>
          <cell r="F11154"/>
          <cell r="G11154"/>
          <cell r="H11154"/>
          <cell r="J11154"/>
          <cell r="L11154"/>
          <cell r="M11154"/>
        </row>
        <row r="11155">
          <cell r="B11155"/>
          <cell r="C11155"/>
          <cell r="E11155"/>
          <cell r="F11155"/>
          <cell r="G11155"/>
          <cell r="H11155"/>
          <cell r="J11155"/>
          <cell r="L11155"/>
          <cell r="M11155"/>
        </row>
        <row r="11156">
          <cell r="B11156"/>
          <cell r="C11156"/>
          <cell r="E11156"/>
          <cell r="F11156"/>
          <cell r="G11156"/>
          <cell r="H11156"/>
          <cell r="J11156"/>
          <cell r="L11156"/>
          <cell r="M11156"/>
        </row>
        <row r="11157">
          <cell r="B11157"/>
          <cell r="C11157"/>
          <cell r="E11157"/>
          <cell r="F11157"/>
          <cell r="G11157"/>
          <cell r="H11157"/>
          <cell r="J11157"/>
          <cell r="L11157"/>
          <cell r="M11157"/>
        </row>
        <row r="11158">
          <cell r="B11158"/>
          <cell r="C11158"/>
          <cell r="E11158"/>
          <cell r="F11158"/>
          <cell r="G11158"/>
          <cell r="H11158"/>
          <cell r="J11158"/>
          <cell r="L11158"/>
          <cell r="M11158"/>
        </row>
        <row r="11159">
          <cell r="B11159"/>
          <cell r="C11159"/>
          <cell r="E11159"/>
          <cell r="F11159"/>
          <cell r="G11159"/>
          <cell r="H11159"/>
          <cell r="J11159"/>
          <cell r="L11159"/>
          <cell r="M11159"/>
        </row>
        <row r="11160">
          <cell r="B11160"/>
          <cell r="C11160"/>
          <cell r="E11160"/>
          <cell r="F11160"/>
          <cell r="G11160"/>
          <cell r="H11160"/>
          <cell r="J11160"/>
          <cell r="L11160"/>
          <cell r="M11160"/>
        </row>
        <row r="11161">
          <cell r="B11161"/>
          <cell r="C11161"/>
          <cell r="E11161"/>
          <cell r="F11161"/>
          <cell r="G11161"/>
          <cell r="H11161"/>
          <cell r="J11161"/>
          <cell r="L11161"/>
          <cell r="M11161"/>
        </row>
        <row r="11162">
          <cell r="B11162"/>
          <cell r="C11162"/>
          <cell r="E11162"/>
          <cell r="F11162"/>
          <cell r="G11162"/>
          <cell r="H11162"/>
          <cell r="J11162"/>
          <cell r="L11162"/>
          <cell r="M11162"/>
        </row>
        <row r="11163">
          <cell r="B11163"/>
          <cell r="C11163"/>
          <cell r="E11163"/>
          <cell r="F11163"/>
          <cell r="G11163"/>
          <cell r="H11163"/>
          <cell r="J11163"/>
          <cell r="L11163"/>
          <cell r="M11163"/>
        </row>
        <row r="11164">
          <cell r="B11164"/>
          <cell r="C11164"/>
          <cell r="E11164"/>
          <cell r="F11164"/>
          <cell r="G11164"/>
          <cell r="H11164"/>
          <cell r="J11164"/>
          <cell r="L11164"/>
          <cell r="M11164"/>
        </row>
        <row r="11165">
          <cell r="B11165"/>
          <cell r="C11165"/>
          <cell r="E11165"/>
          <cell r="F11165"/>
          <cell r="G11165"/>
          <cell r="H11165"/>
          <cell r="J11165"/>
          <cell r="L11165"/>
          <cell r="M11165"/>
        </row>
        <row r="11166">
          <cell r="B11166"/>
          <cell r="C11166"/>
          <cell r="E11166"/>
          <cell r="F11166"/>
          <cell r="G11166"/>
          <cell r="H11166"/>
          <cell r="J11166"/>
          <cell r="L11166"/>
          <cell r="M11166"/>
        </row>
        <row r="11167">
          <cell r="B11167"/>
          <cell r="C11167"/>
          <cell r="E11167"/>
          <cell r="F11167"/>
          <cell r="G11167"/>
          <cell r="H11167"/>
          <cell r="J11167"/>
          <cell r="L11167"/>
          <cell r="M11167"/>
        </row>
        <row r="11168">
          <cell r="B11168"/>
          <cell r="C11168"/>
          <cell r="E11168"/>
          <cell r="F11168"/>
          <cell r="G11168"/>
          <cell r="H11168"/>
          <cell r="J11168"/>
          <cell r="L11168"/>
          <cell r="M11168"/>
        </row>
        <row r="11169">
          <cell r="B11169"/>
          <cell r="C11169"/>
          <cell r="E11169"/>
          <cell r="F11169"/>
          <cell r="G11169"/>
          <cell r="H11169"/>
          <cell r="J11169"/>
          <cell r="L11169"/>
          <cell r="M11169"/>
        </row>
        <row r="11170">
          <cell r="B11170"/>
          <cell r="C11170"/>
          <cell r="E11170"/>
          <cell r="F11170"/>
          <cell r="G11170"/>
          <cell r="H11170"/>
          <cell r="J11170"/>
          <cell r="L11170"/>
          <cell r="M11170"/>
        </row>
        <row r="11171">
          <cell r="B11171"/>
          <cell r="C11171"/>
          <cell r="E11171"/>
          <cell r="F11171"/>
          <cell r="G11171"/>
          <cell r="H11171"/>
          <cell r="J11171"/>
          <cell r="L11171"/>
          <cell r="M11171"/>
        </row>
        <row r="11172">
          <cell r="B11172"/>
          <cell r="C11172"/>
          <cell r="E11172"/>
          <cell r="F11172"/>
          <cell r="G11172"/>
          <cell r="H11172"/>
          <cell r="J11172"/>
          <cell r="L11172"/>
          <cell r="M11172"/>
        </row>
        <row r="11173">
          <cell r="B11173"/>
          <cell r="C11173"/>
          <cell r="E11173"/>
          <cell r="F11173"/>
          <cell r="G11173"/>
          <cell r="H11173"/>
          <cell r="J11173"/>
          <cell r="L11173"/>
          <cell r="M11173"/>
        </row>
        <row r="11174">
          <cell r="B11174"/>
          <cell r="C11174"/>
          <cell r="E11174"/>
          <cell r="F11174"/>
          <cell r="G11174"/>
          <cell r="H11174"/>
          <cell r="J11174"/>
          <cell r="L11174"/>
          <cell r="M11174"/>
        </row>
        <row r="11175">
          <cell r="B11175"/>
          <cell r="C11175"/>
          <cell r="E11175"/>
          <cell r="F11175"/>
          <cell r="G11175"/>
          <cell r="H11175"/>
          <cell r="J11175"/>
          <cell r="L11175"/>
          <cell r="M11175"/>
        </row>
        <row r="11176">
          <cell r="B11176"/>
          <cell r="C11176"/>
          <cell r="E11176"/>
          <cell r="F11176"/>
          <cell r="G11176"/>
          <cell r="H11176"/>
          <cell r="J11176"/>
          <cell r="L11176"/>
          <cell r="M11176"/>
        </row>
        <row r="11177">
          <cell r="B11177"/>
          <cell r="C11177"/>
          <cell r="E11177"/>
          <cell r="F11177"/>
          <cell r="G11177"/>
          <cell r="H11177"/>
          <cell r="J11177"/>
          <cell r="L11177"/>
          <cell r="M11177"/>
        </row>
        <row r="11178">
          <cell r="B11178"/>
          <cell r="C11178"/>
          <cell r="E11178"/>
          <cell r="F11178"/>
          <cell r="G11178"/>
          <cell r="H11178"/>
          <cell r="J11178"/>
          <cell r="L11178"/>
          <cell r="M11178"/>
        </row>
        <row r="11179">
          <cell r="B11179"/>
          <cell r="C11179"/>
          <cell r="E11179"/>
          <cell r="F11179"/>
          <cell r="G11179"/>
          <cell r="H11179"/>
          <cell r="J11179"/>
          <cell r="L11179"/>
          <cell r="M11179"/>
        </row>
        <row r="11180">
          <cell r="B11180"/>
          <cell r="C11180"/>
          <cell r="E11180"/>
          <cell r="F11180"/>
          <cell r="G11180"/>
          <cell r="H11180"/>
          <cell r="J11180"/>
          <cell r="L11180"/>
          <cell r="M11180"/>
        </row>
        <row r="11181">
          <cell r="B11181"/>
          <cell r="C11181"/>
          <cell r="E11181"/>
          <cell r="F11181"/>
          <cell r="G11181"/>
          <cell r="H11181"/>
          <cell r="J11181"/>
          <cell r="L11181"/>
          <cell r="M11181"/>
        </row>
        <row r="11182">
          <cell r="B11182"/>
          <cell r="C11182"/>
          <cell r="E11182"/>
          <cell r="F11182"/>
          <cell r="G11182"/>
          <cell r="H11182"/>
          <cell r="J11182"/>
          <cell r="L11182"/>
          <cell r="M11182"/>
        </row>
        <row r="11183">
          <cell r="B11183"/>
          <cell r="C11183"/>
          <cell r="E11183"/>
          <cell r="F11183"/>
          <cell r="G11183"/>
          <cell r="H11183"/>
          <cell r="J11183"/>
          <cell r="L11183"/>
          <cell r="M11183"/>
        </row>
        <row r="11184">
          <cell r="B11184"/>
          <cell r="C11184"/>
          <cell r="E11184"/>
          <cell r="F11184"/>
          <cell r="G11184"/>
          <cell r="H11184"/>
          <cell r="J11184"/>
          <cell r="L11184"/>
          <cell r="M11184"/>
        </row>
        <row r="11185">
          <cell r="B11185"/>
          <cell r="C11185"/>
          <cell r="E11185"/>
          <cell r="F11185"/>
          <cell r="G11185"/>
          <cell r="H11185"/>
          <cell r="J11185"/>
          <cell r="L11185"/>
          <cell r="M11185"/>
        </row>
        <row r="11186">
          <cell r="B11186"/>
          <cell r="C11186"/>
          <cell r="E11186"/>
          <cell r="F11186"/>
          <cell r="G11186"/>
          <cell r="H11186"/>
          <cell r="J11186"/>
          <cell r="L11186"/>
          <cell r="M11186"/>
        </row>
        <row r="11187">
          <cell r="B11187"/>
          <cell r="C11187"/>
          <cell r="E11187"/>
          <cell r="F11187"/>
          <cell r="G11187"/>
          <cell r="H11187"/>
          <cell r="J11187"/>
          <cell r="L11187"/>
          <cell r="M11187"/>
        </row>
        <row r="11188">
          <cell r="B11188"/>
          <cell r="C11188"/>
          <cell r="E11188"/>
          <cell r="F11188"/>
          <cell r="G11188"/>
          <cell r="H11188"/>
          <cell r="J11188"/>
          <cell r="L11188"/>
          <cell r="M11188"/>
        </row>
        <row r="11189">
          <cell r="B11189"/>
          <cell r="C11189"/>
          <cell r="E11189"/>
          <cell r="F11189"/>
          <cell r="G11189"/>
          <cell r="H11189"/>
          <cell r="J11189"/>
          <cell r="L11189"/>
          <cell r="M11189"/>
        </row>
        <row r="11190">
          <cell r="B11190"/>
          <cell r="C11190"/>
          <cell r="E11190"/>
          <cell r="F11190"/>
          <cell r="G11190"/>
          <cell r="H11190"/>
          <cell r="J11190"/>
          <cell r="L11190"/>
          <cell r="M11190"/>
        </row>
        <row r="11191">
          <cell r="B11191"/>
          <cell r="C11191"/>
          <cell r="E11191"/>
          <cell r="F11191"/>
          <cell r="G11191"/>
          <cell r="H11191"/>
          <cell r="J11191"/>
          <cell r="L11191"/>
          <cell r="M11191"/>
        </row>
        <row r="11192">
          <cell r="B11192"/>
          <cell r="C11192"/>
          <cell r="E11192"/>
          <cell r="F11192"/>
          <cell r="G11192"/>
          <cell r="H11192"/>
          <cell r="J11192"/>
          <cell r="L11192"/>
          <cell r="M11192"/>
        </row>
        <row r="11193">
          <cell r="B11193"/>
          <cell r="C11193"/>
          <cell r="E11193"/>
          <cell r="F11193"/>
          <cell r="G11193"/>
          <cell r="H11193"/>
          <cell r="J11193"/>
          <cell r="L11193"/>
          <cell r="M11193"/>
        </row>
        <row r="11194">
          <cell r="B11194"/>
          <cell r="C11194"/>
          <cell r="E11194"/>
          <cell r="F11194"/>
          <cell r="G11194"/>
          <cell r="H11194"/>
          <cell r="J11194"/>
          <cell r="L11194"/>
          <cell r="M11194"/>
        </row>
        <row r="11195">
          <cell r="B11195"/>
          <cell r="C11195"/>
          <cell r="E11195"/>
          <cell r="F11195"/>
          <cell r="G11195"/>
          <cell r="H11195"/>
          <cell r="J11195"/>
          <cell r="L11195"/>
          <cell r="M11195"/>
        </row>
        <row r="11196">
          <cell r="B11196"/>
          <cell r="C11196"/>
          <cell r="E11196"/>
          <cell r="F11196"/>
          <cell r="G11196"/>
          <cell r="H11196"/>
          <cell r="J11196"/>
          <cell r="L11196"/>
          <cell r="M11196"/>
        </row>
        <row r="11197">
          <cell r="B11197"/>
          <cell r="C11197"/>
          <cell r="E11197"/>
          <cell r="F11197"/>
          <cell r="G11197"/>
          <cell r="H11197"/>
          <cell r="J11197"/>
          <cell r="L11197"/>
          <cell r="M11197"/>
        </row>
        <row r="11198">
          <cell r="B11198"/>
          <cell r="C11198"/>
          <cell r="E11198"/>
          <cell r="F11198"/>
          <cell r="G11198"/>
          <cell r="H11198"/>
          <cell r="J11198"/>
          <cell r="L11198"/>
          <cell r="M11198"/>
        </row>
        <row r="11199">
          <cell r="B11199"/>
          <cell r="C11199"/>
          <cell r="E11199"/>
          <cell r="F11199"/>
          <cell r="G11199"/>
          <cell r="H11199"/>
          <cell r="J11199"/>
          <cell r="L11199"/>
          <cell r="M11199"/>
        </row>
        <row r="11200">
          <cell r="B11200"/>
          <cell r="C11200"/>
          <cell r="E11200"/>
          <cell r="F11200"/>
          <cell r="G11200"/>
          <cell r="H11200"/>
          <cell r="J11200"/>
          <cell r="L11200"/>
          <cell r="M11200"/>
        </row>
        <row r="11201">
          <cell r="B11201"/>
          <cell r="C11201"/>
          <cell r="E11201"/>
          <cell r="F11201"/>
          <cell r="G11201"/>
          <cell r="H11201"/>
          <cell r="J11201"/>
          <cell r="L11201"/>
          <cell r="M11201"/>
        </row>
        <row r="11202">
          <cell r="B11202"/>
          <cell r="C11202"/>
          <cell r="E11202"/>
          <cell r="F11202"/>
          <cell r="G11202"/>
          <cell r="H11202"/>
          <cell r="J11202"/>
          <cell r="L11202"/>
          <cell r="M11202"/>
        </row>
        <row r="11203">
          <cell r="B11203"/>
          <cell r="C11203"/>
          <cell r="E11203"/>
          <cell r="F11203"/>
          <cell r="G11203"/>
          <cell r="H11203"/>
          <cell r="J11203"/>
          <cell r="L11203"/>
          <cell r="M11203"/>
        </row>
        <row r="11204">
          <cell r="B11204"/>
          <cell r="C11204"/>
          <cell r="E11204"/>
          <cell r="F11204"/>
          <cell r="G11204"/>
          <cell r="H11204"/>
          <cell r="J11204"/>
          <cell r="L11204"/>
          <cell r="M11204"/>
        </row>
        <row r="11205">
          <cell r="B11205"/>
          <cell r="C11205"/>
          <cell r="E11205"/>
          <cell r="F11205"/>
          <cell r="G11205"/>
          <cell r="H11205"/>
          <cell r="J11205"/>
          <cell r="L11205"/>
          <cell r="M11205"/>
        </row>
        <row r="11206">
          <cell r="B11206"/>
          <cell r="C11206"/>
          <cell r="E11206"/>
          <cell r="F11206"/>
          <cell r="G11206"/>
          <cell r="H11206"/>
          <cell r="J11206"/>
          <cell r="L11206"/>
          <cell r="M11206"/>
        </row>
        <row r="11207">
          <cell r="B11207"/>
          <cell r="C11207"/>
          <cell r="E11207"/>
          <cell r="F11207"/>
          <cell r="G11207"/>
          <cell r="H11207"/>
          <cell r="J11207"/>
          <cell r="L11207"/>
          <cell r="M11207"/>
        </row>
        <row r="11208">
          <cell r="B11208"/>
          <cell r="C11208"/>
          <cell r="E11208"/>
          <cell r="F11208"/>
          <cell r="G11208"/>
          <cell r="H11208"/>
          <cell r="J11208"/>
          <cell r="L11208"/>
          <cell r="M11208"/>
        </row>
        <row r="11209">
          <cell r="B11209"/>
          <cell r="C11209"/>
          <cell r="E11209"/>
          <cell r="F11209"/>
          <cell r="G11209"/>
          <cell r="H11209"/>
          <cell r="J11209"/>
          <cell r="L11209"/>
          <cell r="M11209"/>
        </row>
        <row r="11210">
          <cell r="B11210"/>
          <cell r="C11210"/>
          <cell r="E11210"/>
          <cell r="F11210"/>
          <cell r="G11210"/>
          <cell r="H11210"/>
          <cell r="J11210"/>
          <cell r="L11210"/>
          <cell r="M11210"/>
        </row>
        <row r="11211">
          <cell r="B11211"/>
          <cell r="C11211"/>
          <cell r="E11211"/>
          <cell r="F11211"/>
          <cell r="G11211"/>
          <cell r="H11211"/>
          <cell r="J11211"/>
          <cell r="L11211"/>
          <cell r="M11211"/>
        </row>
        <row r="11212">
          <cell r="B11212"/>
          <cell r="C11212"/>
          <cell r="E11212"/>
          <cell r="F11212"/>
          <cell r="G11212"/>
          <cell r="H11212"/>
          <cell r="J11212"/>
          <cell r="L11212"/>
          <cell r="M11212"/>
        </row>
        <row r="11213">
          <cell r="B11213"/>
          <cell r="C11213"/>
          <cell r="E11213"/>
          <cell r="F11213"/>
          <cell r="G11213"/>
          <cell r="H11213"/>
          <cell r="J11213"/>
          <cell r="L11213"/>
          <cell r="M11213"/>
        </row>
        <row r="11214">
          <cell r="B11214"/>
          <cell r="C11214"/>
          <cell r="E11214"/>
          <cell r="F11214"/>
          <cell r="G11214"/>
          <cell r="H11214"/>
          <cell r="J11214"/>
          <cell r="L11214"/>
          <cell r="M11214"/>
        </row>
        <row r="11215">
          <cell r="B11215"/>
          <cell r="C11215"/>
          <cell r="E11215"/>
          <cell r="F11215"/>
          <cell r="G11215"/>
          <cell r="H11215"/>
          <cell r="J11215"/>
          <cell r="L11215"/>
          <cell r="M11215"/>
        </row>
        <row r="11216">
          <cell r="B11216"/>
          <cell r="C11216"/>
          <cell r="E11216"/>
          <cell r="F11216"/>
          <cell r="G11216"/>
          <cell r="H11216"/>
          <cell r="J11216"/>
          <cell r="L11216"/>
          <cell r="M11216"/>
        </row>
        <row r="11217">
          <cell r="B11217"/>
          <cell r="C11217"/>
          <cell r="E11217"/>
          <cell r="F11217"/>
          <cell r="G11217"/>
          <cell r="H11217"/>
          <cell r="J11217"/>
          <cell r="L11217"/>
          <cell r="M11217"/>
        </row>
        <row r="11218">
          <cell r="B11218"/>
          <cell r="C11218"/>
          <cell r="E11218"/>
          <cell r="F11218"/>
          <cell r="G11218"/>
          <cell r="H11218"/>
          <cell r="J11218"/>
          <cell r="L11218"/>
          <cell r="M11218"/>
        </row>
        <row r="11219">
          <cell r="B11219"/>
          <cell r="C11219"/>
          <cell r="E11219"/>
          <cell r="F11219"/>
          <cell r="G11219"/>
          <cell r="H11219"/>
          <cell r="J11219"/>
          <cell r="L11219"/>
          <cell r="M11219"/>
        </row>
        <row r="11220">
          <cell r="B11220"/>
          <cell r="C11220"/>
          <cell r="E11220"/>
          <cell r="F11220"/>
          <cell r="G11220"/>
          <cell r="H11220"/>
          <cell r="J11220"/>
          <cell r="L11220"/>
          <cell r="M11220"/>
        </row>
        <row r="11221">
          <cell r="B11221"/>
          <cell r="C11221"/>
          <cell r="E11221"/>
          <cell r="F11221"/>
          <cell r="G11221"/>
          <cell r="H11221"/>
          <cell r="J11221"/>
          <cell r="L11221"/>
          <cell r="M11221"/>
        </row>
        <row r="11222">
          <cell r="B11222"/>
          <cell r="C11222"/>
          <cell r="E11222"/>
          <cell r="F11222"/>
          <cell r="G11222"/>
          <cell r="H11222"/>
          <cell r="J11222"/>
          <cell r="L11222"/>
          <cell r="M11222"/>
        </row>
        <row r="11223">
          <cell r="B11223"/>
          <cell r="C11223"/>
          <cell r="E11223"/>
          <cell r="F11223"/>
          <cell r="G11223"/>
          <cell r="H11223"/>
          <cell r="J11223"/>
          <cell r="L11223"/>
          <cell r="M11223"/>
        </row>
        <row r="11224">
          <cell r="B11224"/>
          <cell r="C11224"/>
          <cell r="E11224"/>
          <cell r="F11224"/>
          <cell r="G11224"/>
          <cell r="H11224"/>
          <cell r="J11224"/>
          <cell r="L11224"/>
          <cell r="M11224"/>
        </row>
        <row r="11225">
          <cell r="B11225"/>
          <cell r="C11225"/>
          <cell r="E11225"/>
          <cell r="F11225"/>
          <cell r="G11225"/>
          <cell r="H11225"/>
          <cell r="J11225"/>
          <cell r="L11225"/>
          <cell r="M11225"/>
        </row>
        <row r="11226">
          <cell r="B11226"/>
          <cell r="C11226"/>
          <cell r="E11226"/>
          <cell r="F11226"/>
          <cell r="G11226"/>
          <cell r="H11226"/>
          <cell r="J11226"/>
          <cell r="L11226"/>
          <cell r="M11226"/>
        </row>
        <row r="11227">
          <cell r="B11227"/>
          <cell r="C11227"/>
          <cell r="E11227"/>
          <cell r="F11227"/>
          <cell r="G11227"/>
          <cell r="H11227"/>
          <cell r="J11227"/>
          <cell r="L11227"/>
          <cell r="M11227"/>
        </row>
        <row r="11228">
          <cell r="B11228"/>
          <cell r="C11228"/>
          <cell r="E11228"/>
          <cell r="F11228"/>
          <cell r="G11228"/>
          <cell r="H11228"/>
          <cell r="J11228"/>
          <cell r="L11228"/>
          <cell r="M11228"/>
        </row>
        <row r="11229">
          <cell r="B11229"/>
          <cell r="C11229"/>
          <cell r="E11229"/>
          <cell r="F11229"/>
          <cell r="G11229"/>
          <cell r="H11229"/>
          <cell r="J11229"/>
          <cell r="L11229"/>
          <cell r="M11229"/>
        </row>
        <row r="11230">
          <cell r="B11230"/>
          <cell r="C11230"/>
          <cell r="E11230"/>
          <cell r="F11230"/>
          <cell r="G11230"/>
          <cell r="H11230"/>
          <cell r="J11230"/>
          <cell r="L11230"/>
          <cell r="M11230"/>
        </row>
        <row r="11231">
          <cell r="B11231"/>
          <cell r="C11231"/>
          <cell r="E11231"/>
          <cell r="F11231"/>
          <cell r="G11231"/>
          <cell r="H11231"/>
          <cell r="J11231"/>
          <cell r="L11231"/>
          <cell r="M11231"/>
        </row>
        <row r="11232">
          <cell r="B11232"/>
          <cell r="C11232"/>
          <cell r="E11232"/>
          <cell r="F11232"/>
          <cell r="G11232"/>
          <cell r="H11232"/>
          <cell r="J11232"/>
          <cell r="L11232"/>
          <cell r="M11232"/>
        </row>
        <row r="11233">
          <cell r="B11233"/>
          <cell r="C11233"/>
          <cell r="E11233"/>
          <cell r="F11233"/>
          <cell r="G11233"/>
          <cell r="H11233"/>
          <cell r="J11233"/>
          <cell r="L11233"/>
          <cell r="M11233"/>
        </row>
        <row r="11234">
          <cell r="B11234"/>
          <cell r="C11234"/>
          <cell r="E11234"/>
          <cell r="F11234"/>
          <cell r="G11234"/>
          <cell r="H11234"/>
          <cell r="J11234"/>
          <cell r="L11234"/>
          <cell r="M11234"/>
        </row>
        <row r="11235">
          <cell r="B11235"/>
          <cell r="C11235"/>
          <cell r="E11235"/>
          <cell r="F11235"/>
          <cell r="G11235"/>
          <cell r="H11235"/>
          <cell r="J11235"/>
          <cell r="L11235"/>
          <cell r="M11235"/>
        </row>
        <row r="11236">
          <cell r="B11236"/>
          <cell r="C11236"/>
          <cell r="E11236"/>
          <cell r="F11236"/>
          <cell r="G11236"/>
          <cell r="H11236"/>
          <cell r="J11236"/>
          <cell r="L11236"/>
          <cell r="M11236"/>
        </row>
        <row r="11237">
          <cell r="B11237"/>
          <cell r="C11237"/>
          <cell r="E11237"/>
          <cell r="F11237"/>
          <cell r="G11237"/>
          <cell r="H11237"/>
          <cell r="J11237"/>
          <cell r="L11237"/>
          <cell r="M11237"/>
        </row>
        <row r="11238">
          <cell r="B11238"/>
          <cell r="C11238"/>
          <cell r="E11238"/>
          <cell r="F11238"/>
          <cell r="G11238"/>
          <cell r="H11238"/>
          <cell r="J11238"/>
          <cell r="L11238"/>
          <cell r="M11238"/>
        </row>
        <row r="11239">
          <cell r="B11239"/>
          <cell r="C11239"/>
          <cell r="E11239"/>
          <cell r="F11239"/>
          <cell r="G11239"/>
          <cell r="H11239"/>
          <cell r="J11239"/>
          <cell r="L11239"/>
          <cell r="M11239"/>
        </row>
        <row r="11240">
          <cell r="B11240"/>
          <cell r="C11240"/>
          <cell r="E11240"/>
          <cell r="F11240"/>
          <cell r="G11240"/>
          <cell r="H11240"/>
          <cell r="J11240"/>
          <cell r="L11240"/>
          <cell r="M11240"/>
        </row>
        <row r="11241">
          <cell r="B11241"/>
          <cell r="C11241"/>
          <cell r="E11241"/>
          <cell r="F11241"/>
          <cell r="G11241"/>
          <cell r="H11241"/>
          <cell r="J11241"/>
          <cell r="L11241"/>
          <cell r="M11241"/>
        </row>
        <row r="11242">
          <cell r="B11242"/>
          <cell r="C11242"/>
          <cell r="E11242"/>
          <cell r="F11242"/>
          <cell r="G11242"/>
          <cell r="H11242"/>
          <cell r="J11242"/>
          <cell r="L11242"/>
          <cell r="M11242"/>
        </row>
        <row r="11243">
          <cell r="B11243"/>
          <cell r="C11243"/>
          <cell r="E11243"/>
          <cell r="F11243"/>
          <cell r="G11243"/>
          <cell r="H11243"/>
          <cell r="J11243"/>
          <cell r="L11243"/>
          <cell r="M11243"/>
        </row>
        <row r="11244">
          <cell r="B11244"/>
          <cell r="C11244"/>
          <cell r="E11244"/>
          <cell r="F11244"/>
          <cell r="G11244"/>
          <cell r="H11244"/>
          <cell r="J11244"/>
          <cell r="L11244"/>
          <cell r="M11244"/>
        </row>
        <row r="11245">
          <cell r="B11245"/>
          <cell r="C11245"/>
          <cell r="E11245"/>
          <cell r="F11245"/>
          <cell r="G11245"/>
          <cell r="H11245"/>
          <cell r="J11245"/>
          <cell r="L11245"/>
          <cell r="M11245"/>
        </row>
        <row r="11246">
          <cell r="B11246"/>
          <cell r="C11246"/>
          <cell r="E11246"/>
          <cell r="F11246"/>
          <cell r="G11246"/>
          <cell r="H11246"/>
          <cell r="J11246"/>
          <cell r="L11246"/>
          <cell r="M11246"/>
        </row>
        <row r="11247">
          <cell r="B11247"/>
          <cell r="C11247"/>
          <cell r="E11247"/>
          <cell r="F11247"/>
          <cell r="G11247"/>
          <cell r="H11247"/>
          <cell r="J11247"/>
          <cell r="L11247"/>
          <cell r="M11247"/>
        </row>
        <row r="11248">
          <cell r="B11248"/>
          <cell r="C11248"/>
          <cell r="E11248"/>
          <cell r="F11248"/>
          <cell r="G11248"/>
          <cell r="H11248"/>
          <cell r="J11248"/>
          <cell r="L11248"/>
          <cell r="M11248"/>
        </row>
        <row r="11249">
          <cell r="B11249"/>
          <cell r="C11249"/>
          <cell r="E11249"/>
          <cell r="F11249"/>
          <cell r="G11249"/>
          <cell r="H11249"/>
          <cell r="J11249"/>
          <cell r="L11249"/>
          <cell r="M11249"/>
        </row>
        <row r="11250">
          <cell r="B11250"/>
          <cell r="C11250"/>
          <cell r="E11250"/>
          <cell r="F11250"/>
          <cell r="G11250"/>
          <cell r="H11250"/>
          <cell r="J11250"/>
          <cell r="L11250"/>
          <cell r="M11250"/>
        </row>
        <row r="11251">
          <cell r="B11251"/>
          <cell r="C11251"/>
          <cell r="E11251"/>
          <cell r="F11251"/>
          <cell r="G11251"/>
          <cell r="H11251"/>
          <cell r="J11251"/>
          <cell r="L11251"/>
          <cell r="M11251"/>
        </row>
        <row r="11252">
          <cell r="B11252"/>
          <cell r="C11252"/>
          <cell r="E11252"/>
          <cell r="F11252"/>
          <cell r="G11252"/>
          <cell r="H11252"/>
          <cell r="J11252"/>
          <cell r="L11252"/>
          <cell r="M11252"/>
        </row>
        <row r="11253">
          <cell r="B11253"/>
          <cell r="C11253"/>
          <cell r="E11253"/>
          <cell r="F11253"/>
          <cell r="G11253"/>
          <cell r="H11253"/>
          <cell r="J11253"/>
          <cell r="L11253"/>
          <cell r="M11253"/>
        </row>
        <row r="11254">
          <cell r="B11254"/>
          <cell r="C11254"/>
          <cell r="E11254"/>
          <cell r="F11254"/>
          <cell r="G11254"/>
          <cell r="H11254"/>
          <cell r="J11254"/>
          <cell r="L11254"/>
          <cell r="M11254"/>
        </row>
        <row r="11255">
          <cell r="B11255"/>
          <cell r="C11255"/>
          <cell r="E11255"/>
          <cell r="F11255"/>
          <cell r="G11255"/>
          <cell r="H11255"/>
          <cell r="J11255"/>
          <cell r="L11255"/>
          <cell r="M11255"/>
        </row>
        <row r="11256">
          <cell r="B11256"/>
          <cell r="C11256"/>
          <cell r="E11256"/>
          <cell r="F11256"/>
          <cell r="G11256"/>
          <cell r="H11256"/>
          <cell r="J11256"/>
          <cell r="L11256"/>
          <cell r="M11256"/>
        </row>
        <row r="11257">
          <cell r="B11257"/>
          <cell r="C11257"/>
          <cell r="E11257"/>
          <cell r="F11257"/>
          <cell r="G11257"/>
          <cell r="H11257"/>
          <cell r="J11257"/>
          <cell r="L11257"/>
          <cell r="M11257"/>
        </row>
        <row r="11258">
          <cell r="B11258"/>
          <cell r="C11258"/>
          <cell r="E11258"/>
          <cell r="F11258"/>
          <cell r="G11258"/>
          <cell r="H11258"/>
          <cell r="J11258"/>
          <cell r="L11258"/>
          <cell r="M11258"/>
        </row>
        <row r="11259">
          <cell r="B11259"/>
          <cell r="C11259"/>
          <cell r="E11259"/>
          <cell r="F11259"/>
          <cell r="G11259"/>
          <cell r="H11259"/>
          <cell r="J11259"/>
          <cell r="L11259"/>
          <cell r="M11259"/>
        </row>
        <row r="11260">
          <cell r="B11260"/>
          <cell r="C11260"/>
          <cell r="E11260"/>
          <cell r="F11260"/>
          <cell r="G11260"/>
          <cell r="H11260"/>
          <cell r="J11260"/>
          <cell r="L11260"/>
          <cell r="M11260"/>
        </row>
        <row r="11261">
          <cell r="B11261"/>
          <cell r="C11261"/>
          <cell r="E11261"/>
          <cell r="F11261"/>
          <cell r="G11261"/>
          <cell r="H11261"/>
          <cell r="J11261"/>
          <cell r="L11261"/>
          <cell r="M11261"/>
        </row>
        <row r="11262">
          <cell r="B11262"/>
          <cell r="C11262"/>
          <cell r="E11262"/>
          <cell r="F11262"/>
          <cell r="G11262"/>
          <cell r="H11262"/>
          <cell r="J11262"/>
          <cell r="L11262"/>
          <cell r="M11262"/>
        </row>
        <row r="11263">
          <cell r="B11263"/>
          <cell r="C11263"/>
          <cell r="E11263"/>
          <cell r="F11263"/>
          <cell r="G11263"/>
          <cell r="H11263"/>
          <cell r="J11263"/>
          <cell r="L11263"/>
          <cell r="M11263"/>
        </row>
        <row r="11264">
          <cell r="B11264"/>
          <cell r="C11264"/>
          <cell r="E11264"/>
          <cell r="F11264"/>
          <cell r="G11264"/>
          <cell r="H11264"/>
          <cell r="J11264"/>
          <cell r="L11264"/>
          <cell r="M11264"/>
        </row>
        <row r="11265">
          <cell r="B11265"/>
          <cell r="C11265"/>
          <cell r="E11265"/>
          <cell r="F11265"/>
          <cell r="G11265"/>
          <cell r="H11265"/>
          <cell r="J11265"/>
          <cell r="L11265"/>
          <cell r="M11265"/>
        </row>
        <row r="11266">
          <cell r="B11266"/>
          <cell r="C11266"/>
          <cell r="E11266"/>
          <cell r="F11266"/>
          <cell r="G11266"/>
          <cell r="H11266"/>
          <cell r="J11266"/>
          <cell r="L11266"/>
          <cell r="M11266"/>
        </row>
        <row r="11267">
          <cell r="B11267"/>
          <cell r="C11267"/>
          <cell r="E11267"/>
          <cell r="F11267"/>
          <cell r="G11267"/>
          <cell r="H11267"/>
          <cell r="J11267"/>
          <cell r="L11267"/>
          <cell r="M11267"/>
        </row>
        <row r="11268">
          <cell r="B11268"/>
          <cell r="C11268"/>
          <cell r="E11268"/>
          <cell r="F11268"/>
          <cell r="G11268"/>
          <cell r="H11268"/>
          <cell r="J11268"/>
          <cell r="L11268"/>
          <cell r="M11268"/>
        </row>
        <row r="11269">
          <cell r="B11269"/>
          <cell r="C11269"/>
          <cell r="E11269"/>
          <cell r="F11269"/>
          <cell r="G11269"/>
          <cell r="H11269"/>
          <cell r="J11269"/>
          <cell r="L11269"/>
          <cell r="M11269"/>
        </row>
        <row r="11270">
          <cell r="B11270"/>
          <cell r="C11270"/>
          <cell r="E11270"/>
          <cell r="F11270"/>
          <cell r="G11270"/>
          <cell r="H11270"/>
          <cell r="J11270"/>
          <cell r="L11270"/>
          <cell r="M11270"/>
        </row>
        <row r="11271">
          <cell r="B11271"/>
          <cell r="C11271"/>
          <cell r="E11271"/>
          <cell r="F11271"/>
          <cell r="G11271"/>
          <cell r="H11271"/>
          <cell r="J11271"/>
          <cell r="L11271"/>
          <cell r="M11271"/>
        </row>
        <row r="11272">
          <cell r="B11272"/>
          <cell r="C11272"/>
          <cell r="E11272"/>
          <cell r="F11272"/>
          <cell r="G11272"/>
          <cell r="H11272"/>
          <cell r="J11272"/>
          <cell r="L11272"/>
          <cell r="M11272"/>
        </row>
        <row r="11273">
          <cell r="B11273"/>
          <cell r="C11273"/>
          <cell r="E11273"/>
          <cell r="F11273"/>
          <cell r="G11273"/>
          <cell r="H11273"/>
          <cell r="J11273"/>
          <cell r="L11273"/>
          <cell r="M11273"/>
        </row>
        <row r="11274">
          <cell r="B11274"/>
          <cell r="C11274"/>
          <cell r="E11274"/>
          <cell r="F11274"/>
          <cell r="G11274"/>
          <cell r="H11274"/>
          <cell r="J11274"/>
          <cell r="L11274"/>
          <cell r="M11274"/>
        </row>
        <row r="11275">
          <cell r="B11275"/>
          <cell r="C11275"/>
          <cell r="E11275"/>
          <cell r="F11275"/>
          <cell r="G11275"/>
          <cell r="H11275"/>
          <cell r="J11275"/>
          <cell r="L11275"/>
          <cell r="M11275"/>
        </row>
        <row r="11276">
          <cell r="B11276"/>
          <cell r="C11276"/>
          <cell r="E11276"/>
          <cell r="F11276"/>
          <cell r="G11276"/>
          <cell r="H11276"/>
          <cell r="J11276"/>
          <cell r="L11276"/>
          <cell r="M11276"/>
        </row>
        <row r="11277">
          <cell r="B11277"/>
          <cell r="C11277"/>
          <cell r="E11277"/>
          <cell r="F11277"/>
          <cell r="G11277"/>
          <cell r="H11277"/>
          <cell r="J11277"/>
          <cell r="L11277"/>
          <cell r="M11277"/>
        </row>
        <row r="11278">
          <cell r="B11278"/>
          <cell r="C11278"/>
          <cell r="E11278"/>
          <cell r="F11278"/>
          <cell r="G11278"/>
          <cell r="H11278"/>
          <cell r="J11278"/>
          <cell r="L11278"/>
          <cell r="M11278"/>
        </row>
        <row r="11279">
          <cell r="B11279"/>
          <cell r="C11279"/>
          <cell r="E11279"/>
          <cell r="F11279"/>
          <cell r="G11279"/>
          <cell r="H11279"/>
          <cell r="J11279"/>
          <cell r="L11279"/>
          <cell r="M11279"/>
        </row>
        <row r="11280">
          <cell r="B11280"/>
          <cell r="C11280"/>
          <cell r="E11280"/>
          <cell r="F11280"/>
          <cell r="G11280"/>
          <cell r="H11280"/>
          <cell r="J11280"/>
          <cell r="L11280"/>
          <cell r="M11280"/>
        </row>
        <row r="11281">
          <cell r="B11281"/>
          <cell r="C11281"/>
          <cell r="E11281"/>
          <cell r="F11281"/>
          <cell r="G11281"/>
          <cell r="H11281"/>
          <cell r="J11281"/>
          <cell r="L11281"/>
          <cell r="M11281"/>
        </row>
        <row r="11282">
          <cell r="B11282"/>
          <cell r="C11282"/>
          <cell r="E11282"/>
          <cell r="F11282"/>
          <cell r="G11282"/>
          <cell r="H11282"/>
          <cell r="J11282"/>
          <cell r="L11282"/>
          <cell r="M11282"/>
        </row>
        <row r="11283">
          <cell r="B11283"/>
          <cell r="C11283"/>
          <cell r="E11283"/>
          <cell r="F11283"/>
          <cell r="G11283"/>
          <cell r="H11283"/>
          <cell r="J11283"/>
          <cell r="L11283"/>
          <cell r="M11283"/>
        </row>
        <row r="11284">
          <cell r="B11284"/>
          <cell r="C11284"/>
          <cell r="E11284"/>
          <cell r="F11284"/>
          <cell r="G11284"/>
          <cell r="H11284"/>
          <cell r="J11284"/>
          <cell r="L11284"/>
          <cell r="M11284"/>
        </row>
        <row r="11285">
          <cell r="B11285"/>
          <cell r="C11285"/>
          <cell r="E11285"/>
          <cell r="F11285"/>
          <cell r="G11285"/>
          <cell r="H11285"/>
          <cell r="J11285"/>
          <cell r="L11285"/>
          <cell r="M11285"/>
        </row>
        <row r="11286">
          <cell r="B11286"/>
          <cell r="C11286"/>
          <cell r="E11286"/>
          <cell r="F11286"/>
          <cell r="G11286"/>
          <cell r="H11286"/>
          <cell r="J11286"/>
          <cell r="L11286"/>
          <cell r="M11286"/>
        </row>
        <row r="11287">
          <cell r="B11287"/>
          <cell r="C11287"/>
          <cell r="E11287"/>
          <cell r="F11287"/>
          <cell r="G11287"/>
          <cell r="H11287"/>
          <cell r="J11287"/>
          <cell r="L11287"/>
          <cell r="M11287"/>
        </row>
        <row r="11288">
          <cell r="B11288"/>
          <cell r="C11288"/>
          <cell r="E11288"/>
          <cell r="F11288"/>
          <cell r="G11288"/>
          <cell r="H11288"/>
          <cell r="J11288"/>
          <cell r="L11288"/>
          <cell r="M11288"/>
        </row>
        <row r="11289">
          <cell r="B11289"/>
          <cell r="C11289"/>
          <cell r="E11289"/>
          <cell r="F11289"/>
          <cell r="G11289"/>
          <cell r="H11289"/>
          <cell r="J11289"/>
          <cell r="L11289"/>
          <cell r="M11289"/>
        </row>
        <row r="11290">
          <cell r="B11290"/>
          <cell r="C11290"/>
          <cell r="E11290"/>
          <cell r="F11290"/>
          <cell r="G11290"/>
          <cell r="H11290"/>
          <cell r="J11290"/>
          <cell r="L11290"/>
          <cell r="M11290"/>
        </row>
        <row r="11291">
          <cell r="B11291"/>
          <cell r="C11291"/>
          <cell r="E11291"/>
          <cell r="F11291"/>
          <cell r="G11291"/>
          <cell r="H11291"/>
          <cell r="J11291"/>
          <cell r="L11291"/>
          <cell r="M11291"/>
        </row>
        <row r="11292">
          <cell r="B11292"/>
          <cell r="C11292"/>
          <cell r="E11292"/>
          <cell r="F11292"/>
          <cell r="G11292"/>
          <cell r="H11292"/>
          <cell r="J11292"/>
          <cell r="L11292"/>
          <cell r="M11292"/>
        </row>
        <row r="11293">
          <cell r="B11293"/>
          <cell r="C11293"/>
          <cell r="E11293"/>
          <cell r="F11293"/>
          <cell r="G11293"/>
          <cell r="H11293"/>
          <cell r="J11293"/>
          <cell r="L11293"/>
          <cell r="M11293"/>
        </row>
        <row r="11294">
          <cell r="B11294"/>
          <cell r="C11294"/>
          <cell r="E11294"/>
          <cell r="F11294"/>
          <cell r="G11294"/>
          <cell r="H11294"/>
          <cell r="J11294"/>
          <cell r="L11294"/>
          <cell r="M11294"/>
        </row>
        <row r="11295">
          <cell r="B11295"/>
          <cell r="C11295"/>
          <cell r="E11295"/>
          <cell r="F11295"/>
          <cell r="G11295"/>
          <cell r="H11295"/>
          <cell r="J11295"/>
          <cell r="L11295"/>
          <cell r="M11295"/>
        </row>
        <row r="11296">
          <cell r="B11296"/>
          <cell r="C11296"/>
          <cell r="E11296"/>
          <cell r="F11296"/>
          <cell r="G11296"/>
          <cell r="H11296"/>
          <cell r="J11296"/>
          <cell r="L11296"/>
          <cell r="M11296"/>
        </row>
        <row r="11297">
          <cell r="B11297"/>
          <cell r="C11297"/>
          <cell r="E11297"/>
          <cell r="F11297"/>
          <cell r="G11297"/>
          <cell r="H11297"/>
          <cell r="J11297"/>
          <cell r="L11297"/>
          <cell r="M11297"/>
        </row>
        <row r="11298">
          <cell r="B11298"/>
          <cell r="C11298"/>
          <cell r="E11298"/>
          <cell r="F11298"/>
          <cell r="G11298"/>
          <cell r="H11298"/>
          <cell r="J11298"/>
          <cell r="L11298"/>
          <cell r="M11298"/>
        </row>
        <row r="11299">
          <cell r="B11299"/>
          <cell r="C11299"/>
          <cell r="E11299"/>
          <cell r="F11299"/>
          <cell r="G11299"/>
          <cell r="H11299"/>
          <cell r="J11299"/>
          <cell r="L11299"/>
          <cell r="M11299"/>
        </row>
        <row r="11300">
          <cell r="B11300"/>
          <cell r="C11300"/>
          <cell r="E11300"/>
          <cell r="F11300"/>
          <cell r="G11300"/>
          <cell r="H11300"/>
          <cell r="J11300"/>
          <cell r="L11300"/>
          <cell r="M11300"/>
        </row>
        <row r="11301">
          <cell r="B11301"/>
          <cell r="C11301"/>
          <cell r="E11301"/>
          <cell r="F11301"/>
          <cell r="G11301"/>
          <cell r="H11301"/>
          <cell r="J11301"/>
          <cell r="L11301"/>
          <cell r="M11301"/>
        </row>
        <row r="11302">
          <cell r="B11302"/>
          <cell r="C11302"/>
          <cell r="E11302"/>
          <cell r="F11302"/>
          <cell r="G11302"/>
          <cell r="H11302"/>
          <cell r="J11302"/>
          <cell r="L11302"/>
          <cell r="M11302"/>
        </row>
        <row r="11303">
          <cell r="B11303"/>
          <cell r="C11303"/>
          <cell r="E11303"/>
          <cell r="F11303"/>
          <cell r="G11303"/>
          <cell r="H11303"/>
          <cell r="J11303"/>
          <cell r="L11303"/>
          <cell r="M11303"/>
        </row>
        <row r="11304">
          <cell r="B11304"/>
          <cell r="C11304"/>
          <cell r="E11304"/>
          <cell r="F11304"/>
          <cell r="G11304"/>
          <cell r="H11304"/>
          <cell r="J11304"/>
          <cell r="L11304"/>
          <cell r="M11304"/>
        </row>
        <row r="11305">
          <cell r="B11305"/>
          <cell r="C11305"/>
          <cell r="E11305"/>
          <cell r="F11305"/>
          <cell r="G11305"/>
          <cell r="H11305"/>
          <cell r="J11305"/>
          <cell r="L11305"/>
          <cell r="M11305"/>
        </row>
        <row r="11306">
          <cell r="B11306"/>
          <cell r="C11306"/>
          <cell r="E11306"/>
          <cell r="F11306"/>
          <cell r="G11306"/>
          <cell r="H11306"/>
          <cell r="J11306"/>
          <cell r="L11306"/>
          <cell r="M11306"/>
        </row>
        <row r="11307">
          <cell r="B11307"/>
          <cell r="C11307"/>
          <cell r="E11307"/>
          <cell r="F11307"/>
          <cell r="G11307"/>
          <cell r="H11307"/>
          <cell r="J11307"/>
          <cell r="L11307"/>
          <cell r="M11307"/>
        </row>
        <row r="11308">
          <cell r="B11308"/>
          <cell r="C11308"/>
          <cell r="E11308"/>
          <cell r="F11308"/>
          <cell r="G11308"/>
          <cell r="H11308"/>
          <cell r="J11308"/>
          <cell r="L11308"/>
          <cell r="M11308"/>
        </row>
        <row r="11309">
          <cell r="B11309"/>
          <cell r="C11309"/>
          <cell r="E11309"/>
          <cell r="F11309"/>
          <cell r="G11309"/>
          <cell r="H11309"/>
          <cell r="J11309"/>
          <cell r="L11309"/>
          <cell r="M11309"/>
        </row>
        <row r="11310">
          <cell r="B11310"/>
          <cell r="C11310"/>
          <cell r="E11310"/>
          <cell r="F11310"/>
          <cell r="G11310"/>
          <cell r="H11310"/>
          <cell r="J11310"/>
          <cell r="L11310"/>
          <cell r="M11310"/>
        </row>
        <row r="11311">
          <cell r="B11311"/>
          <cell r="C11311"/>
          <cell r="E11311"/>
          <cell r="F11311"/>
          <cell r="G11311"/>
          <cell r="H11311"/>
          <cell r="J11311"/>
          <cell r="L11311"/>
          <cell r="M11311"/>
        </row>
        <row r="11312">
          <cell r="B11312"/>
          <cell r="C11312"/>
          <cell r="E11312"/>
          <cell r="F11312"/>
          <cell r="G11312"/>
          <cell r="H11312"/>
          <cell r="J11312"/>
          <cell r="L11312"/>
          <cell r="M11312"/>
        </row>
        <row r="11313">
          <cell r="B11313"/>
          <cell r="C11313"/>
          <cell r="E11313"/>
          <cell r="F11313"/>
          <cell r="G11313"/>
          <cell r="H11313"/>
          <cell r="J11313"/>
          <cell r="L11313"/>
          <cell r="M11313"/>
        </row>
        <row r="11314">
          <cell r="B11314"/>
          <cell r="C11314"/>
          <cell r="E11314"/>
          <cell r="F11314"/>
          <cell r="G11314"/>
          <cell r="H11314"/>
          <cell r="J11314"/>
          <cell r="L11314"/>
          <cell r="M11314"/>
        </row>
        <row r="11315">
          <cell r="B11315"/>
          <cell r="C11315"/>
          <cell r="E11315"/>
          <cell r="F11315"/>
          <cell r="G11315"/>
          <cell r="H11315"/>
          <cell r="J11315"/>
          <cell r="L11315"/>
          <cell r="M11315"/>
        </row>
        <row r="11316">
          <cell r="B11316"/>
          <cell r="C11316"/>
          <cell r="E11316"/>
          <cell r="F11316"/>
          <cell r="G11316"/>
          <cell r="H11316"/>
          <cell r="J11316"/>
          <cell r="L11316"/>
          <cell r="M11316"/>
        </row>
        <row r="11317">
          <cell r="B11317"/>
          <cell r="C11317"/>
          <cell r="E11317"/>
          <cell r="F11317"/>
          <cell r="G11317"/>
          <cell r="H11317"/>
          <cell r="J11317"/>
          <cell r="L11317"/>
          <cell r="M11317"/>
        </row>
        <row r="11318">
          <cell r="B11318"/>
          <cell r="C11318"/>
          <cell r="E11318"/>
          <cell r="F11318"/>
          <cell r="G11318"/>
          <cell r="H11318"/>
          <cell r="J11318"/>
          <cell r="L11318"/>
          <cell r="M11318"/>
        </row>
        <row r="11319">
          <cell r="B11319"/>
          <cell r="C11319"/>
          <cell r="E11319"/>
          <cell r="F11319"/>
          <cell r="G11319"/>
          <cell r="H11319"/>
          <cell r="J11319"/>
          <cell r="L11319"/>
          <cell r="M11319"/>
        </row>
        <row r="11320">
          <cell r="B11320"/>
          <cell r="C11320"/>
          <cell r="E11320"/>
          <cell r="F11320"/>
          <cell r="G11320"/>
          <cell r="H11320"/>
          <cell r="J11320"/>
          <cell r="L11320"/>
          <cell r="M11320"/>
        </row>
        <row r="11321">
          <cell r="B11321"/>
          <cell r="C11321"/>
          <cell r="E11321"/>
          <cell r="F11321"/>
          <cell r="G11321"/>
          <cell r="H11321"/>
          <cell r="J11321"/>
          <cell r="L11321"/>
          <cell r="M11321"/>
        </row>
        <row r="11322">
          <cell r="B11322"/>
          <cell r="C11322"/>
          <cell r="E11322"/>
          <cell r="F11322"/>
          <cell r="G11322"/>
          <cell r="H11322"/>
          <cell r="J11322"/>
          <cell r="L11322"/>
          <cell r="M11322"/>
        </row>
        <row r="11323">
          <cell r="B11323"/>
          <cell r="C11323"/>
          <cell r="E11323"/>
          <cell r="F11323"/>
          <cell r="G11323"/>
          <cell r="H11323"/>
          <cell r="J11323"/>
          <cell r="L11323"/>
          <cell r="M11323"/>
        </row>
        <row r="11324">
          <cell r="B11324"/>
          <cell r="C11324"/>
          <cell r="E11324"/>
          <cell r="F11324"/>
          <cell r="G11324"/>
          <cell r="H11324"/>
          <cell r="J11324"/>
          <cell r="L11324"/>
          <cell r="M11324"/>
        </row>
        <row r="11325">
          <cell r="B11325"/>
          <cell r="C11325"/>
          <cell r="E11325"/>
          <cell r="F11325"/>
          <cell r="G11325"/>
          <cell r="H11325"/>
          <cell r="J11325"/>
          <cell r="L11325"/>
          <cell r="M11325"/>
        </row>
        <row r="11326">
          <cell r="B11326"/>
          <cell r="C11326"/>
          <cell r="E11326"/>
          <cell r="F11326"/>
          <cell r="G11326"/>
          <cell r="H11326"/>
          <cell r="J11326"/>
          <cell r="L11326"/>
          <cell r="M11326"/>
        </row>
        <row r="11327">
          <cell r="B11327"/>
          <cell r="C11327"/>
          <cell r="E11327"/>
          <cell r="F11327"/>
          <cell r="G11327"/>
          <cell r="H11327"/>
          <cell r="J11327"/>
          <cell r="L11327"/>
          <cell r="M11327"/>
        </row>
        <row r="11328">
          <cell r="B11328"/>
          <cell r="C11328"/>
          <cell r="E11328"/>
          <cell r="F11328"/>
          <cell r="G11328"/>
          <cell r="H11328"/>
          <cell r="J11328"/>
          <cell r="L11328"/>
          <cell r="M11328"/>
        </row>
        <row r="11329">
          <cell r="B11329"/>
          <cell r="C11329"/>
          <cell r="E11329"/>
          <cell r="F11329"/>
          <cell r="G11329"/>
          <cell r="H11329"/>
          <cell r="J11329"/>
          <cell r="L11329"/>
          <cell r="M11329"/>
        </row>
        <row r="11330">
          <cell r="B11330"/>
          <cell r="C11330"/>
          <cell r="E11330"/>
          <cell r="F11330"/>
          <cell r="G11330"/>
          <cell r="H11330"/>
          <cell r="J11330"/>
          <cell r="L11330"/>
          <cell r="M11330"/>
        </row>
        <row r="11331">
          <cell r="B11331"/>
          <cell r="C11331"/>
          <cell r="E11331"/>
          <cell r="F11331"/>
          <cell r="G11331"/>
          <cell r="H11331"/>
          <cell r="J11331"/>
          <cell r="L11331"/>
          <cell r="M11331"/>
        </row>
        <row r="11332">
          <cell r="B11332"/>
          <cell r="C11332"/>
          <cell r="E11332"/>
          <cell r="F11332"/>
          <cell r="G11332"/>
          <cell r="H11332"/>
          <cell r="J11332"/>
          <cell r="L11332"/>
          <cell r="M11332"/>
        </row>
        <row r="11333">
          <cell r="B11333"/>
          <cell r="C11333"/>
          <cell r="E11333"/>
          <cell r="F11333"/>
          <cell r="G11333"/>
          <cell r="H11333"/>
          <cell r="J11333"/>
          <cell r="L11333"/>
          <cell r="M11333"/>
        </row>
        <row r="11334">
          <cell r="B11334"/>
          <cell r="C11334"/>
          <cell r="E11334"/>
          <cell r="F11334"/>
          <cell r="G11334"/>
          <cell r="H11334"/>
          <cell r="J11334"/>
          <cell r="L11334"/>
          <cell r="M11334"/>
        </row>
        <row r="11335">
          <cell r="B11335"/>
          <cell r="C11335"/>
          <cell r="E11335"/>
          <cell r="F11335"/>
          <cell r="G11335"/>
          <cell r="H11335"/>
          <cell r="J11335"/>
          <cell r="L11335"/>
          <cell r="M11335"/>
        </row>
        <row r="11336">
          <cell r="B11336"/>
          <cell r="C11336"/>
          <cell r="E11336"/>
          <cell r="F11336"/>
          <cell r="G11336"/>
          <cell r="H11336"/>
          <cell r="J11336"/>
          <cell r="L11336"/>
          <cell r="M11336"/>
        </row>
        <row r="11337">
          <cell r="B11337"/>
          <cell r="C11337"/>
          <cell r="E11337"/>
          <cell r="F11337"/>
          <cell r="G11337"/>
          <cell r="H11337"/>
          <cell r="J11337"/>
          <cell r="L11337"/>
          <cell r="M11337"/>
        </row>
        <row r="11338">
          <cell r="B11338"/>
          <cell r="C11338"/>
          <cell r="E11338"/>
          <cell r="F11338"/>
          <cell r="G11338"/>
          <cell r="H11338"/>
          <cell r="J11338"/>
          <cell r="L11338"/>
          <cell r="M11338"/>
        </row>
        <row r="11339">
          <cell r="B11339"/>
          <cell r="C11339"/>
          <cell r="E11339"/>
          <cell r="F11339"/>
          <cell r="G11339"/>
          <cell r="H11339"/>
          <cell r="J11339"/>
          <cell r="L11339"/>
          <cell r="M11339"/>
        </row>
        <row r="11340">
          <cell r="B11340"/>
          <cell r="C11340"/>
          <cell r="E11340"/>
          <cell r="F11340"/>
          <cell r="G11340"/>
          <cell r="H11340"/>
          <cell r="J11340"/>
          <cell r="L11340"/>
          <cell r="M11340"/>
        </row>
        <row r="11341">
          <cell r="B11341"/>
          <cell r="C11341"/>
          <cell r="E11341"/>
          <cell r="F11341"/>
          <cell r="G11341"/>
          <cell r="H11341"/>
          <cell r="J11341"/>
          <cell r="L11341"/>
          <cell r="M11341"/>
        </row>
        <row r="11342">
          <cell r="B11342"/>
          <cell r="C11342"/>
          <cell r="E11342"/>
          <cell r="F11342"/>
          <cell r="G11342"/>
          <cell r="H11342"/>
          <cell r="J11342"/>
          <cell r="L11342"/>
          <cell r="M11342"/>
        </row>
        <row r="11343">
          <cell r="B11343"/>
          <cell r="C11343"/>
          <cell r="E11343"/>
          <cell r="F11343"/>
          <cell r="G11343"/>
          <cell r="H11343"/>
          <cell r="J11343"/>
          <cell r="L11343"/>
          <cell r="M11343"/>
        </row>
        <row r="11344">
          <cell r="B11344"/>
          <cell r="C11344"/>
          <cell r="E11344"/>
          <cell r="F11344"/>
          <cell r="G11344"/>
          <cell r="H11344"/>
          <cell r="J11344"/>
          <cell r="L11344"/>
          <cell r="M11344"/>
        </row>
        <row r="11345">
          <cell r="B11345"/>
          <cell r="C11345"/>
          <cell r="E11345"/>
          <cell r="F11345"/>
          <cell r="G11345"/>
          <cell r="H11345"/>
          <cell r="J11345"/>
          <cell r="L11345"/>
          <cell r="M11345"/>
        </row>
        <row r="11346">
          <cell r="B11346"/>
          <cell r="C11346"/>
          <cell r="E11346"/>
          <cell r="F11346"/>
          <cell r="G11346"/>
          <cell r="H11346"/>
          <cell r="J11346"/>
          <cell r="L11346"/>
          <cell r="M11346"/>
        </row>
        <row r="11347">
          <cell r="B11347"/>
          <cell r="C11347"/>
          <cell r="E11347"/>
          <cell r="F11347"/>
          <cell r="G11347"/>
          <cell r="H11347"/>
          <cell r="J11347"/>
          <cell r="L11347"/>
          <cell r="M11347"/>
        </row>
        <row r="11348">
          <cell r="B11348"/>
          <cell r="C11348"/>
          <cell r="E11348"/>
          <cell r="F11348"/>
          <cell r="G11348"/>
          <cell r="H11348"/>
          <cell r="J11348"/>
          <cell r="L11348"/>
          <cell r="M11348"/>
        </row>
        <row r="11349">
          <cell r="B11349"/>
          <cell r="C11349"/>
          <cell r="E11349"/>
          <cell r="F11349"/>
          <cell r="G11349"/>
          <cell r="H11349"/>
          <cell r="J11349"/>
          <cell r="L11349"/>
          <cell r="M11349"/>
        </row>
        <row r="11350">
          <cell r="B11350"/>
          <cell r="C11350"/>
          <cell r="E11350"/>
          <cell r="F11350"/>
          <cell r="G11350"/>
          <cell r="H11350"/>
          <cell r="J11350"/>
          <cell r="L11350"/>
          <cell r="M11350"/>
        </row>
        <row r="11351">
          <cell r="B11351"/>
          <cell r="C11351"/>
          <cell r="E11351"/>
          <cell r="F11351"/>
          <cell r="G11351"/>
          <cell r="H11351"/>
          <cell r="J11351"/>
          <cell r="L11351"/>
          <cell r="M11351"/>
        </row>
        <row r="11352">
          <cell r="B11352"/>
          <cell r="C11352"/>
          <cell r="E11352"/>
          <cell r="F11352"/>
          <cell r="G11352"/>
          <cell r="H11352"/>
          <cell r="J11352"/>
          <cell r="L11352"/>
          <cell r="M11352"/>
        </row>
        <row r="11353">
          <cell r="B11353"/>
          <cell r="C11353"/>
          <cell r="E11353"/>
          <cell r="F11353"/>
          <cell r="G11353"/>
          <cell r="H11353"/>
          <cell r="J11353"/>
          <cell r="L11353"/>
          <cell r="M11353"/>
        </row>
        <row r="11354">
          <cell r="B11354"/>
          <cell r="C11354"/>
          <cell r="E11354"/>
          <cell r="F11354"/>
          <cell r="G11354"/>
          <cell r="H11354"/>
          <cell r="J11354"/>
          <cell r="L11354"/>
          <cell r="M11354"/>
        </row>
        <row r="11355">
          <cell r="B11355"/>
          <cell r="C11355"/>
          <cell r="E11355"/>
          <cell r="F11355"/>
          <cell r="G11355"/>
          <cell r="H11355"/>
          <cell r="J11355"/>
          <cell r="L11355"/>
          <cell r="M11355"/>
        </row>
        <row r="11356">
          <cell r="B11356"/>
          <cell r="C11356"/>
          <cell r="E11356"/>
          <cell r="F11356"/>
          <cell r="G11356"/>
          <cell r="H11356"/>
          <cell r="J11356"/>
          <cell r="L11356"/>
          <cell r="M11356"/>
        </row>
        <row r="11357">
          <cell r="B11357"/>
          <cell r="C11357"/>
          <cell r="E11357"/>
          <cell r="F11357"/>
          <cell r="G11357"/>
          <cell r="H11357"/>
          <cell r="J11357"/>
          <cell r="L11357"/>
          <cell r="M11357"/>
        </row>
        <row r="11358">
          <cell r="B11358"/>
          <cell r="C11358"/>
          <cell r="E11358"/>
          <cell r="F11358"/>
          <cell r="G11358"/>
          <cell r="H11358"/>
          <cell r="J11358"/>
          <cell r="L11358"/>
          <cell r="M11358"/>
        </row>
        <row r="11359">
          <cell r="B11359"/>
          <cell r="C11359"/>
          <cell r="E11359"/>
          <cell r="F11359"/>
          <cell r="G11359"/>
          <cell r="H11359"/>
          <cell r="J11359"/>
          <cell r="L11359"/>
          <cell r="M11359"/>
        </row>
        <row r="11360">
          <cell r="B11360"/>
          <cell r="C11360"/>
          <cell r="E11360"/>
          <cell r="F11360"/>
          <cell r="G11360"/>
          <cell r="H11360"/>
          <cell r="J11360"/>
          <cell r="L11360"/>
          <cell r="M11360"/>
        </row>
        <row r="11361">
          <cell r="B11361"/>
          <cell r="C11361"/>
          <cell r="E11361"/>
          <cell r="F11361"/>
          <cell r="G11361"/>
          <cell r="H11361"/>
          <cell r="J11361"/>
          <cell r="L11361"/>
          <cell r="M11361"/>
        </row>
        <row r="11362">
          <cell r="B11362"/>
          <cell r="C11362"/>
          <cell r="E11362"/>
          <cell r="F11362"/>
          <cell r="G11362"/>
          <cell r="H11362"/>
          <cell r="J11362"/>
          <cell r="L11362"/>
          <cell r="M11362"/>
        </row>
        <row r="11363">
          <cell r="B11363"/>
          <cell r="C11363"/>
          <cell r="E11363"/>
          <cell r="F11363"/>
          <cell r="G11363"/>
          <cell r="H11363"/>
          <cell r="J11363"/>
          <cell r="L11363"/>
          <cell r="M11363"/>
        </row>
        <row r="11364">
          <cell r="B11364"/>
          <cell r="C11364"/>
          <cell r="E11364"/>
          <cell r="F11364"/>
          <cell r="G11364"/>
          <cell r="H11364"/>
          <cell r="J11364"/>
          <cell r="L11364"/>
          <cell r="M11364"/>
        </row>
        <row r="11365">
          <cell r="B11365"/>
          <cell r="C11365"/>
          <cell r="E11365"/>
          <cell r="F11365"/>
          <cell r="G11365"/>
          <cell r="H11365"/>
          <cell r="J11365"/>
          <cell r="L11365"/>
          <cell r="M11365"/>
        </row>
        <row r="11366">
          <cell r="B11366"/>
          <cell r="C11366"/>
          <cell r="E11366"/>
          <cell r="F11366"/>
          <cell r="G11366"/>
          <cell r="H11366"/>
          <cell r="J11366"/>
          <cell r="L11366"/>
          <cell r="M11366"/>
        </row>
        <row r="11367">
          <cell r="B11367"/>
          <cell r="C11367"/>
          <cell r="E11367"/>
          <cell r="F11367"/>
          <cell r="G11367"/>
          <cell r="H11367"/>
          <cell r="J11367"/>
          <cell r="L11367"/>
          <cell r="M11367"/>
        </row>
        <row r="11368">
          <cell r="B11368"/>
          <cell r="C11368"/>
          <cell r="E11368"/>
          <cell r="F11368"/>
          <cell r="G11368"/>
          <cell r="H11368"/>
          <cell r="J11368"/>
          <cell r="L11368"/>
          <cell r="M11368"/>
        </row>
        <row r="11369">
          <cell r="B11369"/>
          <cell r="C11369"/>
          <cell r="E11369"/>
          <cell r="F11369"/>
          <cell r="G11369"/>
          <cell r="H11369"/>
          <cell r="J11369"/>
          <cell r="L11369"/>
          <cell r="M11369"/>
        </row>
        <row r="11370">
          <cell r="B11370"/>
          <cell r="C11370"/>
          <cell r="E11370"/>
          <cell r="F11370"/>
          <cell r="G11370"/>
          <cell r="H11370"/>
          <cell r="J11370"/>
          <cell r="L11370"/>
          <cell r="M11370"/>
        </row>
        <row r="11371">
          <cell r="B11371"/>
          <cell r="C11371"/>
          <cell r="E11371"/>
          <cell r="F11371"/>
          <cell r="G11371"/>
          <cell r="H11371"/>
          <cell r="J11371"/>
          <cell r="L11371"/>
          <cell r="M11371"/>
        </row>
        <row r="11372">
          <cell r="B11372"/>
          <cell r="C11372"/>
          <cell r="E11372"/>
          <cell r="F11372"/>
          <cell r="G11372"/>
          <cell r="H11372"/>
          <cell r="J11372"/>
          <cell r="L11372"/>
          <cell r="M11372"/>
        </row>
        <row r="11373">
          <cell r="B11373"/>
          <cell r="C11373"/>
          <cell r="E11373"/>
          <cell r="F11373"/>
          <cell r="G11373"/>
          <cell r="H11373"/>
          <cell r="J11373"/>
          <cell r="L11373"/>
          <cell r="M11373"/>
        </row>
        <row r="11374">
          <cell r="B11374"/>
          <cell r="C11374"/>
          <cell r="E11374"/>
          <cell r="F11374"/>
          <cell r="G11374"/>
          <cell r="H11374"/>
          <cell r="J11374"/>
          <cell r="L11374"/>
          <cell r="M11374"/>
        </row>
        <row r="11375">
          <cell r="B11375"/>
          <cell r="C11375"/>
          <cell r="E11375"/>
          <cell r="F11375"/>
          <cell r="G11375"/>
          <cell r="H11375"/>
          <cell r="J11375"/>
          <cell r="L11375"/>
          <cell r="M11375"/>
        </row>
        <row r="11376">
          <cell r="B11376"/>
          <cell r="C11376"/>
          <cell r="E11376"/>
          <cell r="F11376"/>
          <cell r="G11376"/>
          <cell r="H11376"/>
          <cell r="J11376"/>
          <cell r="L11376"/>
          <cell r="M11376"/>
        </row>
        <row r="11377">
          <cell r="B11377"/>
          <cell r="C11377"/>
          <cell r="E11377"/>
          <cell r="F11377"/>
          <cell r="G11377"/>
          <cell r="H11377"/>
          <cell r="J11377"/>
          <cell r="L11377"/>
          <cell r="M11377"/>
        </row>
        <row r="11378">
          <cell r="B11378"/>
          <cell r="C11378"/>
          <cell r="E11378"/>
          <cell r="F11378"/>
          <cell r="G11378"/>
          <cell r="H11378"/>
          <cell r="J11378"/>
          <cell r="L11378"/>
          <cell r="M11378"/>
        </row>
        <row r="11379">
          <cell r="B11379"/>
          <cell r="C11379"/>
          <cell r="E11379"/>
          <cell r="F11379"/>
          <cell r="G11379"/>
          <cell r="H11379"/>
          <cell r="J11379"/>
          <cell r="L11379"/>
          <cell r="M11379"/>
        </row>
        <row r="11380">
          <cell r="B11380"/>
          <cell r="C11380"/>
          <cell r="E11380"/>
          <cell r="F11380"/>
          <cell r="G11380"/>
          <cell r="H11380"/>
          <cell r="J11380"/>
          <cell r="L11380"/>
          <cell r="M11380"/>
        </row>
        <row r="11381">
          <cell r="B11381"/>
          <cell r="C11381"/>
          <cell r="E11381"/>
          <cell r="F11381"/>
          <cell r="G11381"/>
          <cell r="H11381"/>
          <cell r="J11381"/>
          <cell r="L11381"/>
          <cell r="M11381"/>
        </row>
        <row r="11382">
          <cell r="B11382"/>
          <cell r="C11382"/>
          <cell r="E11382"/>
          <cell r="F11382"/>
          <cell r="G11382"/>
          <cell r="H11382"/>
          <cell r="J11382"/>
          <cell r="L11382"/>
          <cell r="M11382"/>
        </row>
        <row r="11383">
          <cell r="B11383"/>
          <cell r="C11383"/>
          <cell r="E11383"/>
          <cell r="F11383"/>
          <cell r="G11383"/>
          <cell r="H11383"/>
          <cell r="J11383"/>
          <cell r="L11383"/>
          <cell r="M11383"/>
        </row>
        <row r="11384">
          <cell r="B11384"/>
          <cell r="C11384"/>
          <cell r="E11384"/>
          <cell r="F11384"/>
          <cell r="G11384"/>
          <cell r="H11384"/>
          <cell r="J11384"/>
          <cell r="L11384"/>
          <cell r="M11384"/>
        </row>
        <row r="11385">
          <cell r="B11385"/>
          <cell r="C11385"/>
          <cell r="E11385"/>
          <cell r="F11385"/>
          <cell r="G11385"/>
          <cell r="H11385"/>
          <cell r="J11385"/>
          <cell r="L11385"/>
          <cell r="M11385"/>
        </row>
        <row r="11386">
          <cell r="B11386"/>
          <cell r="C11386"/>
          <cell r="E11386"/>
          <cell r="F11386"/>
          <cell r="G11386"/>
          <cell r="H11386"/>
          <cell r="J11386"/>
          <cell r="L11386"/>
          <cell r="M11386"/>
        </row>
        <row r="11387">
          <cell r="B11387"/>
          <cell r="C11387"/>
          <cell r="E11387"/>
          <cell r="F11387"/>
          <cell r="G11387"/>
          <cell r="H11387"/>
          <cell r="J11387"/>
          <cell r="L11387"/>
          <cell r="M11387"/>
        </row>
        <row r="11388">
          <cell r="B11388"/>
          <cell r="C11388"/>
          <cell r="E11388"/>
          <cell r="F11388"/>
          <cell r="G11388"/>
          <cell r="H11388"/>
          <cell r="J11388"/>
          <cell r="L11388"/>
          <cell r="M11388"/>
        </row>
        <row r="11389">
          <cell r="B11389"/>
          <cell r="C11389"/>
          <cell r="E11389"/>
          <cell r="F11389"/>
          <cell r="G11389"/>
          <cell r="H11389"/>
          <cell r="J11389"/>
          <cell r="L11389"/>
          <cell r="M11389"/>
        </row>
        <row r="11390">
          <cell r="B11390"/>
          <cell r="C11390"/>
          <cell r="E11390"/>
          <cell r="F11390"/>
          <cell r="G11390"/>
          <cell r="H11390"/>
          <cell r="J11390"/>
          <cell r="L11390"/>
          <cell r="M11390"/>
        </row>
        <row r="11391">
          <cell r="B11391"/>
          <cell r="C11391"/>
          <cell r="E11391"/>
          <cell r="F11391"/>
          <cell r="G11391"/>
          <cell r="H11391"/>
          <cell r="J11391"/>
          <cell r="L11391"/>
          <cell r="M11391"/>
        </row>
        <row r="11392">
          <cell r="B11392"/>
          <cell r="C11392"/>
          <cell r="E11392"/>
          <cell r="F11392"/>
          <cell r="G11392"/>
          <cell r="H11392"/>
          <cell r="J11392"/>
          <cell r="L11392"/>
          <cell r="M11392"/>
        </row>
        <row r="11393">
          <cell r="B11393"/>
          <cell r="C11393"/>
          <cell r="E11393"/>
          <cell r="F11393"/>
          <cell r="G11393"/>
          <cell r="H11393"/>
          <cell r="J11393"/>
          <cell r="L11393"/>
          <cell r="M11393"/>
        </row>
        <row r="11394">
          <cell r="B11394"/>
          <cell r="C11394"/>
          <cell r="E11394"/>
          <cell r="F11394"/>
          <cell r="G11394"/>
          <cell r="H11394"/>
          <cell r="J11394"/>
          <cell r="L11394"/>
          <cell r="M11394"/>
        </row>
        <row r="11395">
          <cell r="B11395"/>
          <cell r="C11395"/>
          <cell r="E11395"/>
          <cell r="F11395"/>
          <cell r="G11395"/>
          <cell r="H11395"/>
          <cell r="J11395"/>
          <cell r="L11395"/>
          <cell r="M11395"/>
        </row>
        <row r="11396">
          <cell r="B11396"/>
          <cell r="C11396"/>
          <cell r="E11396"/>
          <cell r="F11396"/>
          <cell r="G11396"/>
          <cell r="H11396"/>
          <cell r="J11396"/>
          <cell r="L11396"/>
          <cell r="M11396"/>
        </row>
        <row r="11397">
          <cell r="B11397"/>
          <cell r="C11397"/>
          <cell r="E11397"/>
          <cell r="F11397"/>
          <cell r="G11397"/>
          <cell r="H11397"/>
          <cell r="J11397"/>
          <cell r="L11397"/>
          <cell r="M11397"/>
        </row>
        <row r="11398">
          <cell r="B11398"/>
          <cell r="C11398"/>
          <cell r="E11398"/>
          <cell r="F11398"/>
          <cell r="G11398"/>
          <cell r="H11398"/>
          <cell r="J11398"/>
          <cell r="L11398"/>
          <cell r="M11398"/>
        </row>
        <row r="11399">
          <cell r="B11399"/>
          <cell r="C11399"/>
          <cell r="E11399"/>
          <cell r="F11399"/>
          <cell r="G11399"/>
          <cell r="H11399"/>
          <cell r="J11399"/>
          <cell r="L11399"/>
          <cell r="M11399"/>
        </row>
        <row r="11400">
          <cell r="B11400"/>
          <cell r="C11400"/>
          <cell r="E11400"/>
          <cell r="F11400"/>
          <cell r="G11400"/>
          <cell r="H11400"/>
          <cell r="J11400"/>
          <cell r="L11400"/>
          <cell r="M11400"/>
        </row>
        <row r="11401">
          <cell r="B11401"/>
          <cell r="C11401"/>
          <cell r="E11401"/>
          <cell r="F11401"/>
          <cell r="G11401"/>
          <cell r="H11401"/>
          <cell r="J11401"/>
          <cell r="L11401"/>
          <cell r="M11401"/>
        </row>
        <row r="11402">
          <cell r="B11402"/>
          <cell r="C11402"/>
          <cell r="E11402"/>
          <cell r="F11402"/>
          <cell r="G11402"/>
          <cell r="H11402"/>
          <cell r="J11402"/>
          <cell r="L11402"/>
          <cell r="M11402"/>
        </row>
        <row r="11403">
          <cell r="B11403"/>
          <cell r="C11403"/>
          <cell r="E11403"/>
          <cell r="F11403"/>
          <cell r="G11403"/>
          <cell r="H11403"/>
          <cell r="J11403"/>
          <cell r="L11403"/>
          <cell r="M11403"/>
        </row>
        <row r="11404">
          <cell r="B11404"/>
          <cell r="C11404"/>
          <cell r="E11404"/>
          <cell r="F11404"/>
          <cell r="G11404"/>
          <cell r="H11404"/>
          <cell r="J11404"/>
          <cell r="L11404"/>
          <cell r="M11404"/>
        </row>
        <row r="11405">
          <cell r="B11405"/>
          <cell r="C11405"/>
          <cell r="E11405"/>
          <cell r="F11405"/>
          <cell r="G11405"/>
          <cell r="H11405"/>
          <cell r="J11405"/>
          <cell r="L11405"/>
          <cell r="M11405"/>
        </row>
        <row r="11406">
          <cell r="B11406"/>
          <cell r="C11406"/>
          <cell r="E11406"/>
          <cell r="F11406"/>
          <cell r="G11406"/>
          <cell r="H11406"/>
          <cell r="J11406"/>
          <cell r="L11406"/>
          <cell r="M11406"/>
        </row>
        <row r="11407">
          <cell r="B11407"/>
          <cell r="C11407"/>
          <cell r="E11407"/>
          <cell r="F11407"/>
          <cell r="G11407"/>
          <cell r="H11407"/>
          <cell r="J11407"/>
          <cell r="L11407"/>
          <cell r="M11407"/>
        </row>
        <row r="11408">
          <cell r="B11408"/>
          <cell r="C11408"/>
          <cell r="E11408"/>
          <cell r="F11408"/>
          <cell r="G11408"/>
          <cell r="H11408"/>
          <cell r="J11408"/>
          <cell r="L11408"/>
          <cell r="M11408"/>
        </row>
        <row r="11409">
          <cell r="B11409"/>
          <cell r="C11409"/>
          <cell r="E11409"/>
          <cell r="F11409"/>
          <cell r="G11409"/>
          <cell r="H11409"/>
          <cell r="J11409"/>
          <cell r="L11409"/>
          <cell r="M11409"/>
        </row>
        <row r="11410">
          <cell r="B11410"/>
          <cell r="C11410"/>
          <cell r="E11410"/>
          <cell r="F11410"/>
          <cell r="G11410"/>
          <cell r="H11410"/>
          <cell r="J11410"/>
          <cell r="L11410"/>
          <cell r="M11410"/>
        </row>
        <row r="11411">
          <cell r="B11411"/>
          <cell r="C11411"/>
          <cell r="E11411"/>
          <cell r="F11411"/>
          <cell r="G11411"/>
          <cell r="H11411"/>
          <cell r="J11411"/>
          <cell r="L11411"/>
          <cell r="M11411"/>
        </row>
        <row r="11412">
          <cell r="B11412"/>
          <cell r="C11412"/>
          <cell r="E11412"/>
          <cell r="F11412"/>
          <cell r="G11412"/>
          <cell r="H11412"/>
          <cell r="J11412"/>
          <cell r="L11412"/>
          <cell r="M11412"/>
        </row>
        <row r="11413">
          <cell r="B11413"/>
          <cell r="C11413"/>
          <cell r="E11413"/>
          <cell r="F11413"/>
          <cell r="G11413"/>
          <cell r="H11413"/>
          <cell r="J11413"/>
          <cell r="L11413"/>
          <cell r="M11413"/>
        </row>
        <row r="11414">
          <cell r="B11414"/>
          <cell r="C11414"/>
          <cell r="E11414"/>
          <cell r="F11414"/>
          <cell r="G11414"/>
          <cell r="H11414"/>
          <cell r="J11414"/>
          <cell r="L11414"/>
          <cell r="M11414"/>
        </row>
        <row r="11415">
          <cell r="B11415"/>
          <cell r="C11415"/>
          <cell r="E11415"/>
          <cell r="F11415"/>
          <cell r="G11415"/>
          <cell r="H11415"/>
          <cell r="J11415"/>
          <cell r="L11415"/>
          <cell r="M11415"/>
        </row>
        <row r="11416">
          <cell r="B11416"/>
          <cell r="C11416"/>
          <cell r="E11416"/>
          <cell r="F11416"/>
          <cell r="G11416"/>
          <cell r="H11416"/>
          <cell r="J11416"/>
          <cell r="L11416"/>
          <cell r="M11416"/>
        </row>
        <row r="11417">
          <cell r="B11417"/>
          <cell r="C11417"/>
          <cell r="E11417"/>
          <cell r="F11417"/>
          <cell r="G11417"/>
          <cell r="H11417"/>
          <cell r="J11417"/>
          <cell r="L11417"/>
          <cell r="M11417"/>
        </row>
        <row r="11418">
          <cell r="B11418"/>
          <cell r="C11418"/>
          <cell r="E11418"/>
          <cell r="F11418"/>
          <cell r="G11418"/>
          <cell r="H11418"/>
          <cell r="J11418"/>
          <cell r="L11418"/>
          <cell r="M11418"/>
        </row>
        <row r="11419">
          <cell r="B11419"/>
          <cell r="C11419"/>
          <cell r="E11419"/>
          <cell r="F11419"/>
          <cell r="G11419"/>
          <cell r="H11419"/>
          <cell r="J11419"/>
          <cell r="L11419"/>
          <cell r="M11419"/>
        </row>
        <row r="11420">
          <cell r="B11420"/>
          <cell r="C11420"/>
          <cell r="E11420"/>
          <cell r="F11420"/>
          <cell r="G11420"/>
          <cell r="H11420"/>
          <cell r="J11420"/>
          <cell r="L11420"/>
          <cell r="M11420"/>
        </row>
        <row r="11421">
          <cell r="B11421"/>
          <cell r="C11421"/>
          <cell r="E11421"/>
          <cell r="F11421"/>
          <cell r="G11421"/>
          <cell r="H11421"/>
          <cell r="J11421"/>
          <cell r="L11421"/>
          <cell r="M11421"/>
        </row>
        <row r="11422">
          <cell r="B11422"/>
          <cell r="C11422"/>
          <cell r="E11422"/>
          <cell r="F11422"/>
          <cell r="G11422"/>
          <cell r="H11422"/>
          <cell r="J11422"/>
          <cell r="L11422"/>
          <cell r="M11422"/>
        </row>
        <row r="11423">
          <cell r="B11423"/>
          <cell r="C11423"/>
          <cell r="E11423"/>
          <cell r="F11423"/>
          <cell r="G11423"/>
          <cell r="H11423"/>
          <cell r="J11423"/>
          <cell r="L11423"/>
          <cell r="M11423"/>
        </row>
        <row r="11424">
          <cell r="B11424"/>
          <cell r="C11424"/>
          <cell r="E11424"/>
          <cell r="F11424"/>
          <cell r="G11424"/>
          <cell r="H11424"/>
          <cell r="J11424"/>
          <cell r="L11424"/>
          <cell r="M11424"/>
        </row>
        <row r="11425">
          <cell r="B11425"/>
          <cell r="C11425"/>
          <cell r="E11425"/>
          <cell r="F11425"/>
          <cell r="G11425"/>
          <cell r="H11425"/>
          <cell r="J11425"/>
          <cell r="L11425"/>
          <cell r="M11425"/>
        </row>
        <row r="11426">
          <cell r="B11426"/>
          <cell r="C11426"/>
          <cell r="E11426"/>
          <cell r="F11426"/>
          <cell r="G11426"/>
          <cell r="H11426"/>
          <cell r="J11426"/>
          <cell r="L11426"/>
          <cell r="M11426"/>
        </row>
        <row r="11427">
          <cell r="B11427"/>
          <cell r="C11427"/>
          <cell r="E11427"/>
          <cell r="F11427"/>
          <cell r="G11427"/>
          <cell r="H11427"/>
          <cell r="J11427"/>
          <cell r="L11427"/>
          <cell r="M11427"/>
        </row>
        <row r="11428">
          <cell r="B11428"/>
          <cell r="C11428"/>
          <cell r="E11428"/>
          <cell r="F11428"/>
          <cell r="G11428"/>
          <cell r="H11428"/>
          <cell r="J11428"/>
          <cell r="L11428"/>
          <cell r="M11428"/>
        </row>
        <row r="11429">
          <cell r="B11429"/>
          <cell r="C11429"/>
          <cell r="E11429"/>
          <cell r="F11429"/>
          <cell r="G11429"/>
          <cell r="H11429"/>
          <cell r="J11429"/>
          <cell r="L11429"/>
          <cell r="M11429"/>
        </row>
        <row r="11430">
          <cell r="B11430"/>
          <cell r="C11430"/>
          <cell r="E11430"/>
          <cell r="F11430"/>
          <cell r="G11430"/>
          <cell r="H11430"/>
          <cell r="J11430"/>
          <cell r="L11430"/>
          <cell r="M11430"/>
        </row>
        <row r="11431">
          <cell r="B11431"/>
          <cell r="C11431"/>
          <cell r="E11431"/>
          <cell r="F11431"/>
          <cell r="G11431"/>
          <cell r="H11431"/>
          <cell r="J11431"/>
          <cell r="L11431"/>
          <cell r="M11431"/>
        </row>
        <row r="11432">
          <cell r="B11432"/>
          <cell r="C11432"/>
          <cell r="E11432"/>
          <cell r="F11432"/>
          <cell r="G11432"/>
          <cell r="H11432"/>
          <cell r="J11432"/>
          <cell r="L11432"/>
          <cell r="M11432"/>
        </row>
        <row r="11433">
          <cell r="B11433"/>
          <cell r="C11433"/>
          <cell r="E11433"/>
          <cell r="F11433"/>
          <cell r="G11433"/>
          <cell r="H11433"/>
          <cell r="J11433"/>
          <cell r="L11433"/>
          <cell r="M11433"/>
        </row>
        <row r="11434">
          <cell r="B11434"/>
          <cell r="C11434"/>
          <cell r="E11434"/>
          <cell r="F11434"/>
          <cell r="G11434"/>
          <cell r="H11434"/>
          <cell r="J11434"/>
          <cell r="L11434"/>
          <cell r="M11434"/>
        </row>
        <row r="11435">
          <cell r="B11435"/>
          <cell r="C11435"/>
          <cell r="E11435"/>
          <cell r="F11435"/>
          <cell r="G11435"/>
          <cell r="H11435"/>
          <cell r="J11435"/>
          <cell r="L11435"/>
          <cell r="M11435"/>
        </row>
        <row r="11436">
          <cell r="B11436"/>
          <cell r="C11436"/>
          <cell r="E11436"/>
          <cell r="F11436"/>
          <cell r="G11436"/>
          <cell r="H11436"/>
          <cell r="J11436"/>
          <cell r="L11436"/>
          <cell r="M11436"/>
        </row>
        <row r="11437">
          <cell r="B11437"/>
          <cell r="C11437"/>
          <cell r="E11437"/>
          <cell r="F11437"/>
          <cell r="G11437"/>
          <cell r="H11437"/>
          <cell r="J11437"/>
          <cell r="L11437"/>
          <cell r="M11437"/>
        </row>
        <row r="11438">
          <cell r="B11438"/>
          <cell r="C11438"/>
          <cell r="E11438"/>
          <cell r="F11438"/>
          <cell r="G11438"/>
          <cell r="H11438"/>
          <cell r="J11438"/>
          <cell r="L11438"/>
          <cell r="M11438"/>
        </row>
        <row r="11439">
          <cell r="B11439"/>
          <cell r="C11439"/>
          <cell r="E11439"/>
          <cell r="F11439"/>
          <cell r="G11439"/>
          <cell r="H11439"/>
          <cell r="J11439"/>
          <cell r="L11439"/>
          <cell r="M11439"/>
        </row>
        <row r="11440">
          <cell r="B11440"/>
          <cell r="C11440"/>
          <cell r="E11440"/>
          <cell r="F11440"/>
          <cell r="G11440"/>
          <cell r="H11440"/>
          <cell r="J11440"/>
          <cell r="L11440"/>
          <cell r="M11440"/>
        </row>
        <row r="11441">
          <cell r="B11441"/>
          <cell r="C11441"/>
          <cell r="E11441"/>
          <cell r="F11441"/>
          <cell r="G11441"/>
          <cell r="H11441"/>
          <cell r="J11441"/>
          <cell r="L11441"/>
          <cell r="M11441"/>
        </row>
        <row r="11442">
          <cell r="B11442"/>
          <cell r="C11442"/>
          <cell r="E11442"/>
          <cell r="F11442"/>
          <cell r="G11442"/>
          <cell r="H11442"/>
          <cell r="J11442"/>
          <cell r="L11442"/>
          <cell r="M11442"/>
        </row>
        <row r="11443">
          <cell r="B11443"/>
          <cell r="C11443"/>
          <cell r="E11443"/>
          <cell r="F11443"/>
          <cell r="G11443"/>
          <cell r="H11443"/>
          <cell r="J11443"/>
          <cell r="L11443"/>
          <cell r="M11443"/>
        </row>
        <row r="11444">
          <cell r="B11444"/>
          <cell r="C11444"/>
          <cell r="E11444"/>
          <cell r="F11444"/>
          <cell r="G11444"/>
          <cell r="H11444"/>
          <cell r="J11444"/>
          <cell r="L11444"/>
          <cell r="M11444"/>
        </row>
        <row r="11445">
          <cell r="B11445"/>
          <cell r="C11445"/>
          <cell r="E11445"/>
          <cell r="F11445"/>
          <cell r="G11445"/>
          <cell r="H11445"/>
          <cell r="J11445"/>
          <cell r="L11445"/>
          <cell r="M11445"/>
        </row>
        <row r="11446">
          <cell r="B11446"/>
          <cell r="C11446"/>
          <cell r="E11446"/>
          <cell r="F11446"/>
          <cell r="G11446"/>
          <cell r="H11446"/>
          <cell r="J11446"/>
          <cell r="L11446"/>
          <cell r="M11446"/>
        </row>
        <row r="11447">
          <cell r="B11447"/>
          <cell r="C11447"/>
          <cell r="E11447"/>
          <cell r="F11447"/>
          <cell r="G11447"/>
          <cell r="H11447"/>
          <cell r="J11447"/>
          <cell r="L11447"/>
          <cell r="M11447"/>
        </row>
        <row r="11448">
          <cell r="B11448"/>
          <cell r="C11448"/>
          <cell r="E11448"/>
          <cell r="F11448"/>
          <cell r="G11448"/>
          <cell r="H11448"/>
          <cell r="J11448"/>
          <cell r="L11448"/>
          <cell r="M11448"/>
        </row>
        <row r="11449">
          <cell r="B11449"/>
          <cell r="C11449"/>
          <cell r="E11449"/>
          <cell r="F11449"/>
          <cell r="G11449"/>
          <cell r="H11449"/>
          <cell r="J11449"/>
          <cell r="L11449"/>
          <cell r="M11449"/>
        </row>
        <row r="11450">
          <cell r="B11450"/>
          <cell r="C11450"/>
          <cell r="E11450"/>
          <cell r="F11450"/>
          <cell r="G11450"/>
          <cell r="H11450"/>
          <cell r="J11450"/>
          <cell r="L11450"/>
          <cell r="M11450"/>
        </row>
        <row r="11451">
          <cell r="B11451"/>
          <cell r="C11451"/>
          <cell r="E11451"/>
          <cell r="F11451"/>
          <cell r="G11451"/>
          <cell r="H11451"/>
          <cell r="J11451"/>
          <cell r="L11451"/>
          <cell r="M11451"/>
        </row>
        <row r="11452">
          <cell r="B11452"/>
          <cell r="C11452"/>
          <cell r="E11452"/>
          <cell r="F11452"/>
          <cell r="G11452"/>
          <cell r="H11452"/>
          <cell r="J11452"/>
          <cell r="L11452"/>
          <cell r="M11452"/>
        </row>
        <row r="11453">
          <cell r="B11453"/>
          <cell r="C11453"/>
          <cell r="E11453"/>
          <cell r="F11453"/>
          <cell r="G11453"/>
          <cell r="H11453"/>
          <cell r="J11453"/>
          <cell r="L11453"/>
          <cell r="M11453"/>
        </row>
        <row r="11454">
          <cell r="B11454"/>
          <cell r="C11454"/>
          <cell r="E11454"/>
          <cell r="F11454"/>
          <cell r="G11454"/>
          <cell r="H11454"/>
          <cell r="J11454"/>
          <cell r="L11454"/>
          <cell r="M11454"/>
        </row>
        <row r="11455">
          <cell r="B11455"/>
          <cell r="C11455"/>
          <cell r="E11455"/>
          <cell r="F11455"/>
          <cell r="G11455"/>
          <cell r="H11455"/>
          <cell r="J11455"/>
          <cell r="L11455"/>
          <cell r="M11455"/>
        </row>
        <row r="11456">
          <cell r="B11456"/>
          <cell r="C11456"/>
          <cell r="E11456"/>
          <cell r="F11456"/>
          <cell r="G11456"/>
          <cell r="H11456"/>
          <cell r="J11456"/>
          <cell r="L11456"/>
          <cell r="M11456"/>
        </row>
        <row r="11457">
          <cell r="B11457"/>
          <cell r="C11457"/>
          <cell r="E11457"/>
          <cell r="F11457"/>
          <cell r="G11457"/>
          <cell r="H11457"/>
          <cell r="J11457"/>
          <cell r="L11457"/>
          <cell r="M11457"/>
        </row>
        <row r="11458">
          <cell r="B11458"/>
          <cell r="C11458"/>
          <cell r="E11458"/>
          <cell r="F11458"/>
          <cell r="G11458"/>
          <cell r="H11458"/>
          <cell r="J11458"/>
          <cell r="L11458"/>
          <cell r="M11458"/>
        </row>
        <row r="11459">
          <cell r="B11459"/>
          <cell r="C11459"/>
          <cell r="E11459"/>
          <cell r="F11459"/>
          <cell r="G11459"/>
          <cell r="H11459"/>
          <cell r="J11459"/>
          <cell r="L11459"/>
          <cell r="M11459"/>
        </row>
        <row r="11460">
          <cell r="B11460"/>
          <cell r="C11460"/>
          <cell r="E11460"/>
          <cell r="F11460"/>
          <cell r="G11460"/>
          <cell r="H11460"/>
          <cell r="J11460"/>
          <cell r="L11460"/>
          <cell r="M11460"/>
        </row>
        <row r="11461">
          <cell r="B11461"/>
          <cell r="C11461"/>
          <cell r="E11461"/>
          <cell r="F11461"/>
          <cell r="G11461"/>
          <cell r="H11461"/>
          <cell r="J11461"/>
          <cell r="L11461"/>
          <cell r="M11461"/>
        </row>
        <row r="11462">
          <cell r="B11462"/>
          <cell r="C11462"/>
          <cell r="E11462"/>
          <cell r="F11462"/>
          <cell r="G11462"/>
          <cell r="H11462"/>
          <cell r="J11462"/>
          <cell r="L11462"/>
          <cell r="M11462"/>
        </row>
        <row r="11463">
          <cell r="B11463"/>
          <cell r="C11463"/>
          <cell r="E11463"/>
          <cell r="F11463"/>
          <cell r="G11463"/>
          <cell r="H11463"/>
          <cell r="J11463"/>
          <cell r="L11463"/>
          <cell r="M11463"/>
        </row>
        <row r="11464">
          <cell r="B11464"/>
          <cell r="C11464"/>
          <cell r="E11464"/>
          <cell r="F11464"/>
          <cell r="G11464"/>
          <cell r="H11464"/>
          <cell r="J11464"/>
          <cell r="L11464"/>
          <cell r="M11464"/>
        </row>
        <row r="11465">
          <cell r="B11465"/>
          <cell r="C11465"/>
          <cell r="E11465"/>
          <cell r="F11465"/>
          <cell r="G11465"/>
          <cell r="H11465"/>
          <cell r="J11465"/>
          <cell r="L11465"/>
          <cell r="M11465"/>
        </row>
        <row r="11466">
          <cell r="B11466"/>
          <cell r="C11466"/>
          <cell r="E11466"/>
          <cell r="F11466"/>
          <cell r="G11466"/>
          <cell r="H11466"/>
          <cell r="J11466"/>
          <cell r="L11466"/>
          <cell r="M11466"/>
        </row>
        <row r="11467">
          <cell r="B11467"/>
          <cell r="C11467"/>
          <cell r="E11467"/>
          <cell r="F11467"/>
          <cell r="G11467"/>
          <cell r="H11467"/>
          <cell r="J11467"/>
          <cell r="L11467"/>
          <cell r="M11467"/>
        </row>
        <row r="11468">
          <cell r="B11468"/>
          <cell r="C11468"/>
          <cell r="E11468"/>
          <cell r="F11468"/>
          <cell r="G11468"/>
          <cell r="H11468"/>
          <cell r="J11468"/>
          <cell r="L11468"/>
          <cell r="M11468"/>
        </row>
        <row r="11469">
          <cell r="B11469"/>
          <cell r="C11469"/>
          <cell r="E11469"/>
          <cell r="F11469"/>
          <cell r="G11469"/>
          <cell r="H11469"/>
          <cell r="J11469"/>
          <cell r="L11469"/>
          <cell r="M11469"/>
        </row>
        <row r="11470">
          <cell r="B11470"/>
          <cell r="C11470"/>
          <cell r="E11470"/>
          <cell r="F11470"/>
          <cell r="G11470"/>
          <cell r="H11470"/>
          <cell r="J11470"/>
          <cell r="L11470"/>
          <cell r="M11470"/>
        </row>
        <row r="11471">
          <cell r="B11471"/>
          <cell r="C11471"/>
          <cell r="E11471"/>
          <cell r="F11471"/>
          <cell r="G11471"/>
          <cell r="H11471"/>
          <cell r="J11471"/>
          <cell r="L11471"/>
          <cell r="M11471"/>
        </row>
        <row r="11472">
          <cell r="B11472"/>
          <cell r="C11472"/>
          <cell r="E11472"/>
          <cell r="F11472"/>
          <cell r="G11472"/>
          <cell r="H11472"/>
          <cell r="J11472"/>
          <cell r="L11472"/>
          <cell r="M11472"/>
        </row>
        <row r="11473">
          <cell r="B11473"/>
          <cell r="C11473"/>
          <cell r="E11473"/>
          <cell r="F11473"/>
          <cell r="G11473"/>
          <cell r="H11473"/>
          <cell r="J11473"/>
          <cell r="L11473"/>
          <cell r="M11473"/>
        </row>
        <row r="11474">
          <cell r="B11474"/>
          <cell r="C11474"/>
          <cell r="E11474"/>
          <cell r="F11474"/>
          <cell r="G11474"/>
          <cell r="H11474"/>
          <cell r="J11474"/>
          <cell r="L11474"/>
          <cell r="M11474"/>
        </row>
        <row r="11475">
          <cell r="B11475"/>
          <cell r="C11475"/>
          <cell r="E11475"/>
          <cell r="F11475"/>
          <cell r="G11475"/>
          <cell r="H11475"/>
          <cell r="J11475"/>
          <cell r="L11475"/>
          <cell r="M11475"/>
        </row>
        <row r="11476">
          <cell r="B11476"/>
          <cell r="C11476"/>
          <cell r="E11476"/>
          <cell r="F11476"/>
          <cell r="G11476"/>
          <cell r="H11476"/>
          <cell r="J11476"/>
          <cell r="L11476"/>
          <cell r="M11476"/>
        </row>
        <row r="11477">
          <cell r="B11477"/>
          <cell r="C11477"/>
          <cell r="E11477"/>
          <cell r="F11477"/>
          <cell r="G11477"/>
          <cell r="H11477"/>
          <cell r="J11477"/>
          <cell r="L11477"/>
          <cell r="M11477"/>
        </row>
        <row r="11478">
          <cell r="B11478"/>
          <cell r="C11478"/>
          <cell r="E11478"/>
          <cell r="F11478"/>
          <cell r="G11478"/>
          <cell r="H11478"/>
          <cell r="J11478"/>
          <cell r="L11478"/>
          <cell r="M11478"/>
        </row>
        <row r="11479">
          <cell r="B11479"/>
          <cell r="C11479"/>
          <cell r="E11479"/>
          <cell r="F11479"/>
          <cell r="G11479"/>
          <cell r="H11479"/>
          <cell r="J11479"/>
          <cell r="L11479"/>
          <cell r="M11479"/>
        </row>
        <row r="11480">
          <cell r="B11480"/>
          <cell r="C11480"/>
          <cell r="E11480"/>
          <cell r="F11480"/>
          <cell r="G11480"/>
          <cell r="H11480"/>
          <cell r="J11480"/>
          <cell r="L11480"/>
          <cell r="M11480"/>
        </row>
        <row r="11481">
          <cell r="B11481"/>
          <cell r="C11481"/>
          <cell r="E11481"/>
          <cell r="F11481"/>
          <cell r="G11481"/>
          <cell r="H11481"/>
          <cell r="J11481"/>
          <cell r="L11481"/>
          <cell r="M11481"/>
        </row>
        <row r="11482">
          <cell r="B11482"/>
          <cell r="C11482"/>
          <cell r="E11482"/>
          <cell r="F11482"/>
          <cell r="G11482"/>
          <cell r="H11482"/>
          <cell r="J11482"/>
          <cell r="L11482"/>
          <cell r="M11482"/>
        </row>
        <row r="11483">
          <cell r="B11483"/>
          <cell r="C11483"/>
          <cell r="E11483"/>
          <cell r="F11483"/>
          <cell r="G11483"/>
          <cell r="H11483"/>
          <cell r="J11483"/>
          <cell r="L11483"/>
          <cell r="M11483"/>
        </row>
        <row r="11484">
          <cell r="B11484"/>
          <cell r="C11484"/>
          <cell r="E11484"/>
          <cell r="F11484"/>
          <cell r="G11484"/>
          <cell r="H11484"/>
          <cell r="J11484"/>
          <cell r="L11484"/>
          <cell r="M11484"/>
        </row>
        <row r="11485">
          <cell r="B11485"/>
          <cell r="C11485"/>
          <cell r="E11485"/>
          <cell r="F11485"/>
          <cell r="G11485"/>
          <cell r="H11485"/>
          <cell r="J11485"/>
          <cell r="L11485"/>
          <cell r="M11485"/>
        </row>
        <row r="11486">
          <cell r="B11486"/>
          <cell r="C11486"/>
          <cell r="E11486"/>
          <cell r="F11486"/>
          <cell r="G11486"/>
          <cell r="H11486"/>
          <cell r="J11486"/>
          <cell r="L11486"/>
          <cell r="M11486"/>
        </row>
        <row r="11487">
          <cell r="B11487"/>
          <cell r="C11487"/>
          <cell r="E11487"/>
          <cell r="F11487"/>
          <cell r="G11487"/>
          <cell r="H11487"/>
          <cell r="J11487"/>
          <cell r="L11487"/>
          <cell r="M11487"/>
        </row>
        <row r="11488">
          <cell r="B11488"/>
          <cell r="C11488"/>
          <cell r="E11488"/>
          <cell r="F11488"/>
          <cell r="G11488"/>
          <cell r="H11488"/>
          <cell r="J11488"/>
          <cell r="L11488"/>
          <cell r="M11488"/>
        </row>
        <row r="11489">
          <cell r="B11489"/>
          <cell r="C11489"/>
          <cell r="E11489"/>
          <cell r="F11489"/>
          <cell r="G11489"/>
          <cell r="H11489"/>
          <cell r="J11489"/>
          <cell r="L11489"/>
          <cell r="M11489"/>
        </row>
        <row r="11490">
          <cell r="B11490"/>
          <cell r="C11490"/>
          <cell r="E11490"/>
          <cell r="F11490"/>
          <cell r="G11490"/>
          <cell r="H11490"/>
          <cell r="J11490"/>
          <cell r="L11490"/>
          <cell r="M11490"/>
        </row>
        <row r="11491">
          <cell r="B11491"/>
          <cell r="C11491"/>
          <cell r="E11491"/>
          <cell r="F11491"/>
          <cell r="G11491"/>
          <cell r="H11491"/>
          <cell r="J11491"/>
          <cell r="L11491"/>
          <cell r="M11491"/>
        </row>
        <row r="11492">
          <cell r="B11492"/>
          <cell r="C11492"/>
          <cell r="E11492"/>
          <cell r="F11492"/>
          <cell r="G11492"/>
          <cell r="H11492"/>
          <cell r="J11492"/>
          <cell r="L11492"/>
          <cell r="M11492"/>
        </row>
        <row r="11493">
          <cell r="B11493"/>
          <cell r="C11493"/>
          <cell r="E11493"/>
          <cell r="F11493"/>
          <cell r="G11493"/>
          <cell r="H11493"/>
          <cell r="J11493"/>
          <cell r="L11493"/>
          <cell r="M11493"/>
        </row>
        <row r="11494">
          <cell r="B11494"/>
          <cell r="C11494"/>
          <cell r="E11494"/>
          <cell r="F11494"/>
          <cell r="G11494"/>
          <cell r="H11494"/>
          <cell r="J11494"/>
          <cell r="L11494"/>
          <cell r="M11494"/>
        </row>
        <row r="11495">
          <cell r="B11495"/>
          <cell r="C11495"/>
          <cell r="E11495"/>
          <cell r="F11495"/>
          <cell r="G11495"/>
          <cell r="H11495"/>
          <cell r="J11495"/>
          <cell r="L11495"/>
          <cell r="M11495"/>
        </row>
        <row r="11496">
          <cell r="B11496"/>
          <cell r="C11496"/>
          <cell r="E11496"/>
          <cell r="F11496"/>
          <cell r="G11496"/>
          <cell r="H11496"/>
          <cell r="J11496"/>
          <cell r="L11496"/>
          <cell r="M11496"/>
        </row>
        <row r="11497">
          <cell r="B11497"/>
          <cell r="C11497"/>
          <cell r="E11497"/>
          <cell r="F11497"/>
          <cell r="G11497"/>
          <cell r="H11497"/>
          <cell r="J11497"/>
          <cell r="L11497"/>
          <cell r="M11497"/>
        </row>
        <row r="11498">
          <cell r="B11498"/>
          <cell r="C11498"/>
          <cell r="E11498"/>
          <cell r="F11498"/>
          <cell r="G11498"/>
          <cell r="H11498"/>
          <cell r="J11498"/>
          <cell r="L11498"/>
          <cell r="M11498"/>
        </row>
        <row r="11499">
          <cell r="B11499"/>
          <cell r="C11499"/>
          <cell r="E11499"/>
          <cell r="F11499"/>
          <cell r="G11499"/>
          <cell r="H11499"/>
          <cell r="J11499"/>
          <cell r="L11499"/>
          <cell r="M11499"/>
        </row>
        <row r="11500">
          <cell r="B11500"/>
          <cell r="C11500"/>
          <cell r="E11500"/>
          <cell r="F11500"/>
          <cell r="G11500"/>
          <cell r="H11500"/>
          <cell r="J11500"/>
          <cell r="L11500"/>
          <cell r="M11500"/>
        </row>
        <row r="11501">
          <cell r="B11501"/>
          <cell r="C11501"/>
          <cell r="E11501"/>
          <cell r="F11501"/>
          <cell r="G11501"/>
          <cell r="H11501"/>
          <cell r="J11501"/>
          <cell r="L11501"/>
          <cell r="M11501"/>
        </row>
        <row r="11502">
          <cell r="B11502"/>
          <cell r="C11502"/>
          <cell r="E11502"/>
          <cell r="F11502"/>
          <cell r="G11502"/>
          <cell r="H11502"/>
          <cell r="J11502"/>
          <cell r="L11502"/>
          <cell r="M11502"/>
        </row>
        <row r="11503">
          <cell r="B11503"/>
          <cell r="C11503"/>
          <cell r="E11503"/>
          <cell r="F11503"/>
          <cell r="G11503"/>
          <cell r="H11503"/>
          <cell r="J11503"/>
          <cell r="L11503"/>
          <cell r="M11503"/>
        </row>
        <row r="11504">
          <cell r="B11504"/>
          <cell r="C11504"/>
          <cell r="E11504"/>
          <cell r="F11504"/>
          <cell r="G11504"/>
          <cell r="H11504"/>
          <cell r="J11504"/>
          <cell r="L11504"/>
          <cell r="M11504"/>
        </row>
        <row r="11505">
          <cell r="B11505"/>
          <cell r="C11505"/>
          <cell r="E11505"/>
          <cell r="F11505"/>
          <cell r="G11505"/>
          <cell r="H11505"/>
          <cell r="J11505"/>
          <cell r="L11505"/>
          <cell r="M11505"/>
        </row>
        <row r="11506">
          <cell r="B11506"/>
          <cell r="C11506"/>
          <cell r="E11506"/>
          <cell r="F11506"/>
          <cell r="G11506"/>
          <cell r="H11506"/>
          <cell r="J11506"/>
          <cell r="L11506"/>
          <cell r="M11506"/>
        </row>
        <row r="11507">
          <cell r="B11507"/>
          <cell r="C11507"/>
          <cell r="E11507"/>
          <cell r="F11507"/>
          <cell r="G11507"/>
          <cell r="H11507"/>
          <cell r="J11507"/>
          <cell r="L11507"/>
          <cell r="M11507"/>
        </row>
        <row r="11508">
          <cell r="B11508"/>
          <cell r="C11508"/>
          <cell r="E11508"/>
          <cell r="F11508"/>
          <cell r="G11508"/>
          <cell r="H11508"/>
          <cell r="J11508"/>
          <cell r="L11508"/>
          <cell r="M11508"/>
        </row>
        <row r="11509">
          <cell r="B11509"/>
          <cell r="C11509"/>
          <cell r="E11509"/>
          <cell r="F11509"/>
          <cell r="G11509"/>
          <cell r="H11509"/>
          <cell r="J11509"/>
          <cell r="L11509"/>
          <cell r="M11509"/>
        </row>
        <row r="11510">
          <cell r="B11510"/>
          <cell r="C11510"/>
          <cell r="E11510"/>
          <cell r="F11510"/>
          <cell r="G11510"/>
          <cell r="H11510"/>
          <cell r="J11510"/>
          <cell r="L11510"/>
          <cell r="M11510"/>
        </row>
        <row r="11511">
          <cell r="B11511"/>
          <cell r="C11511"/>
          <cell r="E11511"/>
          <cell r="F11511"/>
          <cell r="G11511"/>
          <cell r="H11511"/>
          <cell r="J11511"/>
          <cell r="L11511"/>
          <cell r="M11511"/>
        </row>
        <row r="11512">
          <cell r="B11512"/>
          <cell r="C11512"/>
          <cell r="E11512"/>
          <cell r="F11512"/>
          <cell r="G11512"/>
          <cell r="H11512"/>
          <cell r="J11512"/>
          <cell r="L11512"/>
          <cell r="M11512"/>
        </row>
        <row r="11513">
          <cell r="B11513"/>
          <cell r="C11513"/>
          <cell r="E11513"/>
          <cell r="F11513"/>
          <cell r="G11513"/>
          <cell r="H11513"/>
          <cell r="J11513"/>
          <cell r="L11513"/>
          <cell r="M11513"/>
        </row>
        <row r="11514">
          <cell r="B11514"/>
          <cell r="C11514"/>
          <cell r="E11514"/>
          <cell r="F11514"/>
          <cell r="G11514"/>
          <cell r="H11514"/>
          <cell r="J11514"/>
          <cell r="L11514"/>
          <cell r="M11514"/>
        </row>
        <row r="11515">
          <cell r="B11515"/>
          <cell r="C11515"/>
          <cell r="E11515"/>
          <cell r="F11515"/>
          <cell r="G11515"/>
          <cell r="H11515"/>
          <cell r="J11515"/>
          <cell r="L11515"/>
          <cell r="M11515"/>
        </row>
        <row r="11516">
          <cell r="B11516"/>
          <cell r="C11516"/>
          <cell r="E11516"/>
          <cell r="F11516"/>
          <cell r="G11516"/>
          <cell r="H11516"/>
          <cell r="J11516"/>
          <cell r="L11516"/>
          <cell r="M11516"/>
        </row>
        <row r="11517">
          <cell r="B11517"/>
          <cell r="C11517"/>
          <cell r="E11517"/>
          <cell r="F11517"/>
          <cell r="G11517"/>
          <cell r="H11517"/>
          <cell r="J11517"/>
          <cell r="L11517"/>
          <cell r="M11517"/>
        </row>
        <row r="11518">
          <cell r="B11518"/>
          <cell r="C11518"/>
          <cell r="E11518"/>
          <cell r="F11518"/>
          <cell r="G11518"/>
          <cell r="H11518"/>
          <cell r="J11518"/>
          <cell r="L11518"/>
          <cell r="M11518"/>
        </row>
        <row r="11519">
          <cell r="B11519"/>
          <cell r="C11519"/>
          <cell r="E11519"/>
          <cell r="F11519"/>
          <cell r="G11519"/>
          <cell r="H11519"/>
          <cell r="J11519"/>
          <cell r="L11519"/>
          <cell r="M11519"/>
        </row>
        <row r="11520">
          <cell r="B11520"/>
          <cell r="C11520"/>
          <cell r="E11520"/>
          <cell r="F11520"/>
          <cell r="G11520"/>
          <cell r="H11520"/>
          <cell r="J11520"/>
          <cell r="L11520"/>
          <cell r="M11520"/>
        </row>
        <row r="11521">
          <cell r="B11521"/>
          <cell r="C11521"/>
          <cell r="E11521"/>
          <cell r="F11521"/>
          <cell r="G11521"/>
          <cell r="H11521"/>
          <cell r="J11521"/>
          <cell r="L11521"/>
          <cell r="M11521"/>
        </row>
        <row r="11522">
          <cell r="B11522"/>
          <cell r="C11522"/>
          <cell r="E11522"/>
          <cell r="F11522"/>
          <cell r="G11522"/>
          <cell r="H11522"/>
          <cell r="J11522"/>
          <cell r="L11522"/>
          <cell r="M11522"/>
        </row>
        <row r="11523">
          <cell r="B11523"/>
          <cell r="C11523"/>
          <cell r="E11523"/>
          <cell r="F11523"/>
          <cell r="G11523"/>
          <cell r="H11523"/>
          <cell r="J11523"/>
          <cell r="L11523"/>
          <cell r="M11523"/>
        </row>
        <row r="11524">
          <cell r="B11524"/>
          <cell r="C11524"/>
          <cell r="E11524"/>
          <cell r="F11524"/>
          <cell r="G11524"/>
          <cell r="H11524"/>
          <cell r="J11524"/>
          <cell r="L11524"/>
          <cell r="M11524"/>
        </row>
        <row r="11525">
          <cell r="B11525"/>
          <cell r="C11525"/>
          <cell r="E11525"/>
          <cell r="F11525"/>
          <cell r="G11525"/>
          <cell r="H11525"/>
          <cell r="J11525"/>
          <cell r="L11525"/>
          <cell r="M11525"/>
        </row>
        <row r="11526">
          <cell r="B11526"/>
          <cell r="C11526"/>
          <cell r="E11526"/>
          <cell r="F11526"/>
          <cell r="G11526"/>
          <cell r="H11526"/>
          <cell r="J11526"/>
          <cell r="L11526"/>
          <cell r="M11526"/>
        </row>
        <row r="11527">
          <cell r="B11527"/>
          <cell r="C11527"/>
          <cell r="E11527"/>
          <cell r="F11527"/>
          <cell r="G11527"/>
          <cell r="H11527"/>
          <cell r="J11527"/>
          <cell r="L11527"/>
          <cell r="M11527"/>
        </row>
        <row r="11528">
          <cell r="B11528"/>
          <cell r="C11528"/>
          <cell r="E11528"/>
          <cell r="F11528"/>
          <cell r="G11528"/>
          <cell r="H11528"/>
          <cell r="J11528"/>
          <cell r="L11528"/>
          <cell r="M11528"/>
        </row>
        <row r="11529">
          <cell r="B11529"/>
          <cell r="C11529"/>
          <cell r="E11529"/>
          <cell r="F11529"/>
          <cell r="G11529"/>
          <cell r="H11529"/>
          <cell r="J11529"/>
          <cell r="L11529"/>
          <cell r="M11529"/>
        </row>
        <row r="11530">
          <cell r="B11530"/>
          <cell r="C11530"/>
          <cell r="E11530"/>
          <cell r="F11530"/>
          <cell r="G11530"/>
          <cell r="H11530"/>
          <cell r="J11530"/>
          <cell r="L11530"/>
          <cell r="M11530"/>
        </row>
        <row r="11531">
          <cell r="B11531"/>
          <cell r="C11531"/>
          <cell r="E11531"/>
          <cell r="F11531"/>
          <cell r="G11531"/>
          <cell r="H11531"/>
          <cell r="J11531"/>
          <cell r="L11531"/>
          <cell r="M11531"/>
        </row>
        <row r="11532">
          <cell r="B11532"/>
          <cell r="C11532"/>
          <cell r="E11532"/>
          <cell r="F11532"/>
          <cell r="G11532"/>
          <cell r="H11532"/>
          <cell r="J11532"/>
          <cell r="L11532"/>
          <cell r="M11532"/>
        </row>
        <row r="11533">
          <cell r="B11533"/>
          <cell r="C11533"/>
          <cell r="E11533"/>
          <cell r="F11533"/>
          <cell r="G11533"/>
          <cell r="H11533"/>
          <cell r="J11533"/>
          <cell r="L11533"/>
          <cell r="M11533"/>
        </row>
        <row r="11534">
          <cell r="B11534"/>
          <cell r="C11534"/>
          <cell r="E11534"/>
          <cell r="F11534"/>
          <cell r="G11534"/>
          <cell r="H11534"/>
          <cell r="J11534"/>
          <cell r="L11534"/>
          <cell r="M11534"/>
        </row>
        <row r="11535">
          <cell r="B11535"/>
          <cell r="C11535"/>
          <cell r="E11535"/>
          <cell r="F11535"/>
          <cell r="G11535"/>
          <cell r="H11535"/>
          <cell r="J11535"/>
          <cell r="L11535"/>
          <cell r="M11535"/>
        </row>
        <row r="11536">
          <cell r="B11536"/>
          <cell r="C11536"/>
          <cell r="E11536"/>
          <cell r="F11536"/>
          <cell r="G11536"/>
          <cell r="H11536"/>
          <cell r="J11536"/>
          <cell r="L11536"/>
          <cell r="M11536"/>
        </row>
        <row r="11537">
          <cell r="B11537"/>
          <cell r="C11537"/>
          <cell r="E11537"/>
          <cell r="F11537"/>
          <cell r="G11537"/>
          <cell r="H11537"/>
          <cell r="J11537"/>
          <cell r="L11537"/>
          <cell r="M11537"/>
        </row>
        <row r="11538">
          <cell r="B11538"/>
          <cell r="C11538"/>
          <cell r="E11538"/>
          <cell r="F11538"/>
          <cell r="G11538"/>
          <cell r="H11538"/>
          <cell r="J11538"/>
          <cell r="L11538"/>
          <cell r="M11538"/>
        </row>
        <row r="11539">
          <cell r="B11539"/>
          <cell r="C11539"/>
          <cell r="E11539"/>
          <cell r="F11539"/>
          <cell r="G11539"/>
          <cell r="H11539"/>
          <cell r="J11539"/>
          <cell r="L11539"/>
          <cell r="M11539"/>
        </row>
        <row r="11540">
          <cell r="B11540"/>
          <cell r="C11540"/>
          <cell r="E11540"/>
          <cell r="F11540"/>
          <cell r="G11540"/>
          <cell r="H11540"/>
          <cell r="J11540"/>
          <cell r="L11540"/>
          <cell r="M11540"/>
        </row>
        <row r="11541">
          <cell r="B11541"/>
          <cell r="C11541"/>
          <cell r="E11541"/>
          <cell r="F11541"/>
          <cell r="G11541"/>
          <cell r="H11541"/>
          <cell r="J11541"/>
          <cell r="L11541"/>
          <cell r="M11541"/>
        </row>
        <row r="11542">
          <cell r="B11542"/>
          <cell r="C11542"/>
          <cell r="E11542"/>
          <cell r="F11542"/>
          <cell r="G11542"/>
          <cell r="H11542"/>
          <cell r="J11542"/>
          <cell r="L11542"/>
          <cell r="M11542"/>
        </row>
        <row r="11543">
          <cell r="B11543"/>
          <cell r="C11543"/>
          <cell r="E11543"/>
          <cell r="F11543"/>
          <cell r="G11543"/>
          <cell r="H11543"/>
          <cell r="J11543"/>
          <cell r="L11543"/>
          <cell r="M11543"/>
        </row>
        <row r="11544">
          <cell r="B11544"/>
          <cell r="C11544"/>
          <cell r="E11544"/>
          <cell r="F11544"/>
          <cell r="G11544"/>
          <cell r="H11544"/>
          <cell r="J11544"/>
          <cell r="L11544"/>
          <cell r="M11544"/>
        </row>
        <row r="11545">
          <cell r="B11545"/>
          <cell r="C11545"/>
          <cell r="E11545"/>
          <cell r="F11545"/>
          <cell r="G11545"/>
          <cell r="H11545"/>
          <cell r="J11545"/>
          <cell r="L11545"/>
          <cell r="M11545"/>
        </row>
        <row r="11546">
          <cell r="B11546"/>
          <cell r="C11546"/>
          <cell r="E11546"/>
          <cell r="F11546"/>
          <cell r="G11546"/>
          <cell r="H11546"/>
          <cell r="J11546"/>
          <cell r="L11546"/>
          <cell r="M11546"/>
        </row>
        <row r="11547">
          <cell r="B11547"/>
          <cell r="C11547"/>
          <cell r="E11547"/>
          <cell r="F11547"/>
          <cell r="G11547"/>
          <cell r="H11547"/>
          <cell r="J11547"/>
          <cell r="L11547"/>
          <cell r="M11547"/>
        </row>
        <row r="11548">
          <cell r="B11548"/>
          <cell r="C11548"/>
          <cell r="E11548"/>
          <cell r="F11548"/>
          <cell r="G11548"/>
          <cell r="H11548"/>
          <cell r="J11548"/>
          <cell r="L11548"/>
          <cell r="M11548"/>
        </row>
        <row r="11549">
          <cell r="B11549"/>
          <cell r="C11549"/>
          <cell r="E11549"/>
          <cell r="F11549"/>
          <cell r="G11549"/>
          <cell r="H11549"/>
          <cell r="J11549"/>
          <cell r="L11549"/>
          <cell r="M11549"/>
        </row>
        <row r="11550">
          <cell r="B11550"/>
          <cell r="C11550"/>
          <cell r="E11550"/>
          <cell r="F11550"/>
          <cell r="G11550"/>
          <cell r="H11550"/>
          <cell r="J11550"/>
          <cell r="L11550"/>
          <cell r="M11550"/>
        </row>
        <row r="11551">
          <cell r="B11551"/>
          <cell r="C11551"/>
          <cell r="E11551"/>
          <cell r="F11551"/>
          <cell r="G11551"/>
          <cell r="H11551"/>
          <cell r="J11551"/>
          <cell r="L11551"/>
          <cell r="M11551"/>
        </row>
        <row r="11552">
          <cell r="B11552"/>
          <cell r="C11552"/>
          <cell r="E11552"/>
          <cell r="F11552"/>
          <cell r="G11552"/>
          <cell r="H11552"/>
          <cell r="J11552"/>
          <cell r="L11552"/>
          <cell r="M11552"/>
        </row>
        <row r="11553">
          <cell r="B11553"/>
          <cell r="C11553"/>
          <cell r="E11553"/>
          <cell r="F11553"/>
          <cell r="G11553"/>
          <cell r="H11553"/>
          <cell r="J11553"/>
          <cell r="L11553"/>
          <cell r="M11553"/>
        </row>
        <row r="11554">
          <cell r="B11554"/>
          <cell r="C11554"/>
          <cell r="E11554"/>
          <cell r="F11554"/>
          <cell r="G11554"/>
          <cell r="H11554"/>
          <cell r="J11554"/>
          <cell r="L11554"/>
          <cell r="M11554"/>
        </row>
        <row r="11555">
          <cell r="B11555"/>
          <cell r="C11555"/>
          <cell r="E11555"/>
          <cell r="F11555"/>
          <cell r="G11555"/>
          <cell r="H11555"/>
          <cell r="J11555"/>
          <cell r="L11555"/>
          <cell r="M11555"/>
        </row>
        <row r="11556">
          <cell r="B11556"/>
          <cell r="C11556"/>
          <cell r="E11556"/>
          <cell r="F11556"/>
          <cell r="G11556"/>
          <cell r="H11556"/>
          <cell r="J11556"/>
          <cell r="L11556"/>
          <cell r="M11556"/>
        </row>
        <row r="11557">
          <cell r="B11557"/>
          <cell r="C11557"/>
          <cell r="E11557"/>
          <cell r="F11557"/>
          <cell r="G11557"/>
          <cell r="H11557"/>
          <cell r="J11557"/>
          <cell r="L11557"/>
          <cell r="M11557"/>
        </row>
        <row r="11558">
          <cell r="B11558"/>
          <cell r="C11558"/>
          <cell r="E11558"/>
          <cell r="F11558"/>
          <cell r="G11558"/>
          <cell r="H11558"/>
          <cell r="J11558"/>
          <cell r="L11558"/>
          <cell r="M11558"/>
        </row>
        <row r="11559">
          <cell r="B11559"/>
          <cell r="C11559"/>
          <cell r="E11559"/>
          <cell r="F11559"/>
          <cell r="G11559"/>
          <cell r="H11559"/>
          <cell r="J11559"/>
          <cell r="L11559"/>
          <cell r="M11559"/>
        </row>
        <row r="11560">
          <cell r="B11560"/>
          <cell r="C11560"/>
          <cell r="E11560"/>
          <cell r="F11560"/>
          <cell r="G11560"/>
          <cell r="H11560"/>
          <cell r="J11560"/>
          <cell r="L11560"/>
          <cell r="M11560"/>
        </row>
        <row r="11561">
          <cell r="B11561"/>
          <cell r="C11561"/>
          <cell r="E11561"/>
          <cell r="F11561"/>
          <cell r="G11561"/>
          <cell r="H11561"/>
          <cell r="J11561"/>
          <cell r="L11561"/>
          <cell r="M11561"/>
        </row>
        <row r="11562">
          <cell r="B11562"/>
          <cell r="C11562"/>
          <cell r="E11562"/>
          <cell r="F11562"/>
          <cell r="G11562"/>
          <cell r="H11562"/>
          <cell r="J11562"/>
          <cell r="L11562"/>
          <cell r="M11562"/>
        </row>
        <row r="11563">
          <cell r="B11563"/>
          <cell r="C11563"/>
          <cell r="E11563"/>
          <cell r="F11563"/>
          <cell r="G11563"/>
          <cell r="H11563"/>
          <cell r="J11563"/>
          <cell r="L11563"/>
          <cell r="M11563"/>
        </row>
        <row r="11564">
          <cell r="B11564"/>
          <cell r="C11564"/>
          <cell r="E11564"/>
          <cell r="F11564"/>
          <cell r="G11564"/>
          <cell r="H11564"/>
          <cell r="J11564"/>
          <cell r="L11564"/>
          <cell r="M11564"/>
        </row>
        <row r="11565">
          <cell r="B11565"/>
          <cell r="C11565"/>
          <cell r="E11565"/>
          <cell r="F11565"/>
          <cell r="G11565"/>
          <cell r="H11565"/>
          <cell r="J11565"/>
          <cell r="L11565"/>
          <cell r="M11565"/>
        </row>
        <row r="11566">
          <cell r="B11566"/>
          <cell r="C11566"/>
          <cell r="E11566"/>
          <cell r="F11566"/>
          <cell r="G11566"/>
          <cell r="H11566"/>
          <cell r="J11566"/>
          <cell r="L11566"/>
          <cell r="M11566"/>
        </row>
        <row r="11567">
          <cell r="B11567"/>
          <cell r="C11567"/>
          <cell r="E11567"/>
          <cell r="F11567"/>
          <cell r="G11567"/>
          <cell r="H11567"/>
          <cell r="J11567"/>
          <cell r="L11567"/>
          <cell r="M11567"/>
        </row>
        <row r="11568">
          <cell r="B11568"/>
          <cell r="C11568"/>
          <cell r="E11568"/>
          <cell r="F11568"/>
          <cell r="G11568"/>
          <cell r="H11568"/>
          <cell r="J11568"/>
          <cell r="L11568"/>
          <cell r="M11568"/>
        </row>
        <row r="11569">
          <cell r="B11569"/>
          <cell r="C11569"/>
          <cell r="E11569"/>
          <cell r="F11569"/>
          <cell r="G11569"/>
          <cell r="H11569"/>
          <cell r="J11569"/>
          <cell r="L11569"/>
          <cell r="M11569"/>
        </row>
        <row r="11570">
          <cell r="B11570"/>
          <cell r="C11570"/>
          <cell r="E11570"/>
          <cell r="F11570"/>
          <cell r="G11570"/>
          <cell r="H11570"/>
          <cell r="J11570"/>
          <cell r="L11570"/>
          <cell r="M11570"/>
        </row>
        <row r="11571">
          <cell r="B11571"/>
          <cell r="C11571"/>
          <cell r="E11571"/>
          <cell r="F11571"/>
          <cell r="G11571"/>
          <cell r="H11571"/>
          <cell r="J11571"/>
          <cell r="L11571"/>
          <cell r="M11571"/>
        </row>
        <row r="11572">
          <cell r="B11572"/>
          <cell r="C11572"/>
          <cell r="E11572"/>
          <cell r="F11572"/>
          <cell r="G11572"/>
          <cell r="H11572"/>
          <cell r="J11572"/>
          <cell r="L11572"/>
          <cell r="M11572"/>
        </row>
        <row r="11573">
          <cell r="B11573"/>
          <cell r="C11573"/>
          <cell r="E11573"/>
          <cell r="F11573"/>
          <cell r="G11573"/>
          <cell r="H11573"/>
          <cell r="J11573"/>
          <cell r="L11573"/>
          <cell r="M11573"/>
        </row>
        <row r="11574">
          <cell r="B11574"/>
          <cell r="C11574"/>
          <cell r="E11574"/>
          <cell r="F11574"/>
          <cell r="G11574"/>
          <cell r="H11574"/>
          <cell r="J11574"/>
          <cell r="L11574"/>
          <cell r="M11574"/>
        </row>
        <row r="11575">
          <cell r="B11575"/>
          <cell r="C11575"/>
          <cell r="E11575"/>
          <cell r="F11575"/>
          <cell r="G11575"/>
          <cell r="H11575"/>
          <cell r="J11575"/>
          <cell r="L11575"/>
          <cell r="M11575"/>
        </row>
        <row r="11576">
          <cell r="B11576"/>
          <cell r="C11576"/>
          <cell r="E11576"/>
          <cell r="F11576"/>
          <cell r="G11576"/>
          <cell r="H11576"/>
          <cell r="J11576"/>
          <cell r="L11576"/>
          <cell r="M11576"/>
        </row>
        <row r="11577">
          <cell r="B11577"/>
          <cell r="C11577"/>
          <cell r="E11577"/>
          <cell r="F11577"/>
          <cell r="G11577"/>
          <cell r="H11577"/>
          <cell r="J11577"/>
          <cell r="L11577"/>
          <cell r="M11577"/>
        </row>
        <row r="11578">
          <cell r="B11578"/>
          <cell r="C11578"/>
          <cell r="E11578"/>
          <cell r="F11578"/>
          <cell r="G11578"/>
          <cell r="H11578"/>
          <cell r="J11578"/>
          <cell r="L11578"/>
          <cell r="M11578"/>
        </row>
        <row r="11579">
          <cell r="B11579"/>
          <cell r="C11579"/>
          <cell r="E11579"/>
          <cell r="F11579"/>
          <cell r="G11579"/>
          <cell r="H11579"/>
          <cell r="J11579"/>
          <cell r="L11579"/>
          <cell r="M11579"/>
        </row>
        <row r="11580">
          <cell r="B11580"/>
          <cell r="C11580"/>
          <cell r="E11580"/>
          <cell r="F11580"/>
          <cell r="G11580"/>
          <cell r="H11580"/>
          <cell r="J11580"/>
          <cell r="L11580"/>
          <cell r="M11580"/>
        </row>
        <row r="11581">
          <cell r="B11581"/>
          <cell r="C11581"/>
          <cell r="E11581"/>
          <cell r="F11581"/>
          <cell r="G11581"/>
          <cell r="H11581"/>
          <cell r="J11581"/>
          <cell r="L11581"/>
          <cell r="M11581"/>
        </row>
        <row r="11582">
          <cell r="B11582"/>
          <cell r="C11582"/>
          <cell r="E11582"/>
          <cell r="F11582"/>
          <cell r="G11582"/>
          <cell r="H11582"/>
          <cell r="J11582"/>
          <cell r="L11582"/>
          <cell r="M11582"/>
        </row>
        <row r="11583">
          <cell r="B11583"/>
          <cell r="C11583"/>
          <cell r="E11583"/>
          <cell r="F11583"/>
          <cell r="G11583"/>
          <cell r="H11583"/>
          <cell r="J11583"/>
          <cell r="L11583"/>
          <cell r="M11583"/>
        </row>
        <row r="11584">
          <cell r="B11584"/>
          <cell r="C11584"/>
          <cell r="E11584"/>
          <cell r="F11584"/>
          <cell r="G11584"/>
          <cell r="H11584"/>
          <cell r="J11584"/>
          <cell r="L11584"/>
          <cell r="M11584"/>
        </row>
        <row r="11585">
          <cell r="B11585"/>
          <cell r="C11585"/>
          <cell r="E11585"/>
          <cell r="F11585"/>
          <cell r="G11585"/>
          <cell r="H11585"/>
          <cell r="J11585"/>
          <cell r="L11585"/>
          <cell r="M11585"/>
        </row>
        <row r="11586">
          <cell r="B11586"/>
          <cell r="C11586"/>
          <cell r="E11586"/>
          <cell r="F11586"/>
          <cell r="G11586"/>
          <cell r="H11586"/>
          <cell r="J11586"/>
          <cell r="L11586"/>
          <cell r="M11586"/>
        </row>
        <row r="11587">
          <cell r="B11587"/>
          <cell r="C11587"/>
          <cell r="E11587"/>
          <cell r="F11587"/>
          <cell r="G11587"/>
          <cell r="H11587"/>
          <cell r="J11587"/>
          <cell r="L11587"/>
          <cell r="M11587"/>
        </row>
        <row r="11588">
          <cell r="B11588"/>
          <cell r="C11588"/>
          <cell r="E11588"/>
          <cell r="F11588"/>
          <cell r="G11588"/>
          <cell r="H11588"/>
          <cell r="J11588"/>
          <cell r="L11588"/>
          <cell r="M11588"/>
        </row>
        <row r="11589">
          <cell r="B11589"/>
          <cell r="C11589"/>
          <cell r="E11589"/>
          <cell r="F11589"/>
          <cell r="G11589"/>
          <cell r="H11589"/>
          <cell r="J11589"/>
          <cell r="L11589"/>
          <cell r="M11589"/>
        </row>
        <row r="11590">
          <cell r="B11590"/>
          <cell r="C11590"/>
          <cell r="E11590"/>
          <cell r="F11590"/>
          <cell r="G11590"/>
          <cell r="H11590"/>
          <cell r="J11590"/>
          <cell r="L11590"/>
          <cell r="M11590"/>
        </row>
        <row r="11591">
          <cell r="B11591"/>
          <cell r="C11591"/>
          <cell r="E11591"/>
          <cell r="F11591"/>
          <cell r="G11591"/>
          <cell r="H11591"/>
          <cell r="J11591"/>
          <cell r="L11591"/>
          <cell r="M11591"/>
        </row>
        <row r="11592">
          <cell r="B11592"/>
          <cell r="C11592"/>
          <cell r="E11592"/>
          <cell r="F11592"/>
          <cell r="G11592"/>
          <cell r="H11592"/>
          <cell r="J11592"/>
          <cell r="L11592"/>
          <cell r="M11592"/>
        </row>
        <row r="11593">
          <cell r="B11593"/>
          <cell r="C11593"/>
          <cell r="E11593"/>
          <cell r="F11593"/>
          <cell r="G11593"/>
          <cell r="H11593"/>
          <cell r="J11593"/>
          <cell r="L11593"/>
          <cell r="M11593"/>
        </row>
        <row r="11594">
          <cell r="B11594"/>
          <cell r="C11594"/>
          <cell r="E11594"/>
          <cell r="F11594"/>
          <cell r="G11594"/>
          <cell r="H11594"/>
          <cell r="J11594"/>
          <cell r="L11594"/>
          <cell r="M11594"/>
        </row>
        <row r="11595">
          <cell r="B11595"/>
          <cell r="C11595"/>
          <cell r="E11595"/>
          <cell r="F11595"/>
          <cell r="G11595"/>
          <cell r="H11595"/>
          <cell r="J11595"/>
          <cell r="L11595"/>
          <cell r="M11595"/>
        </row>
        <row r="11596">
          <cell r="B11596"/>
          <cell r="C11596"/>
          <cell r="E11596"/>
          <cell r="F11596"/>
          <cell r="G11596"/>
          <cell r="H11596"/>
          <cell r="J11596"/>
          <cell r="L11596"/>
          <cell r="M11596"/>
        </row>
        <row r="11597">
          <cell r="B11597"/>
          <cell r="C11597"/>
          <cell r="E11597"/>
          <cell r="F11597"/>
          <cell r="G11597"/>
          <cell r="H11597"/>
          <cell r="J11597"/>
          <cell r="L11597"/>
          <cell r="M11597"/>
        </row>
        <row r="11598">
          <cell r="B11598"/>
          <cell r="C11598"/>
          <cell r="E11598"/>
          <cell r="F11598"/>
          <cell r="G11598"/>
          <cell r="H11598"/>
          <cell r="J11598"/>
          <cell r="L11598"/>
          <cell r="M11598"/>
        </row>
        <row r="11599">
          <cell r="B11599"/>
          <cell r="C11599"/>
          <cell r="E11599"/>
          <cell r="F11599"/>
          <cell r="G11599"/>
          <cell r="H11599"/>
          <cell r="J11599"/>
          <cell r="L11599"/>
          <cell r="M11599"/>
        </row>
        <row r="11600">
          <cell r="B11600"/>
          <cell r="C11600"/>
          <cell r="E11600"/>
          <cell r="F11600"/>
          <cell r="G11600"/>
          <cell r="H11600"/>
          <cell r="J11600"/>
          <cell r="L11600"/>
          <cell r="M11600"/>
        </row>
        <row r="11601">
          <cell r="B11601"/>
          <cell r="C11601"/>
          <cell r="E11601"/>
          <cell r="F11601"/>
          <cell r="G11601"/>
          <cell r="H11601"/>
          <cell r="J11601"/>
          <cell r="L11601"/>
          <cell r="M11601"/>
        </row>
        <row r="11602">
          <cell r="B11602"/>
          <cell r="C11602"/>
          <cell r="E11602"/>
          <cell r="F11602"/>
          <cell r="G11602"/>
          <cell r="H11602"/>
          <cell r="J11602"/>
          <cell r="L11602"/>
          <cell r="M11602"/>
        </row>
        <row r="11603">
          <cell r="B11603"/>
          <cell r="C11603"/>
          <cell r="E11603"/>
          <cell r="F11603"/>
          <cell r="G11603"/>
          <cell r="H11603"/>
          <cell r="J11603"/>
          <cell r="L11603"/>
          <cell r="M11603"/>
        </row>
        <row r="11604">
          <cell r="B11604"/>
          <cell r="C11604"/>
          <cell r="E11604"/>
          <cell r="F11604"/>
          <cell r="G11604"/>
          <cell r="H11604"/>
          <cell r="J11604"/>
          <cell r="L11604"/>
          <cell r="M11604"/>
        </row>
        <row r="11605">
          <cell r="B11605"/>
          <cell r="C11605"/>
          <cell r="E11605"/>
          <cell r="F11605"/>
          <cell r="G11605"/>
          <cell r="H11605"/>
          <cell r="J11605"/>
          <cell r="L11605"/>
          <cell r="M11605"/>
        </row>
        <row r="11606">
          <cell r="B11606"/>
          <cell r="C11606"/>
          <cell r="E11606"/>
          <cell r="F11606"/>
          <cell r="G11606"/>
          <cell r="H11606"/>
          <cell r="J11606"/>
          <cell r="L11606"/>
          <cell r="M11606"/>
        </row>
        <row r="11607">
          <cell r="B11607"/>
          <cell r="C11607"/>
          <cell r="E11607"/>
          <cell r="F11607"/>
          <cell r="G11607"/>
          <cell r="H11607"/>
          <cell r="J11607"/>
          <cell r="L11607"/>
          <cell r="M11607"/>
        </row>
        <row r="11608">
          <cell r="B11608"/>
          <cell r="C11608"/>
          <cell r="E11608"/>
          <cell r="F11608"/>
          <cell r="G11608"/>
          <cell r="H11608"/>
          <cell r="J11608"/>
          <cell r="L11608"/>
          <cell r="M11608"/>
        </row>
        <row r="11609">
          <cell r="B11609"/>
          <cell r="C11609"/>
          <cell r="E11609"/>
          <cell r="F11609"/>
          <cell r="G11609"/>
          <cell r="H11609"/>
          <cell r="J11609"/>
          <cell r="L11609"/>
          <cell r="M11609"/>
        </row>
        <row r="11610">
          <cell r="B11610"/>
          <cell r="C11610"/>
          <cell r="E11610"/>
          <cell r="F11610"/>
          <cell r="G11610"/>
          <cell r="H11610"/>
          <cell r="J11610"/>
          <cell r="L11610"/>
          <cell r="M11610"/>
        </row>
        <row r="11611">
          <cell r="B11611"/>
          <cell r="C11611"/>
          <cell r="E11611"/>
          <cell r="F11611"/>
          <cell r="G11611"/>
          <cell r="H11611"/>
          <cell r="J11611"/>
          <cell r="L11611"/>
          <cell r="M11611"/>
        </row>
        <row r="11612">
          <cell r="B11612"/>
          <cell r="C11612"/>
          <cell r="E11612"/>
          <cell r="F11612"/>
          <cell r="G11612"/>
          <cell r="H11612"/>
          <cell r="J11612"/>
          <cell r="L11612"/>
          <cell r="M11612"/>
        </row>
        <row r="11613">
          <cell r="B11613"/>
          <cell r="C11613"/>
          <cell r="E11613"/>
          <cell r="F11613"/>
          <cell r="G11613"/>
          <cell r="H11613"/>
          <cell r="J11613"/>
          <cell r="L11613"/>
          <cell r="M11613"/>
        </row>
        <row r="11614">
          <cell r="B11614"/>
          <cell r="C11614"/>
          <cell r="E11614"/>
          <cell r="F11614"/>
          <cell r="G11614"/>
          <cell r="H11614"/>
          <cell r="J11614"/>
          <cell r="L11614"/>
          <cell r="M11614"/>
        </row>
        <row r="11615">
          <cell r="B11615"/>
          <cell r="C11615"/>
          <cell r="E11615"/>
          <cell r="F11615"/>
          <cell r="G11615"/>
          <cell r="H11615"/>
          <cell r="J11615"/>
          <cell r="L11615"/>
          <cell r="M11615"/>
        </row>
        <row r="11616">
          <cell r="B11616"/>
          <cell r="C11616"/>
          <cell r="E11616"/>
          <cell r="F11616"/>
          <cell r="G11616"/>
          <cell r="H11616"/>
          <cell r="J11616"/>
          <cell r="L11616"/>
          <cell r="M11616"/>
        </row>
        <row r="11617">
          <cell r="B11617"/>
          <cell r="C11617"/>
          <cell r="E11617"/>
          <cell r="F11617"/>
          <cell r="G11617"/>
          <cell r="H11617"/>
          <cell r="J11617"/>
          <cell r="L11617"/>
          <cell r="M11617"/>
        </row>
        <row r="11618">
          <cell r="B11618"/>
          <cell r="C11618"/>
          <cell r="E11618"/>
          <cell r="F11618"/>
          <cell r="G11618"/>
          <cell r="H11618"/>
          <cell r="J11618"/>
          <cell r="L11618"/>
          <cell r="M11618"/>
        </row>
        <row r="11619">
          <cell r="B11619"/>
          <cell r="C11619"/>
          <cell r="E11619"/>
          <cell r="F11619"/>
          <cell r="G11619"/>
          <cell r="H11619"/>
          <cell r="J11619"/>
          <cell r="L11619"/>
          <cell r="M11619"/>
        </row>
        <row r="11620">
          <cell r="B11620"/>
          <cell r="C11620"/>
          <cell r="E11620"/>
          <cell r="F11620"/>
          <cell r="G11620"/>
          <cell r="H11620"/>
          <cell r="J11620"/>
          <cell r="L11620"/>
          <cell r="M11620"/>
        </row>
        <row r="11621">
          <cell r="B11621"/>
          <cell r="C11621"/>
          <cell r="E11621"/>
          <cell r="F11621"/>
          <cell r="G11621"/>
          <cell r="H11621"/>
          <cell r="J11621"/>
          <cell r="L11621"/>
          <cell r="M11621"/>
        </row>
        <row r="11622">
          <cell r="B11622"/>
          <cell r="C11622"/>
          <cell r="E11622"/>
          <cell r="F11622"/>
          <cell r="G11622"/>
          <cell r="H11622"/>
          <cell r="J11622"/>
          <cell r="L11622"/>
          <cell r="M11622"/>
        </row>
        <row r="11623">
          <cell r="B11623"/>
          <cell r="C11623"/>
          <cell r="E11623"/>
          <cell r="F11623"/>
          <cell r="G11623"/>
          <cell r="H11623"/>
          <cell r="J11623"/>
          <cell r="L11623"/>
          <cell r="M11623"/>
        </row>
        <row r="11624">
          <cell r="B11624"/>
          <cell r="C11624"/>
          <cell r="E11624"/>
          <cell r="F11624"/>
          <cell r="G11624"/>
          <cell r="H11624"/>
          <cell r="J11624"/>
          <cell r="L11624"/>
          <cell r="M11624"/>
        </row>
        <row r="11625">
          <cell r="B11625"/>
          <cell r="C11625"/>
          <cell r="E11625"/>
          <cell r="F11625"/>
          <cell r="G11625"/>
          <cell r="H11625"/>
          <cell r="J11625"/>
          <cell r="L11625"/>
          <cell r="M11625"/>
        </row>
        <row r="11626">
          <cell r="B11626"/>
          <cell r="C11626"/>
          <cell r="E11626"/>
          <cell r="F11626"/>
          <cell r="G11626"/>
          <cell r="H11626"/>
          <cell r="J11626"/>
          <cell r="L11626"/>
          <cell r="M11626"/>
        </row>
        <row r="11627">
          <cell r="B11627"/>
          <cell r="C11627"/>
          <cell r="E11627"/>
          <cell r="F11627"/>
          <cell r="G11627"/>
          <cell r="H11627"/>
          <cell r="J11627"/>
          <cell r="L11627"/>
          <cell r="M11627"/>
        </row>
        <row r="11628">
          <cell r="B11628"/>
          <cell r="C11628"/>
          <cell r="E11628"/>
          <cell r="F11628"/>
          <cell r="G11628"/>
          <cell r="H11628"/>
          <cell r="J11628"/>
          <cell r="L11628"/>
          <cell r="M11628"/>
        </row>
        <row r="11629">
          <cell r="B11629"/>
          <cell r="C11629"/>
          <cell r="E11629"/>
          <cell r="F11629"/>
          <cell r="G11629"/>
          <cell r="H11629"/>
          <cell r="J11629"/>
          <cell r="L11629"/>
          <cell r="M11629"/>
        </row>
        <row r="11630">
          <cell r="B11630"/>
          <cell r="C11630"/>
          <cell r="E11630"/>
          <cell r="F11630"/>
          <cell r="G11630"/>
          <cell r="H11630"/>
          <cell r="J11630"/>
          <cell r="L11630"/>
          <cell r="M11630"/>
        </row>
        <row r="11631">
          <cell r="B11631"/>
          <cell r="C11631"/>
          <cell r="E11631"/>
          <cell r="F11631"/>
          <cell r="G11631"/>
          <cell r="H11631"/>
          <cell r="J11631"/>
          <cell r="L11631"/>
          <cell r="M11631"/>
        </row>
        <row r="11632">
          <cell r="B11632"/>
          <cell r="C11632"/>
          <cell r="E11632"/>
          <cell r="F11632"/>
          <cell r="G11632"/>
          <cell r="H11632"/>
          <cell r="J11632"/>
          <cell r="L11632"/>
          <cell r="M11632"/>
        </row>
        <row r="11633">
          <cell r="B11633"/>
          <cell r="C11633"/>
          <cell r="E11633"/>
          <cell r="F11633"/>
          <cell r="G11633"/>
          <cell r="H11633"/>
          <cell r="J11633"/>
          <cell r="L11633"/>
          <cell r="M11633"/>
        </row>
        <row r="11634">
          <cell r="B11634"/>
          <cell r="C11634"/>
          <cell r="E11634"/>
          <cell r="F11634"/>
          <cell r="G11634"/>
          <cell r="H11634"/>
          <cell r="J11634"/>
          <cell r="L11634"/>
          <cell r="M11634"/>
        </row>
        <row r="11635">
          <cell r="B11635"/>
          <cell r="C11635"/>
          <cell r="E11635"/>
          <cell r="F11635"/>
          <cell r="G11635"/>
          <cell r="H11635"/>
          <cell r="J11635"/>
          <cell r="L11635"/>
          <cell r="M11635"/>
        </row>
        <row r="11636">
          <cell r="B11636"/>
          <cell r="C11636"/>
          <cell r="E11636"/>
          <cell r="F11636"/>
          <cell r="G11636"/>
          <cell r="H11636"/>
          <cell r="J11636"/>
          <cell r="L11636"/>
          <cell r="M11636"/>
        </row>
        <row r="11637">
          <cell r="B11637"/>
          <cell r="C11637"/>
          <cell r="E11637"/>
          <cell r="F11637"/>
          <cell r="G11637"/>
          <cell r="H11637"/>
          <cell r="J11637"/>
          <cell r="L11637"/>
          <cell r="M11637"/>
        </row>
        <row r="11638">
          <cell r="B11638"/>
          <cell r="C11638"/>
          <cell r="E11638"/>
          <cell r="F11638"/>
          <cell r="G11638"/>
          <cell r="H11638"/>
          <cell r="J11638"/>
          <cell r="L11638"/>
          <cell r="M11638"/>
        </row>
        <row r="11639">
          <cell r="B11639"/>
          <cell r="C11639"/>
          <cell r="E11639"/>
          <cell r="F11639"/>
          <cell r="G11639"/>
          <cell r="H11639"/>
          <cell r="J11639"/>
          <cell r="L11639"/>
          <cell r="M11639"/>
        </row>
        <row r="11640">
          <cell r="B11640"/>
          <cell r="C11640"/>
          <cell r="E11640"/>
          <cell r="F11640"/>
          <cell r="G11640"/>
          <cell r="H11640"/>
          <cell r="J11640"/>
          <cell r="L11640"/>
          <cell r="M11640"/>
        </row>
        <row r="11641">
          <cell r="B11641"/>
          <cell r="C11641"/>
          <cell r="E11641"/>
          <cell r="F11641"/>
          <cell r="G11641"/>
          <cell r="H11641"/>
          <cell r="J11641"/>
          <cell r="L11641"/>
          <cell r="M11641"/>
        </row>
        <row r="11642">
          <cell r="B11642"/>
          <cell r="C11642"/>
          <cell r="E11642"/>
          <cell r="F11642"/>
          <cell r="G11642"/>
          <cell r="H11642"/>
          <cell r="J11642"/>
          <cell r="L11642"/>
          <cell r="M11642"/>
        </row>
        <row r="11643">
          <cell r="B11643"/>
          <cell r="C11643"/>
          <cell r="E11643"/>
          <cell r="F11643"/>
          <cell r="G11643"/>
          <cell r="H11643"/>
          <cell r="J11643"/>
          <cell r="L11643"/>
          <cell r="M11643"/>
        </row>
        <row r="11644">
          <cell r="B11644"/>
          <cell r="C11644"/>
          <cell r="E11644"/>
          <cell r="F11644"/>
          <cell r="G11644"/>
          <cell r="H11644"/>
          <cell r="J11644"/>
          <cell r="L11644"/>
          <cell r="M11644"/>
        </row>
        <row r="11645">
          <cell r="B11645"/>
          <cell r="C11645"/>
          <cell r="E11645"/>
          <cell r="F11645"/>
          <cell r="G11645"/>
          <cell r="H11645"/>
          <cell r="J11645"/>
          <cell r="L11645"/>
          <cell r="M11645"/>
        </row>
        <row r="11646">
          <cell r="B11646"/>
          <cell r="C11646"/>
          <cell r="E11646"/>
          <cell r="F11646"/>
          <cell r="G11646"/>
          <cell r="H11646"/>
          <cell r="J11646"/>
          <cell r="L11646"/>
          <cell r="M11646"/>
        </row>
        <row r="11647">
          <cell r="B11647"/>
          <cell r="C11647"/>
          <cell r="E11647"/>
          <cell r="F11647"/>
          <cell r="G11647"/>
          <cell r="H11647"/>
          <cell r="J11647"/>
          <cell r="L11647"/>
          <cell r="M11647"/>
        </row>
        <row r="11648">
          <cell r="B11648"/>
          <cell r="C11648"/>
          <cell r="E11648"/>
          <cell r="F11648"/>
          <cell r="G11648"/>
          <cell r="H11648"/>
          <cell r="J11648"/>
          <cell r="L11648"/>
          <cell r="M11648"/>
        </row>
        <row r="11649">
          <cell r="B11649"/>
          <cell r="C11649"/>
          <cell r="E11649"/>
          <cell r="F11649"/>
          <cell r="G11649"/>
          <cell r="H11649"/>
          <cell r="J11649"/>
          <cell r="L11649"/>
          <cell r="M11649"/>
        </row>
        <row r="11650">
          <cell r="B11650"/>
          <cell r="C11650"/>
          <cell r="E11650"/>
          <cell r="F11650"/>
          <cell r="G11650"/>
          <cell r="H11650"/>
          <cell r="J11650"/>
          <cell r="L11650"/>
          <cell r="M11650"/>
        </row>
        <row r="11651">
          <cell r="B11651"/>
          <cell r="C11651"/>
          <cell r="E11651"/>
          <cell r="F11651"/>
          <cell r="G11651"/>
          <cell r="H11651"/>
          <cell r="J11651"/>
          <cell r="L11651"/>
          <cell r="M11651"/>
        </row>
        <row r="11652">
          <cell r="B11652"/>
          <cell r="C11652"/>
          <cell r="E11652"/>
          <cell r="F11652"/>
          <cell r="G11652"/>
          <cell r="H11652"/>
          <cell r="J11652"/>
          <cell r="L11652"/>
          <cell r="M11652"/>
        </row>
        <row r="11653">
          <cell r="B11653"/>
          <cell r="C11653"/>
          <cell r="E11653"/>
          <cell r="F11653"/>
          <cell r="G11653"/>
          <cell r="H11653"/>
          <cell r="J11653"/>
          <cell r="L11653"/>
          <cell r="M11653"/>
        </row>
        <row r="11654">
          <cell r="B11654"/>
          <cell r="C11654"/>
          <cell r="E11654"/>
          <cell r="F11654"/>
          <cell r="G11654"/>
          <cell r="H11654"/>
          <cell r="J11654"/>
          <cell r="L11654"/>
          <cell r="M11654"/>
        </row>
        <row r="11655">
          <cell r="B11655"/>
          <cell r="C11655"/>
          <cell r="E11655"/>
          <cell r="F11655"/>
          <cell r="G11655"/>
          <cell r="H11655"/>
          <cell r="J11655"/>
          <cell r="L11655"/>
          <cell r="M11655"/>
        </row>
        <row r="11656">
          <cell r="B11656"/>
          <cell r="C11656"/>
          <cell r="E11656"/>
          <cell r="F11656"/>
          <cell r="G11656"/>
          <cell r="H11656"/>
          <cell r="J11656"/>
          <cell r="L11656"/>
          <cell r="M11656"/>
        </row>
        <row r="11657">
          <cell r="B11657"/>
          <cell r="C11657"/>
          <cell r="E11657"/>
          <cell r="F11657"/>
          <cell r="G11657"/>
          <cell r="H11657"/>
          <cell r="J11657"/>
          <cell r="L11657"/>
          <cell r="M11657"/>
        </row>
        <row r="11658">
          <cell r="B11658"/>
          <cell r="C11658"/>
          <cell r="E11658"/>
          <cell r="F11658"/>
          <cell r="G11658"/>
          <cell r="H11658"/>
          <cell r="J11658"/>
          <cell r="L11658"/>
          <cell r="M11658"/>
        </row>
        <row r="11659">
          <cell r="B11659"/>
          <cell r="C11659"/>
          <cell r="E11659"/>
          <cell r="F11659"/>
          <cell r="G11659"/>
          <cell r="H11659"/>
          <cell r="J11659"/>
          <cell r="L11659"/>
          <cell r="M11659"/>
        </row>
        <row r="11660">
          <cell r="B11660"/>
          <cell r="C11660"/>
          <cell r="E11660"/>
          <cell r="F11660"/>
          <cell r="G11660"/>
          <cell r="H11660"/>
          <cell r="J11660"/>
          <cell r="L11660"/>
          <cell r="M11660"/>
        </row>
        <row r="11661">
          <cell r="B11661"/>
          <cell r="C11661"/>
          <cell r="E11661"/>
          <cell r="F11661"/>
          <cell r="G11661"/>
          <cell r="H11661"/>
          <cell r="J11661"/>
          <cell r="L11661"/>
          <cell r="M11661"/>
        </row>
        <row r="11662">
          <cell r="B11662"/>
          <cell r="C11662"/>
          <cell r="E11662"/>
          <cell r="F11662"/>
          <cell r="G11662"/>
          <cell r="H11662"/>
          <cell r="J11662"/>
          <cell r="L11662"/>
          <cell r="M11662"/>
        </row>
        <row r="11663">
          <cell r="B11663"/>
          <cell r="C11663"/>
          <cell r="E11663"/>
          <cell r="F11663"/>
          <cell r="G11663"/>
          <cell r="H11663"/>
          <cell r="J11663"/>
          <cell r="L11663"/>
          <cell r="M11663"/>
        </row>
        <row r="11664">
          <cell r="B11664"/>
          <cell r="C11664"/>
          <cell r="E11664"/>
          <cell r="F11664"/>
          <cell r="G11664"/>
          <cell r="H11664"/>
          <cell r="J11664"/>
          <cell r="L11664"/>
          <cell r="M11664"/>
        </row>
        <row r="11665">
          <cell r="B11665"/>
          <cell r="C11665"/>
          <cell r="E11665"/>
          <cell r="F11665"/>
          <cell r="G11665"/>
          <cell r="H11665"/>
          <cell r="J11665"/>
          <cell r="L11665"/>
          <cell r="M11665"/>
        </row>
        <row r="11666">
          <cell r="B11666"/>
          <cell r="C11666"/>
          <cell r="E11666"/>
          <cell r="F11666"/>
          <cell r="G11666"/>
          <cell r="H11666"/>
          <cell r="J11666"/>
          <cell r="L11666"/>
          <cell r="M11666"/>
        </row>
        <row r="11667">
          <cell r="B11667"/>
          <cell r="C11667"/>
          <cell r="E11667"/>
          <cell r="F11667"/>
          <cell r="G11667"/>
          <cell r="H11667"/>
          <cell r="J11667"/>
          <cell r="L11667"/>
          <cell r="M11667"/>
        </row>
        <row r="11668">
          <cell r="B11668"/>
          <cell r="C11668"/>
          <cell r="E11668"/>
          <cell r="F11668"/>
          <cell r="G11668"/>
          <cell r="H11668"/>
          <cell r="J11668"/>
          <cell r="L11668"/>
          <cell r="M11668"/>
        </row>
        <row r="11669">
          <cell r="B11669"/>
          <cell r="C11669"/>
          <cell r="E11669"/>
          <cell r="F11669"/>
          <cell r="G11669"/>
          <cell r="H11669"/>
          <cell r="J11669"/>
          <cell r="L11669"/>
          <cell r="M11669"/>
        </row>
        <row r="11670">
          <cell r="B11670"/>
          <cell r="C11670"/>
          <cell r="E11670"/>
          <cell r="F11670"/>
          <cell r="G11670"/>
          <cell r="H11670"/>
          <cell r="J11670"/>
          <cell r="L11670"/>
          <cell r="M11670"/>
        </row>
        <row r="11671">
          <cell r="B11671"/>
          <cell r="C11671"/>
          <cell r="E11671"/>
          <cell r="F11671"/>
          <cell r="G11671"/>
          <cell r="H11671"/>
          <cell r="J11671"/>
          <cell r="L11671"/>
          <cell r="M11671"/>
        </row>
        <row r="11672">
          <cell r="B11672"/>
          <cell r="C11672"/>
          <cell r="E11672"/>
          <cell r="F11672"/>
          <cell r="G11672"/>
          <cell r="H11672"/>
          <cell r="J11672"/>
          <cell r="L11672"/>
          <cell r="M11672"/>
        </row>
        <row r="11673">
          <cell r="B11673"/>
          <cell r="C11673"/>
          <cell r="E11673"/>
          <cell r="F11673"/>
          <cell r="G11673"/>
          <cell r="H11673"/>
          <cell r="J11673"/>
          <cell r="L11673"/>
          <cell r="M11673"/>
        </row>
        <row r="11674">
          <cell r="B11674"/>
          <cell r="C11674"/>
          <cell r="E11674"/>
          <cell r="F11674"/>
          <cell r="G11674"/>
          <cell r="H11674"/>
          <cell r="J11674"/>
          <cell r="L11674"/>
          <cell r="M11674"/>
        </row>
        <row r="11675">
          <cell r="B11675"/>
          <cell r="C11675"/>
          <cell r="E11675"/>
          <cell r="F11675"/>
          <cell r="G11675"/>
          <cell r="H11675"/>
          <cell r="J11675"/>
          <cell r="L11675"/>
          <cell r="M11675"/>
        </row>
        <row r="11676">
          <cell r="B11676"/>
          <cell r="C11676"/>
          <cell r="E11676"/>
          <cell r="F11676"/>
          <cell r="G11676"/>
          <cell r="H11676"/>
          <cell r="J11676"/>
          <cell r="L11676"/>
          <cell r="M11676"/>
        </row>
        <row r="11677">
          <cell r="B11677"/>
          <cell r="C11677"/>
          <cell r="E11677"/>
          <cell r="F11677"/>
          <cell r="G11677"/>
          <cell r="H11677"/>
          <cell r="J11677"/>
          <cell r="L11677"/>
          <cell r="M11677"/>
        </row>
        <row r="11678">
          <cell r="B11678"/>
          <cell r="C11678"/>
          <cell r="E11678"/>
          <cell r="F11678"/>
          <cell r="G11678"/>
          <cell r="H11678"/>
          <cell r="J11678"/>
          <cell r="L11678"/>
          <cell r="M11678"/>
        </row>
        <row r="11679">
          <cell r="B11679"/>
          <cell r="C11679"/>
          <cell r="E11679"/>
          <cell r="F11679"/>
          <cell r="G11679"/>
          <cell r="H11679"/>
          <cell r="J11679"/>
          <cell r="L11679"/>
          <cell r="M11679"/>
        </row>
        <row r="11680">
          <cell r="B11680"/>
          <cell r="C11680"/>
          <cell r="E11680"/>
          <cell r="F11680"/>
          <cell r="G11680"/>
          <cell r="H11680"/>
          <cell r="J11680"/>
          <cell r="L11680"/>
          <cell r="M11680"/>
        </row>
        <row r="11681">
          <cell r="B11681"/>
          <cell r="C11681"/>
          <cell r="E11681"/>
          <cell r="F11681"/>
          <cell r="G11681"/>
          <cell r="H11681"/>
          <cell r="J11681"/>
          <cell r="L11681"/>
          <cell r="M11681"/>
        </row>
        <row r="11682">
          <cell r="B11682"/>
          <cell r="C11682"/>
          <cell r="E11682"/>
          <cell r="F11682"/>
          <cell r="G11682"/>
          <cell r="H11682"/>
          <cell r="J11682"/>
          <cell r="L11682"/>
          <cell r="M11682"/>
        </row>
        <row r="11683">
          <cell r="B11683"/>
          <cell r="C11683"/>
          <cell r="E11683"/>
          <cell r="F11683"/>
          <cell r="G11683"/>
          <cell r="H11683"/>
          <cell r="J11683"/>
          <cell r="L11683"/>
          <cell r="M11683"/>
        </row>
        <row r="11684">
          <cell r="B11684"/>
          <cell r="C11684"/>
          <cell r="E11684"/>
          <cell r="F11684"/>
          <cell r="G11684"/>
          <cell r="H11684"/>
          <cell r="J11684"/>
          <cell r="L11684"/>
          <cell r="M11684"/>
        </row>
        <row r="11685">
          <cell r="B11685"/>
          <cell r="C11685"/>
          <cell r="E11685"/>
          <cell r="F11685"/>
          <cell r="G11685"/>
          <cell r="H11685"/>
          <cell r="J11685"/>
          <cell r="L11685"/>
          <cell r="M11685"/>
        </row>
        <row r="11686">
          <cell r="B11686"/>
          <cell r="C11686"/>
          <cell r="E11686"/>
          <cell r="F11686"/>
          <cell r="G11686"/>
          <cell r="H11686"/>
          <cell r="J11686"/>
          <cell r="L11686"/>
          <cell r="M11686"/>
        </row>
        <row r="11687">
          <cell r="B11687"/>
          <cell r="C11687"/>
          <cell r="E11687"/>
          <cell r="F11687"/>
          <cell r="G11687"/>
          <cell r="H11687"/>
          <cell r="J11687"/>
          <cell r="L11687"/>
          <cell r="M11687"/>
        </row>
        <row r="11688">
          <cell r="B11688"/>
          <cell r="C11688"/>
          <cell r="E11688"/>
          <cell r="F11688"/>
          <cell r="G11688"/>
          <cell r="H11688"/>
          <cell r="J11688"/>
          <cell r="L11688"/>
          <cell r="M11688"/>
        </row>
        <row r="11689">
          <cell r="B11689"/>
          <cell r="C11689"/>
          <cell r="E11689"/>
          <cell r="F11689"/>
          <cell r="G11689"/>
          <cell r="H11689"/>
          <cell r="J11689"/>
          <cell r="L11689"/>
          <cell r="M11689"/>
        </row>
        <row r="11690">
          <cell r="B11690"/>
          <cell r="C11690"/>
          <cell r="E11690"/>
          <cell r="F11690"/>
          <cell r="G11690"/>
          <cell r="H11690"/>
          <cell r="J11690"/>
          <cell r="L11690"/>
          <cell r="M11690"/>
        </row>
        <row r="11691">
          <cell r="B11691"/>
          <cell r="C11691"/>
          <cell r="E11691"/>
          <cell r="F11691"/>
          <cell r="G11691"/>
          <cell r="H11691"/>
          <cell r="J11691"/>
          <cell r="L11691"/>
          <cell r="M11691"/>
        </row>
        <row r="11692">
          <cell r="B11692"/>
          <cell r="C11692"/>
          <cell r="E11692"/>
          <cell r="F11692"/>
          <cell r="G11692"/>
          <cell r="H11692"/>
          <cell r="J11692"/>
          <cell r="L11692"/>
          <cell r="M11692"/>
        </row>
        <row r="11693">
          <cell r="B11693"/>
          <cell r="C11693"/>
          <cell r="E11693"/>
          <cell r="F11693"/>
          <cell r="G11693"/>
          <cell r="H11693"/>
          <cell r="J11693"/>
          <cell r="L11693"/>
          <cell r="M11693"/>
        </row>
        <row r="11694">
          <cell r="B11694"/>
          <cell r="C11694"/>
          <cell r="E11694"/>
          <cell r="F11694"/>
          <cell r="G11694"/>
          <cell r="H11694"/>
          <cell r="J11694"/>
          <cell r="L11694"/>
          <cell r="M11694"/>
        </row>
        <row r="11695">
          <cell r="B11695"/>
          <cell r="C11695"/>
          <cell r="E11695"/>
          <cell r="F11695"/>
          <cell r="G11695"/>
          <cell r="H11695"/>
          <cell r="J11695"/>
          <cell r="L11695"/>
          <cell r="M11695"/>
        </row>
        <row r="11696">
          <cell r="B11696"/>
          <cell r="C11696"/>
          <cell r="E11696"/>
          <cell r="F11696"/>
          <cell r="G11696"/>
          <cell r="H11696"/>
          <cell r="J11696"/>
          <cell r="L11696"/>
          <cell r="M11696"/>
        </row>
        <row r="11697">
          <cell r="B11697"/>
          <cell r="C11697"/>
          <cell r="E11697"/>
          <cell r="F11697"/>
          <cell r="G11697"/>
          <cell r="H11697"/>
          <cell r="J11697"/>
          <cell r="L11697"/>
          <cell r="M11697"/>
        </row>
        <row r="11698">
          <cell r="B11698"/>
          <cell r="C11698"/>
          <cell r="E11698"/>
          <cell r="F11698"/>
          <cell r="G11698"/>
          <cell r="H11698"/>
          <cell r="J11698"/>
          <cell r="L11698"/>
          <cell r="M11698"/>
        </row>
        <row r="11699">
          <cell r="B11699"/>
          <cell r="C11699"/>
          <cell r="E11699"/>
          <cell r="F11699"/>
          <cell r="G11699"/>
          <cell r="H11699"/>
          <cell r="J11699"/>
          <cell r="L11699"/>
          <cell r="M11699"/>
        </row>
        <row r="11700">
          <cell r="B11700"/>
          <cell r="C11700"/>
          <cell r="E11700"/>
          <cell r="F11700"/>
          <cell r="G11700"/>
          <cell r="H11700"/>
          <cell r="J11700"/>
          <cell r="L11700"/>
          <cell r="M11700"/>
        </row>
        <row r="11701">
          <cell r="B11701"/>
          <cell r="C11701"/>
          <cell r="E11701"/>
          <cell r="F11701"/>
          <cell r="G11701"/>
          <cell r="H11701"/>
          <cell r="J11701"/>
          <cell r="L11701"/>
          <cell r="M11701"/>
        </row>
        <row r="11702">
          <cell r="B11702"/>
          <cell r="C11702"/>
          <cell r="E11702"/>
          <cell r="F11702"/>
          <cell r="G11702"/>
          <cell r="H11702"/>
          <cell r="J11702"/>
          <cell r="L11702"/>
          <cell r="M11702"/>
        </row>
        <row r="11703">
          <cell r="B11703"/>
          <cell r="C11703"/>
          <cell r="E11703"/>
          <cell r="F11703"/>
          <cell r="G11703"/>
          <cell r="H11703"/>
          <cell r="J11703"/>
          <cell r="L11703"/>
          <cell r="M11703"/>
        </row>
        <row r="11704">
          <cell r="B11704"/>
          <cell r="C11704"/>
          <cell r="E11704"/>
          <cell r="F11704"/>
          <cell r="G11704"/>
          <cell r="H11704"/>
          <cell r="J11704"/>
          <cell r="L11704"/>
          <cell r="M11704"/>
        </row>
        <row r="11705">
          <cell r="B11705"/>
          <cell r="C11705"/>
          <cell r="E11705"/>
          <cell r="F11705"/>
          <cell r="G11705"/>
          <cell r="H11705"/>
          <cell r="J11705"/>
          <cell r="L11705"/>
          <cell r="M11705"/>
        </row>
        <row r="11706">
          <cell r="B11706"/>
          <cell r="C11706"/>
          <cell r="E11706"/>
          <cell r="F11706"/>
          <cell r="G11706"/>
          <cell r="H11706"/>
          <cell r="J11706"/>
          <cell r="L11706"/>
          <cell r="M11706"/>
        </row>
        <row r="11707">
          <cell r="B11707"/>
          <cell r="C11707"/>
          <cell r="E11707"/>
          <cell r="F11707"/>
          <cell r="G11707"/>
          <cell r="H11707"/>
          <cell r="J11707"/>
          <cell r="L11707"/>
          <cell r="M11707"/>
        </row>
        <row r="11708">
          <cell r="B11708"/>
          <cell r="C11708"/>
          <cell r="E11708"/>
          <cell r="F11708"/>
          <cell r="G11708"/>
          <cell r="H11708"/>
          <cell r="J11708"/>
          <cell r="L11708"/>
          <cell r="M11708"/>
        </row>
        <row r="11709">
          <cell r="B11709"/>
          <cell r="C11709"/>
          <cell r="E11709"/>
          <cell r="F11709"/>
          <cell r="G11709"/>
          <cell r="H11709"/>
          <cell r="J11709"/>
          <cell r="L11709"/>
          <cell r="M11709"/>
        </row>
        <row r="11710">
          <cell r="B11710"/>
          <cell r="C11710"/>
          <cell r="E11710"/>
          <cell r="F11710"/>
          <cell r="G11710"/>
          <cell r="H11710"/>
          <cell r="J11710"/>
          <cell r="L11710"/>
          <cell r="M11710"/>
        </row>
        <row r="11711">
          <cell r="B11711"/>
          <cell r="C11711"/>
          <cell r="E11711"/>
          <cell r="F11711"/>
          <cell r="G11711"/>
          <cell r="H11711"/>
          <cell r="J11711"/>
          <cell r="L11711"/>
          <cell r="M11711"/>
        </row>
        <row r="11712">
          <cell r="B11712"/>
          <cell r="C11712"/>
          <cell r="E11712"/>
          <cell r="F11712"/>
          <cell r="G11712"/>
          <cell r="H11712"/>
          <cell r="J11712"/>
          <cell r="L11712"/>
          <cell r="M11712"/>
        </row>
        <row r="11713">
          <cell r="B11713"/>
          <cell r="C11713"/>
          <cell r="E11713"/>
          <cell r="F11713"/>
          <cell r="G11713"/>
          <cell r="H11713"/>
          <cell r="J11713"/>
          <cell r="L11713"/>
          <cell r="M11713"/>
        </row>
        <row r="11714">
          <cell r="B11714"/>
          <cell r="C11714"/>
          <cell r="E11714"/>
          <cell r="F11714"/>
          <cell r="G11714"/>
          <cell r="H11714"/>
          <cell r="J11714"/>
          <cell r="L11714"/>
          <cell r="M11714"/>
        </row>
        <row r="11715">
          <cell r="B11715"/>
          <cell r="C11715"/>
          <cell r="E11715"/>
          <cell r="F11715"/>
          <cell r="G11715"/>
          <cell r="H11715"/>
          <cell r="J11715"/>
          <cell r="L11715"/>
          <cell r="M11715"/>
        </row>
        <row r="11716">
          <cell r="B11716"/>
          <cell r="C11716"/>
          <cell r="E11716"/>
          <cell r="F11716"/>
          <cell r="G11716"/>
          <cell r="H11716"/>
          <cell r="J11716"/>
          <cell r="L11716"/>
          <cell r="M11716"/>
        </row>
        <row r="11717">
          <cell r="B11717"/>
          <cell r="C11717"/>
          <cell r="E11717"/>
          <cell r="F11717"/>
          <cell r="G11717"/>
          <cell r="H11717"/>
          <cell r="J11717"/>
          <cell r="L11717"/>
          <cell r="M11717"/>
        </row>
        <row r="11718">
          <cell r="B11718"/>
          <cell r="C11718"/>
          <cell r="E11718"/>
          <cell r="F11718"/>
          <cell r="G11718"/>
          <cell r="H11718"/>
          <cell r="J11718"/>
          <cell r="L11718"/>
          <cell r="M11718"/>
        </row>
        <row r="11719">
          <cell r="B11719"/>
          <cell r="C11719"/>
          <cell r="E11719"/>
          <cell r="F11719"/>
          <cell r="G11719"/>
          <cell r="H11719"/>
          <cell r="J11719"/>
          <cell r="L11719"/>
          <cell r="M11719"/>
        </row>
        <row r="11720">
          <cell r="B11720"/>
          <cell r="C11720"/>
          <cell r="E11720"/>
          <cell r="F11720"/>
          <cell r="G11720"/>
          <cell r="H11720"/>
          <cell r="J11720"/>
          <cell r="L11720"/>
          <cell r="M11720"/>
        </row>
        <row r="11721">
          <cell r="B11721"/>
          <cell r="C11721"/>
          <cell r="E11721"/>
          <cell r="F11721"/>
          <cell r="G11721"/>
          <cell r="H11721"/>
          <cell r="J11721"/>
          <cell r="L11721"/>
          <cell r="M11721"/>
        </row>
        <row r="11722">
          <cell r="B11722"/>
          <cell r="C11722"/>
          <cell r="E11722"/>
          <cell r="F11722"/>
          <cell r="G11722"/>
          <cell r="H11722"/>
          <cell r="J11722"/>
          <cell r="L11722"/>
          <cell r="M11722"/>
        </row>
        <row r="11723">
          <cell r="B11723"/>
          <cell r="C11723"/>
          <cell r="E11723"/>
          <cell r="F11723"/>
          <cell r="G11723"/>
          <cell r="H11723"/>
          <cell r="J11723"/>
          <cell r="L11723"/>
          <cell r="M11723"/>
        </row>
        <row r="11724">
          <cell r="B11724"/>
          <cell r="C11724"/>
          <cell r="E11724"/>
          <cell r="F11724"/>
          <cell r="G11724"/>
          <cell r="H11724"/>
          <cell r="J11724"/>
          <cell r="L11724"/>
          <cell r="M11724"/>
        </row>
        <row r="11725">
          <cell r="B11725"/>
          <cell r="C11725"/>
          <cell r="E11725"/>
          <cell r="F11725"/>
          <cell r="G11725"/>
          <cell r="H11725"/>
          <cell r="J11725"/>
          <cell r="L11725"/>
          <cell r="M11725"/>
        </row>
        <row r="11726">
          <cell r="B11726"/>
          <cell r="C11726"/>
          <cell r="E11726"/>
          <cell r="F11726"/>
          <cell r="G11726"/>
          <cell r="H11726"/>
          <cell r="J11726"/>
          <cell r="L11726"/>
          <cell r="M11726"/>
        </row>
        <row r="11727">
          <cell r="B11727"/>
          <cell r="C11727"/>
          <cell r="E11727"/>
          <cell r="F11727"/>
          <cell r="G11727"/>
          <cell r="H11727"/>
          <cell r="J11727"/>
          <cell r="L11727"/>
          <cell r="M11727"/>
        </row>
        <row r="11728">
          <cell r="B11728"/>
          <cell r="C11728"/>
          <cell r="E11728"/>
          <cell r="F11728"/>
          <cell r="G11728"/>
          <cell r="H11728"/>
          <cell r="J11728"/>
          <cell r="L11728"/>
          <cell r="M11728"/>
        </row>
        <row r="11729">
          <cell r="B11729"/>
          <cell r="C11729"/>
          <cell r="E11729"/>
          <cell r="F11729"/>
          <cell r="G11729"/>
          <cell r="H11729"/>
          <cell r="J11729"/>
          <cell r="L11729"/>
          <cell r="M11729"/>
        </row>
        <row r="11730">
          <cell r="B11730"/>
          <cell r="C11730"/>
          <cell r="E11730"/>
          <cell r="F11730"/>
          <cell r="G11730"/>
          <cell r="H11730"/>
          <cell r="J11730"/>
          <cell r="L11730"/>
          <cell r="M11730"/>
        </row>
        <row r="11731">
          <cell r="B11731"/>
          <cell r="C11731"/>
          <cell r="E11731"/>
          <cell r="F11731"/>
          <cell r="G11731"/>
          <cell r="H11731"/>
          <cell r="J11731"/>
          <cell r="L11731"/>
          <cell r="M11731"/>
        </row>
        <row r="11732">
          <cell r="B11732"/>
          <cell r="C11732"/>
          <cell r="E11732"/>
          <cell r="F11732"/>
          <cell r="G11732"/>
          <cell r="H11732"/>
          <cell r="J11732"/>
          <cell r="L11732"/>
          <cell r="M11732"/>
        </row>
        <row r="11733">
          <cell r="B11733"/>
          <cell r="C11733"/>
          <cell r="E11733"/>
          <cell r="F11733"/>
          <cell r="G11733"/>
          <cell r="H11733"/>
          <cell r="J11733"/>
          <cell r="L11733"/>
          <cell r="M11733"/>
        </row>
        <row r="11734">
          <cell r="B11734"/>
          <cell r="C11734"/>
          <cell r="E11734"/>
          <cell r="F11734"/>
          <cell r="G11734"/>
          <cell r="H11734"/>
          <cell r="J11734"/>
          <cell r="L11734"/>
          <cell r="M11734"/>
        </row>
        <row r="11735">
          <cell r="B11735"/>
          <cell r="C11735"/>
          <cell r="E11735"/>
          <cell r="F11735"/>
          <cell r="G11735"/>
          <cell r="H11735"/>
          <cell r="J11735"/>
          <cell r="L11735"/>
          <cell r="M11735"/>
        </row>
        <row r="11736">
          <cell r="B11736"/>
          <cell r="C11736"/>
          <cell r="E11736"/>
          <cell r="F11736"/>
          <cell r="G11736"/>
          <cell r="H11736"/>
          <cell r="J11736"/>
          <cell r="L11736"/>
          <cell r="M11736"/>
        </row>
        <row r="11737">
          <cell r="B11737"/>
          <cell r="C11737"/>
          <cell r="E11737"/>
          <cell r="F11737"/>
          <cell r="G11737"/>
          <cell r="H11737"/>
          <cell r="J11737"/>
          <cell r="L11737"/>
          <cell r="M11737"/>
        </row>
        <row r="11738">
          <cell r="B11738"/>
          <cell r="C11738"/>
          <cell r="E11738"/>
          <cell r="F11738"/>
          <cell r="G11738"/>
          <cell r="H11738"/>
          <cell r="J11738"/>
          <cell r="L11738"/>
          <cell r="M11738"/>
        </row>
        <row r="11739">
          <cell r="B11739"/>
          <cell r="C11739"/>
          <cell r="E11739"/>
          <cell r="F11739"/>
          <cell r="G11739"/>
          <cell r="H11739"/>
          <cell r="J11739"/>
          <cell r="L11739"/>
          <cell r="M11739"/>
        </row>
        <row r="11740">
          <cell r="B11740"/>
          <cell r="C11740"/>
          <cell r="E11740"/>
          <cell r="F11740"/>
          <cell r="G11740"/>
          <cell r="H11740"/>
          <cell r="J11740"/>
          <cell r="L11740"/>
          <cell r="M11740"/>
        </row>
        <row r="11741">
          <cell r="B11741"/>
          <cell r="C11741"/>
          <cell r="E11741"/>
          <cell r="F11741"/>
          <cell r="G11741"/>
          <cell r="H11741"/>
          <cell r="J11741"/>
          <cell r="L11741"/>
          <cell r="M11741"/>
        </row>
        <row r="11742">
          <cell r="B11742"/>
          <cell r="C11742"/>
          <cell r="E11742"/>
          <cell r="F11742"/>
          <cell r="G11742"/>
          <cell r="H11742"/>
          <cell r="J11742"/>
          <cell r="L11742"/>
          <cell r="M11742"/>
        </row>
        <row r="11743">
          <cell r="B11743"/>
          <cell r="C11743"/>
          <cell r="E11743"/>
          <cell r="F11743"/>
          <cell r="G11743"/>
          <cell r="H11743"/>
          <cell r="J11743"/>
          <cell r="L11743"/>
          <cell r="M11743"/>
        </row>
        <row r="11744">
          <cell r="B11744"/>
          <cell r="C11744"/>
          <cell r="E11744"/>
          <cell r="F11744"/>
          <cell r="G11744"/>
          <cell r="H11744"/>
          <cell r="J11744"/>
          <cell r="L11744"/>
          <cell r="M11744"/>
        </row>
        <row r="11745">
          <cell r="B11745"/>
          <cell r="C11745"/>
          <cell r="E11745"/>
          <cell r="F11745"/>
          <cell r="G11745"/>
          <cell r="H11745"/>
          <cell r="J11745"/>
          <cell r="L11745"/>
          <cell r="M11745"/>
        </row>
        <row r="11746">
          <cell r="B11746"/>
          <cell r="C11746"/>
          <cell r="E11746"/>
          <cell r="F11746"/>
          <cell r="G11746"/>
          <cell r="H11746"/>
          <cell r="J11746"/>
          <cell r="L11746"/>
          <cell r="M11746"/>
        </row>
        <row r="11747">
          <cell r="B11747"/>
          <cell r="C11747"/>
          <cell r="E11747"/>
          <cell r="F11747"/>
          <cell r="G11747"/>
          <cell r="H11747"/>
          <cell r="J11747"/>
          <cell r="L11747"/>
          <cell r="M11747"/>
        </row>
        <row r="11748">
          <cell r="B11748"/>
          <cell r="C11748"/>
          <cell r="E11748"/>
          <cell r="F11748"/>
          <cell r="G11748"/>
          <cell r="H11748"/>
          <cell r="J11748"/>
          <cell r="L11748"/>
          <cell r="M11748"/>
        </row>
        <row r="11749">
          <cell r="B11749"/>
          <cell r="C11749"/>
          <cell r="E11749"/>
          <cell r="F11749"/>
          <cell r="G11749"/>
          <cell r="H11749"/>
          <cell r="J11749"/>
          <cell r="L11749"/>
          <cell r="M11749"/>
        </row>
        <row r="11750">
          <cell r="B11750"/>
          <cell r="C11750"/>
          <cell r="E11750"/>
          <cell r="F11750"/>
          <cell r="G11750"/>
          <cell r="H11750"/>
          <cell r="J11750"/>
          <cell r="L11750"/>
          <cell r="M11750"/>
        </row>
        <row r="11751">
          <cell r="B11751"/>
          <cell r="C11751"/>
          <cell r="E11751"/>
          <cell r="F11751"/>
          <cell r="G11751"/>
          <cell r="H11751"/>
          <cell r="J11751"/>
          <cell r="L11751"/>
          <cell r="M11751"/>
        </row>
        <row r="11752">
          <cell r="B11752"/>
          <cell r="C11752"/>
          <cell r="E11752"/>
          <cell r="F11752"/>
          <cell r="G11752"/>
          <cell r="H11752"/>
          <cell r="J11752"/>
          <cell r="L11752"/>
          <cell r="M11752"/>
        </row>
        <row r="11753">
          <cell r="B11753"/>
          <cell r="C11753"/>
          <cell r="E11753"/>
          <cell r="F11753"/>
          <cell r="G11753"/>
          <cell r="H11753"/>
          <cell r="J11753"/>
          <cell r="L11753"/>
          <cell r="M11753"/>
        </row>
        <row r="11754">
          <cell r="B11754"/>
          <cell r="C11754"/>
          <cell r="E11754"/>
          <cell r="F11754"/>
          <cell r="G11754"/>
          <cell r="H11754"/>
          <cell r="J11754"/>
          <cell r="L11754"/>
          <cell r="M11754"/>
        </row>
        <row r="11755">
          <cell r="B11755"/>
          <cell r="C11755"/>
          <cell r="E11755"/>
          <cell r="F11755"/>
          <cell r="G11755"/>
          <cell r="H11755"/>
          <cell r="J11755"/>
          <cell r="L11755"/>
          <cell r="M11755"/>
        </row>
        <row r="11756">
          <cell r="B11756"/>
          <cell r="C11756"/>
          <cell r="E11756"/>
          <cell r="F11756"/>
          <cell r="G11756"/>
          <cell r="H11756"/>
          <cell r="J11756"/>
          <cell r="L11756"/>
          <cell r="M11756"/>
        </row>
        <row r="11757">
          <cell r="B11757"/>
          <cell r="C11757"/>
          <cell r="E11757"/>
          <cell r="F11757"/>
          <cell r="G11757"/>
          <cell r="H11757"/>
          <cell r="J11757"/>
          <cell r="L11757"/>
          <cell r="M11757"/>
        </row>
        <row r="11758">
          <cell r="B11758"/>
          <cell r="C11758"/>
          <cell r="E11758"/>
          <cell r="F11758"/>
          <cell r="G11758"/>
          <cell r="H11758"/>
          <cell r="J11758"/>
          <cell r="L11758"/>
          <cell r="M11758"/>
        </row>
        <row r="11759">
          <cell r="B11759"/>
          <cell r="C11759"/>
          <cell r="E11759"/>
          <cell r="F11759"/>
          <cell r="G11759"/>
          <cell r="H11759"/>
          <cell r="J11759"/>
          <cell r="L11759"/>
          <cell r="M11759"/>
        </row>
        <row r="11760">
          <cell r="B11760"/>
          <cell r="C11760"/>
          <cell r="E11760"/>
          <cell r="F11760"/>
          <cell r="G11760"/>
          <cell r="H11760"/>
          <cell r="J11760"/>
          <cell r="L11760"/>
          <cell r="M11760"/>
        </row>
        <row r="11761">
          <cell r="B11761"/>
          <cell r="C11761"/>
          <cell r="E11761"/>
          <cell r="F11761"/>
          <cell r="G11761"/>
          <cell r="H11761"/>
          <cell r="J11761"/>
          <cell r="L11761"/>
          <cell r="M11761"/>
        </row>
        <row r="11762">
          <cell r="B11762"/>
          <cell r="C11762"/>
          <cell r="E11762"/>
          <cell r="F11762"/>
          <cell r="G11762"/>
          <cell r="H11762"/>
          <cell r="J11762"/>
          <cell r="L11762"/>
          <cell r="M11762"/>
        </row>
        <row r="11763">
          <cell r="B11763"/>
          <cell r="C11763"/>
          <cell r="E11763"/>
          <cell r="F11763"/>
          <cell r="G11763"/>
          <cell r="H11763"/>
          <cell r="J11763"/>
          <cell r="L11763"/>
          <cell r="M11763"/>
        </row>
        <row r="11764">
          <cell r="B11764"/>
          <cell r="C11764"/>
          <cell r="E11764"/>
          <cell r="F11764"/>
          <cell r="G11764"/>
          <cell r="H11764"/>
          <cell r="J11764"/>
          <cell r="L11764"/>
          <cell r="M11764"/>
        </row>
        <row r="11765">
          <cell r="B11765"/>
          <cell r="C11765"/>
          <cell r="E11765"/>
          <cell r="F11765"/>
          <cell r="G11765"/>
          <cell r="H11765"/>
          <cell r="J11765"/>
          <cell r="L11765"/>
          <cell r="M11765"/>
        </row>
        <row r="11766">
          <cell r="B11766"/>
          <cell r="C11766"/>
          <cell r="E11766"/>
          <cell r="F11766"/>
          <cell r="G11766"/>
          <cell r="H11766"/>
          <cell r="J11766"/>
          <cell r="L11766"/>
          <cell r="M11766"/>
        </row>
        <row r="11767">
          <cell r="B11767"/>
          <cell r="C11767"/>
          <cell r="E11767"/>
          <cell r="F11767"/>
          <cell r="G11767"/>
          <cell r="H11767"/>
          <cell r="J11767"/>
          <cell r="L11767"/>
          <cell r="M11767"/>
        </row>
        <row r="11768">
          <cell r="B11768"/>
          <cell r="C11768"/>
          <cell r="E11768"/>
          <cell r="F11768"/>
          <cell r="G11768"/>
          <cell r="H11768"/>
          <cell r="J11768"/>
          <cell r="L11768"/>
          <cell r="M11768"/>
        </row>
        <row r="11769">
          <cell r="B11769"/>
          <cell r="C11769"/>
          <cell r="E11769"/>
          <cell r="F11769"/>
          <cell r="G11769"/>
          <cell r="H11769"/>
          <cell r="J11769"/>
          <cell r="L11769"/>
          <cell r="M11769"/>
        </row>
        <row r="11770">
          <cell r="B11770"/>
          <cell r="C11770"/>
          <cell r="E11770"/>
          <cell r="F11770"/>
          <cell r="G11770"/>
          <cell r="H11770"/>
          <cell r="J11770"/>
          <cell r="L11770"/>
          <cell r="M11770"/>
        </row>
        <row r="11771">
          <cell r="B11771"/>
          <cell r="C11771"/>
          <cell r="E11771"/>
          <cell r="F11771"/>
          <cell r="G11771"/>
          <cell r="H11771"/>
          <cell r="J11771"/>
          <cell r="L11771"/>
          <cell r="M11771"/>
        </row>
        <row r="11772">
          <cell r="B11772"/>
          <cell r="C11772"/>
          <cell r="E11772"/>
          <cell r="F11772"/>
          <cell r="G11772"/>
          <cell r="H11772"/>
          <cell r="J11772"/>
          <cell r="L11772"/>
          <cell r="M11772"/>
        </row>
        <row r="11773">
          <cell r="B11773"/>
          <cell r="C11773"/>
          <cell r="E11773"/>
          <cell r="F11773"/>
          <cell r="G11773"/>
          <cell r="H11773"/>
          <cell r="J11773"/>
          <cell r="L11773"/>
          <cell r="M11773"/>
        </row>
        <row r="11774">
          <cell r="B11774"/>
          <cell r="C11774"/>
          <cell r="E11774"/>
          <cell r="F11774"/>
          <cell r="G11774"/>
          <cell r="H11774"/>
          <cell r="J11774"/>
          <cell r="L11774"/>
          <cell r="M11774"/>
        </row>
        <row r="11775">
          <cell r="B11775"/>
          <cell r="C11775"/>
          <cell r="E11775"/>
          <cell r="F11775"/>
          <cell r="G11775"/>
          <cell r="H11775"/>
          <cell r="J11775"/>
          <cell r="L11775"/>
          <cell r="M11775"/>
        </row>
        <row r="11776">
          <cell r="B11776"/>
          <cell r="C11776"/>
          <cell r="E11776"/>
          <cell r="F11776"/>
          <cell r="G11776"/>
          <cell r="H11776"/>
          <cell r="J11776"/>
          <cell r="L11776"/>
          <cell r="M11776"/>
        </row>
        <row r="11777">
          <cell r="B11777"/>
          <cell r="C11777"/>
          <cell r="E11777"/>
          <cell r="F11777"/>
          <cell r="G11777"/>
          <cell r="H11777"/>
          <cell r="J11777"/>
          <cell r="L11777"/>
          <cell r="M11777"/>
        </row>
        <row r="11778">
          <cell r="B11778"/>
          <cell r="C11778"/>
          <cell r="E11778"/>
          <cell r="F11778"/>
          <cell r="G11778"/>
          <cell r="H11778"/>
          <cell r="J11778"/>
          <cell r="L11778"/>
          <cell r="M11778"/>
        </row>
        <row r="11779">
          <cell r="B11779"/>
          <cell r="C11779"/>
          <cell r="E11779"/>
          <cell r="F11779"/>
          <cell r="G11779"/>
          <cell r="H11779"/>
          <cell r="J11779"/>
          <cell r="L11779"/>
          <cell r="M11779"/>
        </row>
        <row r="11780">
          <cell r="B11780"/>
          <cell r="C11780"/>
          <cell r="E11780"/>
          <cell r="F11780"/>
          <cell r="G11780"/>
          <cell r="H11780"/>
          <cell r="J11780"/>
          <cell r="L11780"/>
          <cell r="M11780"/>
        </row>
        <row r="11781">
          <cell r="B11781"/>
          <cell r="C11781"/>
          <cell r="E11781"/>
          <cell r="F11781"/>
          <cell r="G11781"/>
          <cell r="H11781"/>
          <cell r="J11781"/>
          <cell r="L11781"/>
          <cell r="M11781"/>
        </row>
        <row r="11782">
          <cell r="B11782"/>
          <cell r="C11782"/>
          <cell r="E11782"/>
          <cell r="F11782"/>
          <cell r="G11782"/>
          <cell r="H11782"/>
          <cell r="J11782"/>
          <cell r="L11782"/>
          <cell r="M11782"/>
        </row>
        <row r="11783">
          <cell r="B11783"/>
          <cell r="C11783"/>
          <cell r="E11783"/>
          <cell r="F11783"/>
          <cell r="G11783"/>
          <cell r="H11783"/>
          <cell r="J11783"/>
          <cell r="L11783"/>
          <cell r="M11783"/>
        </row>
        <row r="11784">
          <cell r="B11784"/>
          <cell r="C11784"/>
          <cell r="E11784"/>
          <cell r="F11784"/>
          <cell r="G11784"/>
          <cell r="H11784"/>
          <cell r="J11784"/>
          <cell r="L11784"/>
          <cell r="M11784"/>
        </row>
        <row r="11785">
          <cell r="B11785"/>
          <cell r="C11785"/>
          <cell r="E11785"/>
          <cell r="F11785"/>
          <cell r="G11785"/>
          <cell r="H11785"/>
          <cell r="J11785"/>
          <cell r="L11785"/>
          <cell r="M11785"/>
        </row>
        <row r="11786">
          <cell r="B11786"/>
          <cell r="C11786"/>
          <cell r="E11786"/>
          <cell r="F11786"/>
          <cell r="G11786"/>
          <cell r="H11786"/>
          <cell r="J11786"/>
          <cell r="L11786"/>
          <cell r="M11786"/>
        </row>
        <row r="11787">
          <cell r="B11787"/>
          <cell r="C11787"/>
          <cell r="E11787"/>
          <cell r="F11787"/>
          <cell r="G11787"/>
          <cell r="H11787"/>
          <cell r="J11787"/>
          <cell r="L11787"/>
          <cell r="M11787"/>
        </row>
        <row r="11788">
          <cell r="B11788"/>
          <cell r="C11788"/>
          <cell r="E11788"/>
          <cell r="F11788"/>
          <cell r="G11788"/>
          <cell r="H11788"/>
          <cell r="J11788"/>
          <cell r="L11788"/>
          <cell r="M11788"/>
        </row>
        <row r="11789">
          <cell r="B11789"/>
          <cell r="C11789"/>
          <cell r="E11789"/>
          <cell r="F11789"/>
          <cell r="G11789"/>
          <cell r="H11789"/>
          <cell r="J11789"/>
          <cell r="L11789"/>
          <cell r="M11789"/>
        </row>
        <row r="11790">
          <cell r="B11790"/>
          <cell r="C11790"/>
          <cell r="E11790"/>
          <cell r="F11790"/>
          <cell r="G11790"/>
          <cell r="H11790"/>
          <cell r="J11790"/>
          <cell r="L11790"/>
          <cell r="M11790"/>
        </row>
        <row r="11791">
          <cell r="B11791"/>
          <cell r="C11791"/>
          <cell r="E11791"/>
          <cell r="F11791"/>
          <cell r="G11791"/>
          <cell r="H11791"/>
          <cell r="J11791"/>
          <cell r="L11791"/>
          <cell r="M11791"/>
        </row>
        <row r="11792">
          <cell r="B11792"/>
          <cell r="C11792"/>
          <cell r="E11792"/>
          <cell r="F11792"/>
          <cell r="G11792"/>
          <cell r="H11792"/>
          <cell r="J11792"/>
          <cell r="L11792"/>
          <cell r="M11792"/>
        </row>
        <row r="11793">
          <cell r="B11793"/>
          <cell r="C11793"/>
          <cell r="E11793"/>
          <cell r="F11793"/>
          <cell r="G11793"/>
          <cell r="H11793"/>
          <cell r="J11793"/>
          <cell r="L11793"/>
          <cell r="M11793"/>
        </row>
        <row r="11794">
          <cell r="B11794"/>
          <cell r="C11794"/>
          <cell r="E11794"/>
          <cell r="F11794"/>
          <cell r="G11794"/>
          <cell r="H11794"/>
          <cell r="J11794"/>
          <cell r="L11794"/>
          <cell r="M11794"/>
        </row>
        <row r="11795">
          <cell r="B11795"/>
          <cell r="C11795"/>
          <cell r="E11795"/>
          <cell r="F11795"/>
          <cell r="G11795"/>
          <cell r="H11795"/>
          <cell r="J11795"/>
          <cell r="L11795"/>
          <cell r="M11795"/>
        </row>
        <row r="11796">
          <cell r="B11796"/>
          <cell r="C11796"/>
          <cell r="E11796"/>
          <cell r="F11796"/>
          <cell r="G11796"/>
          <cell r="H11796"/>
          <cell r="J11796"/>
          <cell r="L11796"/>
          <cell r="M11796"/>
        </row>
        <row r="11797">
          <cell r="B11797"/>
          <cell r="C11797"/>
          <cell r="E11797"/>
          <cell r="F11797"/>
          <cell r="G11797"/>
          <cell r="H11797"/>
          <cell r="J11797"/>
          <cell r="L11797"/>
          <cell r="M11797"/>
        </row>
        <row r="11798">
          <cell r="B11798"/>
          <cell r="C11798"/>
          <cell r="E11798"/>
          <cell r="F11798"/>
          <cell r="G11798"/>
          <cell r="H11798"/>
          <cell r="J11798"/>
          <cell r="L11798"/>
          <cell r="M11798"/>
        </row>
        <row r="11799">
          <cell r="B11799"/>
          <cell r="C11799"/>
          <cell r="E11799"/>
          <cell r="F11799"/>
          <cell r="G11799"/>
          <cell r="H11799"/>
          <cell r="J11799"/>
          <cell r="L11799"/>
          <cell r="M11799"/>
        </row>
        <row r="11800">
          <cell r="B11800"/>
          <cell r="C11800"/>
          <cell r="E11800"/>
          <cell r="F11800"/>
          <cell r="G11800"/>
          <cell r="H11800"/>
          <cell r="J11800"/>
          <cell r="L11800"/>
          <cell r="M11800"/>
        </row>
        <row r="11801">
          <cell r="B11801"/>
          <cell r="C11801"/>
          <cell r="E11801"/>
          <cell r="F11801"/>
          <cell r="G11801"/>
          <cell r="H11801"/>
          <cell r="J11801"/>
          <cell r="L11801"/>
          <cell r="M11801"/>
        </row>
        <row r="11802">
          <cell r="B11802"/>
          <cell r="C11802"/>
          <cell r="E11802"/>
          <cell r="F11802"/>
          <cell r="G11802"/>
          <cell r="H11802"/>
          <cell r="J11802"/>
          <cell r="L11802"/>
          <cell r="M11802"/>
        </row>
        <row r="11803">
          <cell r="B11803"/>
          <cell r="C11803"/>
          <cell r="E11803"/>
          <cell r="F11803"/>
          <cell r="G11803"/>
          <cell r="H11803"/>
          <cell r="J11803"/>
          <cell r="L11803"/>
          <cell r="M11803"/>
        </row>
        <row r="11804">
          <cell r="B11804"/>
          <cell r="C11804"/>
          <cell r="E11804"/>
          <cell r="F11804"/>
          <cell r="G11804"/>
          <cell r="H11804"/>
          <cell r="J11804"/>
          <cell r="L11804"/>
          <cell r="M11804"/>
        </row>
        <row r="11805">
          <cell r="B11805"/>
          <cell r="C11805"/>
          <cell r="E11805"/>
          <cell r="F11805"/>
          <cell r="G11805"/>
          <cell r="H11805"/>
          <cell r="J11805"/>
          <cell r="L11805"/>
          <cell r="M11805"/>
        </row>
        <row r="11806">
          <cell r="B11806"/>
          <cell r="C11806"/>
          <cell r="E11806"/>
          <cell r="F11806"/>
          <cell r="G11806"/>
          <cell r="H11806"/>
          <cell r="J11806"/>
          <cell r="L11806"/>
          <cell r="M11806"/>
        </row>
        <row r="11807">
          <cell r="B11807"/>
          <cell r="C11807"/>
          <cell r="E11807"/>
          <cell r="F11807"/>
          <cell r="G11807"/>
          <cell r="H11807"/>
          <cell r="J11807"/>
          <cell r="L11807"/>
          <cell r="M11807"/>
        </row>
        <row r="11808">
          <cell r="B11808"/>
          <cell r="C11808"/>
          <cell r="E11808"/>
          <cell r="F11808"/>
          <cell r="G11808"/>
          <cell r="H11808"/>
          <cell r="J11808"/>
          <cell r="L11808"/>
          <cell r="M11808"/>
        </row>
        <row r="11809">
          <cell r="B11809"/>
          <cell r="C11809"/>
          <cell r="E11809"/>
          <cell r="F11809"/>
          <cell r="G11809"/>
          <cell r="H11809"/>
          <cell r="J11809"/>
          <cell r="L11809"/>
          <cell r="M11809"/>
        </row>
        <row r="11810">
          <cell r="B11810"/>
          <cell r="C11810"/>
          <cell r="E11810"/>
          <cell r="F11810"/>
          <cell r="G11810"/>
          <cell r="H11810"/>
          <cell r="J11810"/>
          <cell r="L11810"/>
          <cell r="M11810"/>
        </row>
        <row r="11811">
          <cell r="B11811"/>
          <cell r="C11811"/>
          <cell r="E11811"/>
          <cell r="F11811"/>
          <cell r="G11811"/>
          <cell r="H11811"/>
          <cell r="J11811"/>
          <cell r="L11811"/>
          <cell r="M11811"/>
        </row>
        <row r="11812">
          <cell r="B11812"/>
          <cell r="C11812"/>
          <cell r="E11812"/>
          <cell r="F11812"/>
          <cell r="G11812"/>
          <cell r="H11812"/>
          <cell r="J11812"/>
          <cell r="L11812"/>
          <cell r="M11812"/>
        </row>
        <row r="11813">
          <cell r="B11813"/>
          <cell r="C11813"/>
          <cell r="E11813"/>
          <cell r="F11813"/>
          <cell r="G11813"/>
          <cell r="H11813"/>
          <cell r="J11813"/>
          <cell r="L11813"/>
          <cell r="M11813"/>
        </row>
        <row r="11814">
          <cell r="B11814"/>
          <cell r="C11814"/>
          <cell r="E11814"/>
          <cell r="F11814"/>
          <cell r="G11814"/>
          <cell r="H11814"/>
          <cell r="J11814"/>
          <cell r="L11814"/>
          <cell r="M11814"/>
        </row>
        <row r="11815">
          <cell r="B11815"/>
          <cell r="C11815"/>
          <cell r="E11815"/>
          <cell r="F11815"/>
          <cell r="G11815"/>
          <cell r="H11815"/>
          <cell r="J11815"/>
          <cell r="L11815"/>
          <cell r="M11815"/>
        </row>
        <row r="11816">
          <cell r="B11816"/>
          <cell r="C11816"/>
          <cell r="E11816"/>
          <cell r="F11816"/>
          <cell r="G11816"/>
          <cell r="H11816"/>
          <cell r="J11816"/>
          <cell r="L11816"/>
          <cell r="M11816"/>
        </row>
        <row r="11817">
          <cell r="B11817"/>
          <cell r="C11817"/>
          <cell r="E11817"/>
          <cell r="F11817"/>
          <cell r="G11817"/>
          <cell r="H11817"/>
          <cell r="J11817"/>
          <cell r="L11817"/>
          <cell r="M11817"/>
        </row>
        <row r="11818">
          <cell r="B11818"/>
          <cell r="C11818"/>
          <cell r="E11818"/>
          <cell r="F11818"/>
          <cell r="G11818"/>
          <cell r="H11818"/>
          <cell r="J11818"/>
          <cell r="L11818"/>
          <cell r="M11818"/>
        </row>
        <row r="11819">
          <cell r="B11819"/>
          <cell r="C11819"/>
          <cell r="E11819"/>
          <cell r="F11819"/>
          <cell r="G11819"/>
          <cell r="H11819"/>
          <cell r="J11819"/>
          <cell r="L11819"/>
          <cell r="M11819"/>
        </row>
        <row r="11820">
          <cell r="B11820"/>
          <cell r="C11820"/>
          <cell r="E11820"/>
          <cell r="F11820"/>
          <cell r="G11820"/>
          <cell r="H11820"/>
          <cell r="J11820"/>
          <cell r="L11820"/>
          <cell r="M11820"/>
        </row>
        <row r="11821">
          <cell r="B11821"/>
          <cell r="C11821"/>
          <cell r="E11821"/>
          <cell r="F11821"/>
          <cell r="G11821"/>
          <cell r="H11821"/>
          <cell r="J11821"/>
          <cell r="L11821"/>
          <cell r="M11821"/>
        </row>
        <row r="11822">
          <cell r="B11822"/>
          <cell r="C11822"/>
          <cell r="E11822"/>
          <cell r="F11822"/>
          <cell r="G11822"/>
          <cell r="H11822"/>
          <cell r="J11822"/>
          <cell r="L11822"/>
          <cell r="M11822"/>
        </row>
        <row r="11823">
          <cell r="B11823"/>
          <cell r="C11823"/>
          <cell r="E11823"/>
          <cell r="F11823"/>
          <cell r="G11823"/>
          <cell r="H11823"/>
          <cell r="J11823"/>
          <cell r="L11823"/>
          <cell r="M11823"/>
        </row>
        <row r="11824">
          <cell r="B11824"/>
          <cell r="C11824"/>
          <cell r="E11824"/>
          <cell r="F11824"/>
          <cell r="G11824"/>
          <cell r="H11824"/>
          <cell r="J11824"/>
          <cell r="L11824"/>
          <cell r="M11824"/>
        </row>
        <row r="11825">
          <cell r="B11825"/>
          <cell r="C11825"/>
          <cell r="E11825"/>
          <cell r="F11825"/>
          <cell r="G11825"/>
          <cell r="H11825"/>
          <cell r="J11825"/>
          <cell r="L11825"/>
          <cell r="M11825"/>
        </row>
        <row r="11826">
          <cell r="B11826"/>
          <cell r="C11826"/>
          <cell r="E11826"/>
          <cell r="F11826"/>
          <cell r="G11826"/>
          <cell r="H11826"/>
          <cell r="J11826"/>
          <cell r="L11826"/>
          <cell r="M11826"/>
        </row>
        <row r="11827">
          <cell r="B11827"/>
          <cell r="C11827"/>
          <cell r="E11827"/>
          <cell r="F11827"/>
          <cell r="G11827"/>
          <cell r="H11827"/>
          <cell r="J11827"/>
          <cell r="L11827"/>
          <cell r="M11827"/>
        </row>
        <row r="11828">
          <cell r="B11828"/>
          <cell r="C11828"/>
          <cell r="E11828"/>
          <cell r="F11828"/>
          <cell r="G11828"/>
          <cell r="H11828"/>
          <cell r="J11828"/>
          <cell r="L11828"/>
          <cell r="M11828"/>
        </row>
        <row r="11829">
          <cell r="B11829"/>
          <cell r="C11829"/>
          <cell r="E11829"/>
          <cell r="F11829"/>
          <cell r="G11829"/>
          <cell r="H11829"/>
          <cell r="J11829"/>
          <cell r="L11829"/>
          <cell r="M11829"/>
        </row>
        <row r="11830">
          <cell r="B11830"/>
          <cell r="C11830"/>
          <cell r="E11830"/>
          <cell r="F11830"/>
          <cell r="G11830"/>
          <cell r="H11830"/>
          <cell r="J11830"/>
          <cell r="L11830"/>
          <cell r="M11830"/>
        </row>
        <row r="11831">
          <cell r="B11831"/>
          <cell r="C11831"/>
          <cell r="E11831"/>
          <cell r="F11831"/>
          <cell r="G11831"/>
          <cell r="H11831"/>
          <cell r="J11831"/>
          <cell r="L11831"/>
          <cell r="M11831"/>
        </row>
        <row r="11832">
          <cell r="B11832"/>
          <cell r="C11832"/>
          <cell r="E11832"/>
          <cell r="F11832"/>
          <cell r="G11832"/>
          <cell r="H11832"/>
          <cell r="J11832"/>
          <cell r="L11832"/>
          <cell r="M11832"/>
        </row>
        <row r="11833">
          <cell r="B11833"/>
          <cell r="C11833"/>
          <cell r="E11833"/>
          <cell r="F11833"/>
          <cell r="G11833"/>
          <cell r="H11833"/>
          <cell r="J11833"/>
          <cell r="L11833"/>
          <cell r="M11833"/>
        </row>
        <row r="11834">
          <cell r="B11834"/>
          <cell r="C11834"/>
          <cell r="E11834"/>
          <cell r="F11834"/>
          <cell r="G11834"/>
          <cell r="H11834"/>
          <cell r="J11834"/>
          <cell r="L11834"/>
          <cell r="M11834"/>
        </row>
        <row r="11835">
          <cell r="B11835"/>
          <cell r="C11835"/>
          <cell r="E11835"/>
          <cell r="F11835"/>
          <cell r="G11835"/>
          <cell r="H11835"/>
          <cell r="J11835"/>
          <cell r="L11835"/>
          <cell r="M11835"/>
        </row>
        <row r="11836">
          <cell r="B11836"/>
          <cell r="C11836"/>
          <cell r="E11836"/>
          <cell r="F11836"/>
          <cell r="G11836"/>
          <cell r="H11836"/>
          <cell r="J11836"/>
          <cell r="L11836"/>
          <cell r="M11836"/>
        </row>
        <row r="11837">
          <cell r="B11837"/>
          <cell r="C11837"/>
          <cell r="E11837"/>
          <cell r="F11837"/>
          <cell r="G11837"/>
          <cell r="H11837"/>
          <cell r="J11837"/>
          <cell r="L11837"/>
          <cell r="M11837"/>
        </row>
        <row r="11838">
          <cell r="B11838"/>
          <cell r="C11838"/>
          <cell r="E11838"/>
          <cell r="F11838"/>
          <cell r="G11838"/>
          <cell r="H11838"/>
          <cell r="J11838"/>
          <cell r="L11838"/>
          <cell r="M11838"/>
        </row>
        <row r="11839">
          <cell r="B11839"/>
          <cell r="C11839"/>
          <cell r="E11839"/>
          <cell r="F11839"/>
          <cell r="G11839"/>
          <cell r="H11839"/>
          <cell r="J11839"/>
          <cell r="L11839"/>
          <cell r="M11839"/>
        </row>
        <row r="11840">
          <cell r="B11840"/>
          <cell r="C11840"/>
          <cell r="E11840"/>
          <cell r="F11840"/>
          <cell r="G11840"/>
          <cell r="H11840"/>
          <cell r="J11840"/>
          <cell r="L11840"/>
          <cell r="M11840"/>
        </row>
        <row r="11841">
          <cell r="B11841"/>
          <cell r="C11841"/>
          <cell r="E11841"/>
          <cell r="F11841"/>
          <cell r="G11841"/>
          <cell r="H11841"/>
          <cell r="J11841"/>
          <cell r="L11841"/>
          <cell r="M11841"/>
        </row>
        <row r="11842">
          <cell r="B11842"/>
          <cell r="C11842"/>
          <cell r="E11842"/>
          <cell r="F11842"/>
          <cell r="G11842"/>
          <cell r="H11842"/>
          <cell r="J11842"/>
          <cell r="L11842"/>
          <cell r="M11842"/>
        </row>
        <row r="11843">
          <cell r="B11843"/>
          <cell r="C11843"/>
          <cell r="E11843"/>
          <cell r="F11843"/>
          <cell r="G11843"/>
          <cell r="H11843"/>
          <cell r="J11843"/>
          <cell r="L11843"/>
          <cell r="M11843"/>
        </row>
        <row r="11844">
          <cell r="B11844"/>
          <cell r="C11844"/>
          <cell r="E11844"/>
          <cell r="F11844"/>
          <cell r="G11844"/>
          <cell r="H11844"/>
          <cell r="J11844"/>
          <cell r="L11844"/>
          <cell r="M11844"/>
        </row>
        <row r="11845">
          <cell r="B11845"/>
          <cell r="C11845"/>
          <cell r="E11845"/>
          <cell r="F11845"/>
          <cell r="G11845"/>
          <cell r="H11845"/>
          <cell r="J11845"/>
          <cell r="L11845"/>
          <cell r="M11845"/>
        </row>
        <row r="11846">
          <cell r="B11846"/>
          <cell r="C11846"/>
          <cell r="E11846"/>
          <cell r="F11846"/>
          <cell r="G11846"/>
          <cell r="H11846"/>
          <cell r="J11846"/>
          <cell r="L11846"/>
          <cell r="M11846"/>
        </row>
        <row r="11847">
          <cell r="B11847"/>
          <cell r="C11847"/>
          <cell r="E11847"/>
          <cell r="F11847"/>
          <cell r="G11847"/>
          <cell r="H11847"/>
          <cell r="J11847"/>
          <cell r="L11847"/>
          <cell r="M11847"/>
        </row>
        <row r="11848">
          <cell r="B11848"/>
          <cell r="C11848"/>
          <cell r="E11848"/>
          <cell r="F11848"/>
          <cell r="G11848"/>
          <cell r="H11848"/>
          <cell r="J11848"/>
          <cell r="L11848"/>
          <cell r="M11848"/>
        </row>
        <row r="11849">
          <cell r="B11849"/>
          <cell r="C11849"/>
          <cell r="E11849"/>
          <cell r="F11849"/>
          <cell r="G11849"/>
          <cell r="H11849"/>
          <cell r="J11849"/>
          <cell r="L11849"/>
          <cell r="M11849"/>
        </row>
        <row r="11850">
          <cell r="B11850"/>
          <cell r="C11850"/>
          <cell r="E11850"/>
          <cell r="F11850"/>
          <cell r="G11850"/>
          <cell r="H11850"/>
          <cell r="J11850"/>
          <cell r="L11850"/>
          <cell r="M11850"/>
        </row>
        <row r="11851">
          <cell r="B11851"/>
          <cell r="C11851"/>
          <cell r="E11851"/>
          <cell r="F11851"/>
          <cell r="G11851"/>
          <cell r="H11851"/>
          <cell r="J11851"/>
          <cell r="L11851"/>
          <cell r="M11851"/>
        </row>
        <row r="11852">
          <cell r="B11852"/>
          <cell r="C11852"/>
          <cell r="E11852"/>
          <cell r="F11852"/>
          <cell r="G11852"/>
          <cell r="H11852"/>
          <cell r="J11852"/>
          <cell r="L11852"/>
          <cell r="M11852"/>
        </row>
        <row r="11853">
          <cell r="B11853"/>
          <cell r="C11853"/>
          <cell r="E11853"/>
          <cell r="F11853"/>
          <cell r="G11853"/>
          <cell r="H11853"/>
          <cell r="J11853"/>
          <cell r="L11853"/>
          <cell r="M11853"/>
        </row>
        <row r="11854">
          <cell r="B11854"/>
          <cell r="C11854"/>
          <cell r="E11854"/>
          <cell r="F11854"/>
          <cell r="G11854"/>
          <cell r="H11854"/>
          <cell r="J11854"/>
          <cell r="L11854"/>
          <cell r="M11854"/>
        </row>
        <row r="11855">
          <cell r="B11855"/>
          <cell r="C11855"/>
          <cell r="E11855"/>
          <cell r="F11855"/>
          <cell r="G11855"/>
          <cell r="H11855"/>
          <cell r="J11855"/>
          <cell r="L11855"/>
          <cell r="M11855"/>
        </row>
        <row r="11856">
          <cell r="B11856"/>
          <cell r="C11856"/>
          <cell r="E11856"/>
          <cell r="F11856"/>
          <cell r="G11856"/>
          <cell r="H11856"/>
          <cell r="J11856"/>
          <cell r="L11856"/>
          <cell r="M11856"/>
        </row>
        <row r="11857">
          <cell r="B11857"/>
          <cell r="C11857"/>
          <cell r="E11857"/>
          <cell r="F11857"/>
          <cell r="G11857"/>
          <cell r="H11857"/>
          <cell r="J11857"/>
          <cell r="L11857"/>
          <cell r="M11857"/>
        </row>
        <row r="11858">
          <cell r="B11858"/>
          <cell r="C11858"/>
          <cell r="E11858"/>
          <cell r="F11858"/>
          <cell r="G11858"/>
          <cell r="H11858"/>
          <cell r="J11858"/>
          <cell r="L11858"/>
          <cell r="M11858"/>
        </row>
        <row r="11859">
          <cell r="B11859"/>
          <cell r="C11859"/>
          <cell r="E11859"/>
          <cell r="F11859"/>
          <cell r="G11859"/>
          <cell r="H11859"/>
          <cell r="J11859"/>
          <cell r="L11859"/>
          <cell r="M11859"/>
        </row>
        <row r="11860">
          <cell r="B11860"/>
          <cell r="C11860"/>
          <cell r="E11860"/>
          <cell r="F11860"/>
          <cell r="G11860"/>
          <cell r="H11860"/>
          <cell r="J11860"/>
          <cell r="L11860"/>
          <cell r="M11860"/>
        </row>
        <row r="11861">
          <cell r="B11861"/>
          <cell r="C11861"/>
          <cell r="E11861"/>
          <cell r="F11861"/>
          <cell r="G11861"/>
          <cell r="H11861"/>
          <cell r="J11861"/>
          <cell r="L11861"/>
          <cell r="M11861"/>
        </row>
        <row r="11862">
          <cell r="B11862"/>
          <cell r="C11862"/>
          <cell r="E11862"/>
          <cell r="F11862"/>
          <cell r="G11862"/>
          <cell r="H11862"/>
          <cell r="J11862"/>
          <cell r="L11862"/>
          <cell r="M11862"/>
        </row>
        <row r="11863">
          <cell r="B11863"/>
          <cell r="C11863"/>
          <cell r="E11863"/>
          <cell r="F11863"/>
          <cell r="G11863"/>
          <cell r="H11863"/>
          <cell r="J11863"/>
          <cell r="L11863"/>
          <cell r="M11863"/>
        </row>
        <row r="11864">
          <cell r="B11864"/>
          <cell r="C11864"/>
          <cell r="E11864"/>
          <cell r="F11864"/>
          <cell r="G11864"/>
          <cell r="H11864"/>
          <cell r="J11864"/>
          <cell r="L11864"/>
          <cell r="M11864"/>
        </row>
        <row r="11865">
          <cell r="B11865"/>
          <cell r="C11865"/>
          <cell r="E11865"/>
          <cell r="F11865"/>
          <cell r="G11865"/>
          <cell r="H11865"/>
          <cell r="J11865"/>
          <cell r="L11865"/>
          <cell r="M11865"/>
        </row>
        <row r="11866">
          <cell r="B11866"/>
          <cell r="C11866"/>
          <cell r="E11866"/>
          <cell r="F11866"/>
          <cell r="G11866"/>
          <cell r="H11866"/>
          <cell r="J11866"/>
          <cell r="L11866"/>
          <cell r="M11866"/>
        </row>
        <row r="11867">
          <cell r="B11867"/>
          <cell r="C11867"/>
          <cell r="E11867"/>
          <cell r="F11867"/>
          <cell r="G11867"/>
          <cell r="H11867"/>
          <cell r="J11867"/>
          <cell r="L11867"/>
          <cell r="M11867"/>
        </row>
        <row r="11868">
          <cell r="B11868"/>
          <cell r="C11868"/>
          <cell r="E11868"/>
          <cell r="F11868"/>
          <cell r="G11868"/>
          <cell r="H11868"/>
          <cell r="J11868"/>
          <cell r="L11868"/>
          <cell r="M11868"/>
        </row>
        <row r="11869">
          <cell r="B11869"/>
          <cell r="C11869"/>
          <cell r="E11869"/>
          <cell r="F11869"/>
          <cell r="G11869"/>
          <cell r="H11869"/>
          <cell r="J11869"/>
          <cell r="L11869"/>
          <cell r="M11869"/>
        </row>
        <row r="11870">
          <cell r="B11870"/>
          <cell r="C11870"/>
          <cell r="E11870"/>
          <cell r="F11870"/>
          <cell r="G11870"/>
          <cell r="H11870"/>
          <cell r="J11870"/>
          <cell r="L11870"/>
          <cell r="M11870"/>
        </row>
        <row r="11871">
          <cell r="B11871"/>
          <cell r="C11871"/>
          <cell r="E11871"/>
          <cell r="F11871"/>
          <cell r="G11871"/>
          <cell r="H11871"/>
          <cell r="J11871"/>
          <cell r="L11871"/>
          <cell r="M11871"/>
        </row>
        <row r="11872">
          <cell r="B11872"/>
          <cell r="C11872"/>
          <cell r="E11872"/>
          <cell r="F11872"/>
          <cell r="G11872"/>
          <cell r="H11872"/>
          <cell r="J11872"/>
          <cell r="L11872"/>
          <cell r="M11872"/>
        </row>
        <row r="11873">
          <cell r="B11873"/>
          <cell r="C11873"/>
          <cell r="E11873"/>
          <cell r="F11873"/>
          <cell r="G11873"/>
          <cell r="H11873"/>
          <cell r="J11873"/>
          <cell r="L11873"/>
          <cell r="M11873"/>
        </row>
        <row r="11874">
          <cell r="B11874"/>
          <cell r="C11874"/>
          <cell r="E11874"/>
          <cell r="F11874"/>
          <cell r="G11874"/>
          <cell r="H11874"/>
          <cell r="J11874"/>
          <cell r="L11874"/>
          <cell r="M11874"/>
        </row>
        <row r="11875">
          <cell r="B11875"/>
          <cell r="C11875"/>
          <cell r="E11875"/>
          <cell r="F11875"/>
          <cell r="G11875"/>
          <cell r="H11875"/>
          <cell r="J11875"/>
          <cell r="L11875"/>
          <cell r="M11875"/>
        </row>
        <row r="11876">
          <cell r="B11876"/>
          <cell r="C11876"/>
          <cell r="E11876"/>
          <cell r="F11876"/>
          <cell r="G11876"/>
          <cell r="H11876"/>
          <cell r="J11876"/>
          <cell r="L11876"/>
          <cell r="M11876"/>
        </row>
        <row r="11877">
          <cell r="B11877"/>
          <cell r="C11877"/>
          <cell r="E11877"/>
          <cell r="F11877"/>
          <cell r="G11877"/>
          <cell r="H11877"/>
          <cell r="J11877"/>
          <cell r="L11877"/>
          <cell r="M11877"/>
        </row>
        <row r="11878">
          <cell r="B11878"/>
          <cell r="C11878"/>
          <cell r="E11878"/>
          <cell r="F11878"/>
          <cell r="G11878"/>
          <cell r="H11878"/>
          <cell r="J11878"/>
          <cell r="L11878"/>
          <cell r="M11878"/>
        </row>
        <row r="11879">
          <cell r="B11879"/>
          <cell r="C11879"/>
          <cell r="E11879"/>
          <cell r="F11879"/>
          <cell r="G11879"/>
          <cell r="H11879"/>
          <cell r="J11879"/>
          <cell r="L11879"/>
          <cell r="M11879"/>
        </row>
        <row r="11880">
          <cell r="B11880"/>
          <cell r="C11880"/>
          <cell r="E11880"/>
          <cell r="F11880"/>
          <cell r="G11880"/>
          <cell r="H11880"/>
          <cell r="J11880"/>
          <cell r="L11880"/>
          <cell r="M11880"/>
        </row>
        <row r="11881">
          <cell r="B11881"/>
          <cell r="C11881"/>
          <cell r="E11881"/>
          <cell r="F11881"/>
          <cell r="G11881"/>
          <cell r="H11881"/>
          <cell r="J11881"/>
          <cell r="L11881"/>
          <cell r="M11881"/>
        </row>
        <row r="11882">
          <cell r="B11882"/>
          <cell r="C11882"/>
          <cell r="E11882"/>
          <cell r="F11882"/>
          <cell r="G11882"/>
          <cell r="H11882"/>
          <cell r="J11882"/>
          <cell r="L11882"/>
          <cell r="M11882"/>
        </row>
        <row r="11883">
          <cell r="B11883"/>
          <cell r="C11883"/>
          <cell r="E11883"/>
          <cell r="F11883"/>
          <cell r="G11883"/>
          <cell r="H11883"/>
          <cell r="J11883"/>
          <cell r="L11883"/>
          <cell r="M11883"/>
        </row>
        <row r="11884">
          <cell r="B11884"/>
          <cell r="C11884"/>
          <cell r="E11884"/>
          <cell r="F11884"/>
          <cell r="G11884"/>
          <cell r="H11884"/>
          <cell r="J11884"/>
          <cell r="L11884"/>
          <cell r="M11884"/>
        </row>
        <row r="11885">
          <cell r="B11885"/>
          <cell r="C11885"/>
          <cell r="E11885"/>
          <cell r="F11885"/>
          <cell r="G11885"/>
          <cell r="H11885"/>
          <cell r="J11885"/>
          <cell r="L11885"/>
          <cell r="M11885"/>
        </row>
        <row r="11886">
          <cell r="B11886"/>
          <cell r="C11886"/>
          <cell r="E11886"/>
          <cell r="F11886"/>
          <cell r="G11886"/>
          <cell r="H11886"/>
          <cell r="J11886"/>
          <cell r="L11886"/>
          <cell r="M11886"/>
        </row>
        <row r="11887">
          <cell r="B11887"/>
          <cell r="C11887"/>
          <cell r="E11887"/>
          <cell r="F11887"/>
          <cell r="G11887"/>
          <cell r="H11887"/>
          <cell r="J11887"/>
          <cell r="L11887"/>
          <cell r="M11887"/>
        </row>
        <row r="11888">
          <cell r="B11888"/>
          <cell r="C11888"/>
          <cell r="E11888"/>
          <cell r="F11888"/>
          <cell r="G11888"/>
          <cell r="H11888"/>
          <cell r="J11888"/>
          <cell r="L11888"/>
          <cell r="M11888"/>
        </row>
        <row r="11889">
          <cell r="B11889"/>
          <cell r="C11889"/>
          <cell r="E11889"/>
          <cell r="F11889"/>
          <cell r="G11889"/>
          <cell r="H11889"/>
          <cell r="J11889"/>
          <cell r="L11889"/>
          <cell r="M11889"/>
        </row>
        <row r="11890">
          <cell r="B11890"/>
          <cell r="C11890"/>
          <cell r="E11890"/>
          <cell r="F11890"/>
          <cell r="G11890"/>
          <cell r="H11890"/>
          <cell r="J11890"/>
          <cell r="L11890"/>
          <cell r="M11890"/>
        </row>
        <row r="11891">
          <cell r="B11891"/>
          <cell r="C11891"/>
          <cell r="E11891"/>
          <cell r="F11891"/>
          <cell r="G11891"/>
          <cell r="H11891"/>
          <cell r="J11891"/>
          <cell r="L11891"/>
          <cell r="M11891"/>
        </row>
        <row r="11892">
          <cell r="B11892"/>
          <cell r="C11892"/>
          <cell r="E11892"/>
          <cell r="F11892"/>
          <cell r="G11892"/>
          <cell r="H11892"/>
          <cell r="J11892"/>
          <cell r="L11892"/>
          <cell r="M11892"/>
        </row>
        <row r="11893">
          <cell r="B11893"/>
          <cell r="C11893"/>
          <cell r="E11893"/>
          <cell r="F11893"/>
          <cell r="G11893"/>
          <cell r="H11893"/>
          <cell r="J11893"/>
          <cell r="L11893"/>
          <cell r="M11893"/>
        </row>
        <row r="11894">
          <cell r="B11894"/>
          <cell r="C11894"/>
          <cell r="E11894"/>
          <cell r="F11894"/>
          <cell r="G11894"/>
          <cell r="H11894"/>
          <cell r="J11894"/>
          <cell r="L11894"/>
          <cell r="M11894"/>
        </row>
        <row r="11895">
          <cell r="B11895"/>
          <cell r="C11895"/>
          <cell r="E11895"/>
          <cell r="F11895"/>
          <cell r="G11895"/>
          <cell r="H11895"/>
          <cell r="J11895"/>
          <cell r="L11895"/>
          <cell r="M11895"/>
        </row>
        <row r="11896">
          <cell r="B11896"/>
          <cell r="C11896"/>
          <cell r="E11896"/>
          <cell r="F11896"/>
          <cell r="G11896"/>
          <cell r="H11896"/>
          <cell r="J11896"/>
          <cell r="L11896"/>
          <cell r="M11896"/>
        </row>
        <row r="11897">
          <cell r="B11897"/>
          <cell r="C11897"/>
          <cell r="E11897"/>
          <cell r="F11897"/>
          <cell r="G11897"/>
          <cell r="H11897"/>
          <cell r="J11897"/>
          <cell r="L11897"/>
          <cell r="M11897"/>
        </row>
        <row r="11898">
          <cell r="B11898"/>
          <cell r="C11898"/>
          <cell r="E11898"/>
          <cell r="F11898"/>
          <cell r="G11898"/>
          <cell r="H11898"/>
          <cell r="J11898"/>
          <cell r="L11898"/>
          <cell r="M11898"/>
        </row>
        <row r="11899">
          <cell r="B11899"/>
          <cell r="C11899"/>
          <cell r="E11899"/>
          <cell r="F11899"/>
          <cell r="G11899"/>
          <cell r="H11899"/>
          <cell r="J11899"/>
          <cell r="L11899"/>
          <cell r="M11899"/>
        </row>
        <row r="11900">
          <cell r="B11900"/>
          <cell r="C11900"/>
          <cell r="E11900"/>
          <cell r="F11900"/>
          <cell r="G11900"/>
          <cell r="H11900"/>
          <cell r="J11900"/>
          <cell r="L11900"/>
          <cell r="M11900"/>
        </row>
        <row r="11901">
          <cell r="B11901"/>
          <cell r="C11901"/>
          <cell r="E11901"/>
          <cell r="F11901"/>
          <cell r="G11901"/>
          <cell r="H11901"/>
          <cell r="J11901"/>
          <cell r="L11901"/>
          <cell r="M11901"/>
        </row>
        <row r="11902">
          <cell r="B11902"/>
          <cell r="C11902"/>
          <cell r="E11902"/>
          <cell r="F11902"/>
          <cell r="G11902"/>
          <cell r="H11902"/>
          <cell r="J11902"/>
          <cell r="L11902"/>
          <cell r="M11902"/>
        </row>
        <row r="11903">
          <cell r="B11903"/>
          <cell r="C11903"/>
          <cell r="E11903"/>
          <cell r="F11903"/>
          <cell r="G11903"/>
          <cell r="H11903"/>
          <cell r="J11903"/>
          <cell r="L11903"/>
          <cell r="M11903"/>
        </row>
        <row r="11904">
          <cell r="B11904"/>
          <cell r="C11904"/>
          <cell r="E11904"/>
          <cell r="F11904"/>
          <cell r="G11904"/>
          <cell r="H11904"/>
          <cell r="J11904"/>
          <cell r="L11904"/>
          <cell r="M11904"/>
        </row>
        <row r="11905">
          <cell r="B11905"/>
          <cell r="C11905"/>
          <cell r="E11905"/>
          <cell r="F11905"/>
          <cell r="G11905"/>
          <cell r="H11905"/>
          <cell r="J11905"/>
          <cell r="L11905"/>
          <cell r="M11905"/>
        </row>
        <row r="11906">
          <cell r="B11906"/>
          <cell r="C11906"/>
          <cell r="E11906"/>
          <cell r="F11906"/>
          <cell r="G11906"/>
          <cell r="H11906"/>
          <cell r="J11906"/>
          <cell r="L11906"/>
          <cell r="M11906"/>
        </row>
        <row r="11907">
          <cell r="B11907"/>
          <cell r="C11907"/>
          <cell r="E11907"/>
          <cell r="F11907"/>
          <cell r="G11907"/>
          <cell r="H11907"/>
          <cell r="J11907"/>
          <cell r="L11907"/>
          <cell r="M11907"/>
        </row>
        <row r="11908">
          <cell r="B11908"/>
          <cell r="C11908"/>
          <cell r="E11908"/>
          <cell r="F11908"/>
          <cell r="G11908"/>
          <cell r="H11908"/>
          <cell r="J11908"/>
          <cell r="L11908"/>
          <cell r="M11908"/>
        </row>
        <row r="11909">
          <cell r="B11909"/>
          <cell r="C11909"/>
          <cell r="E11909"/>
          <cell r="F11909"/>
          <cell r="G11909"/>
          <cell r="H11909"/>
          <cell r="J11909"/>
          <cell r="L11909"/>
          <cell r="M11909"/>
        </row>
        <row r="11910">
          <cell r="B11910"/>
          <cell r="C11910"/>
          <cell r="E11910"/>
          <cell r="F11910"/>
          <cell r="G11910"/>
          <cell r="H11910"/>
          <cell r="J11910"/>
          <cell r="L11910"/>
          <cell r="M11910"/>
        </row>
        <row r="11911">
          <cell r="B11911"/>
          <cell r="C11911"/>
          <cell r="E11911"/>
          <cell r="F11911"/>
          <cell r="G11911"/>
          <cell r="H11911"/>
          <cell r="J11911"/>
          <cell r="L11911"/>
          <cell r="M11911"/>
        </row>
        <row r="11912">
          <cell r="B11912"/>
          <cell r="C11912"/>
          <cell r="E11912"/>
          <cell r="F11912"/>
          <cell r="G11912"/>
          <cell r="H11912"/>
          <cell r="J11912"/>
          <cell r="L11912"/>
          <cell r="M11912"/>
        </row>
        <row r="11913">
          <cell r="B11913"/>
          <cell r="C11913"/>
          <cell r="E11913"/>
          <cell r="F11913"/>
          <cell r="G11913"/>
          <cell r="H11913"/>
          <cell r="J11913"/>
          <cell r="L11913"/>
          <cell r="M11913"/>
        </row>
        <row r="11914">
          <cell r="B11914"/>
          <cell r="C11914"/>
          <cell r="E11914"/>
          <cell r="F11914"/>
          <cell r="G11914"/>
          <cell r="H11914"/>
          <cell r="J11914"/>
          <cell r="L11914"/>
          <cell r="M11914"/>
        </row>
        <row r="11915">
          <cell r="B11915"/>
          <cell r="C11915"/>
          <cell r="E11915"/>
          <cell r="F11915"/>
          <cell r="G11915"/>
          <cell r="H11915"/>
          <cell r="J11915"/>
          <cell r="L11915"/>
          <cell r="M11915"/>
        </row>
        <row r="11916">
          <cell r="B11916"/>
          <cell r="C11916"/>
          <cell r="E11916"/>
          <cell r="F11916"/>
          <cell r="G11916"/>
          <cell r="H11916"/>
          <cell r="J11916"/>
          <cell r="L11916"/>
          <cell r="M11916"/>
        </row>
        <row r="11917">
          <cell r="B11917"/>
          <cell r="C11917"/>
          <cell r="E11917"/>
          <cell r="F11917"/>
          <cell r="G11917"/>
          <cell r="H11917"/>
          <cell r="J11917"/>
          <cell r="L11917"/>
          <cell r="M11917"/>
        </row>
        <row r="11918">
          <cell r="B11918"/>
          <cell r="C11918"/>
          <cell r="E11918"/>
          <cell r="F11918"/>
          <cell r="G11918"/>
          <cell r="H11918"/>
          <cell r="J11918"/>
          <cell r="L11918"/>
          <cell r="M11918"/>
        </row>
        <row r="11919">
          <cell r="B11919"/>
          <cell r="C11919"/>
          <cell r="E11919"/>
          <cell r="F11919"/>
          <cell r="G11919"/>
          <cell r="H11919"/>
          <cell r="J11919"/>
          <cell r="L11919"/>
          <cell r="M11919"/>
        </row>
        <row r="11920">
          <cell r="B11920"/>
          <cell r="C11920"/>
          <cell r="E11920"/>
          <cell r="F11920"/>
          <cell r="G11920"/>
          <cell r="H11920"/>
          <cell r="J11920"/>
          <cell r="L11920"/>
          <cell r="M11920"/>
        </row>
        <row r="11921">
          <cell r="B11921"/>
          <cell r="C11921"/>
          <cell r="E11921"/>
          <cell r="F11921"/>
          <cell r="G11921"/>
          <cell r="H11921"/>
          <cell r="J11921"/>
          <cell r="L11921"/>
          <cell r="M11921"/>
        </row>
        <row r="11922">
          <cell r="B11922"/>
          <cell r="C11922"/>
          <cell r="E11922"/>
          <cell r="F11922"/>
          <cell r="G11922"/>
          <cell r="H11922"/>
          <cell r="J11922"/>
          <cell r="L11922"/>
          <cell r="M11922"/>
        </row>
        <row r="11923">
          <cell r="B11923"/>
          <cell r="C11923"/>
          <cell r="E11923"/>
          <cell r="F11923"/>
          <cell r="G11923"/>
          <cell r="H11923"/>
          <cell r="J11923"/>
          <cell r="L11923"/>
          <cell r="M11923"/>
        </row>
        <row r="11924">
          <cell r="B11924"/>
          <cell r="C11924"/>
          <cell r="E11924"/>
          <cell r="F11924"/>
          <cell r="G11924"/>
          <cell r="H11924"/>
          <cell r="J11924"/>
          <cell r="L11924"/>
          <cell r="M11924"/>
        </row>
        <row r="11925">
          <cell r="B11925"/>
          <cell r="C11925"/>
          <cell r="E11925"/>
          <cell r="F11925"/>
          <cell r="G11925"/>
          <cell r="H11925"/>
          <cell r="J11925"/>
          <cell r="L11925"/>
          <cell r="M11925"/>
        </row>
        <row r="11926">
          <cell r="B11926"/>
          <cell r="C11926"/>
          <cell r="E11926"/>
          <cell r="F11926"/>
          <cell r="G11926"/>
          <cell r="H11926"/>
          <cell r="J11926"/>
          <cell r="L11926"/>
          <cell r="M11926"/>
        </row>
        <row r="11927">
          <cell r="B11927"/>
          <cell r="C11927"/>
          <cell r="E11927"/>
          <cell r="F11927"/>
          <cell r="G11927"/>
          <cell r="H11927"/>
          <cell r="J11927"/>
          <cell r="L11927"/>
          <cell r="M11927"/>
        </row>
        <row r="11928">
          <cell r="B11928"/>
          <cell r="C11928"/>
          <cell r="E11928"/>
          <cell r="F11928"/>
          <cell r="G11928"/>
          <cell r="H11928"/>
          <cell r="J11928"/>
          <cell r="L11928"/>
          <cell r="M11928"/>
        </row>
        <row r="11929">
          <cell r="B11929"/>
          <cell r="C11929"/>
          <cell r="E11929"/>
          <cell r="F11929"/>
          <cell r="G11929"/>
          <cell r="H11929"/>
          <cell r="J11929"/>
          <cell r="L11929"/>
          <cell r="M11929"/>
        </row>
        <row r="11930">
          <cell r="B11930"/>
          <cell r="C11930"/>
          <cell r="E11930"/>
          <cell r="F11930"/>
          <cell r="G11930"/>
          <cell r="H11930"/>
          <cell r="J11930"/>
          <cell r="L11930"/>
          <cell r="M11930"/>
        </row>
        <row r="11931">
          <cell r="B11931"/>
          <cell r="C11931"/>
          <cell r="E11931"/>
          <cell r="F11931"/>
          <cell r="G11931"/>
          <cell r="H11931"/>
          <cell r="J11931"/>
          <cell r="L11931"/>
          <cell r="M11931"/>
        </row>
        <row r="11932">
          <cell r="B11932"/>
          <cell r="C11932"/>
          <cell r="E11932"/>
          <cell r="F11932"/>
          <cell r="G11932"/>
          <cell r="H11932"/>
          <cell r="J11932"/>
          <cell r="L11932"/>
          <cell r="M11932"/>
        </row>
        <row r="11933">
          <cell r="B11933"/>
          <cell r="C11933"/>
          <cell r="E11933"/>
          <cell r="F11933"/>
          <cell r="G11933"/>
          <cell r="H11933"/>
          <cell r="J11933"/>
          <cell r="L11933"/>
          <cell r="M11933"/>
        </row>
        <row r="11934">
          <cell r="B11934"/>
          <cell r="C11934"/>
          <cell r="E11934"/>
          <cell r="F11934"/>
          <cell r="G11934"/>
          <cell r="H11934"/>
          <cell r="J11934"/>
          <cell r="L11934"/>
          <cell r="M11934"/>
        </row>
        <row r="11935">
          <cell r="B11935"/>
          <cell r="C11935"/>
          <cell r="E11935"/>
          <cell r="F11935"/>
          <cell r="G11935"/>
          <cell r="H11935"/>
          <cell r="J11935"/>
          <cell r="L11935"/>
          <cell r="M11935"/>
        </row>
        <row r="11936">
          <cell r="B11936"/>
          <cell r="C11936"/>
          <cell r="E11936"/>
          <cell r="F11936"/>
          <cell r="G11936"/>
          <cell r="H11936"/>
          <cell r="J11936"/>
          <cell r="L11936"/>
          <cell r="M11936"/>
        </row>
        <row r="11937">
          <cell r="B11937"/>
          <cell r="C11937"/>
          <cell r="E11937"/>
          <cell r="F11937"/>
          <cell r="G11937"/>
          <cell r="H11937"/>
          <cell r="J11937"/>
          <cell r="L11937"/>
          <cell r="M11937"/>
        </row>
        <row r="11938">
          <cell r="B11938"/>
          <cell r="C11938"/>
          <cell r="E11938"/>
          <cell r="F11938"/>
          <cell r="G11938"/>
          <cell r="H11938"/>
          <cell r="J11938"/>
          <cell r="L11938"/>
          <cell r="M11938"/>
        </row>
        <row r="11939">
          <cell r="B11939"/>
          <cell r="C11939"/>
          <cell r="E11939"/>
          <cell r="F11939"/>
          <cell r="G11939"/>
          <cell r="H11939"/>
          <cell r="J11939"/>
          <cell r="L11939"/>
          <cell r="M11939"/>
        </row>
        <row r="11940">
          <cell r="B11940"/>
          <cell r="C11940"/>
          <cell r="E11940"/>
          <cell r="F11940"/>
          <cell r="G11940"/>
          <cell r="H11940"/>
          <cell r="J11940"/>
          <cell r="L11940"/>
          <cell r="M11940"/>
        </row>
        <row r="11941">
          <cell r="B11941"/>
          <cell r="C11941"/>
          <cell r="E11941"/>
          <cell r="F11941"/>
          <cell r="G11941"/>
          <cell r="H11941"/>
          <cell r="J11941"/>
          <cell r="L11941"/>
          <cell r="M11941"/>
        </row>
        <row r="11942">
          <cell r="B11942"/>
          <cell r="C11942"/>
          <cell r="E11942"/>
          <cell r="F11942"/>
          <cell r="G11942"/>
          <cell r="H11942"/>
          <cell r="J11942"/>
          <cell r="L11942"/>
          <cell r="M11942"/>
        </row>
        <row r="11943">
          <cell r="B11943"/>
          <cell r="C11943"/>
          <cell r="E11943"/>
          <cell r="F11943"/>
          <cell r="G11943"/>
          <cell r="H11943"/>
          <cell r="J11943"/>
          <cell r="L11943"/>
          <cell r="M11943"/>
        </row>
        <row r="11944">
          <cell r="B11944"/>
          <cell r="C11944"/>
          <cell r="E11944"/>
          <cell r="F11944"/>
          <cell r="G11944"/>
          <cell r="H11944"/>
          <cell r="J11944"/>
          <cell r="L11944"/>
          <cell r="M11944"/>
        </row>
        <row r="11945">
          <cell r="B11945"/>
          <cell r="C11945"/>
          <cell r="E11945"/>
          <cell r="F11945"/>
          <cell r="G11945"/>
          <cell r="H11945"/>
          <cell r="J11945"/>
          <cell r="L11945"/>
          <cell r="M11945"/>
        </row>
        <row r="11946">
          <cell r="B11946"/>
          <cell r="C11946"/>
          <cell r="E11946"/>
          <cell r="F11946"/>
          <cell r="G11946"/>
          <cell r="H11946"/>
          <cell r="J11946"/>
          <cell r="L11946"/>
          <cell r="M11946"/>
        </row>
        <row r="11947">
          <cell r="B11947"/>
          <cell r="C11947"/>
          <cell r="E11947"/>
          <cell r="F11947"/>
          <cell r="G11947"/>
          <cell r="H11947"/>
          <cell r="J11947"/>
          <cell r="L11947"/>
          <cell r="M11947"/>
        </row>
        <row r="11948">
          <cell r="B11948"/>
          <cell r="C11948"/>
          <cell r="E11948"/>
          <cell r="F11948"/>
          <cell r="G11948"/>
          <cell r="H11948"/>
          <cell r="J11948"/>
          <cell r="L11948"/>
          <cell r="M11948"/>
        </row>
        <row r="11949">
          <cell r="B11949"/>
          <cell r="C11949"/>
          <cell r="E11949"/>
          <cell r="F11949"/>
          <cell r="G11949"/>
          <cell r="H11949"/>
          <cell r="J11949"/>
          <cell r="L11949"/>
          <cell r="M11949"/>
        </row>
        <row r="11950">
          <cell r="B11950"/>
          <cell r="C11950"/>
          <cell r="E11950"/>
          <cell r="F11950"/>
          <cell r="G11950"/>
          <cell r="H11950"/>
          <cell r="J11950"/>
          <cell r="L11950"/>
          <cell r="M11950"/>
        </row>
        <row r="11951">
          <cell r="B11951"/>
          <cell r="C11951"/>
          <cell r="E11951"/>
          <cell r="F11951"/>
          <cell r="G11951"/>
          <cell r="H11951"/>
          <cell r="J11951"/>
          <cell r="L11951"/>
          <cell r="M11951"/>
        </row>
        <row r="11952">
          <cell r="B11952"/>
          <cell r="C11952"/>
          <cell r="E11952"/>
          <cell r="F11952"/>
          <cell r="G11952"/>
          <cell r="H11952"/>
          <cell r="J11952"/>
          <cell r="L11952"/>
          <cell r="M11952"/>
        </row>
        <row r="11953">
          <cell r="B11953"/>
          <cell r="C11953"/>
          <cell r="E11953"/>
          <cell r="F11953"/>
          <cell r="G11953"/>
          <cell r="H11953"/>
          <cell r="J11953"/>
          <cell r="L11953"/>
          <cell r="M11953"/>
        </row>
        <row r="11954">
          <cell r="B11954"/>
          <cell r="C11954"/>
          <cell r="E11954"/>
          <cell r="F11954"/>
          <cell r="G11954"/>
          <cell r="H11954"/>
          <cell r="J11954"/>
          <cell r="L11954"/>
          <cell r="M11954"/>
        </row>
      </sheetData>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FICOS"/>
      <sheetName val="Instrução Lançamento"/>
      <sheetName val="BASE DADOS"/>
      <sheetName val="PEÇAS GARANTIA"/>
      <sheetName val="CATEGORIAS"/>
    </sheetNames>
    <sheetDataSet>
      <sheetData sheetId="0"/>
      <sheetData sheetId="1"/>
      <sheetData sheetId="2"/>
      <sheetData sheetId="3">
        <row r="3">
          <cell r="A3" t="str">
            <v>DEZEMBRO</v>
          </cell>
          <cell r="R3">
            <v>1995.1399999979999</v>
          </cell>
        </row>
        <row r="4">
          <cell r="A4" t="str">
            <v>DEZEMBRO</v>
          </cell>
          <cell r="R4">
            <v>894.60666659999993</v>
          </cell>
        </row>
        <row r="5">
          <cell r="A5" t="str">
            <v>DEZEMBRO</v>
          </cell>
          <cell r="R5">
            <v>71</v>
          </cell>
        </row>
        <row r="6">
          <cell r="A6" t="str">
            <v>DEZEMBRO</v>
          </cell>
          <cell r="R6">
            <v>145</v>
          </cell>
        </row>
        <row r="7">
          <cell r="A7">
            <v>20210121</v>
          </cell>
          <cell r="R7">
            <v>1001.78</v>
          </cell>
        </row>
        <row r="8">
          <cell r="A8">
            <v>20210429</v>
          </cell>
          <cell r="R8">
            <v>680</v>
          </cell>
        </row>
        <row r="9">
          <cell r="A9">
            <v>20210116</v>
          </cell>
          <cell r="R9">
            <v>1380</v>
          </cell>
        </row>
        <row r="10">
          <cell r="A10">
            <v>20210116</v>
          </cell>
          <cell r="R10">
            <v>3250</v>
          </cell>
        </row>
        <row r="11">
          <cell r="A11">
            <v>20210118</v>
          </cell>
          <cell r="R11">
            <v>650</v>
          </cell>
        </row>
        <row r="12">
          <cell r="A12">
            <v>20210118</v>
          </cell>
          <cell r="R12">
            <v>149</v>
          </cell>
        </row>
        <row r="13">
          <cell r="A13">
            <v>20210425</v>
          </cell>
          <cell r="R13">
            <v>1037.1299999999999</v>
          </cell>
        </row>
        <row r="14">
          <cell r="A14">
            <v>20210116</v>
          </cell>
          <cell r="R14">
            <v>337.5</v>
          </cell>
        </row>
        <row r="15">
          <cell r="A15" t="str">
            <v>DEZEMBRO</v>
          </cell>
          <cell r="R15">
            <v>74.55</v>
          </cell>
        </row>
        <row r="16">
          <cell r="A16" t="str">
            <v>DEZEMBRO</v>
          </cell>
          <cell r="R16">
            <v>2810</v>
          </cell>
        </row>
        <row r="17">
          <cell r="A17" t="str">
            <v>DEZEMBRO</v>
          </cell>
          <cell r="R17">
            <v>1921.58</v>
          </cell>
        </row>
        <row r="18">
          <cell r="A18" t="str">
            <v>DEZEMBRO</v>
          </cell>
          <cell r="R18">
            <v>460</v>
          </cell>
        </row>
        <row r="19">
          <cell r="A19" t="str">
            <v>DEZEMBRO</v>
          </cell>
          <cell r="R19">
            <v>73</v>
          </cell>
        </row>
        <row r="20">
          <cell r="A20" t="str">
            <v>DEZEMBRO</v>
          </cell>
          <cell r="R20">
            <v>983.03</v>
          </cell>
        </row>
        <row r="21">
          <cell r="A21" t="str">
            <v>DEZEMBRO</v>
          </cell>
          <cell r="R21">
            <v>897.6</v>
          </cell>
        </row>
        <row r="22">
          <cell r="A22" t="str">
            <v>DEZEMBRO</v>
          </cell>
          <cell r="R22">
            <v>378.67</v>
          </cell>
        </row>
        <row r="23">
          <cell r="A23" t="str">
            <v>DEZEMBRO</v>
          </cell>
          <cell r="R23">
            <v>1037.73</v>
          </cell>
        </row>
        <row r="24">
          <cell r="A24" t="str">
            <v>DEZEMBRO</v>
          </cell>
          <cell r="R24">
            <v>650</v>
          </cell>
        </row>
        <row r="25">
          <cell r="A25" t="str">
            <v>DEZEMBRO</v>
          </cell>
          <cell r="R25">
            <v>90</v>
          </cell>
        </row>
        <row r="26">
          <cell r="A26" t="str">
            <v>DEZEMBRO</v>
          </cell>
          <cell r="R26">
            <v>650</v>
          </cell>
        </row>
        <row r="27">
          <cell r="A27" t="str">
            <v>DEZEMBRO</v>
          </cell>
          <cell r="R27">
            <v>90</v>
          </cell>
        </row>
        <row r="28">
          <cell r="A28" t="str">
            <v>DEZEMBRO</v>
          </cell>
          <cell r="R28">
            <v>30</v>
          </cell>
        </row>
        <row r="29">
          <cell r="A29" t="str">
            <v>DEZEMBRO</v>
          </cell>
          <cell r="R29">
            <v>65.875</v>
          </cell>
        </row>
        <row r="30">
          <cell r="A30" t="str">
            <v>DEZEMBRO</v>
          </cell>
          <cell r="R30">
            <v>65.875</v>
          </cell>
        </row>
        <row r="31">
          <cell r="A31" t="str">
            <v>DEZEMBRO</v>
          </cell>
          <cell r="R31">
            <v>102.09</v>
          </cell>
        </row>
        <row r="32">
          <cell r="A32" t="str">
            <v>DEZEMBRO</v>
          </cell>
          <cell r="R32">
            <v>920</v>
          </cell>
        </row>
        <row r="33">
          <cell r="A33" t="str">
            <v>DEZEMBRO</v>
          </cell>
          <cell r="R33">
            <v>3226.08</v>
          </cell>
        </row>
        <row r="34">
          <cell r="A34" t="str">
            <v>DEZEMBRO</v>
          </cell>
          <cell r="R34">
            <v>550</v>
          </cell>
        </row>
        <row r="35">
          <cell r="A35" t="str">
            <v>DEZEMBRO</v>
          </cell>
          <cell r="R35">
            <v>334</v>
          </cell>
        </row>
        <row r="36">
          <cell r="A36" t="str">
            <v>DEZEMBRO</v>
          </cell>
          <cell r="R36">
            <v>2200</v>
          </cell>
        </row>
        <row r="37">
          <cell r="A37" t="str">
            <v>DEZEMBRO</v>
          </cell>
          <cell r="R37">
            <v>650</v>
          </cell>
        </row>
        <row r="38">
          <cell r="A38" t="str">
            <v>DEZEMBRO</v>
          </cell>
          <cell r="R38">
            <v>1144.68</v>
          </cell>
        </row>
        <row r="39">
          <cell r="A39" t="str">
            <v>DEZEMBRO</v>
          </cell>
          <cell r="R39">
            <v>295</v>
          </cell>
        </row>
        <row r="40">
          <cell r="A40" t="str">
            <v>DEZEMBRO</v>
          </cell>
          <cell r="R40">
            <v>7200</v>
          </cell>
        </row>
        <row r="41">
          <cell r="A41" t="str">
            <v>DEZEMBRO</v>
          </cell>
          <cell r="R41">
            <v>20000</v>
          </cell>
        </row>
        <row r="42">
          <cell r="A42" t="str">
            <v>DEZEMBRO</v>
          </cell>
          <cell r="R42">
            <v>9650</v>
          </cell>
        </row>
        <row r="43">
          <cell r="A43" t="str">
            <v>DEZEMBRO</v>
          </cell>
          <cell r="R43">
            <v>920</v>
          </cell>
        </row>
        <row r="44">
          <cell r="A44" t="str">
            <v>DEZEMBRO</v>
          </cell>
          <cell r="R44">
            <v>1551.62</v>
          </cell>
        </row>
        <row r="45">
          <cell r="A45" t="str">
            <v>DEZEMBRO</v>
          </cell>
          <cell r="R45">
            <v>450</v>
          </cell>
        </row>
        <row r="46">
          <cell r="A46" t="str">
            <v>DEZEMBRO</v>
          </cell>
          <cell r="R46">
            <v>73</v>
          </cell>
        </row>
        <row r="47">
          <cell r="A47" t="str">
            <v>DEZEMBRO</v>
          </cell>
          <cell r="R47">
            <v>691.42</v>
          </cell>
        </row>
        <row r="48">
          <cell r="A48" t="str">
            <v>DEZEMBRO</v>
          </cell>
          <cell r="R48">
            <v>349.2</v>
          </cell>
        </row>
        <row r="49">
          <cell r="A49" t="str">
            <v>DEZEMBRO</v>
          </cell>
          <cell r="R49">
            <v>8.39</v>
          </cell>
        </row>
        <row r="50">
          <cell r="A50" t="str">
            <v>DEZEMBRO</v>
          </cell>
          <cell r="R50">
            <v>206.42</v>
          </cell>
        </row>
        <row r="51">
          <cell r="A51" t="str">
            <v>DEZEMBRO</v>
          </cell>
          <cell r="R51">
            <v>639.79999999999995</v>
          </cell>
        </row>
        <row r="52">
          <cell r="A52" t="str">
            <v>DEZEMBRO</v>
          </cell>
          <cell r="R52">
            <v>25</v>
          </cell>
        </row>
        <row r="53">
          <cell r="A53" t="str">
            <v>DEZEMBRO</v>
          </cell>
          <cell r="R53">
            <v>75</v>
          </cell>
        </row>
        <row r="54">
          <cell r="A54" t="str">
            <v>DEZEMBRO</v>
          </cell>
          <cell r="R54">
            <v>1900</v>
          </cell>
        </row>
        <row r="55">
          <cell r="A55" t="str">
            <v>DEZEMBRO</v>
          </cell>
          <cell r="R55">
            <v>350</v>
          </cell>
        </row>
        <row r="56">
          <cell r="A56" t="str">
            <v>DEZEMBRO</v>
          </cell>
          <cell r="R56">
            <v>109</v>
          </cell>
        </row>
        <row r="57">
          <cell r="A57" t="str">
            <v>DEZEMBRO</v>
          </cell>
          <cell r="R57">
            <v>345.71</v>
          </cell>
        </row>
        <row r="58">
          <cell r="A58" t="str">
            <v>DEZEMBRO</v>
          </cell>
          <cell r="R58">
            <v>718</v>
          </cell>
        </row>
        <row r="59">
          <cell r="A59" t="str">
            <v>DEZEMBRO</v>
          </cell>
          <cell r="R59">
            <v>73</v>
          </cell>
        </row>
        <row r="60">
          <cell r="A60" t="str">
            <v>DEZEMBRO</v>
          </cell>
          <cell r="R60">
            <v>2050</v>
          </cell>
        </row>
        <row r="61">
          <cell r="A61" t="str">
            <v>DEZEMBRO</v>
          </cell>
          <cell r="R61">
            <v>2242.35</v>
          </cell>
        </row>
        <row r="62">
          <cell r="A62" t="str">
            <v>DEZEMBRO</v>
          </cell>
          <cell r="R62">
            <v>1006.11</v>
          </cell>
        </row>
        <row r="63">
          <cell r="A63" t="str">
            <v>DEZEMBRO</v>
          </cell>
          <cell r="R63">
            <v>5</v>
          </cell>
        </row>
        <row r="64">
          <cell r="A64" t="str">
            <v>DEZEMBRO</v>
          </cell>
          <cell r="R64">
            <v>18</v>
          </cell>
        </row>
        <row r="65">
          <cell r="A65" t="str">
            <v>DEZEMBRO</v>
          </cell>
          <cell r="R65">
            <v>34</v>
          </cell>
        </row>
        <row r="66">
          <cell r="A66" t="str">
            <v>DEZEMBRO</v>
          </cell>
          <cell r="R66">
            <v>982.22</v>
          </cell>
        </row>
        <row r="67">
          <cell r="A67" t="str">
            <v>DEZEMBRO</v>
          </cell>
          <cell r="R67">
            <v>2643.9052799999995</v>
          </cell>
        </row>
        <row r="68">
          <cell r="A68" t="str">
            <v>DEZEMBRO</v>
          </cell>
          <cell r="R68">
            <v>982.21810000000005</v>
          </cell>
        </row>
        <row r="69">
          <cell r="A69" t="str">
            <v>DEZEMBRO</v>
          </cell>
          <cell r="R69">
            <v>5042.8147199999994</v>
          </cell>
        </row>
        <row r="70">
          <cell r="A70" t="str">
            <v>DEZEMBRO</v>
          </cell>
          <cell r="R70">
            <v>64.05</v>
          </cell>
        </row>
        <row r="71">
          <cell r="A71" t="str">
            <v>DEZEMBRO</v>
          </cell>
          <cell r="R71">
            <v>40.14</v>
          </cell>
        </row>
        <row r="72">
          <cell r="A72" t="str">
            <v>DEZEMBRO</v>
          </cell>
          <cell r="R72">
            <v>72.94</v>
          </cell>
        </row>
        <row r="73">
          <cell r="A73" t="str">
            <v>DEZEMBRO</v>
          </cell>
          <cell r="R73">
            <v>268.27</v>
          </cell>
        </row>
        <row r="74">
          <cell r="A74" t="str">
            <v>DEZEMBRO</v>
          </cell>
          <cell r="R74">
            <v>11.91</v>
          </cell>
        </row>
        <row r="75">
          <cell r="A75" t="str">
            <v>DEZEMBRO</v>
          </cell>
          <cell r="R75">
            <v>14.52</v>
          </cell>
        </row>
        <row r="76">
          <cell r="A76" t="str">
            <v>DEZEMBRO</v>
          </cell>
          <cell r="R76">
            <v>158</v>
          </cell>
        </row>
        <row r="77">
          <cell r="A77" t="str">
            <v>DEZEMBRO</v>
          </cell>
          <cell r="R77">
            <v>982.22</v>
          </cell>
        </row>
        <row r="78">
          <cell r="A78" t="str">
            <v>DEZEMBRO</v>
          </cell>
          <cell r="R78">
            <v>150</v>
          </cell>
        </row>
        <row r="79">
          <cell r="A79" t="str">
            <v>DEZEMBRO</v>
          </cell>
          <cell r="R79">
            <v>100</v>
          </cell>
        </row>
        <row r="80">
          <cell r="A80" t="str">
            <v>DEZEMBRO</v>
          </cell>
          <cell r="R80">
            <v>6240</v>
          </cell>
        </row>
        <row r="81">
          <cell r="A81" t="str">
            <v>DEZEMBRO</v>
          </cell>
          <cell r="R81">
            <v>1964.42</v>
          </cell>
        </row>
        <row r="82">
          <cell r="A82" t="str">
            <v>DEZEMBRO</v>
          </cell>
          <cell r="R82">
            <v>2643.8999999999996</v>
          </cell>
        </row>
        <row r="83">
          <cell r="A83" t="str">
            <v>DEZEMBRO</v>
          </cell>
          <cell r="R83">
            <v>982.22900000000004</v>
          </cell>
        </row>
        <row r="84">
          <cell r="A84" t="str">
            <v>DEZEMBRO</v>
          </cell>
          <cell r="R84">
            <v>1730.21</v>
          </cell>
        </row>
        <row r="85">
          <cell r="A85" t="str">
            <v>DEZEMBRO</v>
          </cell>
          <cell r="R85">
            <v>867.17</v>
          </cell>
        </row>
        <row r="86">
          <cell r="A86" t="str">
            <v>DEZEMBRO</v>
          </cell>
          <cell r="R86">
            <v>181</v>
          </cell>
        </row>
        <row r="87">
          <cell r="A87" t="str">
            <v>DEZEMBRO</v>
          </cell>
          <cell r="R87">
            <v>100</v>
          </cell>
        </row>
        <row r="88">
          <cell r="A88" t="str">
            <v>DEZEMBRO</v>
          </cell>
          <cell r="R88">
            <v>100</v>
          </cell>
        </row>
        <row r="89">
          <cell r="A89" t="str">
            <v>DEZEMBRO</v>
          </cell>
          <cell r="R89">
            <v>254.06</v>
          </cell>
        </row>
        <row r="90">
          <cell r="A90" t="str">
            <v>DEZEMBRO</v>
          </cell>
          <cell r="R90">
            <v>150</v>
          </cell>
        </row>
        <row r="91">
          <cell r="A91" t="str">
            <v>DEZEMBRO</v>
          </cell>
          <cell r="R91">
            <v>150</v>
          </cell>
        </row>
        <row r="92">
          <cell r="A92" t="str">
            <v>DEZEMBRO</v>
          </cell>
          <cell r="R92">
            <v>100</v>
          </cell>
        </row>
        <row r="93">
          <cell r="A93" t="str">
            <v>DEZEMBRO</v>
          </cell>
          <cell r="R93">
            <v>100</v>
          </cell>
        </row>
        <row r="94">
          <cell r="A94" t="str">
            <v>DEZEMBRO</v>
          </cell>
          <cell r="R94">
            <v>100</v>
          </cell>
        </row>
        <row r="95">
          <cell r="A95" t="str">
            <v>DEZEMBRO</v>
          </cell>
          <cell r="R95">
            <v>10</v>
          </cell>
        </row>
        <row r="96">
          <cell r="A96" t="str">
            <v>DEZEMBRO</v>
          </cell>
          <cell r="R96">
            <v>675</v>
          </cell>
        </row>
        <row r="97">
          <cell r="A97" t="str">
            <v>DEZEMBRO</v>
          </cell>
          <cell r="R97">
            <v>72.5</v>
          </cell>
        </row>
        <row r="98">
          <cell r="A98" t="str">
            <v>DEZEMBRO</v>
          </cell>
          <cell r="R98">
            <v>23913.3</v>
          </cell>
        </row>
        <row r="99">
          <cell r="A99" t="str">
            <v>DEZEMBRO</v>
          </cell>
          <cell r="R99">
            <v>1802.79</v>
          </cell>
        </row>
        <row r="100">
          <cell r="A100">
            <v>20210308</v>
          </cell>
          <cell r="R100">
            <v>829.24</v>
          </cell>
        </row>
        <row r="101">
          <cell r="A101">
            <v>20210308</v>
          </cell>
          <cell r="R101">
            <v>30</v>
          </cell>
        </row>
        <row r="102">
          <cell r="A102">
            <v>20210308</v>
          </cell>
          <cell r="R102">
            <v>92.429999999999993</v>
          </cell>
        </row>
        <row r="103">
          <cell r="A103">
            <v>20210305</v>
          </cell>
          <cell r="R103">
            <v>3100</v>
          </cell>
        </row>
        <row r="104">
          <cell r="A104">
            <v>20210304</v>
          </cell>
          <cell r="R104">
            <v>250</v>
          </cell>
        </row>
        <row r="105">
          <cell r="A105">
            <v>20210401</v>
          </cell>
          <cell r="R105">
            <v>384.81</v>
          </cell>
        </row>
        <row r="106">
          <cell r="A106">
            <v>20210320</v>
          </cell>
          <cell r="R106">
            <v>1380</v>
          </cell>
        </row>
        <row r="107">
          <cell r="A107">
            <v>20210320</v>
          </cell>
          <cell r="R107">
            <v>589.28</v>
          </cell>
        </row>
        <row r="108">
          <cell r="A108">
            <v>20210423</v>
          </cell>
          <cell r="R108">
            <v>166.5</v>
          </cell>
        </row>
        <row r="109">
          <cell r="A109">
            <v>20210320</v>
          </cell>
          <cell r="R109">
            <v>2261.1642000000002</v>
          </cell>
        </row>
        <row r="110">
          <cell r="A110">
            <v>20210320</v>
          </cell>
          <cell r="R110">
            <v>308.0496</v>
          </cell>
        </row>
        <row r="111">
          <cell r="A111">
            <v>20210320</v>
          </cell>
          <cell r="R111">
            <v>240</v>
          </cell>
        </row>
        <row r="112">
          <cell r="A112">
            <v>20210320</v>
          </cell>
          <cell r="R112">
            <v>260.10000000000002</v>
          </cell>
        </row>
        <row r="113">
          <cell r="A113">
            <v>20210320</v>
          </cell>
          <cell r="R113">
            <v>100</v>
          </cell>
        </row>
        <row r="114">
          <cell r="A114">
            <v>20210320</v>
          </cell>
          <cell r="R114">
            <v>344.04</v>
          </cell>
        </row>
        <row r="115">
          <cell r="A115">
            <v>20210320</v>
          </cell>
          <cell r="R115">
            <v>100</v>
          </cell>
        </row>
        <row r="116">
          <cell r="A116">
            <v>20210320</v>
          </cell>
          <cell r="R116">
            <v>250.06</v>
          </cell>
        </row>
        <row r="117">
          <cell r="A117">
            <v>20210320</v>
          </cell>
          <cell r="R117">
            <v>100</v>
          </cell>
        </row>
        <row r="118">
          <cell r="A118">
            <v>20210335</v>
          </cell>
          <cell r="R118">
            <v>11000</v>
          </cell>
        </row>
        <row r="119">
          <cell r="A119">
            <v>20210335</v>
          </cell>
          <cell r="R119">
            <v>139</v>
          </cell>
        </row>
        <row r="120">
          <cell r="A120">
            <v>20210320</v>
          </cell>
          <cell r="R120">
            <v>400</v>
          </cell>
        </row>
        <row r="121">
          <cell r="A121">
            <v>20210320</v>
          </cell>
          <cell r="R121">
            <v>4332.13</v>
          </cell>
        </row>
        <row r="122">
          <cell r="A122">
            <v>20210424</v>
          </cell>
          <cell r="R122">
            <v>20</v>
          </cell>
        </row>
        <row r="123">
          <cell r="A123">
            <v>20210116</v>
          </cell>
          <cell r="R123">
            <v>320</v>
          </cell>
        </row>
        <row r="124">
          <cell r="A124">
            <v>20210211</v>
          </cell>
          <cell r="R124">
            <v>90</v>
          </cell>
        </row>
        <row r="125">
          <cell r="A125">
            <v>20210423</v>
          </cell>
          <cell r="R125">
            <v>890</v>
          </cell>
        </row>
        <row r="126">
          <cell r="A126">
            <v>20210320</v>
          </cell>
          <cell r="R126">
            <v>175</v>
          </cell>
        </row>
        <row r="127">
          <cell r="A127">
            <v>20210320</v>
          </cell>
          <cell r="R127">
            <v>460</v>
          </cell>
        </row>
        <row r="128">
          <cell r="A128">
            <v>20210320</v>
          </cell>
          <cell r="R128">
            <v>326</v>
          </cell>
        </row>
        <row r="129">
          <cell r="A129">
            <v>20210320</v>
          </cell>
          <cell r="R129">
            <v>158</v>
          </cell>
        </row>
        <row r="130">
          <cell r="A130">
            <v>20210423</v>
          </cell>
          <cell r="R130">
            <v>280</v>
          </cell>
        </row>
        <row r="131">
          <cell r="A131">
            <v>20210423</v>
          </cell>
          <cell r="R131">
            <v>4360</v>
          </cell>
        </row>
        <row r="132">
          <cell r="A132">
            <v>20210423</v>
          </cell>
          <cell r="R132">
            <v>854.31999999999994</v>
          </cell>
        </row>
        <row r="133">
          <cell r="A133">
            <v>20210423</v>
          </cell>
          <cell r="R133">
            <v>260.45999999999998</v>
          </cell>
        </row>
        <row r="134">
          <cell r="A134">
            <v>20210200</v>
          </cell>
          <cell r="R134">
            <v>5867.3499999899996</v>
          </cell>
        </row>
        <row r="135">
          <cell r="A135">
            <v>20210200</v>
          </cell>
          <cell r="R135">
            <v>3020.2066666666997</v>
          </cell>
        </row>
        <row r="136">
          <cell r="A136">
            <v>20210322</v>
          </cell>
          <cell r="R136">
            <v>76</v>
          </cell>
        </row>
        <row r="137">
          <cell r="A137">
            <v>20210320</v>
          </cell>
          <cell r="R137">
            <v>644</v>
          </cell>
        </row>
        <row r="138">
          <cell r="A138">
            <v>20210320</v>
          </cell>
          <cell r="R138">
            <v>22.9</v>
          </cell>
        </row>
        <row r="139">
          <cell r="A139">
            <v>20210423</v>
          </cell>
          <cell r="R139">
            <v>280</v>
          </cell>
        </row>
        <row r="140">
          <cell r="A140">
            <v>20210322</v>
          </cell>
          <cell r="R140">
            <v>20</v>
          </cell>
        </row>
        <row r="141">
          <cell r="A141">
            <v>20210307</v>
          </cell>
          <cell r="R141">
            <v>2576.1000000000004</v>
          </cell>
        </row>
        <row r="142">
          <cell r="A142">
            <v>20210421</v>
          </cell>
          <cell r="R142">
            <v>962.94</v>
          </cell>
        </row>
        <row r="143">
          <cell r="A143">
            <v>20210421</v>
          </cell>
          <cell r="R143">
            <v>554.74</v>
          </cell>
        </row>
        <row r="144">
          <cell r="A144">
            <v>20210421</v>
          </cell>
          <cell r="R144">
            <v>193.82</v>
          </cell>
        </row>
        <row r="145">
          <cell r="A145">
            <v>20210421</v>
          </cell>
          <cell r="R145">
            <v>63.89</v>
          </cell>
        </row>
        <row r="146">
          <cell r="A146">
            <v>20210335</v>
          </cell>
          <cell r="R146">
            <v>400</v>
          </cell>
        </row>
        <row r="147">
          <cell r="A147">
            <v>20210420</v>
          </cell>
          <cell r="R147">
            <v>162</v>
          </cell>
        </row>
        <row r="148">
          <cell r="A148">
            <v>20210401</v>
          </cell>
          <cell r="R148">
            <v>81.599999999999994</v>
          </cell>
        </row>
        <row r="149">
          <cell r="A149">
            <v>20210337</v>
          </cell>
          <cell r="R149">
            <v>100</v>
          </cell>
        </row>
        <row r="150">
          <cell r="A150">
            <v>20210335</v>
          </cell>
          <cell r="R150">
            <v>1515.3000000000002</v>
          </cell>
        </row>
        <row r="151">
          <cell r="A151">
            <v>20210335</v>
          </cell>
          <cell r="R151">
            <v>179.6</v>
          </cell>
        </row>
        <row r="152">
          <cell r="A152">
            <v>20210335</v>
          </cell>
          <cell r="R152">
            <v>31.71</v>
          </cell>
        </row>
        <row r="153">
          <cell r="A153">
            <v>20210320</v>
          </cell>
          <cell r="R153">
            <v>4179.46</v>
          </cell>
        </row>
        <row r="154">
          <cell r="A154">
            <v>20210320</v>
          </cell>
          <cell r="R154">
            <v>1380</v>
          </cell>
        </row>
        <row r="155">
          <cell r="A155">
            <v>20210320</v>
          </cell>
          <cell r="R155">
            <v>1962.52</v>
          </cell>
        </row>
        <row r="156">
          <cell r="A156">
            <v>20210411</v>
          </cell>
          <cell r="R156">
            <v>600</v>
          </cell>
        </row>
        <row r="157">
          <cell r="A157">
            <v>20210411</v>
          </cell>
          <cell r="R157">
            <v>1061</v>
          </cell>
        </row>
        <row r="158">
          <cell r="A158">
            <v>20210411</v>
          </cell>
          <cell r="R158">
            <v>408</v>
          </cell>
        </row>
        <row r="159">
          <cell r="A159">
            <v>20210333</v>
          </cell>
          <cell r="R159">
            <v>1864.5</v>
          </cell>
        </row>
        <row r="160">
          <cell r="A160">
            <v>20210403</v>
          </cell>
          <cell r="R160">
            <v>55.8</v>
          </cell>
        </row>
        <row r="161">
          <cell r="A161">
            <v>20210403</v>
          </cell>
          <cell r="R161">
            <v>111.6</v>
          </cell>
        </row>
        <row r="162">
          <cell r="A162">
            <v>20210403</v>
          </cell>
          <cell r="R162">
            <v>152</v>
          </cell>
        </row>
        <row r="163">
          <cell r="A163">
            <v>20210403</v>
          </cell>
          <cell r="R163">
            <v>212.25</v>
          </cell>
        </row>
        <row r="164">
          <cell r="A164">
            <v>20210403</v>
          </cell>
          <cell r="R164">
            <v>110</v>
          </cell>
        </row>
        <row r="165">
          <cell r="A165">
            <v>20210403</v>
          </cell>
          <cell r="R165">
            <v>84</v>
          </cell>
        </row>
        <row r="166">
          <cell r="A166">
            <v>20210403</v>
          </cell>
          <cell r="R166">
            <v>168</v>
          </cell>
        </row>
        <row r="167">
          <cell r="A167">
            <v>20210306</v>
          </cell>
          <cell r="R167">
            <v>160.37</v>
          </cell>
        </row>
        <row r="168">
          <cell r="A168">
            <v>20210438</v>
          </cell>
          <cell r="R168">
            <v>3900</v>
          </cell>
        </row>
        <row r="169">
          <cell r="A169">
            <v>20210438</v>
          </cell>
          <cell r="R169">
            <v>250</v>
          </cell>
        </row>
        <row r="170">
          <cell r="A170">
            <v>20210443</v>
          </cell>
          <cell r="R170">
            <v>500</v>
          </cell>
        </row>
        <row r="171">
          <cell r="A171">
            <v>20210443</v>
          </cell>
          <cell r="R171">
            <v>5800</v>
          </cell>
        </row>
        <row r="172">
          <cell r="A172">
            <v>20210443</v>
          </cell>
          <cell r="R172">
            <v>4800</v>
          </cell>
        </row>
        <row r="173">
          <cell r="A173">
            <v>20210443</v>
          </cell>
          <cell r="R173">
            <v>407.4</v>
          </cell>
        </row>
        <row r="174">
          <cell r="A174">
            <v>20210443</v>
          </cell>
          <cell r="R174">
            <v>2116.89</v>
          </cell>
        </row>
        <row r="175">
          <cell r="A175">
            <v>20210443</v>
          </cell>
          <cell r="R175">
            <v>290</v>
          </cell>
        </row>
        <row r="176">
          <cell r="A176">
            <v>20210443</v>
          </cell>
          <cell r="R176">
            <v>330</v>
          </cell>
        </row>
        <row r="177">
          <cell r="A177">
            <v>20210443</v>
          </cell>
          <cell r="R177">
            <v>450</v>
          </cell>
        </row>
        <row r="178">
          <cell r="A178">
            <v>20210443</v>
          </cell>
          <cell r="R178">
            <v>29.400000000000002</v>
          </cell>
        </row>
        <row r="179">
          <cell r="A179">
            <v>20210443</v>
          </cell>
          <cell r="R179">
            <v>396</v>
          </cell>
        </row>
        <row r="180">
          <cell r="A180">
            <v>20210443</v>
          </cell>
          <cell r="R180">
            <v>67</v>
          </cell>
        </row>
        <row r="181">
          <cell r="A181">
            <v>20210443</v>
          </cell>
          <cell r="R181">
            <v>33.5</v>
          </cell>
        </row>
        <row r="182">
          <cell r="A182">
            <v>20210443</v>
          </cell>
          <cell r="R182">
            <v>821.07</v>
          </cell>
        </row>
        <row r="183">
          <cell r="A183">
            <v>20210443</v>
          </cell>
          <cell r="R183">
            <v>1781.76</v>
          </cell>
        </row>
        <row r="184">
          <cell r="A184">
            <v>20210443</v>
          </cell>
          <cell r="R184">
            <v>367.84</v>
          </cell>
        </row>
        <row r="185">
          <cell r="A185">
            <v>20210443</v>
          </cell>
          <cell r="R185">
            <v>210</v>
          </cell>
        </row>
        <row r="186">
          <cell r="A186">
            <v>20210443</v>
          </cell>
          <cell r="R186">
            <v>140</v>
          </cell>
        </row>
        <row r="187">
          <cell r="A187">
            <v>20210443</v>
          </cell>
          <cell r="R187">
            <v>618.53</v>
          </cell>
        </row>
        <row r="188">
          <cell r="A188">
            <v>20210443</v>
          </cell>
          <cell r="R188">
            <v>190</v>
          </cell>
        </row>
        <row r="189">
          <cell r="A189">
            <v>20210443</v>
          </cell>
          <cell r="R189">
            <v>110</v>
          </cell>
        </row>
        <row r="190">
          <cell r="A190">
            <v>20210441</v>
          </cell>
          <cell r="R190">
            <v>350</v>
          </cell>
        </row>
        <row r="191">
          <cell r="A191">
            <v>20210441</v>
          </cell>
          <cell r="R191">
            <v>234.66</v>
          </cell>
        </row>
        <row r="192">
          <cell r="A192">
            <v>20210200</v>
          </cell>
          <cell r="R192">
            <v>450</v>
          </cell>
        </row>
        <row r="193">
          <cell r="A193">
            <v>20210441</v>
          </cell>
          <cell r="R193">
            <v>100</v>
          </cell>
        </row>
        <row r="194">
          <cell r="A194">
            <v>20210441</v>
          </cell>
          <cell r="R194">
            <v>201.72</v>
          </cell>
        </row>
        <row r="195">
          <cell r="A195">
            <v>20210441</v>
          </cell>
          <cell r="R195">
            <v>100</v>
          </cell>
        </row>
        <row r="196">
          <cell r="A196">
            <v>20210441</v>
          </cell>
          <cell r="R196">
            <v>345.71</v>
          </cell>
        </row>
        <row r="197">
          <cell r="A197">
            <v>20210441</v>
          </cell>
          <cell r="R197">
            <v>268.27</v>
          </cell>
        </row>
        <row r="198">
          <cell r="A198">
            <v>20210502</v>
          </cell>
          <cell r="R198">
            <v>73</v>
          </cell>
        </row>
        <row r="199">
          <cell r="A199">
            <v>20210502</v>
          </cell>
          <cell r="R199">
            <v>190</v>
          </cell>
        </row>
        <row r="200">
          <cell r="A200">
            <v>20210502</v>
          </cell>
          <cell r="R200">
            <v>142</v>
          </cell>
        </row>
        <row r="201">
          <cell r="A201">
            <v>20210502</v>
          </cell>
          <cell r="R201">
            <v>175</v>
          </cell>
        </row>
        <row r="202">
          <cell r="A202">
            <v>20210441</v>
          </cell>
          <cell r="R202">
            <v>150</v>
          </cell>
        </row>
        <row r="203">
          <cell r="A203">
            <v>20210441</v>
          </cell>
          <cell r="R203">
            <v>150</v>
          </cell>
        </row>
        <row r="204">
          <cell r="A204">
            <v>20210441</v>
          </cell>
          <cell r="R204">
            <v>1698.34</v>
          </cell>
        </row>
        <row r="205">
          <cell r="A205">
            <v>20210502</v>
          </cell>
          <cell r="R205">
            <v>230</v>
          </cell>
        </row>
        <row r="206">
          <cell r="A206">
            <v>20210502</v>
          </cell>
          <cell r="R206">
            <v>4.25</v>
          </cell>
        </row>
        <row r="207">
          <cell r="A207">
            <v>20210502</v>
          </cell>
          <cell r="R207">
            <v>8.6</v>
          </cell>
        </row>
        <row r="208">
          <cell r="A208">
            <v>20210502</v>
          </cell>
          <cell r="R208">
            <v>169</v>
          </cell>
        </row>
        <row r="209">
          <cell r="A209">
            <v>20210441</v>
          </cell>
          <cell r="R209">
            <v>50</v>
          </cell>
        </row>
        <row r="210">
          <cell r="A210">
            <v>20210622</v>
          </cell>
          <cell r="R210">
            <v>195.3</v>
          </cell>
        </row>
        <row r="211">
          <cell r="A211">
            <v>20210441</v>
          </cell>
          <cell r="R211">
            <v>1380</v>
          </cell>
        </row>
        <row r="212">
          <cell r="A212">
            <v>20210441</v>
          </cell>
          <cell r="R212">
            <v>2000</v>
          </cell>
        </row>
        <row r="213">
          <cell r="A213">
            <v>20210401</v>
          </cell>
          <cell r="R213">
            <v>28</v>
          </cell>
        </row>
        <row r="214">
          <cell r="A214">
            <v>20210322</v>
          </cell>
          <cell r="R214">
            <v>162</v>
          </cell>
        </row>
        <row r="215">
          <cell r="A215">
            <v>20210337</v>
          </cell>
          <cell r="R215">
            <v>345.71</v>
          </cell>
        </row>
        <row r="216">
          <cell r="A216">
            <v>20210405</v>
          </cell>
          <cell r="R216">
            <v>1295.82</v>
          </cell>
        </row>
        <row r="217">
          <cell r="A217">
            <v>20210307</v>
          </cell>
          <cell r="R217">
            <v>850.2</v>
          </cell>
        </row>
        <row r="218">
          <cell r="A218">
            <v>20210461</v>
          </cell>
          <cell r="R218">
            <v>175.3</v>
          </cell>
        </row>
        <row r="219">
          <cell r="A219">
            <v>20210470</v>
          </cell>
          <cell r="R219">
            <v>263.85000000000002</v>
          </cell>
        </row>
        <row r="220">
          <cell r="A220">
            <v>20210405</v>
          </cell>
          <cell r="R220">
            <v>16000</v>
          </cell>
        </row>
        <row r="221">
          <cell r="A221">
            <v>20210474</v>
          </cell>
          <cell r="R221">
            <v>440</v>
          </cell>
        </row>
        <row r="222">
          <cell r="A222">
            <v>20210490</v>
          </cell>
          <cell r="R222">
            <v>30</v>
          </cell>
        </row>
        <row r="223">
          <cell r="A223">
            <v>20210490</v>
          </cell>
          <cell r="R223">
            <v>345.71</v>
          </cell>
        </row>
        <row r="224">
          <cell r="A224">
            <v>20210498</v>
          </cell>
          <cell r="R224">
            <v>220.7</v>
          </cell>
        </row>
        <row r="225">
          <cell r="A225">
            <v>20210477</v>
          </cell>
          <cell r="R225">
            <v>250</v>
          </cell>
        </row>
        <row r="226">
          <cell r="A226">
            <v>20210477</v>
          </cell>
          <cell r="R226">
            <v>250</v>
          </cell>
        </row>
        <row r="227">
          <cell r="A227">
            <v>20210466</v>
          </cell>
          <cell r="R227">
            <v>1035</v>
          </cell>
        </row>
        <row r="228">
          <cell r="A228">
            <v>20210466</v>
          </cell>
          <cell r="R228">
            <v>106.81</v>
          </cell>
        </row>
        <row r="229">
          <cell r="A229">
            <v>20210466</v>
          </cell>
          <cell r="R229">
            <v>691.42</v>
          </cell>
        </row>
        <row r="230">
          <cell r="A230">
            <v>20210466</v>
          </cell>
          <cell r="R230">
            <v>125</v>
          </cell>
        </row>
        <row r="231">
          <cell r="A231">
            <v>20210466</v>
          </cell>
          <cell r="R231">
            <v>70</v>
          </cell>
        </row>
        <row r="232">
          <cell r="A232">
            <v>20210457</v>
          </cell>
          <cell r="R232">
            <v>100</v>
          </cell>
        </row>
        <row r="233">
          <cell r="A233">
            <v>20210457</v>
          </cell>
          <cell r="R233">
            <v>100</v>
          </cell>
        </row>
        <row r="234">
          <cell r="A234">
            <v>20210457</v>
          </cell>
          <cell r="R234">
            <v>15</v>
          </cell>
        </row>
        <row r="235">
          <cell r="A235">
            <v>20210457</v>
          </cell>
          <cell r="R235">
            <v>719</v>
          </cell>
        </row>
        <row r="236">
          <cell r="A236">
            <v>20210495</v>
          </cell>
          <cell r="R236">
            <v>3423</v>
          </cell>
        </row>
        <row r="237">
          <cell r="A237">
            <v>20210484</v>
          </cell>
          <cell r="R237">
            <v>8679</v>
          </cell>
        </row>
        <row r="238">
          <cell r="A238">
            <v>20210479</v>
          </cell>
          <cell r="R238">
            <v>173</v>
          </cell>
        </row>
        <row r="239">
          <cell r="A239">
            <v>20210479</v>
          </cell>
          <cell r="R239">
            <v>40</v>
          </cell>
        </row>
        <row r="240">
          <cell r="A240">
            <v>20210443</v>
          </cell>
          <cell r="R240">
            <v>4500</v>
          </cell>
        </row>
        <row r="241">
          <cell r="A241">
            <v>20210501</v>
          </cell>
          <cell r="R241">
            <v>1050</v>
          </cell>
        </row>
        <row r="242">
          <cell r="A242">
            <v>20210501</v>
          </cell>
          <cell r="R242">
            <v>1060</v>
          </cell>
        </row>
        <row r="243">
          <cell r="A243">
            <v>20210466</v>
          </cell>
          <cell r="R243">
            <v>140</v>
          </cell>
        </row>
        <row r="244">
          <cell r="A244">
            <v>20210405</v>
          </cell>
          <cell r="R244">
            <v>350</v>
          </cell>
        </row>
        <row r="245">
          <cell r="A245">
            <v>20210405</v>
          </cell>
          <cell r="R245">
            <v>345</v>
          </cell>
        </row>
        <row r="246">
          <cell r="A246">
            <v>20210405</v>
          </cell>
          <cell r="R246">
            <v>435</v>
          </cell>
        </row>
        <row r="247">
          <cell r="A247">
            <v>20210405</v>
          </cell>
          <cell r="R247">
            <v>909.99999999929992</v>
          </cell>
        </row>
        <row r="248">
          <cell r="A248">
            <v>20210405</v>
          </cell>
          <cell r="R248">
            <v>1008</v>
          </cell>
        </row>
        <row r="249">
          <cell r="A249">
            <v>20210405</v>
          </cell>
          <cell r="R249">
            <v>224.95</v>
          </cell>
        </row>
        <row r="250">
          <cell r="A250">
            <v>20210405</v>
          </cell>
          <cell r="R250">
            <v>142.30000000000001</v>
          </cell>
        </row>
        <row r="251">
          <cell r="A251">
            <v>20210405</v>
          </cell>
          <cell r="R251">
            <v>350</v>
          </cell>
        </row>
        <row r="252">
          <cell r="A252">
            <v>20210405</v>
          </cell>
          <cell r="R252">
            <v>610.41</v>
          </cell>
        </row>
        <row r="253">
          <cell r="A253">
            <v>20210405</v>
          </cell>
          <cell r="R253">
            <v>1937.42</v>
          </cell>
        </row>
        <row r="254">
          <cell r="A254">
            <v>20210601</v>
          </cell>
          <cell r="R254">
            <v>1188.5552</v>
          </cell>
        </row>
        <row r="255">
          <cell r="A255">
            <v>20210601</v>
          </cell>
          <cell r="R255">
            <v>5.5</v>
          </cell>
        </row>
        <row r="256">
          <cell r="A256">
            <v>20210601</v>
          </cell>
          <cell r="R256">
            <v>2377.11</v>
          </cell>
        </row>
        <row r="257">
          <cell r="A257">
            <v>20210502</v>
          </cell>
          <cell r="R257">
            <v>3590.09</v>
          </cell>
        </row>
        <row r="258">
          <cell r="A258">
            <v>20210504</v>
          </cell>
          <cell r="R258">
            <v>108.29</v>
          </cell>
        </row>
        <row r="259">
          <cell r="A259">
            <v>20210504</v>
          </cell>
          <cell r="R259">
            <v>513.13</v>
          </cell>
        </row>
        <row r="260">
          <cell r="A260">
            <v>20210504</v>
          </cell>
          <cell r="R260">
            <v>400</v>
          </cell>
        </row>
        <row r="261">
          <cell r="A261">
            <v>20210494</v>
          </cell>
          <cell r="R261">
            <v>1380</v>
          </cell>
        </row>
        <row r="262">
          <cell r="A262">
            <v>20210494</v>
          </cell>
          <cell r="R262">
            <v>500</v>
          </cell>
        </row>
        <row r="263">
          <cell r="A263">
            <v>20210615</v>
          </cell>
          <cell r="R263">
            <v>271.5</v>
          </cell>
        </row>
        <row r="264">
          <cell r="A264">
            <v>20210615</v>
          </cell>
          <cell r="R264">
            <v>513.13</v>
          </cell>
        </row>
        <row r="265">
          <cell r="A265">
            <v>20210619</v>
          </cell>
          <cell r="R265">
            <v>100</v>
          </cell>
        </row>
        <row r="266">
          <cell r="A266">
            <v>20210613</v>
          </cell>
          <cell r="R266">
            <v>180</v>
          </cell>
        </row>
        <row r="267">
          <cell r="A267">
            <v>20210619</v>
          </cell>
          <cell r="R267">
            <v>143</v>
          </cell>
        </row>
        <row r="268">
          <cell r="A268">
            <v>20210619</v>
          </cell>
          <cell r="R268">
            <v>106</v>
          </cell>
        </row>
        <row r="269">
          <cell r="A269">
            <v>20210619</v>
          </cell>
          <cell r="R269">
            <v>20</v>
          </cell>
        </row>
        <row r="270">
          <cell r="A270">
            <v>20210619</v>
          </cell>
          <cell r="R270">
            <v>200</v>
          </cell>
        </row>
        <row r="271">
          <cell r="A271">
            <v>20210619</v>
          </cell>
          <cell r="R271">
            <v>148.69999999999999</v>
          </cell>
        </row>
        <row r="272">
          <cell r="A272">
            <v>20210619</v>
          </cell>
          <cell r="R272">
            <v>513.13</v>
          </cell>
        </row>
        <row r="273">
          <cell r="A273">
            <v>20210622</v>
          </cell>
          <cell r="R273">
            <v>234</v>
          </cell>
        </row>
        <row r="274">
          <cell r="A274">
            <v>20210606</v>
          </cell>
          <cell r="R274">
            <v>3000</v>
          </cell>
        </row>
        <row r="275">
          <cell r="A275">
            <v>20210622</v>
          </cell>
          <cell r="R275">
            <v>1037.1299999999999</v>
          </cell>
        </row>
        <row r="276">
          <cell r="A276">
            <v>20210620</v>
          </cell>
          <cell r="R276">
            <v>909</v>
          </cell>
        </row>
        <row r="277">
          <cell r="A277">
            <v>20210307</v>
          </cell>
          <cell r="R277">
            <v>446.82</v>
          </cell>
        </row>
        <row r="278">
          <cell r="A278">
            <v>20210612</v>
          </cell>
          <cell r="R278">
            <v>720</v>
          </cell>
        </row>
        <row r="279">
          <cell r="A279">
            <v>20210630</v>
          </cell>
          <cell r="R279">
            <v>150</v>
          </cell>
        </row>
        <row r="280">
          <cell r="A280">
            <v>20210631</v>
          </cell>
          <cell r="R280">
            <v>1368.78</v>
          </cell>
        </row>
        <row r="281">
          <cell r="A281">
            <v>20210631</v>
          </cell>
          <cell r="R281">
            <v>18</v>
          </cell>
        </row>
        <row r="282">
          <cell r="A282">
            <v>20210631</v>
          </cell>
          <cell r="R282">
            <v>26</v>
          </cell>
        </row>
        <row r="283">
          <cell r="A283">
            <v>20210631</v>
          </cell>
          <cell r="R283">
            <v>63</v>
          </cell>
        </row>
        <row r="284">
          <cell r="A284">
            <v>20210631</v>
          </cell>
          <cell r="R284">
            <v>769.07</v>
          </cell>
        </row>
        <row r="285">
          <cell r="A285">
            <v>20210634</v>
          </cell>
          <cell r="R285">
            <v>1587</v>
          </cell>
        </row>
        <row r="286">
          <cell r="A286">
            <v>20210634</v>
          </cell>
          <cell r="R286">
            <v>236.64</v>
          </cell>
        </row>
        <row r="287">
          <cell r="A287">
            <v>20210622</v>
          </cell>
          <cell r="R287">
            <v>1107.5050000000001</v>
          </cell>
        </row>
        <row r="288">
          <cell r="A288">
            <v>20210622</v>
          </cell>
          <cell r="R288">
            <v>1628.63</v>
          </cell>
        </row>
        <row r="289">
          <cell r="A289">
            <v>20210622</v>
          </cell>
          <cell r="R289">
            <v>591.63</v>
          </cell>
        </row>
        <row r="290">
          <cell r="A290">
            <v>20210622</v>
          </cell>
          <cell r="R290">
            <v>80</v>
          </cell>
        </row>
        <row r="291">
          <cell r="A291">
            <v>20210622</v>
          </cell>
          <cell r="R291">
            <v>345.71</v>
          </cell>
        </row>
        <row r="292">
          <cell r="A292">
            <v>20210622</v>
          </cell>
          <cell r="R292">
            <v>100.76</v>
          </cell>
        </row>
        <row r="293">
          <cell r="A293">
            <v>20210622</v>
          </cell>
          <cell r="R293">
            <v>209.6</v>
          </cell>
        </row>
        <row r="294">
          <cell r="A294">
            <v>20210622</v>
          </cell>
          <cell r="R294">
            <v>398.9</v>
          </cell>
        </row>
        <row r="295">
          <cell r="A295">
            <v>20210636</v>
          </cell>
          <cell r="R295">
            <v>0</v>
          </cell>
        </row>
        <row r="296">
          <cell r="A296">
            <v>20210632</v>
          </cell>
          <cell r="R296">
            <v>370</v>
          </cell>
        </row>
        <row r="297">
          <cell r="A297">
            <v>20210640</v>
          </cell>
          <cell r="R297">
            <v>692.08</v>
          </cell>
        </row>
        <row r="298">
          <cell r="A298">
            <v>20210640</v>
          </cell>
          <cell r="R298">
            <v>1450</v>
          </cell>
        </row>
        <row r="299">
          <cell r="A299">
            <v>20210647</v>
          </cell>
          <cell r="R299">
            <v>350</v>
          </cell>
        </row>
        <row r="300">
          <cell r="A300">
            <v>20210639</v>
          </cell>
          <cell r="R300">
            <v>405</v>
          </cell>
        </row>
        <row r="301">
          <cell r="A301">
            <v>20210662</v>
          </cell>
          <cell r="R301">
            <v>56.41</v>
          </cell>
        </row>
        <row r="302">
          <cell r="A302">
            <v>20210505</v>
          </cell>
          <cell r="R302">
            <v>150.65</v>
          </cell>
        </row>
        <row r="303">
          <cell r="A303">
            <v>20210405</v>
          </cell>
          <cell r="R303">
            <v>350</v>
          </cell>
        </row>
        <row r="304">
          <cell r="A304">
            <v>20210405</v>
          </cell>
          <cell r="R304">
            <v>662.46</v>
          </cell>
        </row>
        <row r="305">
          <cell r="A305">
            <v>20210405</v>
          </cell>
          <cell r="R305">
            <v>902</v>
          </cell>
        </row>
        <row r="306">
          <cell r="A306">
            <v>20210405</v>
          </cell>
          <cell r="R306">
            <v>2400</v>
          </cell>
        </row>
        <row r="307">
          <cell r="A307">
            <v>20210405</v>
          </cell>
          <cell r="R307">
            <v>1359.73</v>
          </cell>
        </row>
        <row r="308">
          <cell r="A308">
            <v>20210405</v>
          </cell>
          <cell r="R308">
            <v>60</v>
          </cell>
        </row>
        <row r="309">
          <cell r="A309">
            <v>20210405</v>
          </cell>
          <cell r="R309">
            <v>1500.19</v>
          </cell>
        </row>
        <row r="310">
          <cell r="A310">
            <v>20210405</v>
          </cell>
          <cell r="R310">
            <v>2869.51</v>
          </cell>
        </row>
        <row r="311">
          <cell r="A311">
            <v>20210405</v>
          </cell>
          <cell r="R311">
            <v>350</v>
          </cell>
        </row>
        <row r="312">
          <cell r="A312">
            <v>20210405</v>
          </cell>
          <cell r="R312">
            <v>2999</v>
          </cell>
        </row>
        <row r="313">
          <cell r="A313">
            <v>20210405</v>
          </cell>
          <cell r="R313">
            <v>1018.16</v>
          </cell>
        </row>
        <row r="314">
          <cell r="A314">
            <v>20210405</v>
          </cell>
          <cell r="R314">
            <v>74.400000000000006</v>
          </cell>
        </row>
        <row r="315">
          <cell r="A315">
            <v>20210405</v>
          </cell>
          <cell r="R315">
            <v>350</v>
          </cell>
        </row>
        <row r="316">
          <cell r="A316">
            <v>20210405</v>
          </cell>
          <cell r="R316">
            <v>274.55</v>
          </cell>
        </row>
        <row r="317">
          <cell r="A317">
            <v>20210405</v>
          </cell>
          <cell r="R317">
            <v>201.34</v>
          </cell>
        </row>
        <row r="318">
          <cell r="A318">
            <v>20210405</v>
          </cell>
          <cell r="R318">
            <v>461.11</v>
          </cell>
        </row>
        <row r="319">
          <cell r="A319">
            <v>20210405</v>
          </cell>
          <cell r="R319">
            <v>618.89</v>
          </cell>
        </row>
        <row r="320">
          <cell r="A320">
            <v>20210405</v>
          </cell>
          <cell r="R320">
            <v>197.5</v>
          </cell>
        </row>
        <row r="321">
          <cell r="A321">
            <v>20210405</v>
          </cell>
          <cell r="R321">
            <v>916.16</v>
          </cell>
        </row>
        <row r="322">
          <cell r="A322">
            <v>20210405</v>
          </cell>
          <cell r="R322">
            <v>2556.21</v>
          </cell>
        </row>
        <row r="323">
          <cell r="A323">
            <v>20210405</v>
          </cell>
          <cell r="R323">
            <v>123.75</v>
          </cell>
        </row>
        <row r="324">
          <cell r="A324">
            <v>20210405</v>
          </cell>
          <cell r="R324">
            <v>199</v>
          </cell>
        </row>
        <row r="325">
          <cell r="A325">
            <v>20210405</v>
          </cell>
          <cell r="R325">
            <v>991.42</v>
          </cell>
        </row>
        <row r="326">
          <cell r="A326">
            <v>20210405</v>
          </cell>
          <cell r="R326">
            <v>1366.51</v>
          </cell>
        </row>
        <row r="327">
          <cell r="A327">
            <v>20210405</v>
          </cell>
          <cell r="R327">
            <v>691.42</v>
          </cell>
        </row>
        <row r="328">
          <cell r="A328">
            <v>20210405</v>
          </cell>
          <cell r="R328">
            <v>1538.24</v>
          </cell>
        </row>
        <row r="329">
          <cell r="A329">
            <v>20210405</v>
          </cell>
          <cell r="R329">
            <v>1359.74</v>
          </cell>
        </row>
        <row r="330">
          <cell r="A330">
            <v>20210405</v>
          </cell>
          <cell r="R330">
            <v>5022.46</v>
          </cell>
        </row>
        <row r="331">
          <cell r="A331">
            <v>20210405</v>
          </cell>
          <cell r="R331">
            <v>400</v>
          </cell>
        </row>
        <row r="332">
          <cell r="A332">
            <v>20210405</v>
          </cell>
          <cell r="R332">
            <v>275</v>
          </cell>
        </row>
        <row r="333">
          <cell r="A333">
            <v>20210405</v>
          </cell>
          <cell r="R333">
            <v>1500.19</v>
          </cell>
        </row>
        <row r="334">
          <cell r="A334">
            <v>20210405</v>
          </cell>
          <cell r="R334">
            <v>2213.5100000000002</v>
          </cell>
        </row>
        <row r="335">
          <cell r="A335">
            <v>20210639</v>
          </cell>
          <cell r="R335">
            <v>3150</v>
          </cell>
        </row>
        <row r="336">
          <cell r="A336">
            <v>20210667</v>
          </cell>
          <cell r="R336">
            <v>609.71</v>
          </cell>
        </row>
        <row r="337">
          <cell r="A337">
            <v>20210667</v>
          </cell>
          <cell r="R337">
            <v>3000</v>
          </cell>
        </row>
        <row r="338">
          <cell r="A338">
            <v>20210667</v>
          </cell>
          <cell r="R338">
            <v>103.74</v>
          </cell>
        </row>
        <row r="339">
          <cell r="A339">
            <v>20210673</v>
          </cell>
          <cell r="R339">
            <v>670</v>
          </cell>
        </row>
        <row r="340">
          <cell r="A340">
            <v>20210405</v>
          </cell>
          <cell r="R340">
            <v>350</v>
          </cell>
        </row>
        <row r="341">
          <cell r="A341" t="str">
            <v>S/N°OS</v>
          </cell>
          <cell r="R341">
            <v>570</v>
          </cell>
        </row>
        <row r="342">
          <cell r="A342" t="str">
            <v>S/N°OS</v>
          </cell>
          <cell r="R342">
            <v>235</v>
          </cell>
        </row>
        <row r="343">
          <cell r="A343">
            <v>20210668</v>
          </cell>
          <cell r="R343">
            <v>9800</v>
          </cell>
        </row>
        <row r="344">
          <cell r="A344">
            <v>20210668</v>
          </cell>
          <cell r="R344">
            <v>400</v>
          </cell>
        </row>
        <row r="345">
          <cell r="A345">
            <v>20210669</v>
          </cell>
          <cell r="R345">
            <v>191.05</v>
          </cell>
        </row>
        <row r="346">
          <cell r="A346">
            <v>20210665</v>
          </cell>
          <cell r="R346">
            <v>20.8</v>
          </cell>
        </row>
        <row r="347">
          <cell r="A347" t="str">
            <v>S/N°OS</v>
          </cell>
          <cell r="R347">
            <v>27</v>
          </cell>
        </row>
        <row r="348">
          <cell r="A348" t="str">
            <v>S/N°OS</v>
          </cell>
          <cell r="R348">
            <v>41.5</v>
          </cell>
        </row>
        <row r="349">
          <cell r="A349">
            <v>20210669</v>
          </cell>
          <cell r="R349">
            <v>28</v>
          </cell>
        </row>
        <row r="350">
          <cell r="A350">
            <v>20210669</v>
          </cell>
          <cell r="R350">
            <v>4115</v>
          </cell>
        </row>
        <row r="351">
          <cell r="A351">
            <v>20210669</v>
          </cell>
          <cell r="R351">
            <v>200</v>
          </cell>
        </row>
        <row r="352">
          <cell r="A352">
            <v>20210639</v>
          </cell>
          <cell r="R352">
            <v>1180.1099999999999</v>
          </cell>
        </row>
        <row r="353">
          <cell r="A353">
            <v>20210639</v>
          </cell>
          <cell r="R353">
            <v>3873.92</v>
          </cell>
        </row>
        <row r="354">
          <cell r="A354" t="str">
            <v>S/N°OS</v>
          </cell>
          <cell r="R354">
            <v>8877.14</v>
          </cell>
        </row>
        <row r="355">
          <cell r="A355">
            <v>20210405</v>
          </cell>
          <cell r="R355">
            <v>1359.73</v>
          </cell>
        </row>
        <row r="356">
          <cell r="A356">
            <v>20210405</v>
          </cell>
          <cell r="R356">
            <v>1500.2</v>
          </cell>
        </row>
        <row r="357">
          <cell r="A357">
            <v>20210405</v>
          </cell>
          <cell r="R357">
            <v>2929.5</v>
          </cell>
        </row>
        <row r="358">
          <cell r="A358">
            <v>20210622</v>
          </cell>
          <cell r="R358">
            <v>354.71000000000004</v>
          </cell>
        </row>
        <row r="359">
          <cell r="A359" t="str">
            <v>S/N°OS</v>
          </cell>
          <cell r="R359">
            <v>173</v>
          </cell>
        </row>
        <row r="360">
          <cell r="A360" t="str">
            <v>S/N°OS</v>
          </cell>
          <cell r="R360">
            <v>168.5</v>
          </cell>
        </row>
        <row r="361">
          <cell r="A361" t="str">
            <v>S/N°OS</v>
          </cell>
          <cell r="R361">
            <v>587.13</v>
          </cell>
        </row>
        <row r="362">
          <cell r="A362">
            <v>20210661</v>
          </cell>
          <cell r="R362">
            <v>504</v>
          </cell>
        </row>
        <row r="363">
          <cell r="A363" t="str">
            <v>S/N°OS</v>
          </cell>
          <cell r="R363">
            <v>79.349999999999994</v>
          </cell>
        </row>
        <row r="364">
          <cell r="A364">
            <v>20210668</v>
          </cell>
          <cell r="R364">
            <v>378</v>
          </cell>
        </row>
        <row r="365">
          <cell r="A365">
            <v>20210668</v>
          </cell>
          <cell r="R365">
            <v>90</v>
          </cell>
        </row>
        <row r="366">
          <cell r="A366">
            <v>20210668</v>
          </cell>
          <cell r="R366">
            <v>17</v>
          </cell>
        </row>
        <row r="367">
          <cell r="A367">
            <v>20210668</v>
          </cell>
          <cell r="R367">
            <v>114</v>
          </cell>
        </row>
        <row r="368">
          <cell r="A368">
            <v>20210668</v>
          </cell>
          <cell r="R368">
            <v>950</v>
          </cell>
        </row>
        <row r="369">
          <cell r="A369">
            <v>20210668</v>
          </cell>
          <cell r="R369">
            <v>321.11</v>
          </cell>
        </row>
        <row r="370">
          <cell r="A370">
            <v>20210668</v>
          </cell>
          <cell r="R370">
            <v>150</v>
          </cell>
        </row>
        <row r="371">
          <cell r="A371">
            <v>20210668</v>
          </cell>
          <cell r="R371">
            <v>150</v>
          </cell>
        </row>
        <row r="372">
          <cell r="A372">
            <v>20210668</v>
          </cell>
          <cell r="R372">
            <v>250</v>
          </cell>
        </row>
        <row r="373">
          <cell r="A373">
            <v>20210668</v>
          </cell>
          <cell r="R373">
            <v>280</v>
          </cell>
        </row>
        <row r="374">
          <cell r="A374">
            <v>20210668</v>
          </cell>
          <cell r="R374">
            <v>100</v>
          </cell>
        </row>
        <row r="375">
          <cell r="A375">
            <v>20210668</v>
          </cell>
          <cell r="R375">
            <v>413.35</v>
          </cell>
        </row>
        <row r="376">
          <cell r="A376">
            <v>20210668</v>
          </cell>
          <cell r="R376">
            <v>185</v>
          </cell>
        </row>
        <row r="377">
          <cell r="A377">
            <v>20210685</v>
          </cell>
          <cell r="R377">
            <v>715</v>
          </cell>
        </row>
        <row r="378">
          <cell r="A378">
            <v>20210649</v>
          </cell>
          <cell r="R378">
            <v>2411.14</v>
          </cell>
        </row>
        <row r="379">
          <cell r="A379">
            <v>20210649</v>
          </cell>
          <cell r="R379">
            <v>286.73</v>
          </cell>
        </row>
        <row r="380">
          <cell r="A380">
            <v>20210438</v>
          </cell>
          <cell r="R380">
            <v>25000</v>
          </cell>
        </row>
        <row r="381">
          <cell r="A381">
            <v>20210683</v>
          </cell>
          <cell r="R381">
            <v>550</v>
          </cell>
        </row>
        <row r="382">
          <cell r="A382">
            <v>20210684</v>
          </cell>
          <cell r="R382">
            <v>692.08</v>
          </cell>
        </row>
        <row r="383">
          <cell r="A383">
            <v>20210684</v>
          </cell>
          <cell r="R383">
            <v>1572.8999999999999</v>
          </cell>
        </row>
        <row r="384">
          <cell r="A384">
            <v>20210695</v>
          </cell>
          <cell r="R384">
            <v>1808.25</v>
          </cell>
        </row>
        <row r="385">
          <cell r="A385" t="str">
            <v>S/N°OS</v>
          </cell>
          <cell r="R385">
            <v>0</v>
          </cell>
        </row>
        <row r="386">
          <cell r="A386">
            <v>20210696</v>
          </cell>
          <cell r="R386">
            <v>305.89999999999998</v>
          </cell>
        </row>
        <row r="387">
          <cell r="A387">
            <v>20210688</v>
          </cell>
          <cell r="R387">
            <v>508</v>
          </cell>
        </row>
        <row r="388">
          <cell r="A388">
            <v>20210631</v>
          </cell>
          <cell r="R388">
            <v>60</v>
          </cell>
        </row>
        <row r="389">
          <cell r="A389">
            <v>20210631</v>
          </cell>
          <cell r="R389">
            <v>1118</v>
          </cell>
        </row>
        <row r="390">
          <cell r="A390">
            <v>20210668</v>
          </cell>
          <cell r="R390">
            <v>300</v>
          </cell>
        </row>
        <row r="391">
          <cell r="A391" t="str">
            <v>S/N°OS</v>
          </cell>
          <cell r="R391">
            <v>584.80999999999995</v>
          </cell>
        </row>
        <row r="392">
          <cell r="A392" t="str">
            <v>S/N°OS</v>
          </cell>
          <cell r="R392">
            <v>297.52999999999997</v>
          </cell>
        </row>
        <row r="393">
          <cell r="A393">
            <v>20210631</v>
          </cell>
          <cell r="R393">
            <v>695</v>
          </cell>
        </row>
        <row r="394">
          <cell r="A394" t="str">
            <v>S/N°OS</v>
          </cell>
          <cell r="R394">
            <v>162.04</v>
          </cell>
        </row>
        <row r="395">
          <cell r="A395" t="str">
            <v>S/N°OS</v>
          </cell>
          <cell r="R395">
            <v>30</v>
          </cell>
        </row>
        <row r="396">
          <cell r="A396">
            <v>20210685</v>
          </cell>
          <cell r="R396">
            <v>2300</v>
          </cell>
        </row>
        <row r="397">
          <cell r="A397">
            <v>20210685</v>
          </cell>
          <cell r="R397">
            <v>1700</v>
          </cell>
        </row>
        <row r="398">
          <cell r="A398">
            <v>20210685</v>
          </cell>
          <cell r="R398">
            <v>2881.68</v>
          </cell>
        </row>
        <row r="399">
          <cell r="A399">
            <v>20210685</v>
          </cell>
          <cell r="R399">
            <v>1037.1299999999999</v>
          </cell>
        </row>
        <row r="400">
          <cell r="A400">
            <v>20210685</v>
          </cell>
          <cell r="R400">
            <v>1500</v>
          </cell>
        </row>
        <row r="401">
          <cell r="A401">
            <v>20210685</v>
          </cell>
          <cell r="R401">
            <v>145</v>
          </cell>
        </row>
        <row r="402">
          <cell r="A402">
            <v>20210685</v>
          </cell>
          <cell r="R402">
            <v>58.9</v>
          </cell>
        </row>
        <row r="403">
          <cell r="A403">
            <v>20210685</v>
          </cell>
          <cell r="R403">
            <v>40</v>
          </cell>
        </row>
        <row r="404">
          <cell r="A404">
            <v>20210685</v>
          </cell>
          <cell r="R404">
            <v>100</v>
          </cell>
        </row>
        <row r="405">
          <cell r="A405">
            <v>20210685</v>
          </cell>
          <cell r="R405">
            <v>110</v>
          </cell>
        </row>
        <row r="406">
          <cell r="A406">
            <v>20210707</v>
          </cell>
          <cell r="R406">
            <v>92.93</v>
          </cell>
        </row>
        <row r="407">
          <cell r="A407">
            <v>20210716</v>
          </cell>
          <cell r="R407">
            <v>2370.8000000000002</v>
          </cell>
        </row>
        <row r="408">
          <cell r="A408">
            <v>20210699</v>
          </cell>
          <cell r="R408">
            <v>906.5</v>
          </cell>
        </row>
        <row r="409">
          <cell r="A409">
            <v>20210669</v>
          </cell>
          <cell r="R409">
            <v>2818</v>
          </cell>
        </row>
        <row r="410">
          <cell r="A410">
            <v>20210683</v>
          </cell>
          <cell r="R410">
            <v>3106.46</v>
          </cell>
        </row>
        <row r="411">
          <cell r="A411">
            <v>20210697</v>
          </cell>
          <cell r="R411">
            <v>1425.42</v>
          </cell>
        </row>
        <row r="412">
          <cell r="A412">
            <v>20210719</v>
          </cell>
          <cell r="R412">
            <v>24.1</v>
          </cell>
        </row>
        <row r="413">
          <cell r="A413">
            <v>20210719</v>
          </cell>
          <cell r="R413">
            <v>550</v>
          </cell>
        </row>
        <row r="414">
          <cell r="A414">
            <v>20210719</v>
          </cell>
          <cell r="R414">
            <v>220</v>
          </cell>
        </row>
        <row r="415">
          <cell r="A415">
            <v>20210719</v>
          </cell>
          <cell r="R415">
            <v>8776.5</v>
          </cell>
        </row>
        <row r="416">
          <cell r="A416">
            <v>20210719</v>
          </cell>
          <cell r="R416">
            <v>439.09</v>
          </cell>
        </row>
        <row r="417">
          <cell r="A417">
            <v>20210668</v>
          </cell>
          <cell r="R417">
            <v>2407.85</v>
          </cell>
        </row>
        <row r="418">
          <cell r="A418">
            <v>20210668</v>
          </cell>
          <cell r="R418">
            <v>1587</v>
          </cell>
        </row>
        <row r="419">
          <cell r="A419">
            <v>20210668</v>
          </cell>
          <cell r="R419">
            <v>6263.5</v>
          </cell>
        </row>
        <row r="420">
          <cell r="A420">
            <v>20210668</v>
          </cell>
          <cell r="R420">
            <v>51.75</v>
          </cell>
        </row>
        <row r="421">
          <cell r="A421">
            <v>20210668</v>
          </cell>
          <cell r="R421">
            <v>33</v>
          </cell>
        </row>
        <row r="422">
          <cell r="A422">
            <v>20210668</v>
          </cell>
          <cell r="R422">
            <v>1885.28</v>
          </cell>
        </row>
        <row r="423">
          <cell r="A423">
            <v>20210695</v>
          </cell>
          <cell r="R423">
            <v>3024.0399999998999</v>
          </cell>
        </row>
        <row r="424">
          <cell r="A424">
            <v>20210695</v>
          </cell>
          <cell r="R424">
            <v>135.6399999999</v>
          </cell>
        </row>
        <row r="425">
          <cell r="A425">
            <v>20210695</v>
          </cell>
          <cell r="R425">
            <v>89.499999000000003</v>
          </cell>
        </row>
        <row r="426">
          <cell r="A426">
            <v>20210695</v>
          </cell>
          <cell r="R426">
            <v>532.98999000000003</v>
          </cell>
        </row>
        <row r="427">
          <cell r="A427">
            <v>20210695</v>
          </cell>
          <cell r="R427">
            <v>1100.7199799999999</v>
          </cell>
        </row>
        <row r="428">
          <cell r="A428">
            <v>20210695</v>
          </cell>
          <cell r="R428">
            <v>1493.76999</v>
          </cell>
        </row>
        <row r="429">
          <cell r="A429">
            <v>20210695</v>
          </cell>
          <cell r="R429">
            <v>37.86</v>
          </cell>
        </row>
        <row r="430">
          <cell r="A430">
            <v>20210695</v>
          </cell>
          <cell r="R430">
            <v>607.35998999999993</v>
          </cell>
        </row>
        <row r="431">
          <cell r="A431">
            <v>20210695</v>
          </cell>
          <cell r="R431">
            <v>2016</v>
          </cell>
        </row>
        <row r="432">
          <cell r="A432">
            <v>20210702</v>
          </cell>
          <cell r="R432">
            <v>1060.73</v>
          </cell>
        </row>
        <row r="433">
          <cell r="A433">
            <v>20210702</v>
          </cell>
          <cell r="R433">
            <v>135.63999999999999</v>
          </cell>
        </row>
        <row r="434">
          <cell r="A434">
            <v>20210702</v>
          </cell>
          <cell r="R434">
            <v>1447.96</v>
          </cell>
        </row>
        <row r="435">
          <cell r="A435">
            <v>20210702</v>
          </cell>
          <cell r="R435">
            <v>141</v>
          </cell>
        </row>
        <row r="436">
          <cell r="A436">
            <v>20210702</v>
          </cell>
          <cell r="R436">
            <v>73.89</v>
          </cell>
        </row>
        <row r="437">
          <cell r="A437">
            <v>20210702</v>
          </cell>
          <cell r="R437">
            <v>203.25</v>
          </cell>
        </row>
        <row r="438">
          <cell r="A438">
            <v>20210702</v>
          </cell>
          <cell r="R438">
            <v>120.32</v>
          </cell>
        </row>
        <row r="439">
          <cell r="A439">
            <v>20210702</v>
          </cell>
          <cell r="R439">
            <v>1258.1300000000001</v>
          </cell>
        </row>
        <row r="440">
          <cell r="A440">
            <v>20210697</v>
          </cell>
          <cell r="R440">
            <v>1747.7</v>
          </cell>
        </row>
        <row r="441">
          <cell r="A441">
            <v>20210717</v>
          </cell>
          <cell r="R441">
            <v>79.599999999999994</v>
          </cell>
        </row>
        <row r="442">
          <cell r="A442">
            <v>20210740</v>
          </cell>
          <cell r="R442">
            <v>1069.28</v>
          </cell>
        </row>
        <row r="443">
          <cell r="A443">
            <v>20210732</v>
          </cell>
          <cell r="R443">
            <v>671.92</v>
          </cell>
        </row>
        <row r="444">
          <cell r="A444">
            <v>20210719</v>
          </cell>
          <cell r="R444">
            <v>3864</v>
          </cell>
        </row>
        <row r="445">
          <cell r="A445">
            <v>20210730</v>
          </cell>
          <cell r="R445">
            <v>692.07</v>
          </cell>
        </row>
        <row r="446">
          <cell r="A446">
            <v>20210735</v>
          </cell>
          <cell r="R446">
            <v>930.09</v>
          </cell>
        </row>
        <row r="447">
          <cell r="A447">
            <v>20210735</v>
          </cell>
          <cell r="R447">
            <v>1118.8399999999999</v>
          </cell>
        </row>
        <row r="448">
          <cell r="A448">
            <v>20210735</v>
          </cell>
          <cell r="R448">
            <v>262.10000000000002</v>
          </cell>
        </row>
        <row r="449">
          <cell r="A449">
            <v>20210719</v>
          </cell>
          <cell r="R449">
            <v>2602</v>
          </cell>
        </row>
        <row r="450">
          <cell r="A450">
            <v>20210696</v>
          </cell>
          <cell r="R450">
            <v>1037.1300000000001</v>
          </cell>
        </row>
        <row r="451">
          <cell r="A451">
            <v>20210732</v>
          </cell>
          <cell r="R451">
            <v>150</v>
          </cell>
        </row>
        <row r="452">
          <cell r="A452">
            <v>20210733</v>
          </cell>
          <cell r="R452">
            <v>1400</v>
          </cell>
        </row>
        <row r="453">
          <cell r="A453">
            <v>20210744</v>
          </cell>
          <cell r="R453">
            <v>169.12</v>
          </cell>
        </row>
        <row r="454">
          <cell r="A454" t="str">
            <v>S/N°OS</v>
          </cell>
          <cell r="R454">
            <v>188</v>
          </cell>
        </row>
        <row r="455">
          <cell r="A455" t="str">
            <v>S/N°OS</v>
          </cell>
          <cell r="R455">
            <v>78.2</v>
          </cell>
        </row>
        <row r="456">
          <cell r="A456">
            <v>20210682</v>
          </cell>
          <cell r="R456">
            <v>240.27</v>
          </cell>
        </row>
        <row r="457">
          <cell r="A457">
            <v>20210682</v>
          </cell>
          <cell r="R457">
            <v>1070</v>
          </cell>
        </row>
        <row r="458">
          <cell r="A458">
            <v>20210682</v>
          </cell>
          <cell r="R458">
            <v>1674.4</v>
          </cell>
        </row>
        <row r="459">
          <cell r="A459" t="str">
            <v>S/N°OS</v>
          </cell>
          <cell r="R459">
            <v>489.22</v>
          </cell>
        </row>
        <row r="460">
          <cell r="A460">
            <v>20210740</v>
          </cell>
          <cell r="R460">
            <v>835</v>
          </cell>
        </row>
        <row r="461">
          <cell r="A461">
            <v>20210405</v>
          </cell>
          <cell r="R461">
            <v>800</v>
          </cell>
        </row>
        <row r="462">
          <cell r="A462">
            <v>20210717</v>
          </cell>
          <cell r="R462">
            <v>70</v>
          </cell>
        </row>
        <row r="463">
          <cell r="A463">
            <v>20210762</v>
          </cell>
          <cell r="R463">
            <v>228.59</v>
          </cell>
        </row>
        <row r="464">
          <cell r="A464">
            <v>20210749</v>
          </cell>
          <cell r="R464">
            <v>34.479999999999997</v>
          </cell>
        </row>
        <row r="465">
          <cell r="A465">
            <v>20210749</v>
          </cell>
          <cell r="R465">
            <v>8381.6899999800007</v>
          </cell>
        </row>
        <row r="466">
          <cell r="A466">
            <v>20210740</v>
          </cell>
          <cell r="R466">
            <v>14296.849999999999</v>
          </cell>
        </row>
        <row r="467">
          <cell r="A467">
            <v>20210701</v>
          </cell>
          <cell r="R467">
            <v>345.71</v>
          </cell>
        </row>
        <row r="468">
          <cell r="A468">
            <v>20210755</v>
          </cell>
          <cell r="R468">
            <v>150</v>
          </cell>
        </row>
        <row r="469">
          <cell r="A469">
            <v>20210737</v>
          </cell>
          <cell r="R469">
            <v>3817.6</v>
          </cell>
        </row>
        <row r="470">
          <cell r="A470">
            <v>20210740</v>
          </cell>
          <cell r="R470">
            <v>780.74</v>
          </cell>
        </row>
        <row r="471">
          <cell r="A471">
            <v>20210776</v>
          </cell>
          <cell r="R471">
            <v>1289.68</v>
          </cell>
        </row>
        <row r="472">
          <cell r="A472" t="str">
            <v>S/N°OS</v>
          </cell>
          <cell r="R472">
            <v>1033.8</v>
          </cell>
        </row>
        <row r="473">
          <cell r="A473">
            <v>20210748</v>
          </cell>
          <cell r="R473">
            <v>1309.04</v>
          </cell>
        </row>
        <row r="474">
          <cell r="A474" t="str">
            <v>S/N°OS</v>
          </cell>
          <cell r="R474">
            <v>450</v>
          </cell>
        </row>
        <row r="475">
          <cell r="A475" t="str">
            <v>S/N°OS</v>
          </cell>
          <cell r="R475">
            <v>1122.71</v>
          </cell>
        </row>
        <row r="476">
          <cell r="A476">
            <v>20210781</v>
          </cell>
          <cell r="R476">
            <v>121.35</v>
          </cell>
        </row>
        <row r="477">
          <cell r="A477">
            <v>20210781</v>
          </cell>
          <cell r="R477">
            <v>260.87</v>
          </cell>
        </row>
        <row r="478">
          <cell r="A478">
            <v>20210718</v>
          </cell>
          <cell r="R478">
            <v>24369.82</v>
          </cell>
        </row>
        <row r="479">
          <cell r="A479">
            <v>20210779</v>
          </cell>
          <cell r="R479">
            <v>381</v>
          </cell>
        </row>
        <row r="480">
          <cell r="A480">
            <v>20210779</v>
          </cell>
          <cell r="R480">
            <v>1346.8</v>
          </cell>
        </row>
        <row r="481">
          <cell r="A481">
            <v>20210779</v>
          </cell>
          <cell r="R481">
            <v>870</v>
          </cell>
        </row>
        <row r="482">
          <cell r="A482">
            <v>20210779</v>
          </cell>
          <cell r="R482">
            <v>265</v>
          </cell>
        </row>
        <row r="483">
          <cell r="A483">
            <v>20210786</v>
          </cell>
          <cell r="R483">
            <v>850</v>
          </cell>
        </row>
        <row r="484">
          <cell r="A484">
            <v>20210756</v>
          </cell>
          <cell r="R484">
            <v>121.5</v>
          </cell>
        </row>
        <row r="485">
          <cell r="A485">
            <v>20210756</v>
          </cell>
          <cell r="R485">
            <v>2003.72</v>
          </cell>
        </row>
        <row r="486">
          <cell r="A486">
            <v>20210756</v>
          </cell>
          <cell r="R486">
            <v>2367.4699999999998</v>
          </cell>
        </row>
        <row r="487">
          <cell r="A487">
            <v>20210756</v>
          </cell>
          <cell r="R487">
            <v>77.7</v>
          </cell>
        </row>
        <row r="488">
          <cell r="A488">
            <v>20210744</v>
          </cell>
          <cell r="R488">
            <v>691.42</v>
          </cell>
        </row>
        <row r="489">
          <cell r="A489">
            <v>20210744</v>
          </cell>
          <cell r="R489">
            <v>8249.8700000009994</v>
          </cell>
        </row>
        <row r="490">
          <cell r="A490">
            <v>20210744</v>
          </cell>
          <cell r="R490">
            <v>40</v>
          </cell>
        </row>
        <row r="491">
          <cell r="A491">
            <v>20210761</v>
          </cell>
          <cell r="R491">
            <v>1834.5</v>
          </cell>
        </row>
        <row r="492">
          <cell r="A492">
            <v>20210761</v>
          </cell>
          <cell r="R492">
            <v>1585</v>
          </cell>
        </row>
        <row r="493">
          <cell r="A493">
            <v>20210761</v>
          </cell>
          <cell r="R493">
            <v>250</v>
          </cell>
        </row>
        <row r="494">
          <cell r="A494">
            <v>20210681</v>
          </cell>
          <cell r="R494">
            <v>11280</v>
          </cell>
        </row>
        <row r="495">
          <cell r="A495">
            <v>20210759</v>
          </cell>
          <cell r="R495">
            <v>1928.5</v>
          </cell>
        </row>
        <row r="496">
          <cell r="A496">
            <v>20210759</v>
          </cell>
          <cell r="R496">
            <v>3209</v>
          </cell>
        </row>
        <row r="497">
          <cell r="A497">
            <v>20210759</v>
          </cell>
          <cell r="R497">
            <v>1382.87</v>
          </cell>
        </row>
        <row r="498">
          <cell r="A498">
            <v>20210759</v>
          </cell>
          <cell r="R498">
            <v>2086.25</v>
          </cell>
        </row>
        <row r="499">
          <cell r="A499">
            <v>20210759</v>
          </cell>
          <cell r="R499">
            <v>2203</v>
          </cell>
        </row>
        <row r="500">
          <cell r="A500">
            <v>20210791</v>
          </cell>
          <cell r="R500">
            <v>183.2</v>
          </cell>
        </row>
        <row r="501">
          <cell r="A501">
            <v>20210752</v>
          </cell>
          <cell r="R501">
            <v>3580</v>
          </cell>
        </row>
        <row r="502">
          <cell r="A502">
            <v>20210735</v>
          </cell>
          <cell r="R502">
            <v>400</v>
          </cell>
        </row>
        <row r="503">
          <cell r="A503">
            <v>20210767</v>
          </cell>
          <cell r="R503">
            <v>8178.9998999999989</v>
          </cell>
        </row>
        <row r="504">
          <cell r="A504">
            <v>20210765</v>
          </cell>
          <cell r="R504">
            <v>2610.5</v>
          </cell>
        </row>
        <row r="505">
          <cell r="A505">
            <v>20210734</v>
          </cell>
          <cell r="R505">
            <v>9432.869999999999</v>
          </cell>
        </row>
        <row r="506">
          <cell r="A506">
            <v>20210767</v>
          </cell>
          <cell r="R506">
            <v>777.51</v>
          </cell>
        </row>
        <row r="507">
          <cell r="A507">
            <v>20210767</v>
          </cell>
          <cell r="R507">
            <v>17032.810000000001</v>
          </cell>
        </row>
        <row r="508">
          <cell r="A508">
            <v>20210767</v>
          </cell>
          <cell r="R508">
            <v>1194.6400000000001</v>
          </cell>
        </row>
        <row r="509">
          <cell r="A509">
            <v>20210767</v>
          </cell>
          <cell r="R509">
            <v>727.43</v>
          </cell>
        </row>
        <row r="510">
          <cell r="A510">
            <v>20210767</v>
          </cell>
          <cell r="R510">
            <v>4200</v>
          </cell>
        </row>
        <row r="511">
          <cell r="A511">
            <v>20210737</v>
          </cell>
          <cell r="R511">
            <v>2700</v>
          </cell>
        </row>
        <row r="512">
          <cell r="A512">
            <v>20210737</v>
          </cell>
          <cell r="R512">
            <v>473.8</v>
          </cell>
        </row>
        <row r="513">
          <cell r="A513" t="str">
            <v>S/N°OS</v>
          </cell>
          <cell r="R513">
            <v>37.15</v>
          </cell>
        </row>
        <row r="514">
          <cell r="A514">
            <v>20210740</v>
          </cell>
          <cell r="R514">
            <v>12694</v>
          </cell>
        </row>
        <row r="515">
          <cell r="A515">
            <v>20210804</v>
          </cell>
          <cell r="R515">
            <v>64.75</v>
          </cell>
        </row>
        <row r="516">
          <cell r="A516">
            <v>20210761</v>
          </cell>
          <cell r="R516">
            <v>14660</v>
          </cell>
        </row>
        <row r="517">
          <cell r="A517">
            <v>20210761</v>
          </cell>
          <cell r="R517">
            <v>4800</v>
          </cell>
        </row>
        <row r="518">
          <cell r="A518">
            <v>20210787</v>
          </cell>
          <cell r="R518">
            <v>6600</v>
          </cell>
        </row>
        <row r="519">
          <cell r="A519">
            <v>20210815</v>
          </cell>
          <cell r="R519">
            <v>85.95</v>
          </cell>
        </row>
        <row r="520">
          <cell r="A520">
            <v>20210740</v>
          </cell>
          <cell r="R520">
            <v>680</v>
          </cell>
        </row>
        <row r="521">
          <cell r="A521">
            <v>20210682</v>
          </cell>
          <cell r="R521">
            <v>480</v>
          </cell>
        </row>
        <row r="522">
          <cell r="A522" t="str">
            <v>S/N°OS</v>
          </cell>
          <cell r="R522">
            <v>420</v>
          </cell>
        </row>
        <row r="523">
          <cell r="A523">
            <v>20210740</v>
          </cell>
          <cell r="R523">
            <v>5364.38</v>
          </cell>
        </row>
        <row r="524">
          <cell r="A524">
            <v>20210816</v>
          </cell>
          <cell r="R524">
            <v>262.10000000000002</v>
          </cell>
        </row>
        <row r="525">
          <cell r="A525">
            <v>20210798</v>
          </cell>
          <cell r="R525">
            <v>2354.12</v>
          </cell>
        </row>
        <row r="526">
          <cell r="A526">
            <v>20210798</v>
          </cell>
          <cell r="R526">
            <v>619.65</v>
          </cell>
        </row>
        <row r="527">
          <cell r="A527">
            <v>20210799</v>
          </cell>
          <cell r="R527">
            <v>6450</v>
          </cell>
        </row>
        <row r="528">
          <cell r="A528" t="str">
            <v>S/N°OS</v>
          </cell>
          <cell r="R528">
            <v>750</v>
          </cell>
        </row>
        <row r="529">
          <cell r="A529">
            <v>20210791</v>
          </cell>
          <cell r="R529">
            <v>692.07</v>
          </cell>
        </row>
        <row r="530">
          <cell r="A530">
            <v>20210789</v>
          </cell>
          <cell r="R530">
            <v>588</v>
          </cell>
        </row>
        <row r="531">
          <cell r="A531">
            <v>20210789</v>
          </cell>
          <cell r="R531">
            <v>117.6</v>
          </cell>
        </row>
        <row r="532">
          <cell r="A532">
            <v>20210789</v>
          </cell>
          <cell r="R532">
            <v>3564.5</v>
          </cell>
        </row>
        <row r="533">
          <cell r="A533">
            <v>20210789</v>
          </cell>
          <cell r="R533">
            <v>418.05</v>
          </cell>
        </row>
        <row r="534">
          <cell r="A534">
            <v>20210789</v>
          </cell>
          <cell r="R534">
            <v>691.42</v>
          </cell>
        </row>
        <row r="535">
          <cell r="A535">
            <v>20210789</v>
          </cell>
          <cell r="R535">
            <v>172.185</v>
          </cell>
        </row>
        <row r="536">
          <cell r="A536">
            <v>20210789</v>
          </cell>
          <cell r="R536">
            <v>172.185</v>
          </cell>
        </row>
        <row r="537">
          <cell r="A537">
            <v>20210789</v>
          </cell>
          <cell r="R537">
            <v>564.79</v>
          </cell>
        </row>
        <row r="538">
          <cell r="A538">
            <v>20210759</v>
          </cell>
          <cell r="R538">
            <v>3560</v>
          </cell>
        </row>
        <row r="539">
          <cell r="A539">
            <v>20210759</v>
          </cell>
          <cell r="R539">
            <v>1700</v>
          </cell>
        </row>
        <row r="540">
          <cell r="A540">
            <v>20210787</v>
          </cell>
          <cell r="R540">
            <v>449.35</v>
          </cell>
        </row>
        <row r="541">
          <cell r="A541">
            <v>20210804</v>
          </cell>
          <cell r="R541">
            <v>30</v>
          </cell>
        </row>
        <row r="542">
          <cell r="A542">
            <v>20210816</v>
          </cell>
          <cell r="R542">
            <v>120</v>
          </cell>
        </row>
        <row r="543">
          <cell r="A543">
            <v>20210818</v>
          </cell>
          <cell r="R543">
            <v>87.5</v>
          </cell>
        </row>
        <row r="544">
          <cell r="A544" t="str">
            <v>S/N°OS</v>
          </cell>
          <cell r="R544">
            <v>92.59</v>
          </cell>
        </row>
        <row r="545">
          <cell r="A545">
            <v>20210820</v>
          </cell>
          <cell r="R545">
            <v>2965.4300000000003</v>
          </cell>
        </row>
        <row r="546">
          <cell r="A546">
            <v>20210787</v>
          </cell>
          <cell r="R546">
            <v>1005.19</v>
          </cell>
        </row>
        <row r="547">
          <cell r="A547" t="str">
            <v>S/N°OS</v>
          </cell>
          <cell r="R547">
            <v>619.79</v>
          </cell>
        </row>
        <row r="548">
          <cell r="A548">
            <v>20220841</v>
          </cell>
          <cell r="R548">
            <v>950</v>
          </cell>
        </row>
        <row r="549">
          <cell r="A549">
            <v>20220841</v>
          </cell>
          <cell r="R549">
            <v>1234</v>
          </cell>
        </row>
        <row r="550">
          <cell r="A550">
            <v>20220841</v>
          </cell>
          <cell r="R550">
            <v>406.26</v>
          </cell>
        </row>
        <row r="551">
          <cell r="A551">
            <v>20220841</v>
          </cell>
          <cell r="R551">
            <v>99.36</v>
          </cell>
        </row>
        <row r="552">
          <cell r="A552">
            <v>20220841</v>
          </cell>
          <cell r="R552">
            <v>2725</v>
          </cell>
        </row>
        <row r="553">
          <cell r="A553">
            <v>20220844</v>
          </cell>
          <cell r="R553">
            <v>1552.5</v>
          </cell>
        </row>
        <row r="554">
          <cell r="A554">
            <v>20220840</v>
          </cell>
          <cell r="R554">
            <v>2047.44</v>
          </cell>
        </row>
        <row r="555">
          <cell r="A555">
            <v>20210834</v>
          </cell>
          <cell r="R555">
            <v>4094.88</v>
          </cell>
        </row>
        <row r="556">
          <cell r="A556">
            <v>20220839</v>
          </cell>
          <cell r="R556">
            <v>465</v>
          </cell>
        </row>
        <row r="557">
          <cell r="A557">
            <v>20220850</v>
          </cell>
          <cell r="R557">
            <v>2049.4499999999998</v>
          </cell>
        </row>
        <row r="558">
          <cell r="A558">
            <v>20220854</v>
          </cell>
          <cell r="R558">
            <v>330.33</v>
          </cell>
        </row>
        <row r="559">
          <cell r="A559">
            <v>20210823</v>
          </cell>
          <cell r="R559">
            <v>2220.6</v>
          </cell>
        </row>
        <row r="560">
          <cell r="A560">
            <v>20210820</v>
          </cell>
          <cell r="R560">
            <v>1600</v>
          </cell>
        </row>
        <row r="561">
          <cell r="A561">
            <v>20210767</v>
          </cell>
          <cell r="R561">
            <v>783.72</v>
          </cell>
        </row>
        <row r="562">
          <cell r="A562">
            <v>20220844</v>
          </cell>
          <cell r="R562">
            <v>79.349999999999994</v>
          </cell>
        </row>
        <row r="563">
          <cell r="A563">
            <v>20210750</v>
          </cell>
          <cell r="R563">
            <v>1429</v>
          </cell>
        </row>
      </sheetData>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RAL"/>
    </sheetNames>
    <sheetDataSet>
      <sheetData sheetId="0">
        <row r="2">
          <cell r="A2">
            <v>20210819</v>
          </cell>
          <cell r="O2">
            <v>2.25</v>
          </cell>
        </row>
        <row r="3">
          <cell r="A3">
            <v>20210819</v>
          </cell>
          <cell r="O3">
            <v>2250</v>
          </cell>
        </row>
        <row r="4">
          <cell r="A4">
            <v>20210819</v>
          </cell>
          <cell r="O4">
            <v>320</v>
          </cell>
        </row>
        <row r="5">
          <cell r="A5">
            <v>20210819</v>
          </cell>
          <cell r="O5">
            <v>126.9</v>
          </cell>
        </row>
        <row r="6">
          <cell r="A6">
            <v>20210819</v>
          </cell>
          <cell r="O6">
            <v>16.440000000000001</v>
          </cell>
        </row>
        <row r="7">
          <cell r="A7">
            <v>20210819</v>
          </cell>
          <cell r="O7">
            <v>16.68</v>
          </cell>
        </row>
        <row r="8">
          <cell r="A8">
            <v>20210819</v>
          </cell>
          <cell r="O8">
            <v>110</v>
          </cell>
        </row>
        <row r="9">
          <cell r="A9">
            <v>20210819</v>
          </cell>
          <cell r="O9">
            <v>100</v>
          </cell>
        </row>
        <row r="10">
          <cell r="A10">
            <v>20210819</v>
          </cell>
          <cell r="O10">
            <v>100</v>
          </cell>
        </row>
        <row r="11">
          <cell r="A11">
            <v>20210819</v>
          </cell>
          <cell r="O11">
            <v>100</v>
          </cell>
        </row>
        <row r="12">
          <cell r="A12">
            <v>20210819</v>
          </cell>
          <cell r="O12">
            <v>100</v>
          </cell>
        </row>
        <row r="13">
          <cell r="A13">
            <v>20210819</v>
          </cell>
          <cell r="O13">
            <v>100</v>
          </cell>
        </row>
        <row r="14">
          <cell r="A14">
            <v>20210819</v>
          </cell>
          <cell r="O14">
            <v>85</v>
          </cell>
        </row>
        <row r="15">
          <cell r="A15">
            <v>20210819</v>
          </cell>
          <cell r="O15">
            <v>80</v>
          </cell>
        </row>
        <row r="16">
          <cell r="A16">
            <v>20210819</v>
          </cell>
          <cell r="O16">
            <v>80</v>
          </cell>
        </row>
        <row r="17">
          <cell r="A17">
            <v>20210819</v>
          </cell>
          <cell r="O17">
            <v>36.299999999999997</v>
          </cell>
        </row>
        <row r="18">
          <cell r="A18">
            <v>20210819</v>
          </cell>
          <cell r="O18">
            <v>60</v>
          </cell>
        </row>
        <row r="19">
          <cell r="A19">
            <v>20210819</v>
          </cell>
          <cell r="O19">
            <v>60</v>
          </cell>
        </row>
        <row r="20">
          <cell r="A20">
            <v>20210834</v>
          </cell>
          <cell r="O20">
            <v>363.7</v>
          </cell>
        </row>
        <row r="21">
          <cell r="A21">
            <v>20220840</v>
          </cell>
          <cell r="O21">
            <v>200.02</v>
          </cell>
        </row>
        <row r="22">
          <cell r="A22">
            <v>20220840</v>
          </cell>
          <cell r="O22">
            <v>200</v>
          </cell>
        </row>
        <row r="23">
          <cell r="A23">
            <v>20220840</v>
          </cell>
          <cell r="O23">
            <v>10</v>
          </cell>
        </row>
        <row r="24">
          <cell r="A24">
            <v>20220840</v>
          </cell>
          <cell r="O24">
            <v>147</v>
          </cell>
        </row>
        <row r="25">
          <cell r="A25">
            <v>20220840</v>
          </cell>
          <cell r="O25">
            <v>120</v>
          </cell>
        </row>
        <row r="26">
          <cell r="A26">
            <v>20220840</v>
          </cell>
          <cell r="O26">
            <v>100</v>
          </cell>
        </row>
        <row r="27">
          <cell r="A27">
            <v>20220840</v>
          </cell>
          <cell r="O27">
            <v>29</v>
          </cell>
        </row>
        <row r="28">
          <cell r="A28">
            <v>20220840</v>
          </cell>
          <cell r="O28">
            <v>100</v>
          </cell>
        </row>
        <row r="29">
          <cell r="A29">
            <v>20220840</v>
          </cell>
          <cell r="O29">
            <v>29.79</v>
          </cell>
        </row>
        <row r="30">
          <cell r="A30">
            <v>20220840</v>
          </cell>
          <cell r="O30">
            <v>30</v>
          </cell>
        </row>
        <row r="31">
          <cell r="A31">
            <v>20220840</v>
          </cell>
          <cell r="O31">
            <v>30</v>
          </cell>
        </row>
        <row r="32">
          <cell r="A32">
            <v>20220840</v>
          </cell>
          <cell r="O32">
            <v>53.3</v>
          </cell>
        </row>
        <row r="33">
          <cell r="A33">
            <v>20220840</v>
          </cell>
          <cell r="O33">
            <v>50</v>
          </cell>
        </row>
        <row r="34">
          <cell r="A34">
            <v>20220850</v>
          </cell>
          <cell r="O34">
            <v>461.9</v>
          </cell>
        </row>
        <row r="35">
          <cell r="A35">
            <v>20220850</v>
          </cell>
          <cell r="O35">
            <v>9.98</v>
          </cell>
        </row>
        <row r="36">
          <cell r="A36">
            <v>20220850</v>
          </cell>
          <cell r="O36">
            <v>147.6</v>
          </cell>
        </row>
        <row r="37">
          <cell r="A37">
            <v>20220850</v>
          </cell>
          <cell r="O37">
            <v>10</v>
          </cell>
        </row>
        <row r="38">
          <cell r="A38">
            <v>20220850</v>
          </cell>
          <cell r="O38">
            <v>120</v>
          </cell>
        </row>
        <row r="39">
          <cell r="A39">
            <v>20220850</v>
          </cell>
          <cell r="O39">
            <v>100</v>
          </cell>
        </row>
        <row r="40">
          <cell r="A40">
            <v>20220850</v>
          </cell>
          <cell r="O40">
            <v>100</v>
          </cell>
        </row>
        <row r="41">
          <cell r="A41">
            <v>20220850</v>
          </cell>
          <cell r="O41">
            <v>29.5</v>
          </cell>
        </row>
        <row r="42">
          <cell r="A42">
            <v>20220850</v>
          </cell>
          <cell r="O42">
            <v>30</v>
          </cell>
        </row>
        <row r="43">
          <cell r="A43">
            <v>20220850</v>
          </cell>
          <cell r="O43">
            <v>30</v>
          </cell>
        </row>
        <row r="44">
          <cell r="A44">
            <v>20220850</v>
          </cell>
          <cell r="O44">
            <v>30</v>
          </cell>
        </row>
        <row r="45">
          <cell r="A45">
            <v>20210790</v>
          </cell>
          <cell r="O45">
            <v>2556</v>
          </cell>
        </row>
        <row r="46">
          <cell r="A46">
            <v>20210787</v>
          </cell>
          <cell r="O46">
            <v>3769</v>
          </cell>
        </row>
        <row r="47">
          <cell r="A47">
            <v>20220853</v>
          </cell>
          <cell r="O47">
            <v>3769</v>
          </cell>
        </row>
        <row r="48">
          <cell r="A48">
            <v>20210734</v>
          </cell>
          <cell r="O48">
            <v>2466.67</v>
          </cell>
        </row>
        <row r="49">
          <cell r="A49">
            <v>20210755</v>
          </cell>
          <cell r="O49">
            <v>798.86</v>
          </cell>
        </row>
        <row r="50">
          <cell r="A50">
            <v>20210755</v>
          </cell>
          <cell r="O50">
            <v>625.84</v>
          </cell>
        </row>
        <row r="51">
          <cell r="A51">
            <v>20210755</v>
          </cell>
          <cell r="O51">
            <v>599.94000000000005</v>
          </cell>
        </row>
        <row r="52">
          <cell r="A52">
            <v>20210774</v>
          </cell>
          <cell r="O52">
            <v>1317.99</v>
          </cell>
        </row>
        <row r="53">
          <cell r="A53">
            <v>20210774</v>
          </cell>
          <cell r="O53">
            <v>959.51</v>
          </cell>
        </row>
        <row r="54">
          <cell r="A54">
            <v>20220841</v>
          </cell>
          <cell r="O54">
            <v>1700</v>
          </cell>
        </row>
        <row r="55">
          <cell r="A55">
            <v>20210789</v>
          </cell>
          <cell r="O55">
            <v>1852.44</v>
          </cell>
        </row>
        <row r="56">
          <cell r="A56">
            <v>20210838</v>
          </cell>
          <cell r="O56">
            <v>753.67</v>
          </cell>
        </row>
        <row r="57">
          <cell r="A57">
            <v>20210482</v>
          </cell>
          <cell r="O57">
            <v>30.4</v>
          </cell>
        </row>
        <row r="406">
          <cell r="A406"/>
          <cell r="O406"/>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2" connectionId="1" xr16:uid="{8D35B0FB-89DD-4A31-828C-B8B99B864A3F}" autoFormatId="16" applyNumberFormats="0" applyBorderFormats="0" applyFontFormats="0" applyPatternFormats="0" applyAlignmentFormats="0" applyWidthHeightFormats="0">
  <queryTableRefresh nextId="23">
    <queryTableFields count="14">
      <queryTableField id="1" name="CLIENTE " tableColumnId="1"/>
      <queryTableField id="2" name="N° SÉRIE" tableColumnId="2"/>
      <queryTableField id="3" name="TIPO DE EQUIPAMENTO " tableColumnId="3"/>
      <queryTableField id="4" name="EQUIPAMENTO " tableColumnId="4"/>
      <queryTableField id="5" name="REGIAO " tableColumnId="5"/>
      <queryTableField id="6" name="CIDADE " tableColumnId="6"/>
      <queryTableField id="7" name="UF " tableColumnId="7"/>
      <queryTableField id="8" name="PESSOA DE CONTATO " tableColumnId="8"/>
      <queryTableField id="9" name="DATA DE VENDA" tableColumnId="9"/>
      <queryTableField id="10" name="DATA DE FATAURAMENTO " tableColumnId="10"/>
      <queryTableField id="11" name="CONCLUSÃO STARTUP " tableColumnId="11"/>
      <queryTableField id="12" name="TÉRMINO DA GARANTIA" tableColumnId="12"/>
      <queryTableField id="13" name="PERIODO DE GARANTIA " tableColumnId="13"/>
      <queryTableField id="14" name="QUALIDADE"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2" xr16:uid="{6F4ABD6A-9B16-4A63-BB69-79F2C4B28A10}" autoFormatId="16" applyNumberFormats="0" applyBorderFormats="0" applyFontFormats="0" applyPatternFormats="0" applyAlignmentFormats="0" applyWidthHeightFormats="0">
  <queryTableRefresh nextId="59">
    <queryTableFields count="22">
      <queryTableField id="1" name="N° OS" tableColumnId="1"/>
      <queryTableField id="2" name="CATEGORIA" tableColumnId="2"/>
      <queryTableField id="3" name="COMPONENTE" tableColumnId="3"/>
      <queryTableField id="4" name="QTDE" tableColumnId="4"/>
      <queryTableField id="25" name="CUSTO UN" tableColumnId="5"/>
      <queryTableField id="6" name="DESCRIÇÃO" tableColumnId="6"/>
      <queryTableField id="7" name="FORNECEDOR" tableColumnId="7"/>
      <queryTableField id="8" name="EQUIPAMENTO" tableColumnId="8"/>
      <queryTableField id="9" name="DATA SOLICITAÇÃO" tableColumnId="9"/>
      <queryTableField id="39" name="DATA COMPETENCIA" tableColumnId="10"/>
      <queryTableField id="11" name="CLIENTE" tableColumnId="11"/>
      <queryTableField id="40" name="VALOR 1" tableColumnId="12"/>
      <queryTableField id="41" name="DATA PAGAMENTO 1" tableColumnId="13"/>
      <queryTableField id="42" name="VALOR 2" tableColumnId="14"/>
      <queryTableField id="43" name="DATA PAGAMENTO 2" tableColumnId="15"/>
      <queryTableField id="44" name="VALOR 3" tableColumnId="16"/>
      <queryTableField id="45" name="DATA PAGAMENTO 3" tableColumnId="17"/>
      <queryTableField id="18" name="VALOR TOTAL" tableColumnId="18"/>
      <queryTableField id="19" name="DATA CHEGADA" tableColumnId="19"/>
      <queryTableField id="46" name="MÊS 1" tableColumnId="20"/>
      <queryTableField id="47" name="MÊS 2" tableColumnId="21"/>
      <queryTableField id="48" name="MÊS 3" tableColumnId="2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F83A78-305F-491A-856D-6E6B1DE0716D}" name="GERAL" displayName="GERAL" ref="A2:AF441" totalsRowShown="0" headerRowDxfId="58">
  <autoFilter ref="A2:AF441" xr:uid="{FBF83A78-305F-491A-856D-6E6B1DE0716D}"/>
  <tableColumns count="32">
    <tableColumn id="1" xr3:uid="{D1A8A372-3539-44D7-AB0E-881E93BC89DA}" name="N° SERIE" dataDxfId="57"/>
    <tableColumn id="2" xr3:uid="{C5AFD968-B135-4405-87AB-BC4D1B7CAF2B}" name="CLIENTE" dataDxfId="56">
      <calculatedColumnFormula>IFERROR(INDEX([1]GARANTIA!$B:$B,MATCH(A3,[1]GARANTIA!$C:$C,0)),"INSIRA N° SERIE")</calculatedColumnFormula>
    </tableColumn>
    <tableColumn id="3" xr3:uid="{921EBCB2-4F6C-4739-9658-F278C24BA860}" name="DATA DE VENDA" dataDxfId="55">
      <calculatedColumnFormula>IFERROR(INDEX([1]GARANTIA!$J:$J,MATCH(A3,[1]GARANTIA!$C:$C,0)),"INSIRA N° SERIE")</calculatedColumnFormula>
    </tableColumn>
    <tableColumn id="4" xr3:uid="{4153ED17-E7FF-4391-AADD-29A845187913}" name="PERIODO DE GARANTIA" dataDxfId="54">
      <calculatedColumnFormula>IFERROR(IF(INDEX([1]GARANTIA!$M:$M,MATCH(A3,[1]GARANTIA!$C:$C,0))&gt;=I3,"DENTRO DA GARANTIA","FORA DE GARANTIA"),"INSIRA N° SERIE")</calculatedColumnFormula>
    </tableColumn>
    <tableColumn id="32" xr3:uid="{66B0ED3F-502C-4279-91D4-8220346CE678}" name="HORÍMETRO" dataDxfId="53"/>
    <tableColumn id="5" xr3:uid="{34B556EF-F558-4BF6-AF91-7E95B449D109}" name="DIAS ATÉ A FALHA" dataDxfId="52">
      <calculatedColumnFormula>IFERROR(MAX(0,IF(I3-(INDEX([1]GARANTIA!$J:$J,MATCH(A3,[1]GARANTIA!$C:$C,0)))&gt;=0,I3-(INDEX([1]GARANTIA!$L:$L,MATCH(A3,[1]GARANTIA!$C:$C,0))),"INSIRA DATA CHAMADO")),"INSIRA N° SERIE")</calculatedColumnFormula>
    </tableColumn>
    <tableColumn id="6" xr3:uid="{502EE5A3-4F16-43E8-894D-F5C1E35E67C4}" name="N° OS" dataDxfId="51"/>
    <tableColumn id="7" xr3:uid="{D46AA492-4147-4319-B18C-A0BFA62433F3}" name="MÊS" dataDxfId="50">
      <calculatedColumnFormula>IF(YEAR(I3)=YEAR(I3),IF(I3&lt;&gt;"",UPPER(TEXT(I3,"MMM")),""),"")</calculatedColumnFormula>
    </tableColumn>
    <tableColumn id="8" xr3:uid="{D7725FF4-36E7-4FE8-A4F2-6ECF15706605}" name="DATA DO CHAMADO" dataDxfId="49"/>
    <tableColumn id="9" xr3:uid="{035F6778-0A66-4D89-AEC9-09ABC220D0EF}" name="DATA DA TRASNFERÊNCIA " dataDxfId="48"/>
    <tableColumn id="10" xr3:uid="{05F49DE7-6840-4153-822A-964874DA893A}" name="DATA DA FINALIZAÇÃO " dataDxfId="47"/>
    <tableColumn id="11" xr3:uid="{2E4E08CF-08A8-4813-828D-BDF366FAA2CC}" name="STATUS DO CHAMADO " dataDxfId="46"/>
    <tableColumn id="12" xr3:uid="{B8E5CAD7-6D27-4AE1-B2A4-B573D2C63C51}" name="ENTRADA DO CHAMADO " dataDxfId="45"/>
    <tableColumn id="13" xr3:uid="{7C020E6F-6627-46B7-AD94-43797AFF2CCB}" name="PROBLEMA APRESENTADO " dataDxfId="44"/>
    <tableColumn id="14" xr3:uid="{08D33F98-AF21-40A8-B6B6-9025DD50A9EE}" name="EQUIPAMENTO" dataDxfId="43">
      <calculatedColumnFormula>IFERROR(INDEX([1]GARANTIA!$E:$E,MATCH(A3,[1]GARANTIA!$C:$C,0)),"INSIRA N° SERIE")</calculatedColumnFormula>
    </tableColumn>
    <tableColumn id="15" xr3:uid="{A724DC05-2908-47C4-B752-84B376133557}" name="PORQUE?" dataDxfId="42"/>
    <tableColumn id="16" xr3:uid="{33C8479E-C69E-4C16-8FCB-54A1D4D795F1}" name="CAUSA DO &quot;PORQUE&quot;" dataDxfId="41"/>
    <tableColumn id="17" xr3:uid="{33DC99A5-26EB-4032-AD1A-893E2DFC3361}" name="QUAL A SOLUÇÃO NO MOMENTO?" dataDxfId="40"/>
    <tableColumn id="18" xr3:uid="{C79239EC-D96C-4768-9FDB-C294DACA1CED}" name="CLASSIFICAÇÃO_x000a_(QUALIDADE)" dataDxfId="39"/>
    <tableColumn id="19" xr3:uid="{DF7910BE-7F1B-436D-B0AC-F16320620503}" name="ORIGEM_x000a_(QUALIDADE)" dataDxfId="38"/>
    <tableColumn id="20" xr3:uid="{628D30DA-07D4-434F-9D2E-9BC2930E4A3A}" name="Coluna1" dataDxfId="37"/>
    <tableColumn id="21" xr3:uid="{0C35553E-F8CE-4B0E-A59D-6A1DEB579E1C}" name="CIDADE" dataDxfId="36">
      <calculatedColumnFormula>IFERROR(INDEX([1]GARANTIA!$G:$G,MATCH(A3,[1]GARANTIA!$C:$C,0)),"INSIRA N° SERIE")</calculatedColumnFormula>
    </tableColumn>
    <tableColumn id="22" xr3:uid="{A75211E9-D7FE-43E3-B963-15DDD8CD1749}" name="ESTADO" dataDxfId="35">
      <calculatedColumnFormula>IFERROR(INDEX([1]GARANTIA!$H:$H,MATCH(A3,[1]GARANTIA!$C:$C,0)),"INSIRA N° SERIE")</calculatedColumnFormula>
    </tableColumn>
    <tableColumn id="23" xr3:uid="{7678AA5D-759D-4455-8AB3-19DD275792B4}" name="REGIÃO " dataDxfId="34">
      <calculatedColumnFormula>IFERROR(INDEX([1]GARANTIA!$F:$F,MATCH(A3,[1]GARANTIA!$C:$C,0)),"INSIRA N° SERIE")</calculatedColumnFormula>
    </tableColumn>
    <tableColumn id="24" xr3:uid="{340D01E7-10FF-41D2-9AE6-1CCBBE7963DD}" name="QTD. DE DIAS PARA TRANSFERENCIA" dataDxfId="33">
      <calculatedColumnFormula>IF(G3&lt;&gt;"",J3-I3,"INSIRA N° OS")</calculatedColumnFormula>
    </tableColumn>
    <tableColumn id="25" xr3:uid="{DFB0B688-8AC4-4537-B46E-23B353470C8A}" name="QTD. DE DIAS PARA SOLUÇÃO" dataDxfId="32">
      <calculatedColumnFormula>IF(G3&lt;&gt;"",IF(OR(A3="",K3="",Q3="",P3="",R3=""),"NÃO FINALIZADO",K3-J3),"INSIRA N° OS")</calculatedColumnFormula>
    </tableColumn>
    <tableColumn id="26" xr3:uid="{283E1B72-8CD5-4195-99A8-DB96B6345D62}" name="DURAÇÃO DO ATENDIMENTO" dataDxfId="31">
      <calculatedColumnFormula>IF(Z3="NÃO FINALIZADO","",Z3+Y3)</calculatedColumnFormula>
    </tableColumn>
    <tableColumn id="27" xr3:uid="{DA31E7DE-6898-4D63-BD52-935D0655CD03}" name="STATUS" dataDxfId="30">
      <calculatedColumnFormula array="1">_xlfn.IFS(L3="FINALIZADO PRESENCIAL",IF(AA3&gt;10,"FORA","DENTRO"),L3="FINALIZADO REMOTO",IF(AA3&gt;5,"FORA","DENTRO"))</calculatedColumnFormula>
    </tableColumn>
    <tableColumn id="28" xr3:uid="{CFB376B9-0094-45B5-8A84-32EB23740E4F}" name="ATENDENTE REMOTO" dataDxfId="29"/>
    <tableColumn id="29" xr3:uid="{AD3F6A0C-116A-4FE1-A9FD-1AC06E9D9156}" name="ATENDIMENTO TECNICO PRESENCIAL" dataDxfId="28"/>
    <tableColumn id="30" xr3:uid="{855CF58D-454E-45E0-A1D8-FBA032AAA48E}" name="CUSTO PEÇAS" dataDxfId="27" dataCellStyle="Moeda">
      <calculatedColumnFormula array="1">SUMPRODUCT(IFERROR(('[2]PEÇAS GARANTIA'!$A$3:$A$5993=G3)*('[2]PEÇAS GARANTIA'!$A$3:$A$5993&lt;&gt;"")*('[2]PEÇAS GARANTIA'!$R$3:$R$5993),0))</calculatedColumnFormula>
    </tableColumn>
    <tableColumn id="31" xr3:uid="{443B6022-58AF-42C3-B9A3-228E1E817FF6}" name="CUSTO SERVIÇO" dataDxfId="26" dataCellStyle="Moed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B052A1-44B2-45B7-AE65-925D79A2D5FF}" name="GARANTIA" displayName="GARANTIA" ref="A1:N424" tableType="queryTable" totalsRowShown="0">
  <autoFilter ref="A1:N424" xr:uid="{47B052A1-44B2-45B7-AE65-925D79A2D5FF}"/>
  <tableColumns count="14">
    <tableColumn id="1" xr3:uid="{7EEC279F-80C9-4322-A334-9F9185AD5270}" uniqueName="1" name="CLIENTE " queryTableFieldId="1" dataDxfId="12"/>
    <tableColumn id="2" xr3:uid="{6E38E77B-2AFB-49E9-8C6E-A2AC402D0059}" uniqueName="2" name="N° SÉRIE" queryTableFieldId="2"/>
    <tableColumn id="3" xr3:uid="{389C9B3D-5893-4997-892D-D41BB76A620B}" uniqueName="3" name="TIPO DE EQUIPAMENTO " queryTableFieldId="3" dataDxfId="11"/>
    <tableColumn id="4" xr3:uid="{7CB62235-FF6A-4DD2-9BE5-BE73F1CE3CCF}" uniqueName="4" name="EQUIPAMENTO " queryTableFieldId="4" dataDxfId="10"/>
    <tableColumn id="5" xr3:uid="{82196E02-EA3F-45C2-AFC7-DE76D9C9894A}" uniqueName="5" name="REGIAO " queryTableFieldId="5" dataDxfId="9"/>
    <tableColumn id="6" xr3:uid="{A4E924DC-987E-432B-8669-A6DBFA22D4F9}" uniqueName="6" name="CIDADE " queryTableFieldId="6" dataDxfId="8"/>
    <tableColumn id="7" xr3:uid="{336648BD-BDB2-4EB9-82AC-41C2B25466F2}" uniqueName="7" name="UF " queryTableFieldId="7" dataDxfId="7"/>
    <tableColumn id="8" xr3:uid="{BB04E205-BE23-4605-9A57-52A173D0D0F1}" uniqueName="8" name="PESSOA DE CONTATO " queryTableFieldId="8" dataDxfId="6"/>
    <tableColumn id="9" xr3:uid="{8CA8D79B-A16F-4798-89E6-21C4D7C25C78}" uniqueName="9" name="DATA DE VENDA" queryTableFieldId="9" dataDxfId="5"/>
    <tableColumn id="10" xr3:uid="{F6C81D27-2CB4-4C8F-8C01-2380DBD61692}" uniqueName="10" name="DATA DE FATAURAMENTO " queryTableFieldId="10" dataDxfId="4"/>
    <tableColumn id="11" xr3:uid="{1945F8C9-1EFD-4B62-9847-220EBCDE02B8}" uniqueName="11" name="CONCLUSÃO STARTUP " queryTableFieldId="11" dataDxfId="3"/>
    <tableColumn id="12" xr3:uid="{94D4682A-1F94-4A22-93EE-FD9462906896}" uniqueName="12" name="TÉRMINO DA GARANTIA" queryTableFieldId="12" dataDxfId="2"/>
    <tableColumn id="13" xr3:uid="{F2D988AF-6DC1-4526-B4FA-E2E2AA85331D}" uniqueName="13" name="PERIODO DE GARANTIA " queryTableFieldId="13" dataDxfId="1"/>
    <tableColumn id="14" xr3:uid="{E1694005-AE07-4C51-88BC-C3CD53F5999B}" uniqueName="14" name="QUALIDADE" queryTableFieldId="14"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ECC7E9-63F8-4473-9EFE-5CBF44729A21}" name="PEÇAS_GARANTIA" displayName="PEÇAS_GARANTIA" ref="A1:V562" tableType="queryTable" totalsRowShown="0">
  <autoFilter ref="A1:V562" xr:uid="{A1ECC7E9-63F8-4473-9EFE-5CBF44729A21}"/>
  <tableColumns count="22">
    <tableColumn id="1" xr3:uid="{3DED2A92-780E-4528-9718-B1C7E5D27E8E}" uniqueName="1" name="N° OS" queryTableFieldId="1"/>
    <tableColumn id="2" xr3:uid="{5D5CFA6D-542A-45F0-8530-5954058F57D2}" uniqueName="2" name="CATEGORIA" queryTableFieldId="2" dataDxfId="25"/>
    <tableColumn id="3" xr3:uid="{6C43BDA6-5023-4313-9C7F-891053DCA480}" uniqueName="3" name="COMPONENTE" queryTableFieldId="3" dataDxfId="24"/>
    <tableColumn id="4" xr3:uid="{A639BD92-A4AE-4903-9C74-E3B65C8F6F46}" uniqueName="4" name="QTDE" queryTableFieldId="4" dataDxfId="23"/>
    <tableColumn id="5" xr3:uid="{C7ECE681-EAB8-4F49-BED1-04F5E9864C83}" uniqueName="5" name="CUSTO UN" queryTableFieldId="25" dataDxfId="22"/>
    <tableColumn id="6" xr3:uid="{7F5E4473-3A6F-4F97-AE0D-EB9B32F80782}" uniqueName="6" name="DESCRIÇÃO" queryTableFieldId="6" dataDxfId="21"/>
    <tableColumn id="7" xr3:uid="{E8E62983-E272-44E9-99E3-344C1B88CF43}" uniqueName="7" name="FORNECEDOR" queryTableFieldId="7" dataDxfId="20"/>
    <tableColumn id="8" xr3:uid="{4F4A7440-B2D8-4080-832C-8CCF7783BBDE}" uniqueName="8" name="EQUIPAMENTO" queryTableFieldId="8" dataDxfId="19"/>
    <tableColumn id="9" xr3:uid="{0021EBB4-4B84-4DE3-8406-3C00A55972AD}" uniqueName="9" name="DATA SOLICITAÇÃO" queryTableFieldId="9" dataDxfId="18"/>
    <tableColumn id="10" xr3:uid="{2345FC92-68E8-4B81-A07F-A38E14EF78F6}" uniqueName="10" name="DATA COMPETENCIA" queryTableFieldId="39"/>
    <tableColumn id="11" xr3:uid="{C86D24BB-3185-4836-9C3D-B85005B5AFF3}" uniqueName="11" name="CLIENTE" queryTableFieldId="11" dataDxfId="17"/>
    <tableColumn id="12" xr3:uid="{FEBF501C-2FB5-418D-836A-9B09EE2CF51C}" uniqueName="12" name="VALOR 1" queryTableFieldId="40"/>
    <tableColumn id="13" xr3:uid="{B0FFBFE4-D75B-4DB9-AAF0-3AA058E7B229}" uniqueName="13" name="DATA PAGAMENTO 1" queryTableFieldId="41"/>
    <tableColumn id="14" xr3:uid="{5097F511-9A21-4735-890F-018593717955}" uniqueName="14" name="VALOR 2" queryTableFieldId="42"/>
    <tableColumn id="15" xr3:uid="{355D8539-E787-425A-911F-6FCDDC5DD8C6}" uniqueName="15" name="DATA PAGAMENTO 2" queryTableFieldId="43"/>
    <tableColumn id="16" xr3:uid="{017830BC-9EE6-445B-B5DE-2ADD13C1036E}" uniqueName="16" name="VALOR 3" queryTableFieldId="44"/>
    <tableColumn id="17" xr3:uid="{BA07E792-7F91-487A-9FD2-C7DE863B5DFF}" uniqueName="17" name="DATA PAGAMENTO 3" queryTableFieldId="45"/>
    <tableColumn id="18" xr3:uid="{6597D45E-2177-405D-9C66-05B429BB1A15}" uniqueName="18" name="VALOR TOTAL" queryTableFieldId="18" dataDxfId="16"/>
    <tableColumn id="19" xr3:uid="{F6AFB814-DA08-4CA2-BA6D-CAB7CAB53573}" uniqueName="19" name="DATA CHEGADA" queryTableFieldId="19" dataDxfId="15"/>
    <tableColumn id="20" xr3:uid="{F55DB10D-A43D-400E-9D1C-218D52E4EF43}" uniqueName="20" name="MÊS 1" queryTableFieldId="46"/>
    <tableColumn id="21" xr3:uid="{29909138-545A-484D-8E26-FE3541431978}" uniqueName="21" name="MÊS 2" queryTableFieldId="47" dataDxfId="14"/>
    <tableColumn id="22" xr3:uid="{5B3C37A1-FC1C-4113-815F-D28021DDB265}" uniqueName="22" name="MÊS 3" queryTableFieldId="48" dataDxfId="13"/>
  </tableColumns>
  <tableStyleInfo name="TableStyleMedium7"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7349-FA84-4168-B410-8349BDF38ABC}">
  <sheetPr codeName="Planilha2"/>
  <dimension ref="A1"/>
  <sheetViews>
    <sheetView showGridLines="0" showRowColHeaders="0" zoomScaleNormal="100" workbookViewId="0">
      <selection activeCell="D23" sqref="D23"/>
    </sheetView>
  </sheetViews>
  <sheetFormatPr defaultColWidth="9.140625" defaultRowHeight="15" x14ac:dyDescent="0.25"/>
  <cols>
    <col min="1" max="16384" width="9.140625" style="164"/>
  </cols>
  <sheetData/>
  <sheetProtection algorithmName="SHA-512" hashValue="HA2O70/SJ2bAQxoRY2Zb/0vLomJMQwnB7ypydimTeE/vjM5QoB+T9lVR/gNzGHVz3zInytjQ7maT0E6VAi386Q==" saltValue="LcF2c3UZG/d7nZf3JxXNYA==" spinCount="100000" sheet="1" objects="1" scenarios="1"/>
  <pageMargins left="0.511811024" right="0.511811024" top="0.78740157499999996" bottom="0.78740157499999996" header="0.31496062000000002" footer="0.31496062000000002"/>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F409B-D2B0-4B99-958A-DCB764FA180D}">
  <sheetPr codeName="Planilha5"/>
  <dimension ref="A1:EU441"/>
  <sheetViews>
    <sheetView showGridLines="0" tabSelected="1" zoomScale="70" zoomScaleNormal="70" workbookViewId="0">
      <pane ySplit="2" topLeftCell="A184" activePane="bottomLeft" state="frozen"/>
      <selection pane="bottomLeft" activeCell="AD3" sqref="AD3:AD441"/>
    </sheetView>
  </sheetViews>
  <sheetFormatPr defaultColWidth="9.140625" defaultRowHeight="40.15" customHeight="1" x14ac:dyDescent="0.25"/>
  <cols>
    <col min="1" max="1" width="45.140625" style="87" customWidth="1"/>
    <col min="2" max="2" width="36" style="8" customWidth="1"/>
    <col min="3" max="3" width="25" style="10" customWidth="1"/>
    <col min="4" max="4" width="35.85546875" style="10" bestFit="1" customWidth="1"/>
    <col min="5" max="5" width="22.140625" style="149" customWidth="1"/>
    <col min="6" max="6" width="21" style="10" bestFit="1" customWidth="1"/>
    <col min="7" max="7" width="12.85546875" style="10" customWidth="1"/>
    <col min="8" max="8" width="13" style="8" bestFit="1" customWidth="1"/>
    <col min="9" max="9" width="39" style="184" customWidth="1"/>
    <col min="10" max="10" width="35.42578125" style="8" bestFit="1" customWidth="1"/>
    <col min="11" max="11" width="34.85546875" style="13" bestFit="1" customWidth="1"/>
    <col min="12" max="12" width="36.42578125" style="13" bestFit="1" customWidth="1"/>
    <col min="13" max="14" width="43.5703125" style="13" bestFit="1" customWidth="1"/>
    <col min="15" max="15" width="34" style="62" bestFit="1" customWidth="1"/>
    <col min="16" max="16" width="255.7109375" style="13" bestFit="1" customWidth="1"/>
    <col min="17" max="17" width="44" style="62" bestFit="1" customWidth="1"/>
    <col min="18" max="18" width="101.5703125" style="13" bestFit="1" customWidth="1"/>
    <col min="19" max="19" width="25.85546875" style="13" bestFit="1" customWidth="1"/>
    <col min="20" max="20" width="23.5703125" style="13" bestFit="1" customWidth="1"/>
    <col min="21" max="21" width="28.42578125" style="13" hidden="1" customWidth="1"/>
    <col min="22" max="22" width="29.140625" style="13" bestFit="1" customWidth="1"/>
    <col min="23" max="23" width="17.7109375" style="13" bestFit="1" customWidth="1"/>
    <col min="24" max="24" width="32.7109375" style="13" customWidth="1"/>
    <col min="25" max="26" width="31.42578125" style="13" bestFit="1" customWidth="1"/>
    <col min="27" max="27" width="25" style="13" bestFit="1" customWidth="1"/>
    <col min="28" max="28" width="31.7109375" style="13" customWidth="1"/>
    <col min="29" max="29" width="27" style="13" customWidth="1"/>
    <col min="30" max="30" width="14.5703125" style="15" customWidth="1"/>
    <col min="31" max="31" width="15.140625" style="16" customWidth="1"/>
    <col min="32" max="32" width="22.42578125" style="16" bestFit="1" customWidth="1"/>
    <col min="33" max="16384" width="9.140625" style="15"/>
  </cols>
  <sheetData>
    <row r="1" spans="1:151" s="14" customFormat="1" ht="40.15" customHeight="1" x14ac:dyDescent="0.25">
      <c r="A1" s="79"/>
      <c r="B1" s="7"/>
      <c r="C1" s="9"/>
      <c r="D1" s="9"/>
      <c r="E1" s="146"/>
      <c r="F1" s="9"/>
      <c r="G1" s="9"/>
      <c r="H1" s="11"/>
      <c r="I1" s="183"/>
      <c r="J1" s="11"/>
      <c r="K1" s="11"/>
      <c r="L1" s="11"/>
      <c r="M1" s="11"/>
      <c r="N1" s="11"/>
      <c r="O1" s="59"/>
      <c r="P1" s="11"/>
      <c r="Q1" s="59"/>
      <c r="R1" s="11"/>
      <c r="S1" s="11"/>
      <c r="T1" s="11"/>
      <c r="U1" s="11"/>
      <c r="V1" s="11"/>
      <c r="W1" s="11"/>
      <c r="X1" s="11"/>
      <c r="Y1" s="11"/>
      <c r="Z1" s="11"/>
      <c r="AA1" s="11"/>
      <c r="AB1" s="11"/>
      <c r="AC1" s="11"/>
      <c r="AD1" s="11"/>
      <c r="AE1" s="12"/>
      <c r="AF1" s="12"/>
    </row>
    <row r="2" spans="1:151" ht="40.15" customHeight="1" x14ac:dyDescent="0.25">
      <c r="A2" s="80" t="s">
        <v>138</v>
      </c>
      <c r="B2" s="21" t="s">
        <v>140</v>
      </c>
      <c r="C2" s="22" t="s">
        <v>96</v>
      </c>
      <c r="D2" s="22" t="s">
        <v>121</v>
      </c>
      <c r="E2" s="147" t="s">
        <v>790</v>
      </c>
      <c r="F2" s="40" t="s">
        <v>133</v>
      </c>
      <c r="G2" s="23" t="s">
        <v>139</v>
      </c>
      <c r="H2" s="23" t="s">
        <v>66</v>
      </c>
      <c r="I2" s="23" t="s">
        <v>14</v>
      </c>
      <c r="J2" s="24" t="s">
        <v>0</v>
      </c>
      <c r="K2" s="25" t="s">
        <v>15</v>
      </c>
      <c r="L2" s="26" t="s">
        <v>35</v>
      </c>
      <c r="M2" s="27" t="s">
        <v>36</v>
      </c>
      <c r="N2" s="27" t="s">
        <v>16</v>
      </c>
      <c r="O2" s="28" t="s">
        <v>49</v>
      </c>
      <c r="P2" s="29" t="s">
        <v>147</v>
      </c>
      <c r="Q2" s="29" t="s">
        <v>320</v>
      </c>
      <c r="R2" s="29" t="s">
        <v>149</v>
      </c>
      <c r="S2" s="30" t="s">
        <v>134</v>
      </c>
      <c r="T2" s="30" t="s">
        <v>135</v>
      </c>
      <c r="U2" s="13" t="s">
        <v>655</v>
      </c>
      <c r="V2" s="31" t="s">
        <v>146</v>
      </c>
      <c r="W2" s="31" t="s">
        <v>145</v>
      </c>
      <c r="X2" s="31" t="s">
        <v>6</v>
      </c>
      <c r="Y2" s="31" t="s">
        <v>19</v>
      </c>
      <c r="Z2" s="31" t="s">
        <v>18</v>
      </c>
      <c r="AA2" s="31" t="s">
        <v>46</v>
      </c>
      <c r="AB2" s="31" t="s">
        <v>74</v>
      </c>
      <c r="AC2" s="31" t="s">
        <v>17</v>
      </c>
      <c r="AD2" s="31" t="s">
        <v>90</v>
      </c>
      <c r="AE2" s="29" t="s">
        <v>136</v>
      </c>
      <c r="AF2" s="32" t="s">
        <v>137</v>
      </c>
    </row>
    <row r="3" spans="1:151" ht="40.15" customHeight="1" x14ac:dyDescent="0.25">
      <c r="A3" s="81">
        <v>9995</v>
      </c>
      <c r="B3" s="41" t="str">
        <f>IFERROR(INDEX([1]GARANTIA!$B:$B,MATCH(A3,[1]GARANTIA!$C:$C,0)),"INSIRA N° SERIE")</f>
        <v>TESTE 206</v>
      </c>
      <c r="C3" s="33">
        <f>IFERROR(INDEX([1]GARANTIA!$J:$J,MATCH(A3,[1]GARANTIA!$C:$C,0)),"INSIRA N° SERIE")</f>
        <v>42704</v>
      </c>
      <c r="D3" s="33" t="str">
        <f>IFERROR(IF(INDEX([1]GARANTIA!$M:$M,MATCH(A3,[1]GARANTIA!$C:$C,0))&gt;=I3,"DENTRO DA GARANTIA","FORA DE GARANTIA"),"INSIRA N° SERIE")</f>
        <v>FORA DE GARANTIA</v>
      </c>
      <c r="E3" s="148"/>
      <c r="F3" s="34">
        <f>IFERROR(IF(I3-(INDEX([1]GARANTIA!$J:$J,MATCH(A3,[1]GARANTIA!$C:$C,0)))&gt;=0,I3-(INDEX([1]GARANTIA!$L:$L,MATCH(A3,[1]GARANTIA!$C:$C,0))),"INSIRA DATA CHAMADO"),"INSIRA N° SERIE")</f>
        <v>1207</v>
      </c>
      <c r="G3" s="35">
        <v>20210100</v>
      </c>
      <c r="H3" s="35" t="str">
        <f t="shared" ref="H3:H66" si="0">IF(YEAR(I3)=YEAR(I3),IF(I3&lt;&gt;"",UPPER(TEXT(I3,"MMM")),""),"")</f>
        <v>JAN</v>
      </c>
      <c r="I3" s="36">
        <v>44200</v>
      </c>
      <c r="J3" s="37">
        <v>44200</v>
      </c>
      <c r="K3" s="38">
        <v>44202</v>
      </c>
      <c r="L3" s="42" t="s">
        <v>23</v>
      </c>
      <c r="M3" s="42" t="s">
        <v>8</v>
      </c>
      <c r="N3" s="42" t="s">
        <v>44</v>
      </c>
      <c r="O3" s="42" t="str">
        <f>IFERROR(INDEX([1]GARANTIA!$E:$E,MATCH(A3,[1]GARANTIA!$C:$C,0)),"INSIRA N° SERIE")</f>
        <v>MAC 2.500 GT</v>
      </c>
      <c r="P3" s="60" t="s">
        <v>231</v>
      </c>
      <c r="Q3" s="43" t="s">
        <v>329</v>
      </c>
      <c r="R3" s="60" t="s">
        <v>265</v>
      </c>
      <c r="S3" s="44" t="s">
        <v>102</v>
      </c>
      <c r="T3" s="44" t="s">
        <v>641</v>
      </c>
      <c r="U3" s="45"/>
      <c r="V3" s="41" t="str">
        <f>IFERROR(INDEX([1]GARANTIA!$G:$G,MATCH(A3,[1]GARANTIA!$C:$C,0)),"INSIRA N° SERIE")</f>
        <v>CONCHAL</v>
      </c>
      <c r="W3" s="41" t="str">
        <f>IFERROR(INDEX([1]GARANTIA!$H:$H,MATCH(A3,[1]GARANTIA!$C:$C,0)),"INSIRA N° SERIE")</f>
        <v>SP</v>
      </c>
      <c r="X3" s="41" t="str">
        <f>IFERROR(INDEX([1]GARANTIA!$F:$F,MATCH(A3,[1]GARANTIA!$C:$C,0)),"INSIRA N° SERIE")</f>
        <v>SUDESTE</v>
      </c>
      <c r="Y3" s="46">
        <f t="shared" ref="Y3:Y66" si="1">IF(G3&lt;&gt;"",J3-I3,"INSIRA N° OS")</f>
        <v>0</v>
      </c>
      <c r="Z3" s="47">
        <f t="shared" ref="Z3:Z66" si="2">IF(G3&lt;&gt;"",IF(OR(A3="",K3="",Q3="",P3="",R3=""),"NÃO FINALIZADO",K3-J3),"INSIRA N° OS")</f>
        <v>2</v>
      </c>
      <c r="AA3" s="46">
        <f t="shared" ref="AA3:AA34" si="3">IF(Z3="NÃO FINALIZADO","",Z3+Y3)</f>
        <v>2</v>
      </c>
      <c r="AB3" s="46" t="str" cm="1">
        <f t="array" ref="AB3">IFERROR(_xlfn.IFS(L3="FINALIZADO PRESENCIAL",IF(AA3&gt;10,"FORA","DENTRO"),L3="FINALIZADO REMOTO",IF(AA3&gt;5,"FORA","DENTRO")),"-")</f>
        <v>DENTRO</v>
      </c>
      <c r="AC3" s="41" t="s">
        <v>1671</v>
      </c>
      <c r="AD3" s="41" t="s">
        <v>1671</v>
      </c>
      <c r="AE3" s="48" cm="1">
        <f t="array" ref="AE3">SUMPRODUCT(IFERROR(('[2]PEÇAS GARANTIA'!$A$3:$A$5993=G3)*('[2]PEÇAS GARANTIA'!$A$3:$A$5993&lt;&gt;"")*('[2]PEÇAS GARANTIA'!$R$3:$R$5993),0))</f>
        <v>0</v>
      </c>
      <c r="AF3" s="178">
        <v>0</v>
      </c>
    </row>
    <row r="4" spans="1:151" s="49" customFormat="1" ht="40.15" customHeight="1" x14ac:dyDescent="0.25">
      <c r="A4" s="82">
        <v>46436</v>
      </c>
      <c r="B4" s="41" t="str">
        <f>IFERROR(INDEX([1]GARANTIA!$B:$B,MATCH(A4,[1]GARANTIA!$C:$C,0)),"INSIRA N° SERIE")</f>
        <v>TESTE 187</v>
      </c>
      <c r="C4" s="33">
        <f>IFERROR(INDEX([1]GARANTIA!$J:$J,MATCH(A4,[1]GARANTIA!$C:$C,0)),"INSIRA N° SERIE")</f>
        <v>44075</v>
      </c>
      <c r="D4" s="33" t="str">
        <f>IFERROR(IF(INDEX([1]GARANTIA!$M:$M,MATCH(A4,[1]GARANTIA!$C:$C,0))&gt;=I4,"DENTRO DA GARANTIA","FORA DE GARANTIA"),"INSIRA N° SERIE")</f>
        <v>DENTRO DA GARANTIA</v>
      </c>
      <c r="E4" s="148"/>
      <c r="F4" s="34">
        <f>IFERROR(IF(I4-(INDEX([1]GARANTIA!$J:$J,MATCH(A4,[1]GARANTIA!$C:$C,0)))&gt;=0,I4-(INDEX([1]GARANTIA!$L:$L,MATCH(A4,[1]GARANTIA!$C:$C,0))),"INSIRA DATA CHAMADO"),"INSIRA N° SERIE")</f>
        <v>12</v>
      </c>
      <c r="G4" s="35">
        <v>20210101</v>
      </c>
      <c r="H4" s="35" t="str">
        <f t="shared" si="0"/>
        <v>JAN</v>
      </c>
      <c r="I4" s="36">
        <v>44200</v>
      </c>
      <c r="J4" s="37">
        <v>44200</v>
      </c>
      <c r="K4" s="39">
        <v>44201</v>
      </c>
      <c r="L4" s="42" t="s">
        <v>23</v>
      </c>
      <c r="M4" s="42" t="s">
        <v>8</v>
      </c>
      <c r="N4" s="42" t="s">
        <v>50</v>
      </c>
      <c r="O4" s="42" t="str">
        <f>IFERROR(INDEX([1]GARANTIA!$E:$E,MATCH(A4,[1]GARANTIA!$C:$C,0)),"INSIRA N° SERIE")</f>
        <v>EMS - 1</v>
      </c>
      <c r="P4" s="60" t="s">
        <v>264</v>
      </c>
      <c r="Q4" s="43" t="s">
        <v>326</v>
      </c>
      <c r="R4" s="60" t="s">
        <v>59</v>
      </c>
      <c r="S4" s="44" t="s">
        <v>325</v>
      </c>
      <c r="T4" s="44" t="s">
        <v>640</v>
      </c>
      <c r="U4" s="45"/>
      <c r="V4" s="41" t="str">
        <f>IFERROR(INDEX([1]GARANTIA!$G:$G,MATCH(A4,[1]GARANTIA!$C:$C,0)),"INSIRA N° SERIE")</f>
        <v>NOVA SERRANA</v>
      </c>
      <c r="W4" s="41" t="str">
        <f>IFERROR(INDEX([1]GARANTIA!$H:$H,MATCH(A4,[1]GARANTIA!$C:$C,0)),"INSIRA N° SERIE")</f>
        <v>MG</v>
      </c>
      <c r="X4" s="41" t="str">
        <f>IFERROR(INDEX([1]GARANTIA!$F:$F,MATCH(A4,[1]GARANTIA!$C:$C,0)),"INSIRA N° SERIE")</f>
        <v>SUDESTE</v>
      </c>
      <c r="Y4" s="46">
        <f t="shared" si="1"/>
        <v>0</v>
      </c>
      <c r="Z4" s="47">
        <f t="shared" si="2"/>
        <v>1</v>
      </c>
      <c r="AA4" s="46">
        <f t="shared" si="3"/>
        <v>1</v>
      </c>
      <c r="AB4" s="46" t="str" cm="1">
        <f t="array" ref="AB4">IFERROR(_xlfn.IFS(L4="FINALIZADO PRESENCIAL",IF(AA4&gt;10,"FORA","DENTRO"),L4="FINALIZADO REMOTO",IF(AA4&gt;5,"FORA","DENTRO")),"-")</f>
        <v>DENTRO</v>
      </c>
      <c r="AC4" s="41" t="s">
        <v>1671</v>
      </c>
      <c r="AD4" s="41" t="s">
        <v>1671</v>
      </c>
      <c r="AE4" s="48" cm="1">
        <f t="array" ref="AE4">SUMPRODUCT(IFERROR(('[2]PEÇAS GARANTIA'!$A$3:$A$5993=G4)*('[2]PEÇAS GARANTIA'!$A$3:$A$5993&lt;&gt;"")*('[2]PEÇAS GARANTIA'!$R$3:$R$5993),0))</f>
        <v>0</v>
      </c>
      <c r="AF4" s="178">
        <v>0</v>
      </c>
      <c r="AG4" s="15"/>
    </row>
    <row r="5" spans="1:151" s="49" customFormat="1" ht="40.15" customHeight="1" x14ac:dyDescent="0.25">
      <c r="A5" s="82">
        <v>50875</v>
      </c>
      <c r="B5" s="41" t="str">
        <f>IFERROR(INDEX([1]GARANTIA!$B:$B,MATCH(A5,[1]GARANTIA!$C:$C,0)),"INSIRA N° SERIE")</f>
        <v>TESTE 186</v>
      </c>
      <c r="C5" s="33">
        <f>IFERROR(INDEX([1]GARANTIA!$J:$J,MATCH(A5,[1]GARANTIA!$C:$C,0)),"INSIRA N° SERIE")</f>
        <v>44075</v>
      </c>
      <c r="D5" s="33" t="str">
        <f>IFERROR(IF(INDEX([1]GARANTIA!$M:$M,MATCH(A5,[1]GARANTIA!$C:$C,0))&gt;=I5,"DENTRO DA GARANTIA","FORA DE GARANTIA"),"INSIRA N° SERIE")</f>
        <v>DENTRO DA GARANTIA</v>
      </c>
      <c r="E5" s="148"/>
      <c r="F5" s="34">
        <f>IFERROR(IF(I5-(INDEX([1]GARANTIA!$J:$J,MATCH(A5,[1]GARANTIA!$C:$C,0)))&gt;=0,I5-(INDEX([1]GARANTIA!$L:$L,MATCH(A5,[1]GARANTIA!$C:$C,0))),"INSIRA DATA CHAMADO"),"INSIRA N° SERIE")</f>
        <v>12</v>
      </c>
      <c r="G5" s="35">
        <v>20210102</v>
      </c>
      <c r="H5" s="35" t="str">
        <f t="shared" si="0"/>
        <v>JAN</v>
      </c>
      <c r="I5" s="36">
        <v>44200</v>
      </c>
      <c r="J5" s="37">
        <v>44200</v>
      </c>
      <c r="K5" s="39">
        <v>44208</v>
      </c>
      <c r="L5" s="42" t="s">
        <v>23</v>
      </c>
      <c r="M5" s="42" t="s">
        <v>8</v>
      </c>
      <c r="N5" s="42" t="s">
        <v>38</v>
      </c>
      <c r="O5" s="42" t="str">
        <f>IFERROR(INDEX([1]GARANTIA!$E:$E,MATCH(A5,[1]GARANTIA!$C:$C,0)),"INSIRA N° SERIE")</f>
        <v>MTI - 7.000GTS</v>
      </c>
      <c r="P5" s="60" t="s">
        <v>268</v>
      </c>
      <c r="Q5" s="43" t="s">
        <v>38</v>
      </c>
      <c r="R5" s="60" t="s">
        <v>58</v>
      </c>
      <c r="S5" s="44" t="s">
        <v>101</v>
      </c>
      <c r="T5" s="44" t="s">
        <v>296</v>
      </c>
      <c r="U5" s="45"/>
      <c r="V5" s="41" t="str">
        <f>IFERROR(INDEX([1]GARANTIA!$G:$G,MATCH(A5,[1]GARANTIA!$C:$C,0)),"INSIRA N° SERIE")</f>
        <v>NOVA SERRANA</v>
      </c>
      <c r="W5" s="41" t="str">
        <f>IFERROR(INDEX([1]GARANTIA!$H:$H,MATCH(A5,[1]GARANTIA!$C:$C,0)),"INSIRA N° SERIE")</f>
        <v>MG</v>
      </c>
      <c r="X5" s="41" t="str">
        <f>IFERROR(INDEX([1]GARANTIA!$F:$F,MATCH(A5,[1]GARANTIA!$C:$C,0)),"INSIRA N° SERIE")</f>
        <v>SUDESTE</v>
      </c>
      <c r="Y5" s="46">
        <f t="shared" si="1"/>
        <v>0</v>
      </c>
      <c r="Z5" s="47">
        <f t="shared" si="2"/>
        <v>8</v>
      </c>
      <c r="AA5" s="46">
        <f t="shared" si="3"/>
        <v>8</v>
      </c>
      <c r="AB5" s="46" t="str" cm="1">
        <f t="array" ref="AB5">IFERROR(_xlfn.IFS(L5="FINALIZADO PRESENCIAL",IF(AA5&gt;10,"FORA","DENTRO"),L5="FINALIZADO REMOTO",IF(AA5&gt;5,"FORA","DENTRO")),"-")</f>
        <v>FORA</v>
      </c>
      <c r="AC5" s="41" t="s">
        <v>1671</v>
      </c>
      <c r="AD5" s="41" t="s">
        <v>1671</v>
      </c>
      <c r="AE5" s="48" cm="1">
        <f t="array" ref="AE5">SUMPRODUCT(IFERROR(('[2]PEÇAS GARANTIA'!$A$3:$A$5993=G5)*('[2]PEÇAS GARANTIA'!$A$3:$A$5993&lt;&gt;"")*('[2]PEÇAS GARANTIA'!$R$3:$R$5993),0))</f>
        <v>0</v>
      </c>
      <c r="AF5" s="178">
        <v>0</v>
      </c>
      <c r="AG5" s="15"/>
    </row>
    <row r="6" spans="1:151" s="126" customFormat="1" ht="40.15" customHeight="1" x14ac:dyDescent="0.25">
      <c r="A6" s="117">
        <v>3000224</v>
      </c>
      <c r="B6" s="118" t="str">
        <f>IFERROR(INDEX([1]GARANTIA!$B:$B,MATCH(A6,[1]GARANTIA!$C:$C,0)),"INSIRA N° SERIE")</f>
        <v>TESTE 172</v>
      </c>
      <c r="C6" s="119">
        <f>IFERROR(INDEX([1]GARANTIA!$J:$J,MATCH(A6,[1]GARANTIA!$C:$C,0)),"INSIRA N° SERIE")</f>
        <v>43059</v>
      </c>
      <c r="D6" s="119" t="str">
        <f>IFERROR(IF(INDEX([1]GARANTIA!$M:$M,MATCH(A6,[1]GARANTIA!$C:$C,0))&gt;=I6,"DENTRO DA GARANTIA","FORA DE GARANTIA"),"INSIRA N° SERIE")</f>
        <v>FORA DE GARANTIA</v>
      </c>
      <c r="E6" s="121"/>
      <c r="F6" s="120">
        <f>IFERROR(IF(I6-(INDEX([1]GARANTIA!$J:$J,MATCH(A6,[1]GARANTIA!$C:$C,0)))&gt;=0,I6-(INDEX([1]GARANTIA!$L:$L,MATCH(A6,[1]GARANTIA!$C:$C,0))),"INSIRA DATA CHAMADO"),"INSIRA N° SERIE")</f>
        <v>1020</v>
      </c>
      <c r="G6" s="121">
        <v>20210103</v>
      </c>
      <c r="H6" s="35" t="str">
        <f t="shared" si="0"/>
        <v>JAN</v>
      </c>
      <c r="I6" s="119">
        <v>44202</v>
      </c>
      <c r="J6" s="119">
        <v>44202</v>
      </c>
      <c r="K6" s="122">
        <v>44202</v>
      </c>
      <c r="L6" s="118" t="s">
        <v>23</v>
      </c>
      <c r="M6" s="118" t="s">
        <v>8</v>
      </c>
      <c r="N6" s="118" t="s">
        <v>28</v>
      </c>
      <c r="O6" s="118" t="str">
        <f>IFERROR(INDEX([1]GARANTIA!$E:$E,MATCH(A6,[1]GARANTIA!$C:$C,0)),"INSIRA N° SERIE")</f>
        <v>MAC 7.000 GT</v>
      </c>
      <c r="P6" s="123" t="s">
        <v>269</v>
      </c>
      <c r="Q6" s="118" t="s">
        <v>99</v>
      </c>
      <c r="R6" s="123" t="s">
        <v>270</v>
      </c>
      <c r="S6" s="118" t="s">
        <v>99</v>
      </c>
      <c r="T6" s="118" t="s">
        <v>360</v>
      </c>
      <c r="U6" s="124"/>
      <c r="V6" s="118" t="str">
        <f>IFERROR(INDEX([1]GARANTIA!$G:$G,MATCH(A6,[1]GARANTIA!$C:$C,0)),"INSIRA N° SERIE")</f>
        <v>CONCÓRDIA</v>
      </c>
      <c r="W6" s="118" t="str">
        <f>IFERROR(INDEX([1]GARANTIA!$H:$H,MATCH(A6,[1]GARANTIA!$C:$C,0)),"INSIRA N° SERIE")</f>
        <v>SC</v>
      </c>
      <c r="X6" s="118" t="str">
        <f>IFERROR(INDEX([1]GARANTIA!$F:$F,MATCH(A6,[1]GARANTIA!$C:$C,0)),"INSIRA N° SERIE")</f>
        <v>SUL</v>
      </c>
      <c r="Y6" s="118">
        <f t="shared" si="1"/>
        <v>0</v>
      </c>
      <c r="Z6" s="125">
        <f t="shared" si="2"/>
        <v>0</v>
      </c>
      <c r="AA6" s="118">
        <f t="shared" si="3"/>
        <v>0</v>
      </c>
      <c r="AB6" s="46" t="str" cm="1">
        <f t="array" ref="AB6">IFERROR(_xlfn.IFS(L6="FINALIZADO PRESENCIAL",IF(AA6&gt;10,"FORA","DENTRO"),L6="FINALIZADO REMOTO",IF(AA6&gt;5,"FORA","DENTRO")),"-")</f>
        <v>DENTRO</v>
      </c>
      <c r="AC6" s="41" t="s">
        <v>1671</v>
      </c>
      <c r="AD6" s="41" t="s">
        <v>1671</v>
      </c>
      <c r="AE6" s="48" cm="1">
        <f t="array" ref="AE6">SUMPRODUCT(IFERROR(('[2]PEÇAS GARANTIA'!$A$3:$A$5993=G6)*('[2]PEÇAS GARANTIA'!$A$3:$A$5993&lt;&gt;"")*('[2]PEÇAS GARANTIA'!$R$3:$R$5993),0))</f>
        <v>0</v>
      </c>
      <c r="AF6" s="178">
        <v>0</v>
      </c>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BJ6" s="15"/>
      <c r="BK6" s="15"/>
      <c r="BL6" s="15"/>
      <c r="BM6" s="15"/>
      <c r="BN6" s="15"/>
      <c r="BO6" s="15"/>
      <c r="BP6" s="15"/>
      <c r="BQ6" s="15"/>
      <c r="BR6" s="15"/>
      <c r="BS6" s="15"/>
      <c r="BT6" s="15"/>
      <c r="BU6" s="15"/>
      <c r="BV6" s="15"/>
      <c r="BW6" s="15"/>
      <c r="BX6" s="15"/>
      <c r="BY6" s="15"/>
      <c r="BZ6" s="15"/>
      <c r="CA6" s="15"/>
      <c r="CB6" s="15"/>
      <c r="CC6" s="15"/>
      <c r="CD6" s="15"/>
      <c r="CE6" s="15"/>
      <c r="CF6" s="15"/>
      <c r="CG6" s="15"/>
      <c r="CH6" s="15"/>
      <c r="CI6" s="15"/>
      <c r="CJ6" s="15"/>
      <c r="CK6" s="15"/>
      <c r="CL6" s="15"/>
      <c r="CM6" s="15"/>
      <c r="CN6" s="15"/>
      <c r="CO6" s="15"/>
      <c r="CP6" s="15"/>
      <c r="CQ6" s="15"/>
      <c r="CR6" s="15"/>
      <c r="CS6" s="15"/>
      <c r="CT6" s="15"/>
      <c r="CU6" s="15"/>
      <c r="CV6" s="15"/>
      <c r="CW6" s="15"/>
      <c r="CX6" s="15"/>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row>
    <row r="7" spans="1:151" s="49" customFormat="1" ht="40.15" customHeight="1" x14ac:dyDescent="0.25">
      <c r="A7" s="82">
        <v>99911</v>
      </c>
      <c r="B7" s="41" t="str">
        <f>IFERROR(INDEX([1]GARANTIA!$B:$B,MATCH(A7,[1]GARANTIA!$C:$C,0)),"INSIRA N° SERIE")</f>
        <v>TESTE 85</v>
      </c>
      <c r="C7" s="33">
        <f>IFERROR(INDEX([1]GARANTIA!$J:$J,MATCH(A7,[1]GARANTIA!$C:$C,0)),"INSIRA N° SERIE")</f>
        <v>43591</v>
      </c>
      <c r="D7" s="33" t="str">
        <f>IFERROR(IF(INDEX([1]GARANTIA!$M:$M,MATCH(A7,[1]GARANTIA!$C:$C,0))&gt;=I7,"DENTRO DA GARANTIA","FORA DE GARANTIA"),"INSIRA N° SERIE")</f>
        <v>FORA DE GARANTIA</v>
      </c>
      <c r="E7" s="148"/>
      <c r="F7" s="34">
        <f>IFERROR(IF(I7-(INDEX([1]GARANTIA!$J:$J,MATCH(A7,[1]GARANTIA!$C:$C,0)))&gt;=0,I7-(INDEX([1]GARANTIA!$L:$L,MATCH(A7,[1]GARANTIA!$C:$C,0))),"INSIRA DATA CHAMADO"),"INSIRA N° SERIE")</f>
        <v>398</v>
      </c>
      <c r="G7" s="35">
        <v>20210104</v>
      </c>
      <c r="H7" s="35" t="str">
        <f t="shared" si="0"/>
        <v>JAN</v>
      </c>
      <c r="I7" s="36">
        <v>44202</v>
      </c>
      <c r="J7" s="37">
        <v>44202</v>
      </c>
      <c r="K7" s="39">
        <v>44203</v>
      </c>
      <c r="L7" s="42" t="s">
        <v>23</v>
      </c>
      <c r="M7" s="42" t="s">
        <v>8</v>
      </c>
      <c r="N7" s="42" t="s">
        <v>26</v>
      </c>
      <c r="O7" s="42" t="str">
        <f>IFERROR(INDEX([1]GARANTIA!$E:$E,MATCH(A7,[1]GARANTIA!$C:$C,0)),"INSIRA N° SERIE")</f>
        <v>MTI - 7.000GTS</v>
      </c>
      <c r="P7" s="60" t="s">
        <v>272</v>
      </c>
      <c r="Q7" s="43" t="s">
        <v>305</v>
      </c>
      <c r="R7" s="60" t="s">
        <v>271</v>
      </c>
      <c r="S7" s="44" t="s">
        <v>639</v>
      </c>
      <c r="T7" s="44" t="s">
        <v>143</v>
      </c>
      <c r="U7" s="45"/>
      <c r="V7" s="41" t="str">
        <f>IFERROR(INDEX([1]GARANTIA!$G:$G,MATCH(A7,[1]GARANTIA!$C:$C,0)),"INSIRA N° SERIE")</f>
        <v>CUBATÃO</v>
      </c>
      <c r="W7" s="41" t="str">
        <f>IFERROR(INDEX([1]GARANTIA!$H:$H,MATCH(A7,[1]GARANTIA!$C:$C,0)),"INSIRA N° SERIE")</f>
        <v>SP</v>
      </c>
      <c r="X7" s="41" t="str">
        <f>IFERROR(INDEX([1]GARANTIA!$F:$F,MATCH(A7,[1]GARANTIA!$C:$C,0)),"INSIRA N° SERIE")</f>
        <v>SUDESTE</v>
      </c>
      <c r="Y7" s="46">
        <f t="shared" si="1"/>
        <v>0</v>
      </c>
      <c r="Z7" s="47">
        <f t="shared" si="2"/>
        <v>1</v>
      </c>
      <c r="AA7" s="46">
        <f t="shared" si="3"/>
        <v>1</v>
      </c>
      <c r="AB7" s="46" t="str" cm="1">
        <f t="array" ref="AB7">IFERROR(_xlfn.IFS(L7="FINALIZADO PRESENCIAL",IF(AA7&gt;10,"FORA","DENTRO"),L7="FINALIZADO REMOTO",IF(AA7&gt;5,"FORA","DENTRO")),"-")</f>
        <v>DENTRO</v>
      </c>
      <c r="AC7" s="41" t="s">
        <v>1671</v>
      </c>
      <c r="AD7" s="41" t="s">
        <v>1671</v>
      </c>
      <c r="AE7" s="48" cm="1">
        <f t="array" ref="AE7">SUMPRODUCT(IFERROR(('[2]PEÇAS GARANTIA'!$A$3:$A$5993=G7)*('[2]PEÇAS GARANTIA'!$A$3:$A$5993&lt;&gt;"")*('[2]PEÇAS GARANTIA'!$R$3:$R$5993),0))</f>
        <v>0</v>
      </c>
      <c r="AF7" s="178">
        <v>0</v>
      </c>
      <c r="AG7" s="15"/>
    </row>
    <row r="8" spans="1:151" s="49" customFormat="1" ht="40.15" customHeight="1" x14ac:dyDescent="0.25">
      <c r="A8" s="82">
        <v>91210</v>
      </c>
      <c r="B8" s="41" t="str">
        <f>IFERROR(INDEX([1]GARANTIA!$B:$B,MATCH(A8,[1]GARANTIA!$C:$C,0)),"INSIRA N° SERIE")</f>
        <v>TESTE 145</v>
      </c>
      <c r="C8" s="33">
        <f>IFERROR(INDEX([1]GARANTIA!$J:$J,MATCH(A8,[1]GARANTIA!$C:$C,0)),"INSIRA N° SERIE")</f>
        <v>43738</v>
      </c>
      <c r="D8" s="33" t="str">
        <f>IFERROR(IF(INDEX([1]GARANTIA!$M:$M,MATCH(A8,[1]GARANTIA!$C:$C,0))&gt;=I8,"DENTRO DA GARANTIA","FORA DE GARANTIA"),"INSIRA N° SERIE")</f>
        <v>DENTRO DA GARANTIA</v>
      </c>
      <c r="E8" s="148"/>
      <c r="F8" s="34">
        <f>IFERROR(IF(I8-(INDEX([1]GARANTIA!$J:$J,MATCH(A8,[1]GARANTIA!$C:$C,0)))&gt;=0,I8-(INDEX([1]GARANTIA!$L:$L,MATCH(A8,[1]GARANTIA!$C:$C,0))),"INSIRA DATA CHAMADO"),"INSIRA N° SERIE")</f>
        <v>204</v>
      </c>
      <c r="G8" s="35">
        <v>20210105</v>
      </c>
      <c r="H8" s="35" t="str">
        <f t="shared" si="0"/>
        <v>JAN</v>
      </c>
      <c r="I8" s="36">
        <v>44202</v>
      </c>
      <c r="J8" s="37">
        <v>44202</v>
      </c>
      <c r="K8" s="39">
        <v>44210</v>
      </c>
      <c r="L8" s="42" t="s">
        <v>23</v>
      </c>
      <c r="M8" s="42" t="s">
        <v>8</v>
      </c>
      <c r="N8" s="42" t="s">
        <v>45</v>
      </c>
      <c r="O8" s="42" t="s">
        <v>51</v>
      </c>
      <c r="P8" s="60" t="s">
        <v>273</v>
      </c>
      <c r="Q8" s="43" t="s">
        <v>55</v>
      </c>
      <c r="R8" s="60" t="s">
        <v>60</v>
      </c>
      <c r="S8" s="44" t="s">
        <v>100</v>
      </c>
      <c r="T8" s="44" t="s">
        <v>296</v>
      </c>
      <c r="U8" s="45"/>
      <c r="V8" s="41" t="str">
        <f>IFERROR(INDEX([1]GARANTIA!$G:$G,MATCH(A8,[1]GARANTIA!$C:$C,0)),"INSIRA N° SERIE")</f>
        <v xml:space="preserve">SÃO VICENTE </v>
      </c>
      <c r="W8" s="41" t="str">
        <f>IFERROR(INDEX([1]GARANTIA!$H:$H,MATCH(A8,[1]GARANTIA!$C:$C,0)),"INSIRA N° SERIE")</f>
        <v>SP</v>
      </c>
      <c r="X8" s="41" t="str">
        <f>IFERROR(INDEX([1]GARANTIA!$F:$F,MATCH(A8,[1]GARANTIA!$C:$C,0)),"INSIRA N° SERIE")</f>
        <v>SUDESTE</v>
      </c>
      <c r="Y8" s="46">
        <f t="shared" si="1"/>
        <v>0</v>
      </c>
      <c r="Z8" s="47">
        <f t="shared" si="2"/>
        <v>8</v>
      </c>
      <c r="AA8" s="46">
        <f t="shared" si="3"/>
        <v>8</v>
      </c>
      <c r="AB8" s="46" t="str" cm="1">
        <f t="array" ref="AB8">IFERROR(_xlfn.IFS(L8="FINALIZADO PRESENCIAL",IF(AA8&gt;10,"FORA","DENTRO"),L8="FINALIZADO REMOTO",IF(AA8&gt;5,"FORA","DENTRO")),"-")</f>
        <v>FORA</v>
      </c>
      <c r="AC8" s="41" t="s">
        <v>1671</v>
      </c>
      <c r="AD8" s="41" t="s">
        <v>1671</v>
      </c>
      <c r="AE8" s="48" cm="1">
        <f t="array" ref="AE8">SUMPRODUCT(IFERROR(('[2]PEÇAS GARANTIA'!$A$3:$A$5993=G8)*('[2]PEÇAS GARANTIA'!$A$3:$A$5993&lt;&gt;"")*('[2]PEÇAS GARANTIA'!$R$3:$R$5993),0))</f>
        <v>0</v>
      </c>
      <c r="AF8" s="178">
        <v>0</v>
      </c>
      <c r="AG8" s="15"/>
    </row>
    <row r="9" spans="1:151" s="49" customFormat="1" ht="40.15" customHeight="1" x14ac:dyDescent="0.25">
      <c r="A9" s="82">
        <v>46436</v>
      </c>
      <c r="B9" s="41" t="str">
        <f>IFERROR(INDEX([1]GARANTIA!$B:$B,MATCH(A9,[1]GARANTIA!$C:$C,0)),"INSIRA N° SERIE")</f>
        <v>TESTE 187</v>
      </c>
      <c r="C9" s="33">
        <f>IFERROR(INDEX([1]GARANTIA!$J:$J,MATCH(A9,[1]GARANTIA!$C:$C,0)),"INSIRA N° SERIE")</f>
        <v>44075</v>
      </c>
      <c r="D9" s="33" t="str">
        <f>IFERROR(IF(INDEX([1]GARANTIA!$M:$M,MATCH(A9,[1]GARANTIA!$C:$C,0))&gt;=I9,"DENTRO DA GARANTIA","FORA DE GARANTIA"),"INSIRA N° SERIE")</f>
        <v>DENTRO DA GARANTIA</v>
      </c>
      <c r="E9" s="148"/>
      <c r="F9" s="34">
        <f>IFERROR(IF(I9-(INDEX([1]GARANTIA!$J:$J,MATCH(A9,[1]GARANTIA!$C:$C,0)))&gt;=0,I9-(INDEX([1]GARANTIA!$L:$L,MATCH(A9,[1]GARANTIA!$C:$C,0))),"INSIRA DATA CHAMADO"),"INSIRA N° SERIE")</f>
        <v>14</v>
      </c>
      <c r="G9" s="35">
        <v>20210106</v>
      </c>
      <c r="H9" s="35" t="str">
        <f t="shared" si="0"/>
        <v>JAN</v>
      </c>
      <c r="I9" s="36">
        <v>44202</v>
      </c>
      <c r="J9" s="37">
        <v>44202</v>
      </c>
      <c r="K9" s="39">
        <v>44203</v>
      </c>
      <c r="L9" s="42" t="s">
        <v>23</v>
      </c>
      <c r="M9" s="42" t="s">
        <v>7</v>
      </c>
      <c r="N9" s="42" t="s">
        <v>45</v>
      </c>
      <c r="O9" s="42" t="s">
        <v>51</v>
      </c>
      <c r="P9" s="60" t="s">
        <v>273</v>
      </c>
      <c r="Q9" s="43" t="s">
        <v>55</v>
      </c>
      <c r="R9" s="60" t="s">
        <v>60</v>
      </c>
      <c r="S9" s="44" t="s">
        <v>100</v>
      </c>
      <c r="T9" s="44" t="s">
        <v>296</v>
      </c>
      <c r="U9" s="45"/>
      <c r="V9" s="41" t="str">
        <f>IFERROR(INDEX([1]GARANTIA!$G:$G,MATCH(A9,[1]GARANTIA!$C:$C,0)),"INSIRA N° SERIE")</f>
        <v>NOVA SERRANA</v>
      </c>
      <c r="W9" s="41" t="str">
        <f>IFERROR(INDEX([1]GARANTIA!$H:$H,MATCH(A9,[1]GARANTIA!$C:$C,0)),"INSIRA N° SERIE")</f>
        <v>MG</v>
      </c>
      <c r="X9" s="41" t="str">
        <f>IFERROR(INDEX([1]GARANTIA!$F:$F,MATCH(A9,[1]GARANTIA!$C:$C,0)),"INSIRA N° SERIE")</f>
        <v>SUDESTE</v>
      </c>
      <c r="Y9" s="46">
        <f t="shared" si="1"/>
        <v>0</v>
      </c>
      <c r="Z9" s="47">
        <f t="shared" si="2"/>
        <v>1</v>
      </c>
      <c r="AA9" s="46">
        <f t="shared" si="3"/>
        <v>1</v>
      </c>
      <c r="AB9" s="46" t="str" cm="1">
        <f t="array" ref="AB9">IFERROR(_xlfn.IFS(L9="FINALIZADO PRESENCIAL",IF(AA9&gt;10,"FORA","DENTRO"),L9="FINALIZADO REMOTO",IF(AA9&gt;5,"FORA","DENTRO")),"-")</f>
        <v>DENTRO</v>
      </c>
      <c r="AC9" s="41" t="s">
        <v>1671</v>
      </c>
      <c r="AD9" s="41" t="s">
        <v>1671</v>
      </c>
      <c r="AE9" s="48" cm="1">
        <f t="array" ref="AE9">SUMPRODUCT(IFERROR(('[2]PEÇAS GARANTIA'!$A$3:$A$5993=G9)*('[2]PEÇAS GARANTIA'!$A$3:$A$5993&lt;&gt;"")*('[2]PEÇAS GARANTIA'!$R$3:$R$5993),0))</f>
        <v>0</v>
      </c>
      <c r="AF9" s="178">
        <v>0</v>
      </c>
      <c r="AG9" s="15"/>
    </row>
    <row r="10" spans="1:151" s="49" customFormat="1" ht="40.15" customHeight="1" x14ac:dyDescent="0.25">
      <c r="A10" s="82">
        <v>50875</v>
      </c>
      <c r="B10" s="41" t="str">
        <f>IFERROR(INDEX([1]GARANTIA!$B:$B,MATCH(A10,[1]GARANTIA!$C:$C,0)),"INSIRA N° SERIE")</f>
        <v>TESTE 186</v>
      </c>
      <c r="C10" s="33">
        <f>IFERROR(INDEX([1]GARANTIA!$J:$J,MATCH(A10,[1]GARANTIA!$C:$C,0)),"INSIRA N° SERIE")</f>
        <v>44075</v>
      </c>
      <c r="D10" s="33" t="str">
        <f>IFERROR(IF(INDEX([1]GARANTIA!$M:$M,MATCH(A10,[1]GARANTIA!$C:$C,0))&gt;=I10,"DENTRO DA GARANTIA","FORA DE GARANTIA"),"INSIRA N° SERIE")</f>
        <v>DENTRO DA GARANTIA</v>
      </c>
      <c r="E10" s="148"/>
      <c r="F10" s="109">
        <f>IFERROR(MAX(0,IF(I10-(INDEX([1]GARANTIA!$J:$J,MATCH(A10,[1]GARANTIA!$C:$C,0)))&gt;=0,I10-(INDEX([1]GARANTIA!$L:$L,MATCH(A10,[1]GARANTIA!$C:$C,0))),"INSIRA DATA CHAMADO")),"INSIRA N° SERIE")</f>
        <v>15</v>
      </c>
      <c r="G10" s="35">
        <v>20210107</v>
      </c>
      <c r="H10" s="35" t="str">
        <f t="shared" si="0"/>
        <v>JAN</v>
      </c>
      <c r="I10" s="36">
        <v>44203</v>
      </c>
      <c r="J10" s="37">
        <v>44203</v>
      </c>
      <c r="K10" s="39">
        <v>44218</v>
      </c>
      <c r="L10" s="42" t="s">
        <v>23</v>
      </c>
      <c r="M10" s="42" t="s">
        <v>8</v>
      </c>
      <c r="N10" s="42" t="s">
        <v>44</v>
      </c>
      <c r="O10" s="42" t="str">
        <f>IFERROR(INDEX([1]GARANTIA!$E:$E,MATCH(A10,[1]GARANTIA!$C:$C,0)),"INSIRA N° SERIE")</f>
        <v>MTI - 7.000GTS</v>
      </c>
      <c r="P10" s="60" t="s">
        <v>276</v>
      </c>
      <c r="Q10" s="43" t="s">
        <v>38</v>
      </c>
      <c r="R10" s="60" t="s">
        <v>277</v>
      </c>
      <c r="S10" s="44" t="s">
        <v>101</v>
      </c>
      <c r="T10" s="44" t="s">
        <v>296</v>
      </c>
      <c r="U10" s="45"/>
      <c r="V10" s="41" t="str">
        <f>IFERROR(INDEX([1]GARANTIA!$G:$G,MATCH(A10,[1]GARANTIA!$C:$C,0)),"INSIRA N° SERIE")</f>
        <v>NOVA SERRANA</v>
      </c>
      <c r="W10" s="41" t="str">
        <f>IFERROR(INDEX([1]GARANTIA!$H:$H,MATCH(A10,[1]GARANTIA!$C:$C,0)),"INSIRA N° SERIE")</f>
        <v>MG</v>
      </c>
      <c r="X10" s="41" t="str">
        <f>IFERROR(INDEX([1]GARANTIA!$F:$F,MATCH(A10,[1]GARANTIA!$C:$C,0)),"INSIRA N° SERIE")</f>
        <v>SUDESTE</v>
      </c>
      <c r="Y10" s="46">
        <f t="shared" si="1"/>
        <v>0</v>
      </c>
      <c r="Z10" s="47">
        <f t="shared" si="2"/>
        <v>15</v>
      </c>
      <c r="AA10" s="46">
        <f t="shared" si="3"/>
        <v>15</v>
      </c>
      <c r="AB10" s="46" t="str" cm="1">
        <f t="array" ref="AB10">IFERROR(_xlfn.IFS(L10="FINALIZADO PRESENCIAL",IF(AA10&gt;10,"FORA","DENTRO"),L10="FINALIZADO REMOTO",IF(AA10&gt;5,"FORA","DENTRO")),"-")</f>
        <v>FORA</v>
      </c>
      <c r="AC10" s="41" t="s">
        <v>1671</v>
      </c>
      <c r="AD10" s="41" t="s">
        <v>1671</v>
      </c>
      <c r="AE10" s="48" cm="1">
        <f t="array" ref="AE10">SUMPRODUCT(IFERROR(('[2]PEÇAS GARANTIA'!$A$3:$A$5993=G10)*('[2]PEÇAS GARANTIA'!$A$3:$A$5993&lt;&gt;"")*('[2]PEÇAS GARANTIA'!$R$3:$R$5993),0))</f>
        <v>0</v>
      </c>
      <c r="AF10" s="178">
        <v>0</v>
      </c>
      <c r="AG10" s="15"/>
    </row>
    <row r="11" spans="1:151" s="49" customFormat="1" ht="40.15" customHeight="1" x14ac:dyDescent="0.25">
      <c r="A11" s="82">
        <v>50875</v>
      </c>
      <c r="B11" s="41" t="str">
        <f>IFERROR(INDEX([1]GARANTIA!$B:$B,MATCH(A11,[1]GARANTIA!$C:$C,0)),"INSIRA N° SERIE")</f>
        <v>TESTE 186</v>
      </c>
      <c r="C11" s="33">
        <f>IFERROR(INDEX([1]GARANTIA!$J:$J,MATCH(A11,[1]GARANTIA!$C:$C,0)),"INSIRA N° SERIE")</f>
        <v>44075</v>
      </c>
      <c r="D11" s="33" t="str">
        <f>IFERROR(IF(INDEX([1]GARANTIA!$M:$M,MATCH(A11,[1]GARANTIA!$C:$C,0))&gt;=I11,"DENTRO DA GARANTIA","FORA DE GARANTIA"),"INSIRA N° SERIE")</f>
        <v>DENTRO DA GARANTIA</v>
      </c>
      <c r="E11" s="148"/>
      <c r="F11" s="109">
        <f>IFERROR(MAX(0,IF(I11-(INDEX([1]GARANTIA!$J:$J,MATCH(A11,[1]GARANTIA!$C:$C,0)))&gt;=0,I11-(INDEX([1]GARANTIA!$L:$L,MATCH(A11,[1]GARANTIA!$C:$C,0))),"INSIRA DATA CHAMADO")),"INSIRA N° SERIE")</f>
        <v>15</v>
      </c>
      <c r="G11" s="35">
        <v>20210108</v>
      </c>
      <c r="H11" s="35" t="str">
        <f t="shared" si="0"/>
        <v>JAN</v>
      </c>
      <c r="I11" s="36">
        <v>44203</v>
      </c>
      <c r="J11" s="37">
        <v>44203</v>
      </c>
      <c r="K11" s="39">
        <v>44209</v>
      </c>
      <c r="L11" s="42" t="s">
        <v>11</v>
      </c>
      <c r="M11" s="42" t="s">
        <v>8</v>
      </c>
      <c r="N11" s="42" t="s">
        <v>42</v>
      </c>
      <c r="O11" s="42" t="str">
        <f>IFERROR(INDEX([1]GARANTIA!$E:$E,MATCH(A11,[1]GARANTIA!$C:$C,0)),"INSIRA N° SERIE")</f>
        <v>MTI - 7.000GTS</v>
      </c>
      <c r="P11" s="60" t="s">
        <v>61</v>
      </c>
      <c r="Q11" s="43" t="s">
        <v>326</v>
      </c>
      <c r="R11" s="60" t="s">
        <v>279</v>
      </c>
      <c r="S11" s="44" t="s">
        <v>325</v>
      </c>
      <c r="T11" s="44" t="s">
        <v>142</v>
      </c>
      <c r="U11" s="45"/>
      <c r="V11" s="41" t="str">
        <f>IFERROR(INDEX([1]GARANTIA!$G:$G,MATCH(A11,[1]GARANTIA!$C:$C,0)),"INSIRA N° SERIE")</f>
        <v>NOVA SERRANA</v>
      </c>
      <c r="W11" s="41" t="str">
        <f>IFERROR(INDEX([1]GARANTIA!$H:$H,MATCH(A11,[1]GARANTIA!$C:$C,0)),"INSIRA N° SERIE")</f>
        <v>MG</v>
      </c>
      <c r="X11" s="41" t="str">
        <f>IFERROR(INDEX([1]GARANTIA!$F:$F,MATCH(A11,[1]GARANTIA!$C:$C,0)),"INSIRA N° SERIE")</f>
        <v>SUDESTE</v>
      </c>
      <c r="Y11" s="46">
        <f t="shared" si="1"/>
        <v>0</v>
      </c>
      <c r="Z11" s="47">
        <f t="shared" si="2"/>
        <v>6</v>
      </c>
      <c r="AA11" s="46">
        <f t="shared" si="3"/>
        <v>6</v>
      </c>
      <c r="AB11" s="46" t="str" cm="1">
        <f t="array" ref="AB11">IFERROR(_xlfn.IFS(L11="FINALIZADO PRESENCIAL",IF(AA11&gt;10,"FORA","DENTRO"),L11="FINALIZADO REMOTO",IF(AA11&gt;5,"FORA","DENTRO")),"-")</f>
        <v>DENTRO</v>
      </c>
      <c r="AC11" s="41" t="s">
        <v>1671</v>
      </c>
      <c r="AD11" s="41" t="s">
        <v>1671</v>
      </c>
      <c r="AE11" s="48" cm="1">
        <f t="array" ref="AE11">SUMPRODUCT(IFERROR(('[2]PEÇAS GARANTIA'!$A$3:$A$5993=G11)*('[2]PEÇAS GARANTIA'!$A$3:$A$5993&lt;&gt;"")*('[2]PEÇAS GARANTIA'!$R$3:$R$5993),0))</f>
        <v>0</v>
      </c>
      <c r="AF11" s="178">
        <v>0</v>
      </c>
      <c r="AG11" s="15"/>
    </row>
    <row r="12" spans="1:151" s="49" customFormat="1" ht="40.15" customHeight="1" x14ac:dyDescent="0.25">
      <c r="A12" s="82">
        <v>98426</v>
      </c>
      <c r="B12" s="41" t="str">
        <f>IFERROR(INDEX([1]GARANTIA!$B:$B,MATCH(A12,[1]GARANTIA!$C:$C,0)),"INSIRA N° SERIE")</f>
        <v>TESTE 270</v>
      </c>
      <c r="C12" s="33">
        <f>IFERROR(INDEX([1]GARANTIA!$J:$J,MATCH(A12,[1]GARANTIA!$C:$C,0)),"INSIRA N° SERIE")</f>
        <v>43852</v>
      </c>
      <c r="D12" s="33" t="str">
        <f>IFERROR(IF(INDEX([1]GARANTIA!$M:$M,MATCH(A12,[1]GARANTIA!$C:$C,0))&gt;=I12,"DENTRO DA GARANTIA","FORA DE GARANTIA"),"INSIRA N° SERIE")</f>
        <v>DENTRO DA GARANTIA</v>
      </c>
      <c r="E12" s="148"/>
      <c r="F12" s="109">
        <f>IFERROR(MAX(0,IF(I12-(INDEX([1]GARANTIA!$J:$J,MATCH(A12,[1]GARANTIA!$C:$C,0)))&gt;=0,I12-(INDEX([1]GARANTIA!$L:$L,MATCH(A12,[1]GARANTIA!$C:$C,0))),"INSIRA DATA CHAMADO")),"INSIRA N° SERIE")</f>
        <v>95</v>
      </c>
      <c r="G12" s="35">
        <v>20210430</v>
      </c>
      <c r="H12" s="35" t="str">
        <f t="shared" si="0"/>
        <v>JAN</v>
      </c>
      <c r="I12" s="36">
        <v>44208</v>
      </c>
      <c r="J12" s="37">
        <v>44208</v>
      </c>
      <c r="K12" s="38">
        <v>44208</v>
      </c>
      <c r="L12" s="42" t="s">
        <v>23</v>
      </c>
      <c r="M12" s="42" t="s">
        <v>8</v>
      </c>
      <c r="N12" s="42" t="s">
        <v>42</v>
      </c>
      <c r="O12" s="42" t="str">
        <f>IFERROR(INDEX([1]GARANTIA!$E:$E,MATCH(A12,[1]GARANTIA!$C:$C,0)),"INSIRA N° SERIE")</f>
        <v>MTI - 17.000GT</v>
      </c>
      <c r="P12" s="60" t="s">
        <v>254</v>
      </c>
      <c r="Q12" s="43" t="s">
        <v>644</v>
      </c>
      <c r="R12" s="60" t="s">
        <v>114</v>
      </c>
      <c r="S12" s="44" t="s">
        <v>638</v>
      </c>
      <c r="T12" s="44" t="s">
        <v>144</v>
      </c>
      <c r="U12" s="45"/>
      <c r="V12" s="41" t="str">
        <f>IFERROR(INDEX([1]GARANTIA!$G:$G,MATCH(A12,[1]GARANTIA!$C:$C,0)),"INSIRA N° SERIE")</f>
        <v>PARAGUAY</v>
      </c>
      <c r="W12" s="41" t="str">
        <f>IFERROR(INDEX([1]GARANTIA!$H:$H,MATCH(A12,[1]GARANTIA!$C:$C,0)),"INSIRA N° SERIE")</f>
        <v>PGY</v>
      </c>
      <c r="X12" s="41" t="str">
        <f>IFERROR(INDEX([1]GARANTIA!$F:$F,MATCH(A12,[1]GARANTIA!$C:$C,0)),"INSIRA N° SERIE")</f>
        <v xml:space="preserve">INTERNACIONAL </v>
      </c>
      <c r="Y12" s="46">
        <f t="shared" si="1"/>
        <v>0</v>
      </c>
      <c r="Z12" s="47">
        <f t="shared" si="2"/>
        <v>0</v>
      </c>
      <c r="AA12" s="46">
        <f t="shared" si="3"/>
        <v>0</v>
      </c>
      <c r="AB12" s="46" t="str" cm="1">
        <f t="array" ref="AB12">IFERROR(_xlfn.IFS(L12="FINALIZADO PRESENCIAL",IF(AA12&gt;10,"FORA","DENTRO"),L12="FINALIZADO REMOTO",IF(AA12&gt;5,"FORA","DENTRO")),"-")</f>
        <v>DENTRO</v>
      </c>
      <c r="AC12" s="41" t="s">
        <v>1671</v>
      </c>
      <c r="AD12" s="41" t="s">
        <v>1671</v>
      </c>
      <c r="AE12" s="48" cm="1">
        <f t="array" ref="AE12">SUMPRODUCT(IFERROR(('[2]PEÇAS GARANTIA'!$A$3:$A$5993=G12)*('[2]PEÇAS GARANTIA'!$A$3:$A$5993&lt;&gt;"")*('[2]PEÇAS GARANTIA'!$R$3:$R$5993),0))</f>
        <v>0</v>
      </c>
      <c r="AF12" s="178">
        <v>0</v>
      </c>
      <c r="AG12" s="15"/>
    </row>
    <row r="13" spans="1:151" s="49" customFormat="1" ht="40.15" customHeight="1" x14ac:dyDescent="0.25">
      <c r="A13" s="82">
        <v>50875</v>
      </c>
      <c r="B13" s="41" t="str">
        <f>IFERROR(INDEX([1]GARANTIA!$B:$B,MATCH(A13,[1]GARANTIA!$C:$C,0)),"INSIRA N° SERIE")</f>
        <v>TESTE 186</v>
      </c>
      <c r="C13" s="33">
        <f>IFERROR(INDEX([1]GARANTIA!$J:$J,MATCH(A13,[1]GARANTIA!$C:$C,0)),"INSIRA N° SERIE")</f>
        <v>44075</v>
      </c>
      <c r="D13" s="33" t="str">
        <f>IFERROR(IF(INDEX([1]GARANTIA!$M:$M,MATCH(A13,[1]GARANTIA!$C:$C,0))&gt;=I13,"DENTRO DA GARANTIA","FORA DE GARANTIA"),"INSIRA N° SERIE")</f>
        <v>DENTRO DA GARANTIA</v>
      </c>
      <c r="E13" s="148"/>
      <c r="F13" s="109">
        <f>IFERROR(MAX(0,IF(I13-(INDEX([1]GARANTIA!$J:$J,MATCH(A13,[1]GARANTIA!$C:$C,0)))&gt;=0,I13-(INDEX([1]GARANTIA!$L:$L,MATCH(A13,[1]GARANTIA!$C:$C,0))),"INSIRA DATA CHAMADO")),"INSIRA N° SERIE")</f>
        <v>22</v>
      </c>
      <c r="G13" s="35">
        <v>20210109</v>
      </c>
      <c r="H13" s="35" t="str">
        <f t="shared" si="0"/>
        <v>JAN</v>
      </c>
      <c r="I13" s="36">
        <v>44210</v>
      </c>
      <c r="J13" s="37">
        <v>44210</v>
      </c>
      <c r="K13" s="39">
        <v>44228</v>
      </c>
      <c r="L13" s="42" t="s">
        <v>11</v>
      </c>
      <c r="M13" s="42" t="s">
        <v>8</v>
      </c>
      <c r="N13" s="42" t="s">
        <v>28</v>
      </c>
      <c r="O13" s="42" t="str">
        <f>IFERROR(INDEX([1]GARANTIA!$E:$E,MATCH(A13,[1]GARANTIA!$C:$C,0)),"INSIRA N° SERIE")</f>
        <v>MTI - 7.000GTS</v>
      </c>
      <c r="P13" s="60" t="s">
        <v>300</v>
      </c>
      <c r="Q13" s="43" t="s">
        <v>335</v>
      </c>
      <c r="R13" s="60" t="s">
        <v>280</v>
      </c>
      <c r="S13" s="44" t="s">
        <v>102</v>
      </c>
      <c r="T13" s="44" t="s">
        <v>143</v>
      </c>
      <c r="U13" s="45"/>
      <c r="V13" s="41" t="str">
        <f>IFERROR(INDEX([1]GARANTIA!$G:$G,MATCH(A13,[1]GARANTIA!$C:$C,0)),"INSIRA N° SERIE")</f>
        <v>NOVA SERRANA</v>
      </c>
      <c r="W13" s="41" t="str">
        <f>IFERROR(INDEX([1]GARANTIA!$H:$H,MATCH(A13,[1]GARANTIA!$C:$C,0)),"INSIRA N° SERIE")</f>
        <v>MG</v>
      </c>
      <c r="X13" s="41" t="str">
        <f>IFERROR(INDEX([1]GARANTIA!$F:$F,MATCH(A13,[1]GARANTIA!$C:$C,0)),"INSIRA N° SERIE")</f>
        <v>SUDESTE</v>
      </c>
      <c r="Y13" s="46">
        <f t="shared" si="1"/>
        <v>0</v>
      </c>
      <c r="Z13" s="47">
        <f t="shared" si="2"/>
        <v>18</v>
      </c>
      <c r="AA13" s="46">
        <f t="shared" si="3"/>
        <v>18</v>
      </c>
      <c r="AB13" s="46" t="str" cm="1">
        <f t="array" ref="AB13">IFERROR(_xlfn.IFS(L13="FINALIZADO PRESENCIAL",IF(AA13&gt;10,"FORA","DENTRO"),L13="FINALIZADO REMOTO",IF(AA13&gt;5,"FORA","DENTRO")),"-")</f>
        <v>FORA</v>
      </c>
      <c r="AC13" s="41" t="s">
        <v>1671</v>
      </c>
      <c r="AD13" s="41" t="s">
        <v>1671</v>
      </c>
      <c r="AE13" s="48" cm="1">
        <f t="array" ref="AE13">SUMPRODUCT(IFERROR(('[2]PEÇAS GARANTIA'!$A$3:$A$5993=G13)*('[2]PEÇAS GARANTIA'!$A$3:$A$5993&lt;&gt;"")*('[2]PEÇAS GARANTIA'!$R$3:$R$5993),0))</f>
        <v>0</v>
      </c>
      <c r="AF13" s="178">
        <v>0</v>
      </c>
    </row>
    <row r="14" spans="1:151" s="49" customFormat="1" ht="40.15" customHeight="1" x14ac:dyDescent="0.25">
      <c r="A14" s="82">
        <v>99911</v>
      </c>
      <c r="B14" s="41" t="str">
        <f>IFERROR(INDEX([1]GARANTIA!$B:$B,MATCH(A14,[1]GARANTIA!$C:$C,0)),"INSIRA N° SERIE")</f>
        <v>TESTE 85</v>
      </c>
      <c r="C14" s="33">
        <f>IFERROR(INDEX([1]GARANTIA!$J:$J,MATCH(A14,[1]GARANTIA!$C:$C,0)),"INSIRA N° SERIE")</f>
        <v>43591</v>
      </c>
      <c r="D14" s="33" t="str">
        <f>IFERROR(IF(INDEX([1]GARANTIA!$M:$M,MATCH(A14,[1]GARANTIA!$C:$C,0))&gt;=I14,"DENTRO DA GARANTIA","FORA DE GARANTIA"),"INSIRA N° SERIE")</f>
        <v>FORA DE GARANTIA</v>
      </c>
      <c r="E14" s="148"/>
      <c r="F14" s="109">
        <f>IFERROR(MAX(0,IF(I14-(INDEX([1]GARANTIA!$J:$J,MATCH(A14,[1]GARANTIA!$C:$C,0)))&gt;=0,I14-(INDEX([1]GARANTIA!$L:$L,MATCH(A14,[1]GARANTIA!$C:$C,0))),"INSIRA DATA CHAMADO")),"INSIRA N° SERIE")</f>
        <v>406</v>
      </c>
      <c r="G14" s="35">
        <v>20210110</v>
      </c>
      <c r="H14" s="35" t="str">
        <f t="shared" si="0"/>
        <v>JAN</v>
      </c>
      <c r="I14" s="36">
        <v>44210</v>
      </c>
      <c r="J14" s="37">
        <v>44210</v>
      </c>
      <c r="K14" s="39">
        <v>44218</v>
      </c>
      <c r="L14" s="42" t="s">
        <v>23</v>
      </c>
      <c r="M14" s="42" t="s">
        <v>8</v>
      </c>
      <c r="N14" s="42" t="s">
        <v>26</v>
      </c>
      <c r="O14" s="42" t="str">
        <f>IFERROR(INDEX([1]GARANTIA!$E:$E,MATCH(A14,[1]GARANTIA!$C:$C,0)),"INSIRA N° SERIE")</f>
        <v>MTI - 7.000GTS</v>
      </c>
      <c r="P14" s="60" t="s">
        <v>281</v>
      </c>
      <c r="Q14" s="43" t="s">
        <v>305</v>
      </c>
      <c r="R14" s="60" t="s">
        <v>282</v>
      </c>
      <c r="S14" s="44" t="s">
        <v>639</v>
      </c>
      <c r="T14" s="44" t="s">
        <v>143</v>
      </c>
      <c r="U14" s="45"/>
      <c r="V14" s="41" t="str">
        <f>IFERROR(INDEX([1]GARANTIA!$G:$G,MATCH(A14,[1]GARANTIA!$C:$C,0)),"INSIRA N° SERIE")</f>
        <v>CUBATÃO</v>
      </c>
      <c r="W14" s="41" t="str">
        <f>IFERROR(INDEX([1]GARANTIA!$H:$H,MATCH(A14,[1]GARANTIA!$C:$C,0)),"INSIRA N° SERIE")</f>
        <v>SP</v>
      </c>
      <c r="X14" s="41" t="str">
        <f>IFERROR(INDEX([1]GARANTIA!$F:$F,MATCH(A14,[1]GARANTIA!$C:$C,0)),"INSIRA N° SERIE")</f>
        <v>SUDESTE</v>
      </c>
      <c r="Y14" s="46">
        <f t="shared" si="1"/>
        <v>0</v>
      </c>
      <c r="Z14" s="47">
        <f t="shared" si="2"/>
        <v>8</v>
      </c>
      <c r="AA14" s="46">
        <f t="shared" si="3"/>
        <v>8</v>
      </c>
      <c r="AB14" s="46" t="str" cm="1">
        <f t="array" ref="AB14">IFERROR(_xlfn.IFS(L14="FINALIZADO PRESENCIAL",IF(AA14&gt;10,"FORA","DENTRO"),L14="FINALIZADO REMOTO",IF(AA14&gt;5,"FORA","DENTRO")),"-")</f>
        <v>FORA</v>
      </c>
      <c r="AC14" s="41" t="s">
        <v>1671</v>
      </c>
      <c r="AD14" s="41" t="s">
        <v>1671</v>
      </c>
      <c r="AE14" s="48" cm="1">
        <f t="array" ref="AE14">SUMPRODUCT(IFERROR(('[2]PEÇAS GARANTIA'!$A$3:$A$5993=G14)*('[2]PEÇAS GARANTIA'!$A$3:$A$5993&lt;&gt;"")*('[2]PEÇAS GARANTIA'!$R$3:$R$5993),0))</f>
        <v>0</v>
      </c>
      <c r="AF14" s="178">
        <v>0</v>
      </c>
    </row>
    <row r="15" spans="1:151" s="49" customFormat="1" ht="40.15" customHeight="1" x14ac:dyDescent="0.25">
      <c r="A15" s="82">
        <v>29209</v>
      </c>
      <c r="B15" s="41" t="str">
        <f>IFERROR(INDEX([1]GARANTIA!$B:$B,MATCH(A15,[1]GARANTIA!$C:$C,0)),"INSIRA N° SERIE")</f>
        <v>TESTE 193</v>
      </c>
      <c r="C15" s="33">
        <f>IFERROR(INDEX([1]GARANTIA!$J:$J,MATCH(A15,[1]GARANTIA!$C:$C,0)),"INSIRA N° SERIE")</f>
        <v>43861</v>
      </c>
      <c r="D15" s="33" t="str">
        <f>IFERROR(IF(INDEX([1]GARANTIA!$M:$M,MATCH(A15,[1]GARANTIA!$C:$C,0))&gt;=I15,"DENTRO DA GARANTIA","FORA DE GARANTIA"),"INSIRA N° SERIE")</f>
        <v>DENTRO DA GARANTIA</v>
      </c>
      <c r="E15" s="148"/>
      <c r="F15" s="109">
        <f>IFERROR(MAX(0,IF(I15-(INDEX([1]GARANTIA!$J:$J,MATCH(A15,[1]GARANTIA!$C:$C,0)))&gt;=0,I15-(INDEX([1]GARANTIA!$L:$L,MATCH(A15,[1]GARANTIA!$C:$C,0))),"INSIRA DATA CHAMADO")),"INSIRA N° SERIE")</f>
        <v>80</v>
      </c>
      <c r="G15" s="35">
        <v>20210431</v>
      </c>
      <c r="H15" s="35" t="str">
        <f t="shared" si="0"/>
        <v>JAN</v>
      </c>
      <c r="I15" s="36">
        <v>44210</v>
      </c>
      <c r="J15" s="37">
        <v>44210</v>
      </c>
      <c r="K15" s="38">
        <v>44210</v>
      </c>
      <c r="L15" s="42" t="s">
        <v>23</v>
      </c>
      <c r="M15" s="42" t="s">
        <v>8</v>
      </c>
      <c r="N15" s="42" t="s">
        <v>50</v>
      </c>
      <c r="O15" s="42" t="s">
        <v>759</v>
      </c>
      <c r="P15" s="60" t="s">
        <v>203</v>
      </c>
      <c r="Q15" s="43" t="s">
        <v>326</v>
      </c>
      <c r="R15" s="60" t="s">
        <v>107</v>
      </c>
      <c r="S15" s="44" t="s">
        <v>102</v>
      </c>
      <c r="T15" s="44" t="s">
        <v>640</v>
      </c>
      <c r="U15" s="45"/>
      <c r="V15" s="41" t="str">
        <f>IFERROR(INDEX([1]GARANTIA!$G:$G,MATCH(A15,[1]GARANTIA!$C:$C,0)),"INSIRA N° SERIE")</f>
        <v xml:space="preserve">LAGOA SANTA </v>
      </c>
      <c r="W15" s="41" t="str">
        <f>IFERROR(INDEX([1]GARANTIA!$H:$H,MATCH(A15,[1]GARANTIA!$C:$C,0)),"INSIRA N° SERIE")</f>
        <v xml:space="preserve">MG </v>
      </c>
      <c r="X15" s="41" t="str">
        <f>IFERROR(INDEX([1]GARANTIA!$F:$F,MATCH(A15,[1]GARANTIA!$C:$C,0)),"INSIRA N° SERIE")</f>
        <v>SUDESTE</v>
      </c>
      <c r="Y15" s="46">
        <f t="shared" si="1"/>
        <v>0</v>
      </c>
      <c r="Z15" s="47">
        <f t="shared" si="2"/>
        <v>0</v>
      </c>
      <c r="AA15" s="46">
        <f t="shared" si="3"/>
        <v>0</v>
      </c>
      <c r="AB15" s="46" t="str" cm="1">
        <f t="array" ref="AB15">IFERROR(_xlfn.IFS(L15="FINALIZADO PRESENCIAL",IF(AA15&gt;10,"FORA","DENTRO"),L15="FINALIZADO REMOTO",IF(AA15&gt;5,"FORA","DENTRO")),"-")</f>
        <v>DENTRO</v>
      </c>
      <c r="AC15" s="41" t="s">
        <v>1671</v>
      </c>
      <c r="AD15" s="41" t="s">
        <v>1671</v>
      </c>
      <c r="AE15" s="48" cm="1">
        <f t="array" ref="AE15">SUMPRODUCT(IFERROR(('[2]PEÇAS GARANTIA'!$A$3:$A$5993=G15)*('[2]PEÇAS GARANTIA'!$A$3:$A$5993&lt;&gt;"")*('[2]PEÇAS GARANTIA'!$R$3:$R$5993),0))</f>
        <v>0</v>
      </c>
      <c r="AF15" s="178">
        <v>0</v>
      </c>
    </row>
    <row r="16" spans="1:151" s="49" customFormat="1" ht="40.15" customHeight="1" x14ac:dyDescent="0.25">
      <c r="A16" s="82">
        <v>91210</v>
      </c>
      <c r="B16" s="41" t="str">
        <f>IFERROR(INDEX([1]GARANTIA!$B:$B,MATCH(A16,[1]GARANTIA!$C:$C,0)),"INSIRA N° SERIE")</f>
        <v>TESTE 145</v>
      </c>
      <c r="C16" s="33">
        <f>IFERROR(INDEX([1]GARANTIA!$J:$J,MATCH(A16,[1]GARANTIA!$C:$C,0)),"INSIRA N° SERIE")</f>
        <v>43738</v>
      </c>
      <c r="D16" s="33" t="str">
        <f>IFERROR(IF(INDEX([1]GARANTIA!$M:$M,MATCH(A16,[1]GARANTIA!$C:$C,0))&gt;=I16,"DENTRO DA GARANTIA","FORA DE GARANTIA"),"INSIRA N° SERIE")</f>
        <v>DENTRO DA GARANTIA</v>
      </c>
      <c r="E16" s="148"/>
      <c r="F16" s="109">
        <f>IFERROR(MAX(0,IF(I16-(INDEX([1]GARANTIA!$J:$J,MATCH(A16,[1]GARANTIA!$C:$C,0)))&gt;=0,I16-(INDEX([1]GARANTIA!$L:$L,MATCH(A16,[1]GARANTIA!$C:$C,0))),"INSIRA DATA CHAMADO")),"INSIRA N° SERIE")</f>
        <v>216</v>
      </c>
      <c r="G16" s="35">
        <v>20210111</v>
      </c>
      <c r="H16" s="35" t="str">
        <f t="shared" si="0"/>
        <v>JAN</v>
      </c>
      <c r="I16" s="36">
        <v>44214</v>
      </c>
      <c r="J16" s="37">
        <v>44214</v>
      </c>
      <c r="K16" s="39">
        <v>44222</v>
      </c>
      <c r="L16" s="42" t="s">
        <v>23</v>
      </c>
      <c r="M16" s="42" t="s">
        <v>8</v>
      </c>
      <c r="N16" s="42" t="s">
        <v>29</v>
      </c>
      <c r="O16" s="42" t="str">
        <f>IFERROR(INDEX([1]GARANTIA!$E:$E,MATCH(A16,[1]GARANTIA!$C:$C,0)),"INSIRA N° SERIE")</f>
        <v>MTI - 7.000GTS</v>
      </c>
      <c r="P16" s="60" t="s">
        <v>88</v>
      </c>
      <c r="Q16" s="43" t="s">
        <v>305</v>
      </c>
      <c r="R16" s="60" t="s">
        <v>246</v>
      </c>
      <c r="S16" s="44" t="s">
        <v>638</v>
      </c>
      <c r="T16" s="44" t="s">
        <v>143</v>
      </c>
      <c r="U16" s="45"/>
      <c r="V16" s="41" t="str">
        <f>IFERROR(INDEX([1]GARANTIA!$G:$G,MATCH(A16,[1]GARANTIA!$C:$C,0)),"INSIRA N° SERIE")</f>
        <v xml:space="preserve">SÃO VICENTE </v>
      </c>
      <c r="W16" s="41" t="str">
        <f>IFERROR(INDEX([1]GARANTIA!$H:$H,MATCH(A16,[1]GARANTIA!$C:$C,0)),"INSIRA N° SERIE")</f>
        <v>SP</v>
      </c>
      <c r="X16" s="41" t="str">
        <f>IFERROR(INDEX([1]GARANTIA!$F:$F,MATCH(A16,[1]GARANTIA!$C:$C,0)),"INSIRA N° SERIE")</f>
        <v>SUDESTE</v>
      </c>
      <c r="Y16" s="46">
        <f t="shared" si="1"/>
        <v>0</v>
      </c>
      <c r="Z16" s="47">
        <f t="shared" si="2"/>
        <v>8</v>
      </c>
      <c r="AA16" s="46">
        <f t="shared" si="3"/>
        <v>8</v>
      </c>
      <c r="AB16" s="46" t="str" cm="1">
        <f t="array" ref="AB16">IFERROR(_xlfn.IFS(L16="FINALIZADO PRESENCIAL",IF(AA16&gt;10,"FORA","DENTRO"),L16="FINALIZADO REMOTO",IF(AA16&gt;5,"FORA","DENTRO")),"-")</f>
        <v>FORA</v>
      </c>
      <c r="AC16" s="41" t="s">
        <v>1671</v>
      </c>
      <c r="AD16" s="41" t="s">
        <v>1671</v>
      </c>
      <c r="AE16" s="48" cm="1">
        <f t="array" ref="AE16">SUMPRODUCT(IFERROR(('[2]PEÇAS GARANTIA'!$A$3:$A$5993=G16)*('[2]PEÇAS GARANTIA'!$A$3:$A$5993&lt;&gt;"")*('[2]PEÇAS GARANTIA'!$R$3:$R$5993),0))</f>
        <v>0</v>
      </c>
      <c r="AF16" s="178">
        <v>0</v>
      </c>
    </row>
    <row r="17" spans="1:32" s="49" customFormat="1" ht="40.15" customHeight="1" x14ac:dyDescent="0.25">
      <c r="A17" s="82">
        <v>91210</v>
      </c>
      <c r="B17" s="41" t="str">
        <f>IFERROR(INDEX([1]GARANTIA!$B:$B,MATCH(A17,[1]GARANTIA!$C:$C,0)),"INSIRA N° SERIE")</f>
        <v>TESTE 145</v>
      </c>
      <c r="C17" s="33">
        <f>IFERROR(INDEX([1]GARANTIA!$J:$J,MATCH(A17,[1]GARANTIA!$C:$C,0)),"INSIRA N° SERIE")</f>
        <v>43738</v>
      </c>
      <c r="D17" s="33" t="str">
        <f>IFERROR(IF(INDEX([1]GARANTIA!$M:$M,MATCH(A17,[1]GARANTIA!$C:$C,0))&gt;=I17,"DENTRO DA GARANTIA","FORA DE GARANTIA"),"INSIRA N° SERIE")</f>
        <v>DENTRO DA GARANTIA</v>
      </c>
      <c r="E17" s="148"/>
      <c r="F17" s="109">
        <f>IFERROR(MAX(0,IF(I17-(INDEX([1]GARANTIA!$J:$J,MATCH(A17,[1]GARANTIA!$C:$C,0)))&gt;=0,I17-(INDEX([1]GARANTIA!$L:$L,MATCH(A17,[1]GARANTIA!$C:$C,0))),"INSIRA DATA CHAMADO")),"INSIRA N° SERIE")</f>
        <v>216</v>
      </c>
      <c r="G17" s="35">
        <v>20210112</v>
      </c>
      <c r="H17" s="35" t="str">
        <f t="shared" si="0"/>
        <v>JAN</v>
      </c>
      <c r="I17" s="36">
        <v>44214</v>
      </c>
      <c r="J17" s="37">
        <v>44214</v>
      </c>
      <c r="K17" s="39">
        <v>44223</v>
      </c>
      <c r="L17" s="42" t="s">
        <v>11</v>
      </c>
      <c r="M17" s="42" t="s">
        <v>8</v>
      </c>
      <c r="N17" s="42" t="s">
        <v>29</v>
      </c>
      <c r="O17" s="42" t="str">
        <f>IFERROR(INDEX([1]GARANTIA!$E:$E,MATCH(A17,[1]GARANTIA!$C:$C,0)),"INSIRA N° SERIE")</f>
        <v>MTI - 7.000GTS</v>
      </c>
      <c r="P17" s="60" t="s">
        <v>283</v>
      </c>
      <c r="Q17" s="43" t="s">
        <v>326</v>
      </c>
      <c r="R17" s="60" t="s">
        <v>284</v>
      </c>
      <c r="S17" s="44" t="s">
        <v>325</v>
      </c>
      <c r="T17" s="44" t="s">
        <v>142</v>
      </c>
      <c r="U17" s="45"/>
      <c r="V17" s="41" t="str">
        <f>IFERROR(INDEX([1]GARANTIA!$G:$G,MATCH(A17,[1]GARANTIA!$C:$C,0)),"INSIRA N° SERIE")</f>
        <v xml:space="preserve">SÃO VICENTE </v>
      </c>
      <c r="W17" s="41" t="str">
        <f>IFERROR(INDEX([1]GARANTIA!$H:$H,MATCH(A17,[1]GARANTIA!$C:$C,0)),"INSIRA N° SERIE")</f>
        <v>SP</v>
      </c>
      <c r="X17" s="41" t="str">
        <f>IFERROR(INDEX([1]GARANTIA!$F:$F,MATCH(A17,[1]GARANTIA!$C:$C,0)),"INSIRA N° SERIE")</f>
        <v>SUDESTE</v>
      </c>
      <c r="Y17" s="46">
        <f t="shared" si="1"/>
        <v>0</v>
      </c>
      <c r="Z17" s="47">
        <f t="shared" si="2"/>
        <v>9</v>
      </c>
      <c r="AA17" s="46">
        <f t="shared" si="3"/>
        <v>9</v>
      </c>
      <c r="AB17" s="46" t="str" cm="1">
        <f t="array" ref="AB17">IFERROR(_xlfn.IFS(L17="FINALIZADO PRESENCIAL",IF(AA17&gt;10,"FORA","DENTRO"),L17="FINALIZADO REMOTO",IF(AA17&gt;5,"FORA","DENTRO")),"-")</f>
        <v>DENTRO</v>
      </c>
      <c r="AC17" s="41" t="s">
        <v>1671</v>
      </c>
      <c r="AD17" s="41" t="s">
        <v>1671</v>
      </c>
      <c r="AE17" s="48" cm="1">
        <f t="array" ref="AE17">SUMPRODUCT(IFERROR(('[2]PEÇAS GARANTIA'!$A$3:$A$5993=G17)*('[2]PEÇAS GARANTIA'!$A$3:$A$5993&lt;&gt;"")*('[2]PEÇAS GARANTIA'!$R$3:$R$5993),0))</f>
        <v>0</v>
      </c>
      <c r="AF17" s="178">
        <v>80.8</v>
      </c>
    </row>
    <row r="18" spans="1:32" s="49" customFormat="1" ht="40.15" customHeight="1" x14ac:dyDescent="0.25">
      <c r="A18" s="82">
        <v>74629</v>
      </c>
      <c r="B18" s="41" t="str">
        <f>IFERROR(INDEX([1]GARANTIA!$B:$B,MATCH(A18,[1]GARANTIA!$C:$C,0)),"INSIRA N° SERIE")</f>
        <v>TESTE 329</v>
      </c>
      <c r="C18" s="33">
        <f>IFERROR(INDEX([1]GARANTIA!$J:$J,MATCH(A18,[1]GARANTIA!$C:$C,0)),"INSIRA N° SERIE")</f>
        <v>44090</v>
      </c>
      <c r="D18" s="33" t="str">
        <f>IFERROR(IF(INDEX([1]GARANTIA!$M:$M,MATCH(A18,[1]GARANTIA!$C:$C,0))&gt;=I18,"DENTRO DA GARANTIA","FORA DE GARANTIA"),"INSIRA N° SERIE")</f>
        <v>DENTRO DA GARANTIA</v>
      </c>
      <c r="E18" s="148"/>
      <c r="F18" s="109">
        <f>IFERROR(MAX(0,IF(I18-(INDEX([1]GARANTIA!$J:$J,MATCH(A18,[1]GARANTIA!$C:$C,0)))&gt;=0,I18-(INDEX([1]GARANTIA!$L:$L,MATCH(A18,[1]GARANTIA!$C:$C,0))),"INSIRA DATA CHAMADO")),"INSIRA N° SERIE")</f>
        <v>31</v>
      </c>
      <c r="G18" s="35">
        <v>20210429</v>
      </c>
      <c r="H18" s="35" t="str">
        <f t="shared" si="0"/>
        <v>JAN</v>
      </c>
      <c r="I18" s="36">
        <v>44214</v>
      </c>
      <c r="J18" s="37">
        <v>44214</v>
      </c>
      <c r="K18" s="38">
        <v>44214</v>
      </c>
      <c r="L18" s="42" t="s">
        <v>23</v>
      </c>
      <c r="M18" s="42" t="s">
        <v>8</v>
      </c>
      <c r="N18" s="42" t="s">
        <v>26</v>
      </c>
      <c r="O18" s="42" t="str">
        <f>IFERROR(INDEX([1]GARANTIA!$E:$E,MATCH(A18,[1]GARANTIA!$C:$C,0)),"INSIRA N° SERIE")</f>
        <v>MTI - 1.000GTS</v>
      </c>
      <c r="P18" s="60" t="s">
        <v>181</v>
      </c>
      <c r="Q18" s="43" t="s">
        <v>328</v>
      </c>
      <c r="R18" s="60" t="s">
        <v>182</v>
      </c>
      <c r="S18" s="44" t="s">
        <v>638</v>
      </c>
      <c r="T18" s="44" t="s">
        <v>97</v>
      </c>
      <c r="U18" s="45"/>
      <c r="V18" s="41" t="str">
        <f>IFERROR(INDEX([1]GARANTIA!$G:$G,MATCH(A18,[1]GARANTIA!$C:$C,0)),"INSIRA N° SERIE")</f>
        <v>QUIRINOPOLIS</v>
      </c>
      <c r="W18" s="41" t="str">
        <f>IFERROR(INDEX([1]GARANTIA!$H:$H,MATCH(A18,[1]GARANTIA!$C:$C,0)),"INSIRA N° SERIE")</f>
        <v xml:space="preserve">GO </v>
      </c>
      <c r="X18" s="41" t="str">
        <f>IFERROR(INDEX([1]GARANTIA!$F:$F,MATCH(A18,[1]GARANTIA!$C:$C,0)),"INSIRA N° SERIE")</f>
        <v>CENTROESTE</v>
      </c>
      <c r="Y18" s="46">
        <f t="shared" si="1"/>
        <v>0</v>
      </c>
      <c r="Z18" s="47">
        <f t="shared" si="2"/>
        <v>0</v>
      </c>
      <c r="AA18" s="46">
        <f t="shared" si="3"/>
        <v>0</v>
      </c>
      <c r="AB18" s="46" t="str" cm="1">
        <f t="array" ref="AB18">IFERROR(_xlfn.IFS(L18="FINALIZADO PRESENCIAL",IF(AA18&gt;10,"FORA","DENTRO"),L18="FINALIZADO REMOTO",IF(AA18&gt;5,"FORA","DENTRO")),"-")</f>
        <v>DENTRO</v>
      </c>
      <c r="AC18" s="41" t="s">
        <v>1671</v>
      </c>
      <c r="AD18" s="41" t="s">
        <v>1671</v>
      </c>
      <c r="AE18" s="48" cm="1">
        <f t="array" ref="AE18">SUMPRODUCT(IFERROR(('[2]PEÇAS GARANTIA'!$A$3:$A$5993=G18)*('[2]PEÇAS GARANTIA'!$A$3:$A$5993&lt;&gt;"")*('[2]PEÇAS GARANTIA'!$R$3:$R$5993),0))</f>
        <v>680</v>
      </c>
      <c r="AF18" s="178">
        <v>0</v>
      </c>
    </row>
    <row r="19" spans="1:32" s="49" customFormat="1" ht="40.15" customHeight="1" x14ac:dyDescent="0.25">
      <c r="A19" s="82">
        <v>50875</v>
      </c>
      <c r="B19" s="41" t="str">
        <f>IFERROR(INDEX([1]GARANTIA!$B:$B,MATCH(A19,[1]GARANTIA!$C:$C,0)),"INSIRA N° SERIE")</f>
        <v>TESTE 186</v>
      </c>
      <c r="C19" s="33">
        <f>IFERROR(INDEX([1]GARANTIA!$J:$J,MATCH(A19,[1]GARANTIA!$C:$C,0)),"INSIRA N° SERIE")</f>
        <v>44075</v>
      </c>
      <c r="D19" s="33" t="str">
        <f>IFERROR(IF(INDEX([1]GARANTIA!$M:$M,MATCH(A19,[1]GARANTIA!$C:$C,0))&gt;=I19,"DENTRO DA GARANTIA","FORA DE GARANTIA"),"INSIRA N° SERIE")</f>
        <v>DENTRO DA GARANTIA</v>
      </c>
      <c r="E19" s="148"/>
      <c r="F19" s="109">
        <f>IFERROR(MAX(0,IF(I19-(INDEX([1]GARANTIA!$J:$J,MATCH(A19,[1]GARANTIA!$C:$C,0)))&gt;=0,I19-(INDEX([1]GARANTIA!$L:$L,MATCH(A19,[1]GARANTIA!$C:$C,0))),"INSIRA DATA CHAMADO")),"INSIRA N° SERIE")</f>
        <v>27</v>
      </c>
      <c r="G19" s="35">
        <v>20210113</v>
      </c>
      <c r="H19" s="35" t="str">
        <f t="shared" si="0"/>
        <v>JAN</v>
      </c>
      <c r="I19" s="36">
        <v>44215</v>
      </c>
      <c r="J19" s="37">
        <v>44215</v>
      </c>
      <c r="K19" s="39">
        <v>44221</v>
      </c>
      <c r="L19" s="42" t="s">
        <v>11</v>
      </c>
      <c r="M19" s="42" t="s">
        <v>8</v>
      </c>
      <c r="N19" s="42" t="s">
        <v>40</v>
      </c>
      <c r="O19" s="42" t="str">
        <f>IFERROR(INDEX([1]GARANTIA!$E:$E,MATCH(A19,[1]GARANTIA!$C:$C,0)),"INSIRA N° SERIE")</f>
        <v>MTI - 7.000GTS</v>
      </c>
      <c r="P19" s="60" t="s">
        <v>322</v>
      </c>
      <c r="Q19" s="43" t="s">
        <v>324</v>
      </c>
      <c r="R19" s="60" t="s">
        <v>323</v>
      </c>
      <c r="S19" s="44" t="s">
        <v>101</v>
      </c>
      <c r="T19" s="44" t="s">
        <v>306</v>
      </c>
      <c r="U19" s="45"/>
      <c r="V19" s="41" t="str">
        <f>IFERROR(INDEX([1]GARANTIA!$G:$G,MATCH(A19,[1]GARANTIA!$C:$C,0)),"INSIRA N° SERIE")</f>
        <v>NOVA SERRANA</v>
      </c>
      <c r="W19" s="41" t="str">
        <f>IFERROR(INDEX([1]GARANTIA!$H:$H,MATCH(A19,[1]GARANTIA!$C:$C,0)),"INSIRA N° SERIE")</f>
        <v>MG</v>
      </c>
      <c r="X19" s="41" t="str">
        <f>IFERROR(INDEX([1]GARANTIA!$F:$F,MATCH(A19,[1]GARANTIA!$C:$C,0)),"INSIRA N° SERIE")</f>
        <v>SUDESTE</v>
      </c>
      <c r="Y19" s="46">
        <f t="shared" si="1"/>
        <v>0</v>
      </c>
      <c r="Z19" s="47">
        <f t="shared" si="2"/>
        <v>6</v>
      </c>
      <c r="AA19" s="46">
        <f t="shared" si="3"/>
        <v>6</v>
      </c>
      <c r="AB19" s="46" t="str" cm="1">
        <f t="array" ref="AB19">IFERROR(_xlfn.IFS(L19="FINALIZADO PRESENCIAL",IF(AA19&gt;10,"FORA","DENTRO"),L19="FINALIZADO REMOTO",IF(AA19&gt;5,"FORA","DENTRO")),"-")</f>
        <v>DENTRO</v>
      </c>
      <c r="AC19" s="41" t="s">
        <v>1671</v>
      </c>
      <c r="AD19" s="41" t="s">
        <v>1671</v>
      </c>
      <c r="AE19" s="48" cm="1">
        <f t="array" ref="AE19">SUMPRODUCT(IFERROR(('[2]PEÇAS GARANTIA'!$A$3:$A$5993=G19)*('[2]PEÇAS GARANTIA'!$A$3:$A$5993&lt;&gt;"")*('[2]PEÇAS GARANTIA'!$R$3:$R$5993),0))</f>
        <v>0</v>
      </c>
      <c r="AF19" s="178">
        <v>0</v>
      </c>
    </row>
    <row r="20" spans="1:32" s="49" customFormat="1" ht="40.15" customHeight="1" x14ac:dyDescent="0.25">
      <c r="A20" s="82">
        <v>50875</v>
      </c>
      <c r="B20" s="41" t="str">
        <f>IFERROR(INDEX([1]GARANTIA!$B:$B,MATCH(A20,[1]GARANTIA!$C:$C,0)),"INSIRA N° SERIE")</f>
        <v>TESTE 186</v>
      </c>
      <c r="C20" s="33">
        <f>IFERROR(INDEX([1]GARANTIA!$J:$J,MATCH(A20,[1]GARANTIA!$C:$C,0)),"INSIRA N° SERIE")</f>
        <v>44075</v>
      </c>
      <c r="D20" s="33" t="str">
        <f>IFERROR(IF(INDEX([1]GARANTIA!$M:$M,MATCH(A20,[1]GARANTIA!$C:$C,0))&gt;=I20,"DENTRO DA GARANTIA","FORA DE GARANTIA"),"INSIRA N° SERIE")</f>
        <v>DENTRO DA GARANTIA</v>
      </c>
      <c r="E20" s="148"/>
      <c r="F20" s="109">
        <f>IFERROR(MAX(0,IF(I20-(INDEX([1]GARANTIA!$J:$J,MATCH(A20,[1]GARANTIA!$C:$C,0)))&gt;=0,I20-(INDEX([1]GARANTIA!$L:$L,MATCH(A20,[1]GARANTIA!$C:$C,0))),"INSIRA DATA CHAMADO")),"INSIRA N° SERIE")</f>
        <v>27</v>
      </c>
      <c r="G20" s="35">
        <v>20210114</v>
      </c>
      <c r="H20" s="35" t="str">
        <f t="shared" si="0"/>
        <v>JAN</v>
      </c>
      <c r="I20" s="36">
        <v>44215</v>
      </c>
      <c r="J20" s="37">
        <v>44215</v>
      </c>
      <c r="K20" s="39">
        <v>44215</v>
      </c>
      <c r="L20" s="42" t="s">
        <v>23</v>
      </c>
      <c r="M20" s="42" t="s">
        <v>8</v>
      </c>
      <c r="N20" s="42" t="s">
        <v>29</v>
      </c>
      <c r="O20" s="42" t="str">
        <f>IFERROR(INDEX([1]GARANTIA!$E:$E,MATCH(A20,[1]GARANTIA!$C:$C,0)),"INSIRA N° SERIE")</f>
        <v>MTI - 7.000GTS</v>
      </c>
      <c r="P20" s="60" t="s">
        <v>88</v>
      </c>
      <c r="Q20" s="43" t="s">
        <v>321</v>
      </c>
      <c r="R20" s="60" t="s">
        <v>246</v>
      </c>
      <c r="S20" s="44" t="s">
        <v>638</v>
      </c>
      <c r="T20" s="44" t="s">
        <v>143</v>
      </c>
      <c r="U20" s="45"/>
      <c r="V20" s="41" t="str">
        <f>IFERROR(INDEX([1]GARANTIA!$G:$G,MATCH(A20,[1]GARANTIA!$C:$C,0)),"INSIRA N° SERIE")</f>
        <v>NOVA SERRANA</v>
      </c>
      <c r="W20" s="41" t="str">
        <f>IFERROR(INDEX([1]GARANTIA!$H:$H,MATCH(A20,[1]GARANTIA!$C:$C,0)),"INSIRA N° SERIE")</f>
        <v>MG</v>
      </c>
      <c r="X20" s="41" t="str">
        <f>IFERROR(INDEX([1]GARANTIA!$F:$F,MATCH(A20,[1]GARANTIA!$C:$C,0)),"INSIRA N° SERIE")</f>
        <v>SUDESTE</v>
      </c>
      <c r="Y20" s="46">
        <f t="shared" si="1"/>
        <v>0</v>
      </c>
      <c r="Z20" s="47">
        <f t="shared" si="2"/>
        <v>0</v>
      </c>
      <c r="AA20" s="46">
        <f t="shared" si="3"/>
        <v>0</v>
      </c>
      <c r="AB20" s="46" t="str" cm="1">
        <f t="array" ref="AB20">IFERROR(_xlfn.IFS(L20="FINALIZADO PRESENCIAL",IF(AA20&gt;10,"FORA","DENTRO"),L20="FINALIZADO REMOTO",IF(AA20&gt;5,"FORA","DENTRO")),"-")</f>
        <v>DENTRO</v>
      </c>
      <c r="AC20" s="41" t="s">
        <v>1671</v>
      </c>
      <c r="AD20" s="41" t="s">
        <v>1671</v>
      </c>
      <c r="AE20" s="48" cm="1">
        <f t="array" ref="AE20">SUMPRODUCT(IFERROR(('[2]PEÇAS GARANTIA'!$A$3:$A$5993=G20)*('[2]PEÇAS GARANTIA'!$A$3:$A$5993&lt;&gt;"")*('[2]PEÇAS GARANTIA'!$R$3:$R$5993),0))</f>
        <v>0</v>
      </c>
      <c r="AF20" s="178">
        <v>0</v>
      </c>
    </row>
    <row r="21" spans="1:32" s="49" customFormat="1" ht="40.15" customHeight="1" x14ac:dyDescent="0.25">
      <c r="A21" s="82">
        <v>86411</v>
      </c>
      <c r="B21" s="41" t="str">
        <f>IFERROR(INDEX([1]GARANTIA!$B:$B,MATCH(A21,[1]GARANTIA!$C:$C,0)),"INSIRA N° SERIE")</f>
        <v>TESTE 317</v>
      </c>
      <c r="C21" s="33">
        <f>IFERROR(INDEX([1]GARANTIA!$J:$J,MATCH(A21,[1]GARANTIA!$C:$C,0)),"INSIRA N° SERIE")</f>
        <v>43763</v>
      </c>
      <c r="D21" s="33" t="str">
        <f>IFERROR(IF(INDEX([1]GARANTIA!$M:$M,MATCH(A21,[1]GARANTIA!$C:$C,0))&gt;=I21,"DENTRO DA GARANTIA","FORA DE GARANTIA"),"INSIRA N° SERIE")</f>
        <v>DENTRO DA GARANTIA</v>
      </c>
      <c r="E21" s="148"/>
      <c r="F21" s="109">
        <f>IFERROR(MAX(0,IF(I21-(INDEX([1]GARANTIA!$J:$J,MATCH(A21,[1]GARANTIA!$C:$C,0)))&gt;=0,I21-(INDEX([1]GARANTIA!$L:$L,MATCH(A21,[1]GARANTIA!$C:$C,0))),"INSIRA DATA CHAMADO")),"INSIRA N° SERIE")</f>
        <v>131</v>
      </c>
      <c r="G21" s="35">
        <v>20210115</v>
      </c>
      <c r="H21" s="35" t="str">
        <f t="shared" si="0"/>
        <v>JAN</v>
      </c>
      <c r="I21" s="36">
        <v>44217</v>
      </c>
      <c r="J21" s="37">
        <v>44217</v>
      </c>
      <c r="K21" s="39">
        <v>44223</v>
      </c>
      <c r="L21" s="42" t="s">
        <v>11</v>
      </c>
      <c r="M21" s="42" t="s">
        <v>8</v>
      </c>
      <c r="N21" s="42" t="s">
        <v>42</v>
      </c>
      <c r="O21" s="42" t="str">
        <f>IFERROR(INDEX([1]GARANTIA!$E:$E,MATCH(A21,[1]GARANTIA!$C:$C,0)),"INSIRA N° SERIE")</f>
        <v>MTI - 7.000GTS</v>
      </c>
      <c r="P21" s="60" t="s">
        <v>63</v>
      </c>
      <c r="Q21" s="43" t="s">
        <v>324</v>
      </c>
      <c r="R21" s="60" t="s">
        <v>263</v>
      </c>
      <c r="S21" s="44" t="s">
        <v>638</v>
      </c>
      <c r="T21" s="44" t="s">
        <v>144</v>
      </c>
      <c r="U21" s="45"/>
      <c r="V21" s="41" t="str">
        <f>IFERROR(INDEX([1]GARANTIA!$G:$G,MATCH(A21,[1]GARANTIA!$C:$C,0)),"INSIRA N° SERIE")</f>
        <v>JAU</v>
      </c>
      <c r="W21" s="41" t="str">
        <f>IFERROR(INDEX([1]GARANTIA!$H:$H,MATCH(A21,[1]GARANTIA!$C:$C,0)),"INSIRA N° SERIE")</f>
        <v>SP</v>
      </c>
      <c r="X21" s="41" t="str">
        <f>IFERROR(INDEX([1]GARANTIA!$F:$F,MATCH(A21,[1]GARANTIA!$C:$C,0)),"INSIRA N° SERIE")</f>
        <v>SUDESTE</v>
      </c>
      <c r="Y21" s="46">
        <f t="shared" si="1"/>
        <v>0</v>
      </c>
      <c r="Z21" s="47">
        <f t="shared" si="2"/>
        <v>6</v>
      </c>
      <c r="AA21" s="46">
        <f t="shared" si="3"/>
        <v>6</v>
      </c>
      <c r="AB21" s="46" t="str" cm="1">
        <f t="array" ref="AB21">IFERROR(_xlfn.IFS(L21="FINALIZADO PRESENCIAL",IF(AA21&gt;10,"FORA","DENTRO"),L21="FINALIZADO REMOTO",IF(AA21&gt;5,"FORA","DENTRO")),"-")</f>
        <v>DENTRO</v>
      </c>
      <c r="AC21" s="41" t="s">
        <v>1671</v>
      </c>
      <c r="AD21" s="41" t="s">
        <v>1671</v>
      </c>
      <c r="AE21" s="48" cm="1">
        <f t="array" ref="AE21">SUMPRODUCT(IFERROR(('[2]PEÇAS GARANTIA'!$A$3:$A$5993=G21)*('[2]PEÇAS GARANTIA'!$A$3:$A$5993&lt;&gt;"")*('[2]PEÇAS GARANTIA'!$R$3:$R$5993),0))</f>
        <v>0</v>
      </c>
      <c r="AF21" s="178">
        <v>1000</v>
      </c>
    </row>
    <row r="22" spans="1:32" s="49" customFormat="1" ht="40.15" customHeight="1" x14ac:dyDescent="0.25">
      <c r="A22" s="82">
        <v>75442</v>
      </c>
      <c r="B22" s="41" t="str">
        <f>IFERROR(INDEX([1]GARANTIA!$B:$B,MATCH(A22,[1]GARANTIA!$C:$C,0)),"INSIRA N° SERIE")</f>
        <v>TESTE 191</v>
      </c>
      <c r="C22" s="33">
        <f>IFERROR(INDEX([1]GARANTIA!$J:$J,MATCH(A22,[1]GARANTIA!$C:$C,0)),"INSIRA N° SERIE")</f>
        <v>43230</v>
      </c>
      <c r="D22" s="33" t="str">
        <f>IFERROR(IF(INDEX([1]GARANTIA!$M:$M,MATCH(A22,[1]GARANTIA!$C:$C,0))&gt;=I22,"DENTRO DA GARANTIA","FORA DE GARANTIA"),"INSIRA N° SERIE")</f>
        <v>DENTRO DA GARANTIA</v>
      </c>
      <c r="E22" s="148"/>
      <c r="F22" s="109">
        <f>IFERROR(MAX(0,IF(I22-(INDEX([1]GARANTIA!$J:$J,MATCH(A22,[1]GARANTIA!$C:$C,0)))&gt;=0,I22-(INDEX([1]GARANTIA!$L:$L,MATCH(A22,[1]GARANTIA!$C:$C,0))),"INSIRA DATA CHAMADO")),"INSIRA N° SERIE")</f>
        <v>188</v>
      </c>
      <c r="G22" s="35">
        <v>20210116</v>
      </c>
      <c r="H22" s="35" t="str">
        <f t="shared" si="0"/>
        <v>JAN</v>
      </c>
      <c r="I22" s="36">
        <v>44217</v>
      </c>
      <c r="J22" s="37">
        <v>44217</v>
      </c>
      <c r="K22" s="39">
        <v>44223</v>
      </c>
      <c r="L22" s="42" t="s">
        <v>11</v>
      </c>
      <c r="M22" s="42" t="s">
        <v>8</v>
      </c>
      <c r="N22" s="42" t="s">
        <v>28</v>
      </c>
      <c r="O22" s="42" t="str">
        <f>IFERROR(INDEX([1]GARANTIA!$E:$E,MATCH(A22,[1]GARANTIA!$C:$C,0)),"INSIRA N° SERIE")</f>
        <v>MTI - 12.000GTS</v>
      </c>
      <c r="P22" s="60" t="s">
        <v>67</v>
      </c>
      <c r="Q22" s="43" t="s">
        <v>305</v>
      </c>
      <c r="R22" s="60" t="s">
        <v>656</v>
      </c>
      <c r="S22" s="44" t="s">
        <v>638</v>
      </c>
      <c r="T22" s="44" t="s">
        <v>143</v>
      </c>
      <c r="U22" s="45"/>
      <c r="V22" s="41" t="str">
        <f>IFERROR(INDEX([1]GARANTIA!$G:$G,MATCH(A22,[1]GARANTIA!$C:$C,0)),"INSIRA N° SERIE")</f>
        <v xml:space="preserve">SÃO JOSE DO RIO PARDO </v>
      </c>
      <c r="W22" s="41" t="str">
        <f>IFERROR(INDEX([1]GARANTIA!$H:$H,MATCH(A22,[1]GARANTIA!$C:$C,0)),"INSIRA N° SERIE")</f>
        <v xml:space="preserve">SP </v>
      </c>
      <c r="X22" s="41" t="str">
        <f>IFERROR(INDEX([1]GARANTIA!$F:$F,MATCH(A22,[1]GARANTIA!$C:$C,0)),"INSIRA N° SERIE")</f>
        <v>SUDESTE</v>
      </c>
      <c r="Y22" s="46">
        <f t="shared" si="1"/>
        <v>0</v>
      </c>
      <c r="Z22" s="47">
        <f t="shared" si="2"/>
        <v>6</v>
      </c>
      <c r="AA22" s="46">
        <f t="shared" si="3"/>
        <v>6</v>
      </c>
      <c r="AB22" s="46" t="str" cm="1">
        <f t="array" ref="AB22">IFERROR(_xlfn.IFS(L22="FINALIZADO PRESENCIAL",IF(AA22&gt;10,"FORA","DENTRO"),L22="FINALIZADO REMOTO",IF(AA22&gt;5,"FORA","DENTRO")),"-")</f>
        <v>DENTRO</v>
      </c>
      <c r="AC22" s="41" t="s">
        <v>1671</v>
      </c>
      <c r="AD22" s="41" t="s">
        <v>1671</v>
      </c>
      <c r="AE22" s="48" cm="1">
        <f t="array" ref="AE22">SUMPRODUCT(IFERROR(('[2]PEÇAS GARANTIA'!$A$3:$A$5993=G22)*('[2]PEÇAS GARANTIA'!$A$3:$A$5993&lt;&gt;"")*('[2]PEÇAS GARANTIA'!$R$3:$R$5993),0))</f>
        <v>5287.5</v>
      </c>
      <c r="AF22" s="178">
        <v>814.7</v>
      </c>
    </row>
    <row r="23" spans="1:32" s="49" customFormat="1" ht="40.15" customHeight="1" x14ac:dyDescent="0.25">
      <c r="A23" s="82">
        <v>3002319</v>
      </c>
      <c r="B23" s="41" t="str">
        <f>IFERROR(INDEX([1]GARANTIA!$B:$B,MATCH(A23,[1]GARANTIA!$C:$C,0)),"INSIRA N° SERIE")</f>
        <v>TESTE 31</v>
      </c>
      <c r="C23" s="33">
        <f>IFERROR(INDEX([1]GARANTIA!$J:$J,MATCH(A23,[1]GARANTIA!$C:$C,0)),"INSIRA N° SERIE")</f>
        <v>43355</v>
      </c>
      <c r="D23" s="33" t="str">
        <f>IFERROR(IF(INDEX([1]GARANTIA!$M:$M,MATCH(A23,[1]GARANTIA!$C:$C,0))&gt;=I23,"DENTRO DA GARANTIA","FORA DE GARANTIA"),"INSIRA N° SERIE")</f>
        <v>DENTRO DA GARANTIA</v>
      </c>
      <c r="E23" s="148"/>
      <c r="F23" s="109">
        <f>IFERROR(MAX(0,IF(I23-(INDEX([1]GARANTIA!$J:$J,MATCH(A23,[1]GARANTIA!$C:$C,0)))&gt;=0,I23-(INDEX([1]GARANTIA!$L:$L,MATCH(A23,[1]GARANTIA!$C:$C,0))),"INSIRA DATA CHAMADO")),"INSIRA N° SERIE")</f>
        <v>49</v>
      </c>
      <c r="G23" s="35">
        <v>20210117</v>
      </c>
      <c r="H23" s="35" t="str">
        <f t="shared" si="0"/>
        <v>JAN</v>
      </c>
      <c r="I23" s="36">
        <v>44217</v>
      </c>
      <c r="J23" s="37">
        <v>44217</v>
      </c>
      <c r="K23" s="39">
        <v>44223</v>
      </c>
      <c r="L23" s="42" t="s">
        <v>11</v>
      </c>
      <c r="M23" s="42" t="s">
        <v>8</v>
      </c>
      <c r="N23" s="42" t="s">
        <v>26</v>
      </c>
      <c r="O23" s="42" t="str">
        <f>IFERROR(INDEX([1]GARANTIA!$E:$E,MATCH(A23,[1]GARANTIA!$C:$C,0)),"INSIRA N° SERIE")</f>
        <v>MTI - 24.000GE</v>
      </c>
      <c r="P23" s="60" t="s">
        <v>68</v>
      </c>
      <c r="Q23" s="43" t="s">
        <v>305</v>
      </c>
      <c r="R23" s="60" t="s">
        <v>262</v>
      </c>
      <c r="S23" s="44" t="s">
        <v>638</v>
      </c>
      <c r="T23" s="44" t="s">
        <v>143</v>
      </c>
      <c r="U23" s="45"/>
      <c r="V23" s="41" t="str">
        <f>IFERROR(INDEX([1]GARANTIA!$G:$G,MATCH(A23,[1]GARANTIA!$C:$C,0)),"INSIRA N° SERIE")</f>
        <v>NOVA VIÇOSA</v>
      </c>
      <c r="W23" s="41" t="str">
        <f>IFERROR(INDEX([1]GARANTIA!$H:$H,MATCH(A23,[1]GARANTIA!$C:$C,0)),"INSIRA N° SERIE")</f>
        <v>BA</v>
      </c>
      <c r="X23" s="41" t="str">
        <f>IFERROR(INDEX([1]GARANTIA!$F:$F,MATCH(A23,[1]GARANTIA!$C:$C,0)),"INSIRA N° SERIE")</f>
        <v>NORDESTE</v>
      </c>
      <c r="Y23" s="46">
        <f t="shared" si="1"/>
        <v>0</v>
      </c>
      <c r="Z23" s="47">
        <f t="shared" si="2"/>
        <v>6</v>
      </c>
      <c r="AA23" s="46">
        <f t="shared" si="3"/>
        <v>6</v>
      </c>
      <c r="AB23" s="46" t="str" cm="1">
        <f t="array" ref="AB23">IFERROR(_xlfn.IFS(L23="FINALIZADO PRESENCIAL",IF(AA23&gt;10,"FORA","DENTRO"),L23="FINALIZADO REMOTO",IF(AA23&gt;5,"FORA","DENTRO")),"-")</f>
        <v>DENTRO</v>
      </c>
      <c r="AC23" s="41" t="s">
        <v>1671</v>
      </c>
      <c r="AD23" s="41" t="s">
        <v>1671</v>
      </c>
      <c r="AE23" s="48" cm="1">
        <f t="array" ref="AE23">SUMPRODUCT(IFERROR(('[2]PEÇAS GARANTIA'!$A$3:$A$5993=G23)*('[2]PEÇAS GARANTIA'!$A$3:$A$5993&lt;&gt;"")*('[2]PEÇAS GARANTIA'!$R$3:$R$5993),0))</f>
        <v>0</v>
      </c>
      <c r="AF23" s="178">
        <v>975.31999999999994</v>
      </c>
    </row>
    <row r="24" spans="1:32" s="126" customFormat="1" ht="40.15" customHeight="1" x14ac:dyDescent="0.25">
      <c r="A24" s="117">
        <v>9993</v>
      </c>
      <c r="B24" s="118" t="str">
        <f>IFERROR(INDEX([1]GARANTIA!$B:$B,MATCH(A24,[1]GARANTIA!$C:$C,0)),"INSIRA N° SERIE")</f>
        <v>TESTE 121</v>
      </c>
      <c r="C24" s="119">
        <f>IFERROR(INDEX([1]GARANTIA!$J:$J,MATCH(A24,[1]GARANTIA!$C:$C,0)),"INSIRA N° SERIE")</f>
        <v>42979</v>
      </c>
      <c r="D24" s="119" t="str">
        <f>IFERROR(IF(INDEX([1]GARANTIA!$M:$M,MATCH(A24,[1]GARANTIA!$C:$C,0))&gt;=I24,"DENTRO DA GARANTIA","FORA DE GARANTIA"),"INSIRA N° SERIE")</f>
        <v>DENTRO DA GARANTIA</v>
      </c>
      <c r="E24" s="121"/>
      <c r="F24" s="127">
        <f>IFERROR(MAX(0,IF(I24-(INDEX([1]GARANTIA!$J:$J,MATCH(A24,[1]GARANTIA!$C:$C,0)))&gt;=0,I24-(INDEX([1]GARANTIA!$L:$L,MATCH(A24,[1]GARANTIA!$C:$C,0))),"INSIRA DATA CHAMADO")),"INSIRA N° SERIE")</f>
        <v>143</v>
      </c>
      <c r="G24" s="121">
        <v>20210118</v>
      </c>
      <c r="H24" s="35" t="str">
        <f t="shared" si="0"/>
        <v>JAN</v>
      </c>
      <c r="I24" s="119">
        <v>44217</v>
      </c>
      <c r="J24" s="119">
        <v>44217</v>
      </c>
      <c r="K24" s="122">
        <v>44240</v>
      </c>
      <c r="L24" s="118" t="s">
        <v>11</v>
      </c>
      <c r="M24" s="118" t="s">
        <v>8</v>
      </c>
      <c r="N24" s="118" t="s">
        <v>37</v>
      </c>
      <c r="O24" s="118" t="str">
        <f>IFERROR(INDEX([1]GARANTIA!$E:$E,MATCH(A24,[1]GARANTIA!$C:$C,0)),"INSIRA N° SERIE")</f>
        <v>MAC 32.000 GT</v>
      </c>
      <c r="P24" s="123" t="s">
        <v>285</v>
      </c>
      <c r="Q24" s="118" t="s">
        <v>99</v>
      </c>
      <c r="R24" s="123" t="s">
        <v>657</v>
      </c>
      <c r="S24" s="118" t="s">
        <v>99</v>
      </c>
      <c r="T24" s="118" t="s">
        <v>360</v>
      </c>
      <c r="U24" s="124"/>
      <c r="V24" s="118" t="str">
        <f>IFERROR(INDEX([1]GARANTIA!$G:$G,MATCH(A24,[1]GARANTIA!$C:$C,0)),"INSIRA N° SERIE")</f>
        <v>SÃO PAULO</v>
      </c>
      <c r="W24" s="118" t="str">
        <f>IFERROR(INDEX([1]GARANTIA!$H:$H,MATCH(A24,[1]GARANTIA!$C:$C,0)),"INSIRA N° SERIE")</f>
        <v>SP</v>
      </c>
      <c r="X24" s="118" t="str">
        <f>IFERROR(INDEX([1]GARANTIA!$F:$F,MATCH(A24,[1]GARANTIA!$C:$C,0)),"INSIRA N° SERIE")</f>
        <v>SUDESTE</v>
      </c>
      <c r="Y24" s="118">
        <f t="shared" si="1"/>
        <v>0</v>
      </c>
      <c r="Z24" s="125">
        <f t="shared" si="2"/>
        <v>23</v>
      </c>
      <c r="AA24" s="118">
        <f t="shared" si="3"/>
        <v>23</v>
      </c>
      <c r="AB24" s="46" t="str" cm="1">
        <f t="array" ref="AB24">IFERROR(_xlfn.IFS(L24="FINALIZADO PRESENCIAL",IF(AA24&gt;10,"FORA","DENTRO"),L24="FINALIZADO REMOTO",IF(AA24&gt;5,"FORA","DENTRO")),"-")</f>
        <v>FORA</v>
      </c>
      <c r="AC24" s="41" t="s">
        <v>1671</v>
      </c>
      <c r="AD24" s="41" t="s">
        <v>1671</v>
      </c>
      <c r="AE24" s="48" cm="1">
        <f t="array" ref="AE24">SUMPRODUCT(IFERROR(('[2]PEÇAS GARANTIA'!$A$3:$A$5993=G24)*('[2]PEÇAS GARANTIA'!$A$3:$A$5993&lt;&gt;"")*('[2]PEÇAS GARANTIA'!$R$3:$R$5993),0))</f>
        <v>799</v>
      </c>
      <c r="AF24" s="178">
        <v>0</v>
      </c>
    </row>
    <row r="25" spans="1:32" s="49" customFormat="1" ht="40.15" customHeight="1" x14ac:dyDescent="0.25">
      <c r="A25" s="82">
        <v>86086</v>
      </c>
      <c r="B25" s="41" t="str">
        <f>IFERROR(INDEX([1]GARANTIA!$B:$B,MATCH(A25,[1]GARANTIA!$C:$C,0)),"INSIRA N° SERIE")</f>
        <v>TESTE 76</v>
      </c>
      <c r="C25" s="33">
        <f>IFERROR(INDEX([1]GARANTIA!$J:$J,MATCH(A25,[1]GARANTIA!$C:$C,0)),"INSIRA N° SERIE")</f>
        <v>43982</v>
      </c>
      <c r="D25" s="33" t="str">
        <f>IFERROR(IF(INDEX([1]GARANTIA!$M:$M,MATCH(A25,[1]GARANTIA!$C:$C,0))&gt;=I25,"DENTRO DA GARANTIA","FORA DE GARANTIA"),"INSIRA N° SERIE")</f>
        <v>DENTRO DA GARANTIA</v>
      </c>
      <c r="E25" s="148"/>
      <c r="F25" s="109">
        <f>IFERROR(MAX(0,IF(I25-(INDEX([1]GARANTIA!$J:$J,MATCH(A25,[1]GARANTIA!$C:$C,0)))&gt;=0,I25-(INDEX([1]GARANTIA!$L:$L,MATCH(A25,[1]GARANTIA!$C:$C,0))),"INSIRA DATA CHAMADO")),"INSIRA N° SERIE")</f>
        <v>210</v>
      </c>
      <c r="G25" s="35">
        <v>20210119</v>
      </c>
      <c r="H25" s="35" t="str">
        <f t="shared" si="0"/>
        <v>JAN</v>
      </c>
      <c r="I25" s="36">
        <v>44217</v>
      </c>
      <c r="J25" s="37">
        <v>44217</v>
      </c>
      <c r="K25" s="39">
        <v>44223</v>
      </c>
      <c r="L25" s="42" t="s">
        <v>23</v>
      </c>
      <c r="M25" s="42" t="s">
        <v>8</v>
      </c>
      <c r="N25" s="42" t="s">
        <v>43</v>
      </c>
      <c r="O25" s="42" t="str">
        <f>IFERROR(INDEX([1]GARANTIA!$E:$E,MATCH(A25,[1]GARANTIA!$C:$C,0)),"INSIRA N° SERIE")</f>
        <v>MTI - 1.000GTS</v>
      </c>
      <c r="P25" s="60" t="s">
        <v>260</v>
      </c>
      <c r="Q25" s="43" t="s">
        <v>38</v>
      </c>
      <c r="R25" s="60" t="s">
        <v>261</v>
      </c>
      <c r="S25" s="44" t="s">
        <v>101</v>
      </c>
      <c r="T25" s="44" t="s">
        <v>296</v>
      </c>
      <c r="U25" s="45"/>
      <c r="V25" s="41" t="str">
        <f>IFERROR(INDEX([1]GARANTIA!$G:$G,MATCH(A25,[1]GARANTIA!$C:$C,0)),"INSIRA N° SERIE")</f>
        <v>LUZIANA</v>
      </c>
      <c r="W25" s="41" t="str">
        <f>IFERROR(INDEX([1]GARANTIA!$H:$H,MATCH(A25,[1]GARANTIA!$C:$C,0)),"INSIRA N° SERIE")</f>
        <v xml:space="preserve">GO </v>
      </c>
      <c r="X25" s="41" t="str">
        <f>IFERROR(INDEX([1]GARANTIA!$F:$F,MATCH(A25,[1]GARANTIA!$C:$C,0)),"INSIRA N° SERIE")</f>
        <v>CENTROESTE</v>
      </c>
      <c r="Y25" s="46">
        <f t="shared" si="1"/>
        <v>0</v>
      </c>
      <c r="Z25" s="47">
        <f t="shared" si="2"/>
        <v>6</v>
      </c>
      <c r="AA25" s="46">
        <f t="shared" si="3"/>
        <v>6</v>
      </c>
      <c r="AB25" s="46" t="str" cm="1">
        <f t="array" ref="AB25">IFERROR(_xlfn.IFS(L25="FINALIZADO PRESENCIAL",IF(AA25&gt;10,"FORA","DENTRO"),L25="FINALIZADO REMOTO",IF(AA25&gt;5,"FORA","DENTRO")),"-")</f>
        <v>FORA</v>
      </c>
      <c r="AC25" s="41" t="s">
        <v>1671</v>
      </c>
      <c r="AD25" s="41" t="s">
        <v>1671</v>
      </c>
      <c r="AE25" s="48" cm="1">
        <f t="array" ref="AE25">SUMPRODUCT(IFERROR(('[2]PEÇAS GARANTIA'!$A$3:$A$5993=G25)*('[2]PEÇAS GARANTIA'!$A$3:$A$5993&lt;&gt;"")*('[2]PEÇAS GARANTIA'!$R$3:$R$5993),0))</f>
        <v>0</v>
      </c>
      <c r="AF25" s="178">
        <v>0</v>
      </c>
    </row>
    <row r="26" spans="1:32" s="49" customFormat="1" ht="40.15" customHeight="1" x14ac:dyDescent="0.25">
      <c r="A26" s="82">
        <v>86086</v>
      </c>
      <c r="B26" s="41" t="str">
        <f>IFERROR(INDEX([1]GARANTIA!$B:$B,MATCH(A26,[1]GARANTIA!$C:$C,0)),"INSIRA N° SERIE")</f>
        <v>TESTE 76</v>
      </c>
      <c r="C26" s="33">
        <f>IFERROR(INDEX([1]GARANTIA!$J:$J,MATCH(A26,[1]GARANTIA!$C:$C,0)),"INSIRA N° SERIE")</f>
        <v>43982</v>
      </c>
      <c r="D26" s="33" t="str">
        <f>IFERROR(IF(INDEX([1]GARANTIA!$M:$M,MATCH(A26,[1]GARANTIA!$C:$C,0))&gt;=I26,"DENTRO DA GARANTIA","FORA DE GARANTIA"),"INSIRA N° SERIE")</f>
        <v>DENTRO DA GARANTIA</v>
      </c>
      <c r="E26" s="148"/>
      <c r="F26" s="109">
        <f>IFERROR(MAX(0,IF(I26-(INDEX([1]GARANTIA!$J:$J,MATCH(A26,[1]GARANTIA!$C:$C,0)))&gt;=0,I26-(INDEX([1]GARANTIA!$L:$L,MATCH(A26,[1]GARANTIA!$C:$C,0))),"INSIRA DATA CHAMADO")),"INSIRA N° SERIE")</f>
        <v>210</v>
      </c>
      <c r="G26" s="35">
        <v>20210120</v>
      </c>
      <c r="H26" s="35" t="str">
        <f t="shared" si="0"/>
        <v>JAN</v>
      </c>
      <c r="I26" s="36">
        <v>44217</v>
      </c>
      <c r="J26" s="37">
        <v>44217</v>
      </c>
      <c r="K26" s="39">
        <v>44223</v>
      </c>
      <c r="L26" s="42" t="s">
        <v>11</v>
      </c>
      <c r="M26" s="42" t="s">
        <v>8</v>
      </c>
      <c r="N26" s="42" t="s">
        <v>57</v>
      </c>
      <c r="O26" s="42" t="str">
        <f>IFERROR(INDEX([1]GARANTIA!$E:$E,MATCH(A26,[1]GARANTIA!$C:$C,0)),"INSIRA N° SERIE")</f>
        <v>MTI - 1.000GTS</v>
      </c>
      <c r="P26" s="60" t="s">
        <v>77</v>
      </c>
      <c r="Q26" s="43" t="s">
        <v>54</v>
      </c>
      <c r="R26" s="60" t="s">
        <v>286</v>
      </c>
      <c r="S26" s="44" t="s">
        <v>325</v>
      </c>
      <c r="T26" s="44" t="s">
        <v>640</v>
      </c>
      <c r="U26" s="45"/>
      <c r="V26" s="41" t="str">
        <f>IFERROR(INDEX([1]GARANTIA!$G:$G,MATCH(A26,[1]GARANTIA!$C:$C,0)),"INSIRA N° SERIE")</f>
        <v>LUZIANA</v>
      </c>
      <c r="W26" s="41" t="str">
        <f>IFERROR(INDEX([1]GARANTIA!$H:$H,MATCH(A26,[1]GARANTIA!$C:$C,0)),"INSIRA N° SERIE")</f>
        <v xml:space="preserve">GO </v>
      </c>
      <c r="X26" s="41" t="str">
        <f>IFERROR(INDEX([1]GARANTIA!$F:$F,MATCH(A26,[1]GARANTIA!$C:$C,0)),"INSIRA N° SERIE")</f>
        <v>CENTROESTE</v>
      </c>
      <c r="Y26" s="46">
        <f t="shared" si="1"/>
        <v>0</v>
      </c>
      <c r="Z26" s="47">
        <f t="shared" si="2"/>
        <v>6</v>
      </c>
      <c r="AA26" s="46">
        <f t="shared" si="3"/>
        <v>6</v>
      </c>
      <c r="AB26" s="46" t="str" cm="1">
        <f t="array" ref="AB26">IFERROR(_xlfn.IFS(L26="FINALIZADO PRESENCIAL",IF(AA26&gt;10,"FORA","DENTRO"),L26="FINALIZADO REMOTO",IF(AA26&gt;5,"FORA","DENTRO")),"-")</f>
        <v>DENTRO</v>
      </c>
      <c r="AC26" s="41" t="s">
        <v>1671</v>
      </c>
      <c r="AD26" s="41" t="s">
        <v>1671</v>
      </c>
      <c r="AE26" s="48" cm="1">
        <f t="array" ref="AE26">SUMPRODUCT(IFERROR(('[2]PEÇAS GARANTIA'!$A$3:$A$5993=G26)*('[2]PEÇAS GARANTIA'!$A$3:$A$5993&lt;&gt;"")*('[2]PEÇAS GARANTIA'!$R$3:$R$5993),0))</f>
        <v>0</v>
      </c>
      <c r="AF26" s="178">
        <v>45.38</v>
      </c>
    </row>
    <row r="27" spans="1:32" s="49" customFormat="1" ht="40.15" customHeight="1" x14ac:dyDescent="0.25">
      <c r="A27" s="82">
        <v>97866</v>
      </c>
      <c r="B27" s="41" t="str">
        <f>IFERROR(INDEX([1]GARANTIA!$B:$B,MATCH(A27,[1]GARANTIA!$C:$C,0)),"INSIRA N° SERIE")</f>
        <v>TESTE 78</v>
      </c>
      <c r="C27" s="33">
        <f>IFERROR(INDEX([1]GARANTIA!$J:$J,MATCH(A27,[1]GARANTIA!$C:$C,0)),"INSIRA N° SERIE")</f>
        <v>43364</v>
      </c>
      <c r="D27" s="33" t="str">
        <f>IFERROR(IF(INDEX([1]GARANTIA!$M:$M,MATCH(A27,[1]GARANTIA!$C:$C,0))&gt;=I27,"DENTRO DA GARANTIA","FORA DE GARANTIA"),"INSIRA N° SERIE")</f>
        <v>DENTRO DA GARANTIA</v>
      </c>
      <c r="E27" s="148"/>
      <c r="F27" s="109">
        <f>IFERROR(MAX(0,IF(I27-(INDEX([1]GARANTIA!$J:$J,MATCH(A27,[1]GARANTIA!$C:$C,0)))&gt;=0,I27-(INDEX([1]GARANTIA!$L:$L,MATCH(A27,[1]GARANTIA!$C:$C,0))),"INSIRA DATA CHAMADO")),"INSIRA N° SERIE")</f>
        <v>271</v>
      </c>
      <c r="G27" s="35">
        <v>20210425</v>
      </c>
      <c r="H27" s="35" t="str">
        <f t="shared" si="0"/>
        <v>JAN</v>
      </c>
      <c r="I27" s="36">
        <v>44217</v>
      </c>
      <c r="J27" s="37">
        <v>44217</v>
      </c>
      <c r="K27" s="38">
        <v>44217</v>
      </c>
      <c r="L27" s="42" t="s">
        <v>11</v>
      </c>
      <c r="M27" s="42" t="s">
        <v>8</v>
      </c>
      <c r="N27" s="42" t="s">
        <v>43</v>
      </c>
      <c r="O27" s="42" t="str">
        <f>IFERROR(INDEX([1]GARANTIA!$E:$E,MATCH(A27,[1]GARANTIA!$C:$C,0)),"INSIRA N° SERIE")</f>
        <v>MTI - 12.000GT</v>
      </c>
      <c r="P27" s="60" t="s">
        <v>291</v>
      </c>
      <c r="Q27" s="43" t="s">
        <v>305</v>
      </c>
      <c r="R27" s="60" t="s">
        <v>290</v>
      </c>
      <c r="S27" s="44" t="s">
        <v>638</v>
      </c>
      <c r="T27" s="44" t="s">
        <v>143</v>
      </c>
      <c r="U27" s="50"/>
      <c r="V27" s="41" t="str">
        <f>IFERROR(INDEX([1]GARANTIA!$G:$G,MATCH(A27,[1]GARANTIA!$C:$C,0)),"INSIRA N° SERIE")</f>
        <v>IPIAÇU</v>
      </c>
      <c r="W27" s="41" t="str">
        <f>IFERROR(INDEX([1]GARANTIA!$H:$H,MATCH(A27,[1]GARANTIA!$C:$C,0)),"INSIRA N° SERIE")</f>
        <v>MG</v>
      </c>
      <c r="X27" s="41" t="str">
        <f>IFERROR(INDEX([1]GARANTIA!$F:$F,MATCH(A27,[1]GARANTIA!$C:$C,0)),"INSIRA N° SERIE")</f>
        <v>SUDESTE</v>
      </c>
      <c r="Y27" s="46">
        <f t="shared" si="1"/>
        <v>0</v>
      </c>
      <c r="Z27" s="47">
        <f t="shared" si="2"/>
        <v>0</v>
      </c>
      <c r="AA27" s="46">
        <f t="shared" si="3"/>
        <v>0</v>
      </c>
      <c r="AB27" s="46" t="str" cm="1">
        <f t="array" ref="AB27">IFERROR(_xlfn.IFS(L27="FINALIZADO PRESENCIAL",IF(AA27&gt;10,"FORA","DENTRO"),L27="FINALIZADO REMOTO",IF(AA27&gt;5,"FORA","DENTRO")),"-")</f>
        <v>DENTRO</v>
      </c>
      <c r="AC27" s="41" t="s">
        <v>1671</v>
      </c>
      <c r="AD27" s="41" t="s">
        <v>1671</v>
      </c>
      <c r="AE27" s="48" cm="1">
        <f t="array" ref="AE27">SUMPRODUCT(IFERROR(('[2]PEÇAS GARANTIA'!$A$3:$A$5993=G27)*('[2]PEÇAS GARANTIA'!$A$3:$A$5993&lt;&gt;"")*('[2]PEÇAS GARANTIA'!$R$3:$R$5993),0))</f>
        <v>1037.1299999999999</v>
      </c>
      <c r="AF27" s="178">
        <v>1609.66</v>
      </c>
    </row>
    <row r="28" spans="1:32" s="49" customFormat="1" ht="40.15" customHeight="1" x14ac:dyDescent="0.25">
      <c r="A28" s="82">
        <v>57531</v>
      </c>
      <c r="B28" s="41" t="str">
        <f>IFERROR(INDEX([1]GARANTIA!$B:$B,MATCH(A28,[1]GARANTIA!$C:$C,0)),"INSIRA N° SERIE")</f>
        <v>TESTE 244</v>
      </c>
      <c r="C28" s="33">
        <f>IFERROR(INDEX([1]GARANTIA!$J:$J,MATCH(A28,[1]GARANTIA!$C:$C,0)),"INSIRA N° SERIE")</f>
        <v>43980</v>
      </c>
      <c r="D28" s="33" t="str">
        <f>IFERROR(IF(INDEX([1]GARANTIA!$M:$M,MATCH(A28,[1]GARANTIA!$C:$C,0))&gt;=I28,"DENTRO DA GARANTIA","FORA DE GARANTIA"),"INSIRA N° SERIE")</f>
        <v>DENTRO DA GARANTIA</v>
      </c>
      <c r="E28" s="148"/>
      <c r="F28" s="109">
        <f>IFERROR(MAX(0,IF(I28-(INDEX([1]GARANTIA!$J:$J,MATCH(A28,[1]GARANTIA!$C:$C,0)))&gt;=0,I28-(INDEX([1]GARANTIA!$L:$L,MATCH(A28,[1]GARANTIA!$C:$C,0))),"INSIRA DATA CHAMADO")),"INSIRA N° SERIE")</f>
        <v>183</v>
      </c>
      <c r="G28" s="35">
        <v>20210121</v>
      </c>
      <c r="H28" s="35" t="str">
        <f t="shared" si="0"/>
        <v>JAN</v>
      </c>
      <c r="I28" s="36">
        <v>44218</v>
      </c>
      <c r="J28" s="37">
        <v>44218</v>
      </c>
      <c r="K28" s="39">
        <v>44225</v>
      </c>
      <c r="L28" s="42" t="s">
        <v>11</v>
      </c>
      <c r="M28" s="42" t="s">
        <v>8</v>
      </c>
      <c r="N28" s="42" t="s">
        <v>42</v>
      </c>
      <c r="O28" s="42" t="str">
        <f>IFERROR(INDEX([1]GARANTIA!$E:$E,MATCH(A28,[1]GARANTIA!$C:$C,0)),"INSIRA N° SERIE")</f>
        <v>MTI - 2.500GTS</v>
      </c>
      <c r="P28" s="60" t="s">
        <v>70</v>
      </c>
      <c r="Q28" s="43" t="s">
        <v>324</v>
      </c>
      <c r="R28" s="60" t="s">
        <v>259</v>
      </c>
      <c r="S28" s="44" t="s">
        <v>638</v>
      </c>
      <c r="T28" s="44" t="s">
        <v>144</v>
      </c>
      <c r="U28" s="45"/>
      <c r="V28" s="41" t="str">
        <f>IFERROR(INDEX([1]GARANTIA!$G:$G,MATCH(A28,[1]GARANTIA!$C:$C,0)),"INSIRA N° SERIE")</f>
        <v xml:space="preserve">BRASILIA </v>
      </c>
      <c r="W28" s="41" t="str">
        <f>IFERROR(INDEX([1]GARANTIA!$H:$H,MATCH(A28,[1]GARANTIA!$C:$C,0)),"INSIRA N° SERIE")</f>
        <v>DF</v>
      </c>
      <c r="X28" s="41" t="str">
        <f>IFERROR(INDEX([1]GARANTIA!$F:$F,MATCH(A28,[1]GARANTIA!$C:$C,0)),"INSIRA N° SERIE")</f>
        <v>CENTROESTE</v>
      </c>
      <c r="Y28" s="46">
        <f t="shared" si="1"/>
        <v>0</v>
      </c>
      <c r="Z28" s="47">
        <f t="shared" si="2"/>
        <v>7</v>
      </c>
      <c r="AA28" s="46">
        <f t="shared" si="3"/>
        <v>7</v>
      </c>
      <c r="AB28" s="46" t="str" cm="1">
        <f t="array" ref="AB28">IFERROR(_xlfn.IFS(L28="FINALIZADO PRESENCIAL",IF(AA28&gt;10,"FORA","DENTRO"),L28="FINALIZADO REMOTO",IF(AA28&gt;5,"FORA","DENTRO")),"-")</f>
        <v>DENTRO</v>
      </c>
      <c r="AC28" s="41" t="s">
        <v>1671</v>
      </c>
      <c r="AD28" s="41" t="s">
        <v>1671</v>
      </c>
      <c r="AE28" s="48" cm="1">
        <f t="array" ref="AE28">SUMPRODUCT(IFERROR(('[2]PEÇAS GARANTIA'!$A$3:$A$5993=G28)*('[2]PEÇAS GARANTIA'!$A$3:$A$5993&lt;&gt;"")*('[2]PEÇAS GARANTIA'!$R$3:$R$5993),0))</f>
        <v>1001.78</v>
      </c>
      <c r="AF28" s="178">
        <v>0</v>
      </c>
    </row>
    <row r="29" spans="1:32" s="49" customFormat="1" ht="40.15" customHeight="1" x14ac:dyDescent="0.2">
      <c r="A29" s="82">
        <v>532381</v>
      </c>
      <c r="B29" s="41" t="str">
        <f>IFERROR(INDEX([1]GARANTIA!$B:$B,MATCH(A29,[1]GARANTIA!$C:$C,0)),"INSIRA N° SERIE")</f>
        <v>TESTE 201</v>
      </c>
      <c r="C29" s="33">
        <f>IFERROR(INDEX([1]GARANTIA!$J:$J,MATCH(A29,[1]GARANTIA!$C:$C,0)),"INSIRA N° SERIE")</f>
        <v>44074</v>
      </c>
      <c r="D29" s="33" t="str">
        <f>IFERROR(IF(INDEX([1]GARANTIA!$M:$M,MATCH(A29,[1]GARANTIA!$C:$C,0))&gt;=I29,"DENTRO DA GARANTIA","FORA DE GARANTIA"),"INSIRA N° SERIE")</f>
        <v>DENTRO DA GARANTIA</v>
      </c>
      <c r="E29" s="148"/>
      <c r="F29" s="109">
        <f>IFERROR(MAX(0,IF(I29-(INDEX([1]GARANTIA!$J:$J,MATCH(A29,[1]GARANTIA!$C:$C,0)))&gt;=0,I29-(INDEX([1]GARANTIA!$L:$L,MATCH(A29,[1]GARANTIA!$C:$C,0))),"INSIRA DATA CHAMADO")),"INSIRA N° SERIE")</f>
        <v>1</v>
      </c>
      <c r="G29" s="35">
        <v>20210431</v>
      </c>
      <c r="H29" s="35" t="str">
        <f t="shared" si="0"/>
        <v>JAN</v>
      </c>
      <c r="I29" s="36">
        <v>44218</v>
      </c>
      <c r="J29" s="37">
        <v>44218</v>
      </c>
      <c r="K29" s="38">
        <v>44218</v>
      </c>
      <c r="L29" s="42" t="s">
        <v>23</v>
      </c>
      <c r="M29" s="42" t="s">
        <v>8</v>
      </c>
      <c r="N29" s="42" t="s">
        <v>89</v>
      </c>
      <c r="O29" s="42" t="str">
        <f>IFERROR(INDEX([1]GARANTIA!$E:$E,MATCH(A29,[1]GARANTIA!$C:$C,0)),"INSIRA N° SERIE")</f>
        <v>TR - 1</v>
      </c>
      <c r="P29" s="61" t="s">
        <v>301</v>
      </c>
      <c r="Q29" s="43" t="s">
        <v>327</v>
      </c>
      <c r="R29" s="60" t="s">
        <v>275</v>
      </c>
      <c r="S29" s="44" t="s">
        <v>638</v>
      </c>
      <c r="T29" s="44" t="s">
        <v>142</v>
      </c>
      <c r="U29" s="50"/>
      <c r="V29" s="41" t="str">
        <f>IFERROR(INDEX([1]GARANTIA!$G:$G,MATCH(A29,[1]GARANTIA!$C:$C,0)),"INSIRA N° SERIE")</f>
        <v xml:space="preserve">SÃO CARLOS </v>
      </c>
      <c r="W29" s="41" t="str">
        <f>IFERROR(INDEX([1]GARANTIA!$H:$H,MATCH(A29,[1]GARANTIA!$C:$C,0)),"INSIRA N° SERIE")</f>
        <v>SP</v>
      </c>
      <c r="X29" s="41" t="str">
        <f>IFERROR(INDEX([1]GARANTIA!$F:$F,MATCH(A29,[1]GARANTIA!$C:$C,0)),"INSIRA N° SERIE")</f>
        <v>SUDESTE</v>
      </c>
      <c r="Y29" s="46">
        <f t="shared" si="1"/>
        <v>0</v>
      </c>
      <c r="Z29" s="47">
        <f t="shared" si="2"/>
        <v>0</v>
      </c>
      <c r="AA29" s="46">
        <f t="shared" si="3"/>
        <v>0</v>
      </c>
      <c r="AB29" s="46" t="str" cm="1">
        <f t="array" ref="AB29">IFERROR(_xlfn.IFS(L29="FINALIZADO PRESENCIAL",IF(AA29&gt;10,"FORA","DENTRO"),L29="FINALIZADO REMOTO",IF(AA29&gt;5,"FORA","DENTRO")),"-")</f>
        <v>DENTRO</v>
      </c>
      <c r="AC29" s="41" t="s">
        <v>1671</v>
      </c>
      <c r="AD29" s="41" t="s">
        <v>1671</v>
      </c>
      <c r="AE29" s="48" cm="1">
        <f t="array" ref="AE29">SUMPRODUCT(IFERROR(('[2]PEÇAS GARANTIA'!$A$3:$A$5993=G29)*('[2]PEÇAS GARANTIA'!$A$3:$A$5993&lt;&gt;"")*('[2]PEÇAS GARANTIA'!$R$3:$R$5993),0))</f>
        <v>0</v>
      </c>
      <c r="AF29" s="178">
        <v>0</v>
      </c>
    </row>
    <row r="30" spans="1:32" s="49" customFormat="1" ht="40.15" customHeight="1" x14ac:dyDescent="0.25">
      <c r="A30" s="82">
        <v>99914</v>
      </c>
      <c r="B30" s="41" t="str">
        <f>IFERROR(INDEX([1]GARANTIA!$B:$B,MATCH(A30,[1]GARANTIA!$C:$C,0)),"INSIRA N° SERIE")</f>
        <v>TESTE 141</v>
      </c>
      <c r="C30" s="33">
        <f>IFERROR(INDEX([1]GARANTIA!$J:$J,MATCH(A30,[1]GARANTIA!$C:$C,0)),"INSIRA N° SERIE")</f>
        <v>43238</v>
      </c>
      <c r="D30" s="33" t="str">
        <f>IFERROR(IF(INDEX([1]GARANTIA!$M:$M,MATCH(A30,[1]GARANTIA!$C:$C,0))&gt;=I30,"DENTRO DA GARANTIA","FORA DE GARANTIA"),"INSIRA N° SERIE")</f>
        <v>FORA DE GARANTIA</v>
      </c>
      <c r="E30" s="148"/>
      <c r="F30" s="109">
        <f>IFERROR(MAX(0,IF(I30-(INDEX([1]GARANTIA!$J:$J,MATCH(A30,[1]GARANTIA!$C:$C,0)))&gt;=0,I30-(INDEX([1]GARANTIA!$L:$L,MATCH(A30,[1]GARANTIA!$C:$C,0))),"INSIRA DATA CHAMADO")),"INSIRA N° SERIE")</f>
        <v>453</v>
      </c>
      <c r="G30" s="35">
        <v>20210122</v>
      </c>
      <c r="H30" s="35" t="str">
        <f t="shared" si="0"/>
        <v>JAN</v>
      </c>
      <c r="I30" s="36">
        <v>44221</v>
      </c>
      <c r="J30" s="37">
        <v>44221</v>
      </c>
      <c r="K30" s="39">
        <v>44223</v>
      </c>
      <c r="L30" s="42" t="s">
        <v>11</v>
      </c>
      <c r="M30" s="42" t="s">
        <v>8</v>
      </c>
      <c r="N30" s="42" t="s">
        <v>42</v>
      </c>
      <c r="O30" s="42" t="str">
        <f>IFERROR(INDEX([1]GARANTIA!$E:$E,MATCH(A30,[1]GARANTIA!$C:$C,0)),"INSIRA N° SERIE")</f>
        <v>MTI - 32.000 GT</v>
      </c>
      <c r="P30" s="60" t="s">
        <v>78</v>
      </c>
      <c r="Q30" s="43" t="s">
        <v>326</v>
      </c>
      <c r="R30" s="60" t="s">
        <v>287</v>
      </c>
      <c r="S30" s="44" t="s">
        <v>325</v>
      </c>
      <c r="T30" s="44" t="s">
        <v>142</v>
      </c>
      <c r="U30" s="45"/>
      <c r="V30" s="41" t="str">
        <f>IFERROR(INDEX([1]GARANTIA!$G:$G,MATCH(A30,[1]GARANTIA!$C:$C,0)),"INSIRA N° SERIE")</f>
        <v>ITAPIRA</v>
      </c>
      <c r="W30" s="41" t="str">
        <f>IFERROR(INDEX([1]GARANTIA!$H:$H,MATCH(A30,[1]GARANTIA!$C:$C,0)),"INSIRA N° SERIE")</f>
        <v>SP</v>
      </c>
      <c r="X30" s="41" t="str">
        <f>IFERROR(INDEX([1]GARANTIA!$F:$F,MATCH(A30,[1]GARANTIA!$C:$C,0)),"INSIRA N° SERIE")</f>
        <v>SUDESTE</v>
      </c>
      <c r="Y30" s="46">
        <f t="shared" si="1"/>
        <v>0</v>
      </c>
      <c r="Z30" s="47">
        <f t="shared" si="2"/>
        <v>2</v>
      </c>
      <c r="AA30" s="46">
        <f t="shared" si="3"/>
        <v>2</v>
      </c>
      <c r="AB30" s="46" t="str" cm="1">
        <f t="array" ref="AB30">IFERROR(_xlfn.IFS(L30="FINALIZADO PRESENCIAL",IF(AA30&gt;10,"FORA","DENTRO"),L30="FINALIZADO REMOTO",IF(AA30&gt;5,"FORA","DENTRO")),"-")</f>
        <v>DENTRO</v>
      </c>
      <c r="AC30" s="41" t="s">
        <v>1671</v>
      </c>
      <c r="AD30" s="41" t="s">
        <v>1671</v>
      </c>
      <c r="AE30" s="48" cm="1">
        <f t="array" ref="AE30">SUMPRODUCT(IFERROR(('[2]PEÇAS GARANTIA'!$A$3:$A$5993=G30)*('[2]PEÇAS GARANTIA'!$A$3:$A$5993&lt;&gt;"")*('[2]PEÇAS GARANTIA'!$R$3:$R$5993),0))</f>
        <v>0</v>
      </c>
      <c r="AF30" s="178">
        <v>69.400000000000006</v>
      </c>
    </row>
    <row r="31" spans="1:32" s="49" customFormat="1" ht="40.15" customHeight="1" x14ac:dyDescent="0.25">
      <c r="A31" s="82">
        <v>35159</v>
      </c>
      <c r="B31" s="41" t="str">
        <f>IFERROR(INDEX([1]GARANTIA!$B:$B,MATCH(A31,[1]GARANTIA!$C:$C,0)),"INSIRA N° SERIE")</f>
        <v>TESTE 223</v>
      </c>
      <c r="C31" s="33">
        <f>IFERROR(INDEX([1]GARANTIA!$J:$J,MATCH(A31,[1]GARANTIA!$C:$C,0)),"INSIRA N° SERIE")</f>
        <v>43936</v>
      </c>
      <c r="D31" s="33" t="str">
        <f>IFERROR(IF(INDEX([1]GARANTIA!$M:$M,MATCH(A31,[1]GARANTIA!$C:$C,0))&gt;=I31,"DENTRO DA GARANTIA","FORA DE GARANTIA"),"INSIRA N° SERIE")</f>
        <v>DENTRO DA GARANTIA</v>
      </c>
      <c r="E31" s="148"/>
      <c r="F31" s="109">
        <f>IFERROR(MAX(0,IF(I31-(INDEX([1]GARANTIA!$J:$J,MATCH(A31,[1]GARANTIA!$C:$C,0)))&gt;=0,I31-(INDEX([1]GARANTIA!$L:$L,MATCH(A31,[1]GARANTIA!$C:$C,0))),"INSIRA DATA CHAMADO")),"INSIRA N° SERIE")</f>
        <v>109</v>
      </c>
      <c r="G31" s="35">
        <v>20210123</v>
      </c>
      <c r="H31" s="35" t="str">
        <f t="shared" si="0"/>
        <v>JAN</v>
      </c>
      <c r="I31" s="36">
        <v>44221</v>
      </c>
      <c r="J31" s="37">
        <v>44221</v>
      </c>
      <c r="K31" s="39">
        <v>44239</v>
      </c>
      <c r="L31" s="42" t="s">
        <v>11</v>
      </c>
      <c r="M31" s="42" t="s">
        <v>8</v>
      </c>
      <c r="N31" s="42" t="s">
        <v>28</v>
      </c>
      <c r="O31" s="42" t="str">
        <f>IFERROR(INDEX([1]GARANTIA!$E:$E,MATCH(A31,[1]GARANTIA!$C:$C,0)),"INSIRA N° SERIE")</f>
        <v>MTI - 1.000GTS</v>
      </c>
      <c r="P31" s="60" t="s">
        <v>288</v>
      </c>
      <c r="Q31" s="43" t="s">
        <v>336</v>
      </c>
      <c r="R31" s="60" t="s">
        <v>289</v>
      </c>
      <c r="S31" s="44" t="s">
        <v>639</v>
      </c>
      <c r="T31" s="44" t="s">
        <v>297</v>
      </c>
      <c r="U31" s="45"/>
      <c r="V31" s="41" t="str">
        <f>IFERROR(INDEX([1]GARANTIA!$G:$G,MATCH(A31,[1]GARANTIA!$C:$C,0)),"INSIRA N° SERIE")</f>
        <v xml:space="preserve">ITAJAI </v>
      </c>
      <c r="W31" s="41" t="str">
        <f>IFERROR(INDEX([1]GARANTIA!$H:$H,MATCH(A31,[1]GARANTIA!$C:$C,0)),"INSIRA N° SERIE")</f>
        <v>SC</v>
      </c>
      <c r="X31" s="41" t="str">
        <f>IFERROR(INDEX([1]GARANTIA!$F:$F,MATCH(A31,[1]GARANTIA!$C:$C,0)),"INSIRA N° SERIE")</f>
        <v>SUL</v>
      </c>
      <c r="Y31" s="46">
        <f t="shared" si="1"/>
        <v>0</v>
      </c>
      <c r="Z31" s="47">
        <f t="shared" si="2"/>
        <v>18</v>
      </c>
      <c r="AA31" s="46">
        <f t="shared" si="3"/>
        <v>18</v>
      </c>
      <c r="AB31" s="46" t="str" cm="1">
        <f t="array" ref="AB31">IFERROR(_xlfn.IFS(L31="FINALIZADO PRESENCIAL",IF(AA31&gt;10,"FORA","DENTRO"),L31="FINALIZADO REMOTO",IF(AA31&gt;5,"FORA","DENTRO")),"-")</f>
        <v>FORA</v>
      </c>
      <c r="AC31" s="41" t="s">
        <v>1671</v>
      </c>
      <c r="AD31" s="41" t="s">
        <v>1671</v>
      </c>
      <c r="AE31" s="48" cm="1">
        <f t="array" ref="AE31">SUMPRODUCT(IFERROR(('[2]PEÇAS GARANTIA'!$A$3:$A$5993=G31)*('[2]PEÇAS GARANTIA'!$A$3:$A$5993&lt;&gt;"")*('[2]PEÇAS GARANTIA'!$R$3:$R$5993),0))</f>
        <v>0</v>
      </c>
      <c r="AF31" s="178">
        <v>0</v>
      </c>
    </row>
    <row r="32" spans="1:32" s="49" customFormat="1" ht="40.15" customHeight="1" x14ac:dyDescent="0.25">
      <c r="A32" s="82">
        <v>48063</v>
      </c>
      <c r="B32" s="41" t="str">
        <f>IFERROR(INDEX([1]GARANTIA!$B:$B,MATCH(A32,[1]GARANTIA!$C:$C,0)),"INSIRA N° SERIE")</f>
        <v>TESTE 26</v>
      </c>
      <c r="C32" s="33">
        <f>IFERROR(INDEX([1]GARANTIA!$J:$J,MATCH(A32,[1]GARANTIA!$C:$C,0)),"INSIRA N° SERIE")</f>
        <v>44012</v>
      </c>
      <c r="D32" s="33" t="str">
        <f>IFERROR(IF(INDEX([1]GARANTIA!$M:$M,MATCH(A32,[1]GARANTIA!$C:$C,0))&gt;=I32,"DENTRO DA GARANTIA","FORA DE GARANTIA"),"INSIRA N° SERIE")</f>
        <v>DENTRO DA GARANTIA</v>
      </c>
      <c r="E32" s="148"/>
      <c r="F32" s="109">
        <f>IFERROR(MAX(0,IF(I32-(INDEX([1]GARANTIA!$J:$J,MATCH(A32,[1]GARANTIA!$C:$C,0)))&gt;=0,I32-(INDEX([1]GARANTIA!$L:$L,MATCH(A32,[1]GARANTIA!$C:$C,0))),"INSIRA DATA CHAMADO")),"INSIRA N° SERIE")</f>
        <v>11</v>
      </c>
      <c r="G32" s="35">
        <v>20210124</v>
      </c>
      <c r="H32" s="35" t="str">
        <f t="shared" si="0"/>
        <v>JAN</v>
      </c>
      <c r="I32" s="36">
        <v>44221</v>
      </c>
      <c r="J32" s="37">
        <v>44221</v>
      </c>
      <c r="K32" s="39">
        <v>44225</v>
      </c>
      <c r="L32" s="42" t="s">
        <v>23</v>
      </c>
      <c r="M32" s="42" t="s">
        <v>8</v>
      </c>
      <c r="N32" s="42" t="s">
        <v>28</v>
      </c>
      <c r="O32" s="42" t="str">
        <f>IFERROR(INDEX([1]GARANTIA!$E:$E,MATCH(A32,[1]GARANTIA!$C:$C,0)),"INSIRA N° SERIE")</f>
        <v>MTI - 4.000GTS</v>
      </c>
      <c r="P32" s="60" t="s">
        <v>79</v>
      </c>
      <c r="Q32" s="43" t="s">
        <v>332</v>
      </c>
      <c r="R32" s="60" t="s">
        <v>258</v>
      </c>
      <c r="S32" s="44" t="s">
        <v>98</v>
      </c>
      <c r="T32" s="44" t="s">
        <v>296</v>
      </c>
      <c r="U32" s="45"/>
      <c r="V32" s="41" t="str">
        <f>IFERROR(INDEX([1]GARANTIA!$G:$G,MATCH(A32,[1]GARANTIA!$C:$C,0)),"INSIRA N° SERIE")</f>
        <v>CERES</v>
      </c>
      <c r="W32" s="41" t="str">
        <f>IFERROR(INDEX([1]GARANTIA!$H:$H,MATCH(A32,[1]GARANTIA!$C:$C,0)),"INSIRA N° SERIE")</f>
        <v xml:space="preserve">GO </v>
      </c>
      <c r="X32" s="41" t="str">
        <f>IFERROR(INDEX([1]GARANTIA!$F:$F,MATCH(A32,[1]GARANTIA!$C:$C,0)),"INSIRA N° SERIE")</f>
        <v>CENTROESTE</v>
      </c>
      <c r="Y32" s="46">
        <f t="shared" si="1"/>
        <v>0</v>
      </c>
      <c r="Z32" s="47">
        <f t="shared" si="2"/>
        <v>4</v>
      </c>
      <c r="AA32" s="46">
        <f t="shared" si="3"/>
        <v>4</v>
      </c>
      <c r="AB32" s="46" t="str" cm="1">
        <f t="array" ref="AB32">IFERROR(_xlfn.IFS(L32="FINALIZADO PRESENCIAL",IF(AA32&gt;10,"FORA","DENTRO"),L32="FINALIZADO REMOTO",IF(AA32&gt;5,"FORA","DENTRO")),"-")</f>
        <v>DENTRO</v>
      </c>
      <c r="AC32" s="41" t="s">
        <v>1671</v>
      </c>
      <c r="AD32" s="41" t="s">
        <v>1671</v>
      </c>
      <c r="AE32" s="48" cm="1">
        <f t="array" ref="AE32">SUMPRODUCT(IFERROR(('[2]PEÇAS GARANTIA'!$A$3:$A$5993=G32)*('[2]PEÇAS GARANTIA'!$A$3:$A$5993&lt;&gt;"")*('[2]PEÇAS GARANTIA'!$R$3:$R$5993),0))</f>
        <v>0</v>
      </c>
      <c r="AF32" s="178">
        <v>0</v>
      </c>
    </row>
    <row r="33" spans="1:32" s="49" customFormat="1" ht="40.15" customHeight="1" x14ac:dyDescent="0.25">
      <c r="A33" s="82">
        <v>59635</v>
      </c>
      <c r="B33" s="41" t="str">
        <f>IFERROR(INDEX([1]GARANTIA!$B:$B,MATCH(A33,[1]GARANTIA!$C:$C,0)),"INSIRA N° SERIE")</f>
        <v>TESTE 182</v>
      </c>
      <c r="C33" s="33">
        <f>IFERROR(INDEX([1]GARANTIA!$J:$J,MATCH(A33,[1]GARANTIA!$C:$C,0)),"INSIRA N° SERIE")</f>
        <v>44073</v>
      </c>
      <c r="D33" s="33" t="str">
        <f>IFERROR(IF(INDEX([1]GARANTIA!$M:$M,MATCH(A33,[1]GARANTIA!$C:$C,0))&gt;=I33,"DENTRO DA GARANTIA","FORA DE GARANTIA"),"INSIRA N° SERIE")</f>
        <v>DENTRO DA GARANTIA</v>
      </c>
      <c r="E33" s="148"/>
      <c r="F33" s="109">
        <f>IFERROR(MAX(0,IF(I33-(INDEX([1]GARANTIA!$J:$J,MATCH(A33,[1]GARANTIA!$C:$C,0)))&gt;=0,I33-(INDEX([1]GARANTIA!$L:$L,MATCH(A33,[1]GARANTIA!$C:$C,0))),"INSIRA DATA CHAMADO")),"INSIRA N° SERIE")</f>
        <v>128</v>
      </c>
      <c r="G33" s="35">
        <v>20210125</v>
      </c>
      <c r="H33" s="35" t="str">
        <f t="shared" si="0"/>
        <v>JAN</v>
      </c>
      <c r="I33" s="36">
        <v>44223</v>
      </c>
      <c r="J33" s="37">
        <v>44223</v>
      </c>
      <c r="K33" s="39">
        <v>44225</v>
      </c>
      <c r="L33" s="42" t="s">
        <v>23</v>
      </c>
      <c r="M33" s="42" t="s">
        <v>8</v>
      </c>
      <c r="N33" s="42" t="s">
        <v>28</v>
      </c>
      <c r="O33" s="42" t="str">
        <f>IFERROR(INDEX([1]GARANTIA!$E:$E,MATCH(A33,[1]GARANTIA!$C:$C,0)),"INSIRA N° SERIE")</f>
        <v>MTI - 12.000GTS</v>
      </c>
      <c r="P33" s="60" t="s">
        <v>80</v>
      </c>
      <c r="Q33" s="43" t="s">
        <v>328</v>
      </c>
      <c r="R33" s="60" t="s">
        <v>131</v>
      </c>
      <c r="S33" s="44" t="s">
        <v>101</v>
      </c>
      <c r="T33" s="44" t="s">
        <v>142</v>
      </c>
      <c r="U33" s="45"/>
      <c r="V33" s="41" t="str">
        <f>IFERROR(INDEX([1]GARANTIA!$G:$G,MATCH(A33,[1]GARANTIA!$C:$C,0)),"INSIRA N° SERIE")</f>
        <v xml:space="preserve">IRAJA </v>
      </c>
      <c r="W33" s="41" t="str">
        <f>IFERROR(INDEX([1]GARANTIA!$H:$H,MATCH(A33,[1]GARANTIA!$C:$C,0)),"INSIRA N° SERIE")</f>
        <v xml:space="preserve">RJ </v>
      </c>
      <c r="X33" s="41" t="str">
        <f>IFERROR(INDEX([1]GARANTIA!$F:$F,MATCH(A33,[1]GARANTIA!$C:$C,0)),"INSIRA N° SERIE")</f>
        <v>SUDESTE</v>
      </c>
      <c r="Y33" s="46">
        <f t="shared" si="1"/>
        <v>0</v>
      </c>
      <c r="Z33" s="47">
        <f t="shared" si="2"/>
        <v>2</v>
      </c>
      <c r="AA33" s="46">
        <f t="shared" si="3"/>
        <v>2</v>
      </c>
      <c r="AB33" s="46" t="str" cm="1">
        <f t="array" ref="AB33">IFERROR(_xlfn.IFS(L33="FINALIZADO PRESENCIAL",IF(AA33&gt;10,"FORA","DENTRO"),L33="FINALIZADO REMOTO",IF(AA33&gt;5,"FORA","DENTRO")),"-")</f>
        <v>DENTRO</v>
      </c>
      <c r="AC33" s="41" t="s">
        <v>1671</v>
      </c>
      <c r="AD33" s="41" t="s">
        <v>1671</v>
      </c>
      <c r="AE33" s="48" cm="1">
        <f t="array" ref="AE33">SUMPRODUCT(IFERROR(('[2]PEÇAS GARANTIA'!$A$3:$A$5993=G33)*('[2]PEÇAS GARANTIA'!$A$3:$A$5993&lt;&gt;"")*('[2]PEÇAS GARANTIA'!$R$3:$R$5993),0))</f>
        <v>0</v>
      </c>
      <c r="AF33" s="178">
        <v>0</v>
      </c>
    </row>
    <row r="34" spans="1:32" s="49" customFormat="1" ht="40.15" customHeight="1" x14ac:dyDescent="0.25">
      <c r="A34" s="82">
        <v>3002641</v>
      </c>
      <c r="B34" s="41" t="str">
        <f>IFERROR(INDEX([1]GARANTIA!$B:$B,MATCH(A34,[1]GARANTIA!$C:$C,0)),"INSIRA N° SERIE")</f>
        <v>TESTE 167</v>
      </c>
      <c r="C34" s="33">
        <f>IFERROR(INDEX([1]GARANTIA!$J:$J,MATCH(A34,[1]GARANTIA!$C:$C,0)),"INSIRA N° SERIE")</f>
        <v>43524</v>
      </c>
      <c r="D34" s="33" t="str">
        <f>IFERROR(IF(INDEX([1]GARANTIA!$M:$M,MATCH(A34,[1]GARANTIA!$C:$C,0))&gt;=I34,"DENTRO DA GARANTIA","FORA DE GARANTIA"),"INSIRA N° SERIE")</f>
        <v>DENTRO DA GARANTIA</v>
      </c>
      <c r="E34" s="148"/>
      <c r="F34" s="109">
        <f>IFERROR(MAX(0,IF(I34-(INDEX([1]GARANTIA!$J:$J,MATCH(A34,[1]GARANTIA!$C:$C,0)))&gt;=0,I34-(INDEX([1]GARANTIA!$L:$L,MATCH(A34,[1]GARANTIA!$C:$C,0))),"INSIRA DATA CHAMADO")),"INSIRA N° SERIE")</f>
        <v>12</v>
      </c>
      <c r="G34" s="35">
        <v>20210126</v>
      </c>
      <c r="H34" s="35" t="str">
        <f t="shared" si="0"/>
        <v>JAN</v>
      </c>
      <c r="I34" s="36">
        <v>44223</v>
      </c>
      <c r="J34" s="37">
        <v>44223</v>
      </c>
      <c r="K34" s="39">
        <v>44225</v>
      </c>
      <c r="L34" s="42" t="s">
        <v>11</v>
      </c>
      <c r="M34" s="42" t="s">
        <v>8</v>
      </c>
      <c r="N34" s="42" t="s">
        <v>28</v>
      </c>
      <c r="O34" s="42" t="str">
        <f>IFERROR(INDEX([1]GARANTIA!$E:$E,MATCH(A34,[1]GARANTIA!$C:$C,0)),"INSIRA N° SERIE")</f>
        <v>MTI - 7.000GTS</v>
      </c>
      <c r="P34" s="60" t="s">
        <v>257</v>
      </c>
      <c r="Q34" s="43" t="s">
        <v>38</v>
      </c>
      <c r="R34" s="60" t="s">
        <v>256</v>
      </c>
      <c r="S34" s="44" t="s">
        <v>101</v>
      </c>
      <c r="T34" s="44" t="s">
        <v>296</v>
      </c>
      <c r="U34" s="45"/>
      <c r="V34" s="41" t="str">
        <f>IFERROR(INDEX([1]GARANTIA!$G:$G,MATCH(A34,[1]GARANTIA!$C:$C,0)),"INSIRA N° SERIE")</f>
        <v xml:space="preserve">DIADEMA </v>
      </c>
      <c r="W34" s="41" t="str">
        <f>IFERROR(INDEX([1]GARANTIA!$H:$H,MATCH(A34,[1]GARANTIA!$C:$C,0)),"INSIRA N° SERIE")</f>
        <v>SP</v>
      </c>
      <c r="X34" s="41" t="str">
        <f>IFERROR(INDEX([1]GARANTIA!$F:$F,MATCH(A34,[1]GARANTIA!$C:$C,0)),"INSIRA N° SERIE")</f>
        <v>SUDESTE</v>
      </c>
      <c r="Y34" s="46">
        <f t="shared" si="1"/>
        <v>0</v>
      </c>
      <c r="Z34" s="47">
        <f t="shared" si="2"/>
        <v>2</v>
      </c>
      <c r="AA34" s="46">
        <f t="shared" si="3"/>
        <v>2</v>
      </c>
      <c r="AB34" s="46" t="str" cm="1">
        <f t="array" ref="AB34">IFERROR(_xlfn.IFS(L34="FINALIZADO PRESENCIAL",IF(AA34&gt;10,"FORA","DENTRO"),L34="FINALIZADO REMOTO",IF(AA34&gt;5,"FORA","DENTRO")),"-")</f>
        <v>DENTRO</v>
      </c>
      <c r="AC34" s="41" t="s">
        <v>1671</v>
      </c>
      <c r="AD34" s="41" t="s">
        <v>1671</v>
      </c>
      <c r="AE34" s="48" cm="1">
        <f t="array" ref="AE34">SUMPRODUCT(IFERROR(('[2]PEÇAS GARANTIA'!$A$3:$A$5993=G34)*('[2]PEÇAS GARANTIA'!$A$3:$A$5993&lt;&gt;"")*('[2]PEÇAS GARANTIA'!$R$3:$R$5993),0))</f>
        <v>0</v>
      </c>
      <c r="AF34" s="178">
        <v>0</v>
      </c>
    </row>
    <row r="35" spans="1:32" s="51" customFormat="1" ht="40.15" customHeight="1" x14ac:dyDescent="0.25">
      <c r="A35" s="82">
        <v>73508</v>
      </c>
      <c r="B35" s="41" t="str">
        <f>IFERROR(INDEX([1]GARANTIA!$B:$B,MATCH(A35,[1]GARANTIA!$C:$C,0)),"INSIRA N° SERIE")</f>
        <v>TESTE 327</v>
      </c>
      <c r="C35" s="33">
        <f>IFERROR(INDEX([1]GARANTIA!$J:$J,MATCH(A35,[1]GARANTIA!$C:$C,0)),"INSIRA N° SERIE")</f>
        <v>44104</v>
      </c>
      <c r="D35" s="33" t="str">
        <f>IFERROR(IF(INDEX([1]GARANTIA!$M:$M,MATCH(A35,[1]GARANTIA!$C:$C,0))&gt;=I35,"DENTRO DA GARANTIA","FORA DE GARANTIA"),"INSIRA N° SERIE")</f>
        <v>DENTRO DA GARANTIA</v>
      </c>
      <c r="E35" s="148"/>
      <c r="F35" s="109">
        <f>IFERROR(MAX(0,IF(I35-(INDEX([1]GARANTIA!$J:$J,MATCH(A35,[1]GARANTIA!$C:$C,0)))&gt;=0,I35-(INDEX([1]GARANTIA!$L:$L,MATCH(A35,[1]GARANTIA!$C:$C,0))),"INSIRA DATA CHAMADO")),"INSIRA N° SERIE")</f>
        <v>18</v>
      </c>
      <c r="G35" s="35">
        <v>20210127</v>
      </c>
      <c r="H35" s="35" t="str">
        <f t="shared" si="0"/>
        <v>JAN</v>
      </c>
      <c r="I35" s="36">
        <v>44223</v>
      </c>
      <c r="J35" s="37">
        <v>44223</v>
      </c>
      <c r="K35" s="39">
        <v>44224</v>
      </c>
      <c r="L35" s="42" t="s">
        <v>23</v>
      </c>
      <c r="M35" s="42" t="s">
        <v>8</v>
      </c>
      <c r="N35" s="42" t="s">
        <v>38</v>
      </c>
      <c r="O35" s="42" t="str">
        <f>IFERROR(INDEX([1]GARANTIA!$E:$E,MATCH(A35,[1]GARANTIA!$C:$C,0)),"INSIRA N° SERIE")</f>
        <v>MTI - 4.000GES</v>
      </c>
      <c r="P35" s="60" t="s">
        <v>255</v>
      </c>
      <c r="Q35" s="43" t="s">
        <v>38</v>
      </c>
      <c r="R35" s="60" t="s">
        <v>65</v>
      </c>
      <c r="S35" s="44" t="s">
        <v>101</v>
      </c>
      <c r="T35" s="44" t="s">
        <v>296</v>
      </c>
      <c r="U35" s="45"/>
      <c r="V35" s="41" t="str">
        <f>IFERROR(INDEX([1]GARANTIA!$G:$G,MATCH(A35,[1]GARANTIA!$C:$C,0)),"INSIRA N° SERIE")</f>
        <v>JARU</v>
      </c>
      <c r="W35" s="41" t="str">
        <f>IFERROR(INDEX([1]GARANTIA!$H:$H,MATCH(A35,[1]GARANTIA!$C:$C,0)),"INSIRA N° SERIE")</f>
        <v>RO</v>
      </c>
      <c r="X35" s="41" t="str">
        <f>IFERROR(INDEX([1]GARANTIA!$F:$F,MATCH(A35,[1]GARANTIA!$C:$C,0)),"INSIRA N° SERIE")</f>
        <v>NORTE</v>
      </c>
      <c r="Y35" s="46">
        <f t="shared" si="1"/>
        <v>0</v>
      </c>
      <c r="Z35" s="47">
        <f t="shared" si="2"/>
        <v>1</v>
      </c>
      <c r="AA35" s="46">
        <f t="shared" ref="AA35:AA67" si="4">IF(Z35="NÃO FINALIZADO","",Z35+Y35)</f>
        <v>1</v>
      </c>
      <c r="AB35" s="46" t="str" cm="1">
        <f t="array" ref="AB35">IFERROR(_xlfn.IFS(L35="FINALIZADO PRESENCIAL",IF(AA35&gt;10,"FORA","DENTRO"),L35="FINALIZADO REMOTO",IF(AA35&gt;5,"FORA","DENTRO")),"-")</f>
        <v>DENTRO</v>
      </c>
      <c r="AC35" s="41" t="s">
        <v>1671</v>
      </c>
      <c r="AD35" s="41" t="s">
        <v>1671</v>
      </c>
      <c r="AE35" s="48" cm="1">
        <f t="array" ref="AE35">SUMPRODUCT(IFERROR(('[2]PEÇAS GARANTIA'!$A$3:$A$5993=G35)*('[2]PEÇAS GARANTIA'!$A$3:$A$5993&lt;&gt;"")*('[2]PEÇAS GARANTIA'!$R$3:$R$5993),0))</f>
        <v>0</v>
      </c>
      <c r="AF35" s="178">
        <v>0</v>
      </c>
    </row>
    <row r="36" spans="1:32" s="126" customFormat="1" ht="40.15" customHeight="1" x14ac:dyDescent="0.25">
      <c r="A36" s="117">
        <v>3002515</v>
      </c>
      <c r="B36" s="118" t="str">
        <f>IFERROR(INDEX([1]GARANTIA!$B:$B,MATCH(A36,[1]GARANTIA!$C:$C,0)),"INSIRA N° SERIE")</f>
        <v>TESTE 273</v>
      </c>
      <c r="C36" s="119">
        <f>IFERROR(INDEX([1]GARANTIA!$J:$J,MATCH(A36,[1]GARANTIA!$C:$C,0)),"INSIRA N° SERIE")</f>
        <v>43461</v>
      </c>
      <c r="D36" s="119" t="str">
        <f>IFERROR(IF(INDEX([1]GARANTIA!$M:$M,MATCH(A36,[1]GARANTIA!$C:$C,0))&gt;=I36,"DENTRO DA GARANTIA","FORA DE GARANTIA"),"INSIRA N° SERIE")</f>
        <v>DENTRO DA GARANTIA</v>
      </c>
      <c r="E36" s="121"/>
      <c r="F36" s="127">
        <f>IFERROR(MAX(0,IF(I36-(INDEX([1]GARANTIA!$J:$J,MATCH(A36,[1]GARANTIA!$C:$C,0)))&gt;=0,I36-(INDEX([1]GARANTIA!$L:$L,MATCH(A36,[1]GARANTIA!$C:$C,0))),"INSIRA DATA CHAMADO")),"INSIRA N° SERIE")</f>
        <v>353</v>
      </c>
      <c r="G36" s="121">
        <v>20210128</v>
      </c>
      <c r="H36" s="35" t="str">
        <f t="shared" si="0"/>
        <v>JAN</v>
      </c>
      <c r="I36" s="119">
        <v>44224</v>
      </c>
      <c r="J36" s="119">
        <v>44224</v>
      </c>
      <c r="K36" s="122">
        <v>44242</v>
      </c>
      <c r="L36" s="118" t="s">
        <v>23</v>
      </c>
      <c r="M36" s="118" t="s">
        <v>8</v>
      </c>
      <c r="N36" s="118" t="s">
        <v>43</v>
      </c>
      <c r="O36" s="118" t="str">
        <f>IFERROR(INDEX([1]GARANTIA!$E:$E,MATCH(A36,[1]GARANTIA!$C:$C,0)),"INSIRA N° SERIE")</f>
        <v>MTI - 60.000GE</v>
      </c>
      <c r="P36" s="123" t="s">
        <v>71</v>
      </c>
      <c r="Q36" s="118" t="s">
        <v>337</v>
      </c>
      <c r="R36" s="123" t="s">
        <v>71</v>
      </c>
      <c r="S36" s="118" t="s">
        <v>99</v>
      </c>
      <c r="T36" s="118" t="s">
        <v>360</v>
      </c>
      <c r="U36" s="124"/>
      <c r="V36" s="118" t="str">
        <f>IFERROR(INDEX([1]GARANTIA!$G:$G,MATCH(A36,[1]GARANTIA!$C:$C,0)),"INSIRA N° SERIE")</f>
        <v>MONTEVIDEO</v>
      </c>
      <c r="W36" s="118" t="str">
        <f>IFERROR(INDEX([1]GARANTIA!$H:$H,MATCH(A36,[1]GARANTIA!$C:$C,0)),"INSIRA N° SERIE")</f>
        <v>URY</v>
      </c>
      <c r="X36" s="118" t="str">
        <f>IFERROR(INDEX([1]GARANTIA!$F:$F,MATCH(A36,[1]GARANTIA!$C:$C,0)),"INSIRA N° SERIE")</f>
        <v xml:space="preserve">INTERNACIONAL </v>
      </c>
      <c r="Y36" s="118">
        <f t="shared" si="1"/>
        <v>0</v>
      </c>
      <c r="Z36" s="125">
        <f t="shared" si="2"/>
        <v>18</v>
      </c>
      <c r="AA36" s="118">
        <f t="shared" si="4"/>
        <v>18</v>
      </c>
      <c r="AB36" s="46" t="str" cm="1">
        <f t="array" ref="AB36">IFERROR(_xlfn.IFS(L36="FINALIZADO PRESENCIAL",IF(AA36&gt;10,"FORA","DENTRO"),L36="FINALIZADO REMOTO",IF(AA36&gt;5,"FORA","DENTRO")),"-")</f>
        <v>FORA</v>
      </c>
      <c r="AC36" s="41" t="s">
        <v>1671</v>
      </c>
      <c r="AD36" s="41" t="s">
        <v>1671</v>
      </c>
      <c r="AE36" s="48" cm="1">
        <f t="array" ref="AE36">SUMPRODUCT(IFERROR(('[2]PEÇAS GARANTIA'!$A$3:$A$5993=G36)*('[2]PEÇAS GARANTIA'!$A$3:$A$5993&lt;&gt;"")*('[2]PEÇAS GARANTIA'!$R$3:$R$5993),0))</f>
        <v>0</v>
      </c>
      <c r="AF36" s="178">
        <v>0</v>
      </c>
    </row>
    <row r="37" spans="1:32" s="51" customFormat="1" ht="40.15" customHeight="1" x14ac:dyDescent="0.25">
      <c r="A37" s="82">
        <v>92314</v>
      </c>
      <c r="B37" s="41" t="str">
        <f>IFERROR(INDEX([1]GARANTIA!$B:$B,MATCH(A37,[1]GARANTIA!$C:$C,0)),"INSIRA N° SERIE")</f>
        <v>TESTE 47</v>
      </c>
      <c r="C37" s="33">
        <f>IFERROR(INDEX([1]GARANTIA!$J:$J,MATCH(A37,[1]GARANTIA!$C:$C,0)),"INSIRA N° SERIE")</f>
        <v>43591</v>
      </c>
      <c r="D37" s="33" t="str">
        <f>IFERROR(IF(INDEX([1]GARANTIA!$M:$M,MATCH(A37,[1]GARANTIA!$C:$C,0))&gt;=I37,"DENTRO DA GARANTIA","FORA DE GARANTIA"),"INSIRA N° SERIE")</f>
        <v>FORA DE GARANTIA</v>
      </c>
      <c r="E37" s="148"/>
      <c r="F37" s="109">
        <f>IFERROR(MAX(0,IF(I37-(INDEX([1]GARANTIA!$J:$J,MATCH(A37,[1]GARANTIA!$C:$C,0)))&gt;=0,I37-(INDEX([1]GARANTIA!$L:$L,MATCH(A37,[1]GARANTIA!$C:$C,0))),"INSIRA DATA CHAMADO")),"INSIRA N° SERIE")</f>
        <v>426</v>
      </c>
      <c r="G37" s="35">
        <v>20210422</v>
      </c>
      <c r="H37" s="35" t="str">
        <f t="shared" si="0"/>
        <v>JAN</v>
      </c>
      <c r="I37" s="36">
        <v>44224</v>
      </c>
      <c r="J37" s="37">
        <v>44224</v>
      </c>
      <c r="K37" s="39">
        <v>44242</v>
      </c>
      <c r="L37" s="42" t="s">
        <v>23</v>
      </c>
      <c r="M37" s="42" t="s">
        <v>8</v>
      </c>
      <c r="N37" s="42" t="s">
        <v>26</v>
      </c>
      <c r="O37" s="42" t="str">
        <f>IFERROR(INDEX([1]GARANTIA!$E:$E,MATCH(A37,[1]GARANTIA!$C:$C,0)),"INSIRA N° SERIE")</f>
        <v>MTI - 22.000GT</v>
      </c>
      <c r="P37" s="60" t="s">
        <v>190</v>
      </c>
      <c r="Q37" s="43" t="s">
        <v>62</v>
      </c>
      <c r="R37" s="60" t="s">
        <v>176</v>
      </c>
      <c r="S37" s="44" t="s">
        <v>325</v>
      </c>
      <c r="T37" s="44" t="s">
        <v>640</v>
      </c>
      <c r="U37" s="45"/>
      <c r="V37" s="41" t="str">
        <f>IFERROR(INDEX([1]GARANTIA!$G:$G,MATCH(A37,[1]GARANTIA!$C:$C,0)),"INSIRA N° SERIE")</f>
        <v>TEIXEIRA DE FREITAS</v>
      </c>
      <c r="W37" s="41" t="str">
        <f>IFERROR(INDEX([1]GARANTIA!$H:$H,MATCH(A37,[1]GARANTIA!$C:$C,0)),"INSIRA N° SERIE")</f>
        <v>BA</v>
      </c>
      <c r="X37" s="41" t="str">
        <f>IFERROR(INDEX([1]GARANTIA!$F:$F,MATCH(A37,[1]GARANTIA!$C:$C,0)),"INSIRA N° SERIE")</f>
        <v>NORDESTE</v>
      </c>
      <c r="Y37" s="46">
        <f t="shared" si="1"/>
        <v>0</v>
      </c>
      <c r="Z37" s="47">
        <f t="shared" si="2"/>
        <v>18</v>
      </c>
      <c r="AA37" s="46">
        <f t="shared" si="4"/>
        <v>18</v>
      </c>
      <c r="AB37" s="46" t="str" cm="1">
        <f t="array" ref="AB37">IFERROR(_xlfn.IFS(L37="FINALIZADO PRESENCIAL",IF(AA37&gt;10,"FORA","DENTRO"),L37="FINALIZADO REMOTO",IF(AA37&gt;5,"FORA","DENTRO")),"-")</f>
        <v>FORA</v>
      </c>
      <c r="AC37" s="41" t="s">
        <v>1671</v>
      </c>
      <c r="AD37" s="41" t="s">
        <v>1671</v>
      </c>
      <c r="AE37" s="48" cm="1">
        <f t="array" ref="AE37">SUMPRODUCT(IFERROR(('[2]PEÇAS GARANTIA'!$A$3:$A$5993=G37)*('[2]PEÇAS GARANTIA'!$A$3:$A$5993&lt;&gt;"")*('[2]PEÇAS GARANTIA'!$R$3:$R$5993),0))</f>
        <v>0</v>
      </c>
      <c r="AF37" s="178">
        <v>0</v>
      </c>
    </row>
    <row r="38" spans="1:32" s="49" customFormat="1" ht="40.15" customHeight="1" x14ac:dyDescent="0.25">
      <c r="A38" s="82">
        <v>47823</v>
      </c>
      <c r="B38" s="41" t="str">
        <f>IFERROR(INDEX([1]GARANTIA!$B:$B,MATCH(A38,[1]GARANTIA!$C:$C,0)),"INSIRA N° SERIE")</f>
        <v>TESTE 295</v>
      </c>
      <c r="C38" s="33">
        <f>IFERROR(INDEX([1]GARANTIA!$J:$J,MATCH(A38,[1]GARANTIA!$C:$C,0)),"INSIRA N° SERIE")</f>
        <v>43830</v>
      </c>
      <c r="D38" s="33" t="str">
        <f>IFERROR(IF(INDEX([1]GARANTIA!$M:$M,MATCH(A38,[1]GARANTIA!$C:$C,0))&gt;=I38,"DENTRO DA GARANTIA","FORA DE GARANTIA"),"INSIRA N° SERIE")</f>
        <v>DENTRO DA GARANTIA</v>
      </c>
      <c r="E38" s="148"/>
      <c r="F38" s="109">
        <f>IFERROR(MAX(0,IF(I38-(INDEX([1]GARANTIA!$J:$J,MATCH(A38,[1]GARANTIA!$C:$C,0)))&gt;=0,I38-(INDEX([1]GARANTIA!$L:$L,MATCH(A38,[1]GARANTIA!$C:$C,0))),"INSIRA DATA CHAMADO")),"INSIRA N° SERIE")</f>
        <v>112</v>
      </c>
      <c r="G38" s="35">
        <v>20210129</v>
      </c>
      <c r="H38" s="35" t="str">
        <f t="shared" si="0"/>
        <v>JAN</v>
      </c>
      <c r="I38" s="36">
        <v>44225</v>
      </c>
      <c r="J38" s="37">
        <v>44228</v>
      </c>
      <c r="K38" s="39">
        <v>44232</v>
      </c>
      <c r="L38" s="42" t="s">
        <v>23</v>
      </c>
      <c r="M38" s="42" t="s">
        <v>8</v>
      </c>
      <c r="N38" s="42" t="s">
        <v>41</v>
      </c>
      <c r="O38" s="42" t="str">
        <f>IFERROR(INDEX([1]GARANTIA!$E:$E,MATCH(A38,[1]GARANTIA!$C:$C,0)),"INSIRA N° SERIE")</f>
        <v>MTI - 12.000GTS</v>
      </c>
      <c r="P38" s="60" t="s">
        <v>81</v>
      </c>
      <c r="Q38" s="43" t="s">
        <v>326</v>
      </c>
      <c r="R38" s="60" t="s">
        <v>253</v>
      </c>
      <c r="S38" s="44" t="s">
        <v>325</v>
      </c>
      <c r="T38" s="44" t="s">
        <v>640</v>
      </c>
      <c r="U38" s="45"/>
      <c r="V38" s="41" t="str">
        <f>IFERROR(INDEX([1]GARANTIA!$G:$G,MATCH(A38,[1]GARANTIA!$C:$C,0)),"INSIRA N° SERIE")</f>
        <v xml:space="preserve">LUIS EDUARDO MAGALHAES </v>
      </c>
      <c r="W38" s="41" t="str">
        <f>IFERROR(INDEX([1]GARANTIA!$H:$H,MATCH(A38,[1]GARANTIA!$C:$C,0)),"INSIRA N° SERIE")</f>
        <v>BA</v>
      </c>
      <c r="X38" s="41" t="str">
        <f>IFERROR(INDEX([1]GARANTIA!$F:$F,MATCH(A38,[1]GARANTIA!$C:$C,0)),"INSIRA N° SERIE")</f>
        <v>NORDESTE</v>
      </c>
      <c r="Y38" s="46">
        <f t="shared" si="1"/>
        <v>3</v>
      </c>
      <c r="Z38" s="47">
        <f t="shared" si="2"/>
        <v>4</v>
      </c>
      <c r="AA38" s="46">
        <f t="shared" si="4"/>
        <v>7</v>
      </c>
      <c r="AB38" s="46" t="str" cm="1">
        <f t="array" ref="AB38">IFERROR(_xlfn.IFS(L38="FINALIZADO PRESENCIAL",IF(AA38&gt;10,"FORA","DENTRO"),L38="FINALIZADO REMOTO",IF(AA38&gt;5,"FORA","DENTRO")),"-")</f>
        <v>FORA</v>
      </c>
      <c r="AC38" s="41" t="s">
        <v>1671</v>
      </c>
      <c r="AD38" s="41" t="s">
        <v>1671</v>
      </c>
      <c r="AE38" s="48" cm="1">
        <f t="array" ref="AE38">SUMPRODUCT(IFERROR(('[2]PEÇAS GARANTIA'!$A$3:$A$5993=G38)*('[2]PEÇAS GARANTIA'!$A$3:$A$5993&lt;&gt;"")*('[2]PEÇAS GARANTIA'!$R$3:$R$5993),0))</f>
        <v>0</v>
      </c>
      <c r="AF38" s="178">
        <v>675</v>
      </c>
    </row>
    <row r="39" spans="1:32" s="49" customFormat="1" ht="40.15" customHeight="1" x14ac:dyDescent="0.25">
      <c r="A39" s="82">
        <v>11535</v>
      </c>
      <c r="B39" s="41" t="str">
        <f>IFERROR(INDEX([1]GARANTIA!$B:$B,MATCH(A39,[1]GARANTIA!$C:$C,0)),"INSIRA N° SERIE")</f>
        <v>TESTE 138</v>
      </c>
      <c r="C39" s="33">
        <f>IFERROR(INDEX([1]GARANTIA!$J:$J,MATCH(A39,[1]GARANTIA!$C:$C,0)),"INSIRA N° SERIE")</f>
        <v>43575</v>
      </c>
      <c r="D39" s="33" t="str">
        <f>IFERROR(IF(INDEX([1]GARANTIA!$M:$M,MATCH(A39,[1]GARANTIA!$C:$C,0))&gt;=I39,"DENTRO DA GARANTIA","FORA DE GARANTIA"),"INSIRA N° SERIE")</f>
        <v>DENTRO DA GARANTIA</v>
      </c>
      <c r="E39" s="148"/>
      <c r="F39" s="109">
        <f>IFERROR(MAX(0,IF(I39-(INDEX([1]GARANTIA!$J:$J,MATCH(A39,[1]GARANTIA!$C:$C,0)))&gt;=0,I39-(INDEX([1]GARANTIA!$L:$L,MATCH(A39,[1]GARANTIA!$C:$C,0))),"INSIRA DATA CHAMADO")),"INSIRA N° SERIE")</f>
        <v>155</v>
      </c>
      <c r="G39" s="35">
        <v>20210200</v>
      </c>
      <c r="H39" s="35" t="str">
        <f t="shared" si="0"/>
        <v>FEV</v>
      </c>
      <c r="I39" s="36">
        <v>44230</v>
      </c>
      <c r="J39" s="37">
        <v>44230</v>
      </c>
      <c r="K39" s="38">
        <v>44247</v>
      </c>
      <c r="L39" s="42" t="s">
        <v>11</v>
      </c>
      <c r="M39" s="42" t="s">
        <v>8</v>
      </c>
      <c r="N39" s="42" t="s">
        <v>37</v>
      </c>
      <c r="O39" s="42" t="str">
        <f>IFERROR(INDEX([1]GARANTIA!$E:$E,MATCH(A39,[1]GARANTIA!$C:$C,0)),"INSIRA N° SERIE")</f>
        <v>MTI - 4.000GTS</v>
      </c>
      <c r="P39" s="60" t="s">
        <v>302</v>
      </c>
      <c r="Q39" s="43" t="s">
        <v>54</v>
      </c>
      <c r="R39" s="60" t="s">
        <v>250</v>
      </c>
      <c r="S39" s="44" t="s">
        <v>638</v>
      </c>
      <c r="T39" s="44" t="s">
        <v>97</v>
      </c>
      <c r="U39" s="45"/>
      <c r="V39" s="41" t="str">
        <f>IFERROR(INDEX([1]GARANTIA!$G:$G,MATCH(A39,[1]GARANTIA!$C:$C,0)),"INSIRA N° SERIE")</f>
        <v>JIJOCA DE JERICOACOARA</v>
      </c>
      <c r="W39" s="41" t="str">
        <f>IFERROR(INDEX([1]GARANTIA!$H:$H,MATCH(A39,[1]GARANTIA!$C:$C,0)),"INSIRA N° SERIE")</f>
        <v>CE</v>
      </c>
      <c r="X39" s="41" t="str">
        <f>IFERROR(INDEX([1]GARANTIA!$F:$F,MATCH(A39,[1]GARANTIA!$C:$C,0)),"INSIRA N° SERIE")</f>
        <v>NORDESTE</v>
      </c>
      <c r="Y39" s="46">
        <f t="shared" si="1"/>
        <v>0</v>
      </c>
      <c r="Z39" s="47">
        <f t="shared" si="2"/>
        <v>17</v>
      </c>
      <c r="AA39" s="46">
        <f t="shared" si="4"/>
        <v>17</v>
      </c>
      <c r="AB39" s="46" t="str" cm="1">
        <f t="array" ref="AB39">IFERROR(_xlfn.IFS(L39="FINALIZADO PRESENCIAL",IF(AA39&gt;10,"FORA","DENTRO"),L39="FINALIZADO REMOTO",IF(AA39&gt;5,"FORA","DENTRO")),"-")</f>
        <v>FORA</v>
      </c>
      <c r="AC39" s="41" t="s">
        <v>1671</v>
      </c>
      <c r="AD39" s="41" t="s">
        <v>1671</v>
      </c>
      <c r="AE39" s="48" cm="1">
        <f t="array" ref="AE39">SUMPRODUCT(IFERROR(('[2]PEÇAS GARANTIA'!$A$3:$A$5993=G39)*('[2]PEÇAS GARANTIA'!$A$3:$A$5993&lt;&gt;"")*('[2]PEÇAS GARANTIA'!$R$3:$R$5993),0))</f>
        <v>9337.5566666566992</v>
      </c>
      <c r="AF39" s="178">
        <v>18802.95</v>
      </c>
    </row>
    <row r="40" spans="1:32" s="49" customFormat="1" ht="40.15" customHeight="1" x14ac:dyDescent="0.25">
      <c r="A40" s="82">
        <v>86086</v>
      </c>
      <c r="B40" s="41" t="str">
        <f>IFERROR(INDEX([1]GARANTIA!$B:$B,MATCH(A40,[1]GARANTIA!$C:$C,0)),"INSIRA N° SERIE")</f>
        <v>TESTE 76</v>
      </c>
      <c r="C40" s="33">
        <f>IFERROR(INDEX([1]GARANTIA!$J:$J,MATCH(A40,[1]GARANTIA!$C:$C,0)),"INSIRA N° SERIE")</f>
        <v>43982</v>
      </c>
      <c r="D40" s="33" t="str">
        <f>IFERROR(IF(INDEX([1]GARANTIA!$M:$M,MATCH(A40,[1]GARANTIA!$C:$C,0))&gt;=I40,"DENTRO DA GARANTIA","FORA DE GARANTIA"),"INSIRA N° SERIE")</f>
        <v>DENTRO DA GARANTIA</v>
      </c>
      <c r="E40" s="148"/>
      <c r="F40" s="109">
        <f>IFERROR(MAX(0,IF(I40-(INDEX([1]GARANTIA!$J:$J,MATCH(A40,[1]GARANTIA!$C:$C,0)))&gt;=0,I40-(INDEX([1]GARANTIA!$L:$L,MATCH(A40,[1]GARANTIA!$C:$C,0))),"INSIRA DATA CHAMADO")),"INSIRA N° SERIE")</f>
        <v>223</v>
      </c>
      <c r="G40" s="35">
        <v>20210201</v>
      </c>
      <c r="H40" s="35" t="str">
        <f t="shared" si="0"/>
        <v>FEV</v>
      </c>
      <c r="I40" s="36">
        <v>44230</v>
      </c>
      <c r="J40" s="37">
        <v>44230</v>
      </c>
      <c r="K40" s="39">
        <v>44230</v>
      </c>
      <c r="L40" s="42" t="s">
        <v>23</v>
      </c>
      <c r="M40" s="42" t="s">
        <v>8</v>
      </c>
      <c r="N40" s="42" t="s">
        <v>27</v>
      </c>
      <c r="O40" s="42" t="str">
        <f>IFERROR(INDEX([1]GARANTIA!$E:$E,MATCH(A40,[1]GARANTIA!$C:$C,0)),"INSIRA N° SERIE")</f>
        <v>MTI - 1.000GTS</v>
      </c>
      <c r="P40" s="60" t="s">
        <v>251</v>
      </c>
      <c r="Q40" s="43" t="s">
        <v>335</v>
      </c>
      <c r="R40" s="60" t="s">
        <v>252</v>
      </c>
      <c r="S40" s="44" t="s">
        <v>102</v>
      </c>
      <c r="T40" s="44" t="s">
        <v>296</v>
      </c>
      <c r="U40" s="45"/>
      <c r="V40" s="41" t="str">
        <f>IFERROR(INDEX([1]GARANTIA!$G:$G,MATCH(A40,[1]GARANTIA!$C:$C,0)),"INSIRA N° SERIE")</f>
        <v>LUZIANA</v>
      </c>
      <c r="W40" s="41" t="str">
        <f>IFERROR(INDEX([1]GARANTIA!$H:$H,MATCH(A40,[1]GARANTIA!$C:$C,0)),"INSIRA N° SERIE")</f>
        <v xml:space="preserve">GO </v>
      </c>
      <c r="X40" s="41" t="str">
        <f>IFERROR(INDEX([1]GARANTIA!$F:$F,MATCH(A40,[1]GARANTIA!$C:$C,0)),"INSIRA N° SERIE")</f>
        <v>CENTROESTE</v>
      </c>
      <c r="Y40" s="46">
        <f t="shared" si="1"/>
        <v>0</v>
      </c>
      <c r="Z40" s="47">
        <f t="shared" si="2"/>
        <v>0</v>
      </c>
      <c r="AA40" s="46">
        <f t="shared" si="4"/>
        <v>0</v>
      </c>
      <c r="AB40" s="46" t="str" cm="1">
        <f t="array" ref="AB40">IFERROR(_xlfn.IFS(L40="FINALIZADO PRESENCIAL",IF(AA40&gt;10,"FORA","DENTRO"),L40="FINALIZADO REMOTO",IF(AA40&gt;5,"FORA","DENTRO")),"-")</f>
        <v>DENTRO</v>
      </c>
      <c r="AC40" s="41" t="s">
        <v>1671</v>
      </c>
      <c r="AD40" s="41" t="s">
        <v>1671</v>
      </c>
      <c r="AE40" s="48" cm="1">
        <f t="array" ref="AE40">SUMPRODUCT(IFERROR(('[2]PEÇAS GARANTIA'!$A$3:$A$5993=G40)*('[2]PEÇAS GARANTIA'!$A$3:$A$5993&lt;&gt;"")*('[2]PEÇAS GARANTIA'!$R$3:$R$5993),0))</f>
        <v>0</v>
      </c>
      <c r="AF40" s="178">
        <v>0</v>
      </c>
    </row>
    <row r="41" spans="1:32" s="76" customFormat="1" ht="40.15" customHeight="1" x14ac:dyDescent="0.25">
      <c r="A41" s="81">
        <v>25628</v>
      </c>
      <c r="B41" s="41" t="str">
        <f>IFERROR(INDEX([1]GARANTIA!$B:$B,MATCH(A41,[1]GARANTIA!$C:$C,0)),"INSIRA N° SERIE")</f>
        <v>TESTE 70</v>
      </c>
      <c r="C41" s="33">
        <f>IFERROR(INDEX([1]GARANTIA!$J:$J,MATCH(A41,[1]GARANTIA!$C:$C,0)),"INSIRA N° SERIE")</f>
        <v>44043</v>
      </c>
      <c r="D41" s="33" t="str">
        <f>IFERROR(IF(INDEX([1]GARANTIA!$M:$M,MATCH(A41,[1]GARANTIA!$C:$C,0))&gt;=I41,"DENTRO DA GARANTIA","FORA DE GARANTIA"),"INSIRA N° SERIE")</f>
        <v>DENTRO DA GARANTIA</v>
      </c>
      <c r="E41" s="148"/>
      <c r="F41" s="109">
        <f>IFERROR(MAX(0,IF(I41-(INDEX([1]GARANTIA!$J:$J,MATCH(A41,[1]GARANTIA!$C:$C,0)))&gt;=0,I41-(INDEX([1]GARANTIA!$L:$L,MATCH(A41,[1]GARANTIA!$C:$C,0))),"INSIRA DATA CHAMADO")),"INSIRA N° SERIE")</f>
        <v>54</v>
      </c>
      <c r="G41" s="65">
        <v>20210202</v>
      </c>
      <c r="H41" s="35" t="str">
        <f t="shared" si="0"/>
        <v>FEV</v>
      </c>
      <c r="I41" s="66">
        <v>44230</v>
      </c>
      <c r="J41" s="67">
        <v>44230</v>
      </c>
      <c r="K41" s="68">
        <v>44230</v>
      </c>
      <c r="L41" s="69" t="s">
        <v>23</v>
      </c>
      <c r="M41" s="69" t="s">
        <v>8</v>
      </c>
      <c r="N41" s="69" t="s">
        <v>31</v>
      </c>
      <c r="O41" s="42" t="str">
        <f>IFERROR(INDEX([1]GARANTIA!$E:$E,MATCH(A41,[1]GARANTIA!$C:$C,0)),"INSIRA N° SERIE")</f>
        <v>MTI - 1.000GTS</v>
      </c>
      <c r="P41" s="70" t="s">
        <v>231</v>
      </c>
      <c r="Q41" s="71" t="s">
        <v>329</v>
      </c>
      <c r="R41" s="70" t="s">
        <v>83</v>
      </c>
      <c r="S41" s="44" t="s">
        <v>638</v>
      </c>
      <c r="T41" s="44" t="s">
        <v>641</v>
      </c>
      <c r="U41" s="73"/>
      <c r="V41" s="41" t="str">
        <f>IFERROR(INDEX([1]GARANTIA!$G:$G,MATCH(A41,[1]GARANTIA!$C:$C,0)),"INSIRA N° SERIE")</f>
        <v>ARAPUTANGA</v>
      </c>
      <c r="W41" s="41" t="str">
        <f>IFERROR(INDEX([1]GARANTIA!$H:$H,MATCH(A41,[1]GARANTIA!$C:$C,0)),"INSIRA N° SERIE")</f>
        <v>MT</v>
      </c>
      <c r="X41" s="41" t="str">
        <f>IFERROR(INDEX([1]GARANTIA!$F:$F,MATCH(A41,[1]GARANTIA!$C:$C,0)),"INSIRA N° SERIE")</f>
        <v>CENTROESTE</v>
      </c>
      <c r="Y41" s="74">
        <f t="shared" si="1"/>
        <v>0</v>
      </c>
      <c r="Z41" s="75">
        <f t="shared" si="2"/>
        <v>0</v>
      </c>
      <c r="AA41" s="74">
        <f t="shared" si="4"/>
        <v>0</v>
      </c>
      <c r="AB41" s="46" t="str" cm="1">
        <f t="array" ref="AB41">IFERROR(_xlfn.IFS(L41="FINALIZADO PRESENCIAL",IF(AA41&gt;10,"FORA","DENTRO"),L41="FINALIZADO REMOTO",IF(AA41&gt;5,"FORA","DENTRO")),"-")</f>
        <v>DENTRO</v>
      </c>
      <c r="AC41" s="41" t="s">
        <v>1671</v>
      </c>
      <c r="AD41" s="41" t="s">
        <v>1671</v>
      </c>
      <c r="AE41" s="48" cm="1">
        <f t="array" ref="AE41">SUMPRODUCT(IFERROR(('[2]PEÇAS GARANTIA'!$A$3:$A$5993=G41)*('[2]PEÇAS GARANTIA'!$A$3:$A$5993&lt;&gt;"")*('[2]PEÇAS GARANTIA'!$R$3:$R$5993),0))</f>
        <v>0</v>
      </c>
      <c r="AF41" s="178">
        <v>0</v>
      </c>
    </row>
    <row r="42" spans="1:32" s="49" customFormat="1" ht="40.15" customHeight="1" x14ac:dyDescent="0.25">
      <c r="A42" s="82">
        <v>57868</v>
      </c>
      <c r="B42" s="41" t="str">
        <f>IFERROR(INDEX([1]GARANTIA!$B:$B,MATCH(A42,[1]GARANTIA!$C:$C,0)),"INSIRA N° SERIE")</f>
        <v>TESTE 252</v>
      </c>
      <c r="C42" s="33">
        <f>IFERROR(INDEX([1]GARANTIA!$J:$J,MATCH(A42,[1]GARANTIA!$C:$C,0)),"INSIRA N° SERIE")</f>
        <v>44043</v>
      </c>
      <c r="D42" s="33" t="str">
        <f>IFERROR(IF(INDEX([1]GARANTIA!$M:$M,MATCH(A42,[1]GARANTIA!$C:$C,0))&gt;=I42,"DENTRO DA GARANTIA","FORA DE GARANTIA"),"INSIRA N° SERIE")</f>
        <v>DENTRO DA GARANTIA</v>
      </c>
      <c r="E42" s="148"/>
      <c r="F42" s="109">
        <f>IFERROR(MAX(0,IF(I42-(INDEX([1]GARANTIA!$J:$J,MATCH(A42,[1]GARANTIA!$C:$C,0)))&gt;=0,I42-(INDEX([1]GARANTIA!$L:$L,MATCH(A42,[1]GARANTIA!$C:$C,0))),"INSIRA DATA CHAMADO")),"INSIRA N° SERIE")</f>
        <v>96</v>
      </c>
      <c r="G42" s="35">
        <v>20210203</v>
      </c>
      <c r="H42" s="35" t="str">
        <f t="shared" si="0"/>
        <v>FEV</v>
      </c>
      <c r="I42" s="36">
        <v>44230</v>
      </c>
      <c r="J42" s="37">
        <v>44230</v>
      </c>
      <c r="K42" s="39">
        <v>44233</v>
      </c>
      <c r="L42" s="42" t="s">
        <v>11</v>
      </c>
      <c r="M42" s="42" t="s">
        <v>8</v>
      </c>
      <c r="N42" s="42" t="s">
        <v>57</v>
      </c>
      <c r="O42" s="42" t="str">
        <f>IFERROR(INDEX([1]GARANTIA!$E:$E,MATCH(A42,[1]GARANTIA!$C:$C,0)),"INSIRA N° SERIE")</f>
        <v>GERADOR DE 32.000 GT</v>
      </c>
      <c r="P42" s="60" t="s">
        <v>72</v>
      </c>
      <c r="Q42" s="43" t="s">
        <v>54</v>
      </c>
      <c r="R42" s="60" t="s">
        <v>250</v>
      </c>
      <c r="S42" s="44" t="s">
        <v>638</v>
      </c>
      <c r="T42" s="44" t="s">
        <v>97</v>
      </c>
      <c r="U42" s="45"/>
      <c r="V42" s="41" t="str">
        <f>IFERROR(INDEX([1]GARANTIA!$G:$G,MATCH(A42,[1]GARANTIA!$C:$C,0)),"INSIRA N° SERIE")</f>
        <v>MANAUS</v>
      </c>
      <c r="W42" s="41" t="str">
        <f>IFERROR(INDEX([1]GARANTIA!$H:$H,MATCH(A42,[1]GARANTIA!$C:$C,0)),"INSIRA N° SERIE")</f>
        <v xml:space="preserve">AM </v>
      </c>
      <c r="X42" s="41" t="str">
        <f>IFERROR(INDEX([1]GARANTIA!$F:$F,MATCH(A42,[1]GARANTIA!$C:$C,0)),"INSIRA N° SERIE")</f>
        <v>NORTE</v>
      </c>
      <c r="Y42" s="46">
        <f t="shared" si="1"/>
        <v>0</v>
      </c>
      <c r="Z42" s="47">
        <f t="shared" si="2"/>
        <v>3</v>
      </c>
      <c r="AA42" s="46">
        <f t="shared" si="4"/>
        <v>3</v>
      </c>
      <c r="AB42" s="46" t="str" cm="1">
        <f t="array" ref="AB42">IFERROR(_xlfn.IFS(L42="FINALIZADO PRESENCIAL",IF(AA42&gt;10,"FORA","DENTRO"),L42="FINALIZADO REMOTO",IF(AA42&gt;5,"FORA","DENTRO")),"-")</f>
        <v>DENTRO</v>
      </c>
      <c r="AC42" s="41" t="s">
        <v>1671</v>
      </c>
      <c r="AD42" s="41" t="s">
        <v>1671</v>
      </c>
      <c r="AE42" s="48" cm="1">
        <f t="array" ref="AE42">SUMPRODUCT(IFERROR(('[2]PEÇAS GARANTIA'!$A$3:$A$5993=G42)*('[2]PEÇAS GARANTIA'!$A$3:$A$5993&lt;&gt;"")*('[2]PEÇAS GARANTIA'!$R$3:$R$5993),0))</f>
        <v>0</v>
      </c>
      <c r="AF42" s="178">
        <v>2193.4700000000003</v>
      </c>
    </row>
    <row r="43" spans="1:32" s="49" customFormat="1" ht="40.15" customHeight="1" x14ac:dyDescent="0.25">
      <c r="A43" s="82">
        <v>25628</v>
      </c>
      <c r="B43" s="41" t="str">
        <f>IFERROR(INDEX([1]GARANTIA!$B:$B,MATCH(A43,[1]GARANTIA!$C:$C,0)),"INSIRA N° SERIE")</f>
        <v>TESTE 70</v>
      </c>
      <c r="C43" s="33">
        <f>IFERROR(INDEX([1]GARANTIA!$J:$J,MATCH(A43,[1]GARANTIA!$C:$C,0)),"INSIRA N° SERIE")</f>
        <v>44043</v>
      </c>
      <c r="D43" s="33" t="str">
        <f>IFERROR(IF(INDEX([1]GARANTIA!$M:$M,MATCH(A43,[1]GARANTIA!$C:$C,0))&gt;=I43,"DENTRO DA GARANTIA","FORA DE GARANTIA"),"INSIRA N° SERIE")</f>
        <v>DENTRO DA GARANTIA</v>
      </c>
      <c r="E43" s="148"/>
      <c r="F43" s="109">
        <f>IFERROR(MAX(0,IF(I43-(INDEX([1]GARANTIA!$J:$J,MATCH(A43,[1]GARANTIA!$C:$C,0)))&gt;=0,I43-(INDEX([1]GARANTIA!$L:$L,MATCH(A43,[1]GARANTIA!$C:$C,0))),"INSIRA DATA CHAMADO")),"INSIRA N° SERIE")</f>
        <v>55</v>
      </c>
      <c r="G43" s="35">
        <v>20210204</v>
      </c>
      <c r="H43" s="35" t="str">
        <f t="shared" si="0"/>
        <v>FEV</v>
      </c>
      <c r="I43" s="36">
        <v>44231</v>
      </c>
      <c r="J43" s="37">
        <v>44231</v>
      </c>
      <c r="K43" s="39">
        <v>44231</v>
      </c>
      <c r="L43" s="42" t="s">
        <v>23</v>
      </c>
      <c r="M43" s="42" t="s">
        <v>8</v>
      </c>
      <c r="N43" s="42" t="s">
        <v>31</v>
      </c>
      <c r="O43" s="42" t="str">
        <f>IFERROR(INDEX([1]GARANTIA!$E:$E,MATCH(A43,[1]GARANTIA!$C:$C,0)),"INSIRA N° SERIE")</f>
        <v>MTI - 1.000GTS</v>
      </c>
      <c r="P43" s="60" t="s">
        <v>167</v>
      </c>
      <c r="Q43" s="43" t="s">
        <v>38</v>
      </c>
      <c r="R43" s="60" t="s">
        <v>168</v>
      </c>
      <c r="S43" s="44" t="s">
        <v>101</v>
      </c>
      <c r="T43" s="44" t="s">
        <v>296</v>
      </c>
      <c r="U43" s="45"/>
      <c r="V43" s="41" t="str">
        <f>IFERROR(INDEX([1]GARANTIA!$G:$G,MATCH(A43,[1]GARANTIA!$C:$C,0)),"INSIRA N° SERIE")</f>
        <v>ARAPUTANGA</v>
      </c>
      <c r="W43" s="41" t="str">
        <f>IFERROR(INDEX([1]GARANTIA!$H:$H,MATCH(A43,[1]GARANTIA!$C:$C,0)),"INSIRA N° SERIE")</f>
        <v>MT</v>
      </c>
      <c r="X43" s="41" t="str">
        <f>IFERROR(INDEX([1]GARANTIA!$F:$F,MATCH(A43,[1]GARANTIA!$C:$C,0)),"INSIRA N° SERIE")</f>
        <v>CENTROESTE</v>
      </c>
      <c r="Y43" s="46">
        <f t="shared" si="1"/>
        <v>0</v>
      </c>
      <c r="Z43" s="47">
        <f t="shared" si="2"/>
        <v>0</v>
      </c>
      <c r="AA43" s="46">
        <f t="shared" si="4"/>
        <v>0</v>
      </c>
      <c r="AB43" s="46" t="str" cm="1">
        <f t="array" ref="AB43">IFERROR(_xlfn.IFS(L43="FINALIZADO PRESENCIAL",IF(AA43&gt;10,"FORA","DENTRO"),L43="FINALIZADO REMOTO",IF(AA43&gt;5,"FORA","DENTRO")),"-")</f>
        <v>DENTRO</v>
      </c>
      <c r="AC43" s="41" t="s">
        <v>1671</v>
      </c>
      <c r="AD43" s="41" t="s">
        <v>1671</v>
      </c>
      <c r="AE43" s="48" cm="1">
        <f t="array" ref="AE43">SUMPRODUCT(IFERROR(('[2]PEÇAS GARANTIA'!$A$3:$A$5993=G43)*('[2]PEÇAS GARANTIA'!$A$3:$A$5993&lt;&gt;"")*('[2]PEÇAS GARANTIA'!$R$3:$R$5993),0))</f>
        <v>0</v>
      </c>
      <c r="AF43" s="178">
        <v>0</v>
      </c>
    </row>
    <row r="44" spans="1:32" s="49" customFormat="1" ht="40.15" customHeight="1" x14ac:dyDescent="0.25">
      <c r="A44" s="82">
        <v>59891</v>
      </c>
      <c r="B44" s="41" t="str">
        <f>IFERROR(INDEX([1]GARANTIA!$B:$B,MATCH(A44,[1]GARANTIA!$C:$C,0)),"INSIRA N° SERIE")</f>
        <v>TESTE 293</v>
      </c>
      <c r="C44" s="33">
        <f>IFERROR(INDEX([1]GARANTIA!$J:$J,MATCH(A44,[1]GARANTIA!$C:$C,0)),"INSIRA N° SERIE")</f>
        <v>43301</v>
      </c>
      <c r="D44" s="33" t="str">
        <f>IFERROR(IF(INDEX([1]GARANTIA!$M:$M,MATCH(A44,[1]GARANTIA!$C:$C,0))&gt;=I44,"DENTRO DA GARANTIA","FORA DE GARANTIA"),"INSIRA N° SERIE")</f>
        <v>FORA DE GARANTIA</v>
      </c>
      <c r="E44" s="148"/>
      <c r="F44" s="109">
        <f>IFERROR(MAX(0,IF(I44-(INDEX([1]GARANTIA!$J:$J,MATCH(A44,[1]GARANTIA!$C:$C,0)))&gt;=0,I44-(INDEX([1]GARANTIA!$L:$L,MATCH(A44,[1]GARANTIA!$C:$C,0))),"INSIRA DATA CHAMADO")),"INSIRA N° SERIE")</f>
        <v>419</v>
      </c>
      <c r="G44" s="35">
        <v>20210205</v>
      </c>
      <c r="H44" s="35" t="str">
        <f t="shared" si="0"/>
        <v>FEV</v>
      </c>
      <c r="I44" s="36">
        <v>44231</v>
      </c>
      <c r="J44" s="37">
        <v>44231</v>
      </c>
      <c r="K44" s="39">
        <v>44235</v>
      </c>
      <c r="L44" s="42" t="s">
        <v>11</v>
      </c>
      <c r="M44" s="42" t="s">
        <v>8</v>
      </c>
      <c r="N44" s="42" t="s">
        <v>42</v>
      </c>
      <c r="O44" s="42" t="str">
        <f>IFERROR(INDEX([1]GARANTIA!$E:$E,MATCH(A44,[1]GARANTIA!$C:$C,0)),"INSIRA N° SERIE")</f>
        <v>MTI - 4.000GTS</v>
      </c>
      <c r="P44" s="60" t="s">
        <v>248</v>
      </c>
      <c r="Q44" s="43" t="s">
        <v>326</v>
      </c>
      <c r="R44" s="60" t="s">
        <v>249</v>
      </c>
      <c r="S44" s="44" t="s">
        <v>325</v>
      </c>
      <c r="T44" s="44" t="s">
        <v>142</v>
      </c>
      <c r="U44" s="45"/>
      <c r="V44" s="41" t="str">
        <f>IFERROR(INDEX([1]GARANTIA!$G:$G,MATCH(A44,[1]GARANTIA!$C:$C,0)),"INSIRA N° SERIE")</f>
        <v>SÃO PAULO</v>
      </c>
      <c r="W44" s="41" t="str">
        <f>IFERROR(INDEX([1]GARANTIA!$H:$H,MATCH(A44,[1]GARANTIA!$C:$C,0)),"INSIRA N° SERIE")</f>
        <v>SP</v>
      </c>
      <c r="X44" s="41" t="str">
        <f>IFERROR(INDEX([1]GARANTIA!$F:$F,MATCH(A44,[1]GARANTIA!$C:$C,0)),"INSIRA N° SERIE")</f>
        <v>SUDESTE</v>
      </c>
      <c r="Y44" s="46">
        <f t="shared" si="1"/>
        <v>0</v>
      </c>
      <c r="Z44" s="47">
        <f t="shared" si="2"/>
        <v>4</v>
      </c>
      <c r="AA44" s="46">
        <f t="shared" si="4"/>
        <v>4</v>
      </c>
      <c r="AB44" s="46" t="str" cm="1">
        <f t="array" ref="AB44">IFERROR(_xlfn.IFS(L44="FINALIZADO PRESENCIAL",IF(AA44&gt;10,"FORA","DENTRO"),L44="FINALIZADO REMOTO",IF(AA44&gt;5,"FORA","DENTRO")),"-")</f>
        <v>DENTRO</v>
      </c>
      <c r="AC44" s="41" t="s">
        <v>1671</v>
      </c>
      <c r="AD44" s="41" t="s">
        <v>1671</v>
      </c>
      <c r="AE44" s="48" cm="1">
        <f t="array" ref="AE44">SUMPRODUCT(IFERROR(('[2]PEÇAS GARANTIA'!$A$3:$A$5993=G44)*('[2]PEÇAS GARANTIA'!$A$3:$A$5993&lt;&gt;"")*('[2]PEÇAS GARANTIA'!$R$3:$R$5993),0))</f>
        <v>0</v>
      </c>
      <c r="AF44" s="178">
        <v>244</v>
      </c>
    </row>
    <row r="45" spans="1:32" s="49" customFormat="1" ht="40.15" customHeight="1" x14ac:dyDescent="0.25">
      <c r="A45" s="82">
        <v>25628</v>
      </c>
      <c r="B45" s="41" t="str">
        <f>IFERROR(INDEX([1]GARANTIA!$B:$B,MATCH(A45,[1]GARANTIA!$C:$C,0)),"INSIRA N° SERIE")</f>
        <v>TESTE 70</v>
      </c>
      <c r="C45" s="33">
        <f>IFERROR(INDEX([1]GARANTIA!$J:$J,MATCH(A45,[1]GARANTIA!$C:$C,0)),"INSIRA N° SERIE")</f>
        <v>44043</v>
      </c>
      <c r="D45" s="33" t="str">
        <f>IFERROR(IF(INDEX([1]GARANTIA!$M:$M,MATCH(A45,[1]GARANTIA!$C:$C,0))&gt;=I45,"DENTRO DA GARANTIA","FORA DE GARANTIA"),"INSIRA N° SERIE")</f>
        <v>DENTRO DA GARANTIA</v>
      </c>
      <c r="E45" s="148"/>
      <c r="F45" s="109">
        <f>IFERROR(MAX(0,IF(I45-(INDEX([1]GARANTIA!$J:$J,MATCH(A45,[1]GARANTIA!$C:$C,0)))&gt;=0,I45-(INDEX([1]GARANTIA!$L:$L,MATCH(A45,[1]GARANTIA!$C:$C,0))),"INSIRA DATA CHAMADO")),"INSIRA N° SERIE")</f>
        <v>56</v>
      </c>
      <c r="G45" s="35">
        <v>20210206</v>
      </c>
      <c r="H45" s="35" t="str">
        <f t="shared" si="0"/>
        <v>FEV</v>
      </c>
      <c r="I45" s="36">
        <v>44232</v>
      </c>
      <c r="J45" s="37">
        <v>44232</v>
      </c>
      <c r="K45" s="39">
        <v>44232</v>
      </c>
      <c r="L45" s="42" t="s">
        <v>23</v>
      </c>
      <c r="M45" s="42" t="s">
        <v>8</v>
      </c>
      <c r="N45" s="42" t="s">
        <v>26</v>
      </c>
      <c r="O45" s="42" t="str">
        <f>IFERROR(INDEX([1]GARANTIA!$E:$E,MATCH(A45,[1]GARANTIA!$C:$C,0)),"INSIRA N° SERIE")</f>
        <v>MTI - 1.000GTS</v>
      </c>
      <c r="P45" s="60" t="s">
        <v>167</v>
      </c>
      <c r="Q45" s="43" t="s">
        <v>38</v>
      </c>
      <c r="R45" s="60" t="s">
        <v>168</v>
      </c>
      <c r="S45" s="44" t="s">
        <v>101</v>
      </c>
      <c r="T45" s="44" t="s">
        <v>296</v>
      </c>
      <c r="U45" s="45"/>
      <c r="V45" s="41" t="str">
        <f>IFERROR(INDEX([1]GARANTIA!$G:$G,MATCH(A45,[1]GARANTIA!$C:$C,0)),"INSIRA N° SERIE")</f>
        <v>ARAPUTANGA</v>
      </c>
      <c r="W45" s="41" t="str">
        <f>IFERROR(INDEX([1]GARANTIA!$H:$H,MATCH(A45,[1]GARANTIA!$C:$C,0)),"INSIRA N° SERIE")</f>
        <v>MT</v>
      </c>
      <c r="X45" s="41" t="str">
        <f>IFERROR(INDEX([1]GARANTIA!$F:$F,MATCH(A45,[1]GARANTIA!$C:$C,0)),"INSIRA N° SERIE")</f>
        <v>CENTROESTE</v>
      </c>
      <c r="Y45" s="46">
        <f t="shared" si="1"/>
        <v>0</v>
      </c>
      <c r="Z45" s="47">
        <f t="shared" si="2"/>
        <v>0</v>
      </c>
      <c r="AA45" s="46">
        <f t="shared" si="4"/>
        <v>0</v>
      </c>
      <c r="AB45" s="46" t="str" cm="1">
        <f t="array" ref="AB45">IFERROR(_xlfn.IFS(L45="FINALIZADO PRESENCIAL",IF(AA45&gt;10,"FORA","DENTRO"),L45="FINALIZADO REMOTO",IF(AA45&gt;5,"FORA","DENTRO")),"-")</f>
        <v>DENTRO</v>
      </c>
      <c r="AC45" s="41" t="s">
        <v>1671</v>
      </c>
      <c r="AD45" s="41" t="s">
        <v>1671</v>
      </c>
      <c r="AE45" s="48" cm="1">
        <f t="array" ref="AE45">SUMPRODUCT(IFERROR(('[2]PEÇAS GARANTIA'!$A$3:$A$5993=G45)*('[2]PEÇAS GARANTIA'!$A$3:$A$5993&lt;&gt;"")*('[2]PEÇAS GARANTIA'!$R$3:$R$5993),0))</f>
        <v>0</v>
      </c>
      <c r="AF45" s="178">
        <v>0</v>
      </c>
    </row>
    <row r="46" spans="1:32" s="49" customFormat="1" ht="40.15" customHeight="1" x14ac:dyDescent="0.25">
      <c r="A46" s="82">
        <v>3001104</v>
      </c>
      <c r="B46" s="41" t="str">
        <f>IFERROR(INDEX([1]GARANTIA!$B:$B,MATCH(A46,[1]GARANTIA!$C:$C,0)),"INSIRA N° SERIE")</f>
        <v>TESTE 18</v>
      </c>
      <c r="C46" s="33">
        <f>IFERROR(INDEX([1]GARANTIA!$J:$J,MATCH(A46,[1]GARANTIA!$C:$C,0)),"INSIRA N° SERIE")</f>
        <v>43378</v>
      </c>
      <c r="D46" s="33" t="str">
        <f>IFERROR(IF(INDEX([1]GARANTIA!$M:$M,MATCH(A46,[1]GARANTIA!$C:$C,0))&gt;=I46,"DENTRO DA GARANTIA","FORA DE GARANTIA"),"INSIRA N° SERIE")</f>
        <v>FORA DE GARANTIA</v>
      </c>
      <c r="E46" s="148"/>
      <c r="F46" s="109">
        <f>IFERROR(MAX(0,IF(I46-(INDEX([1]GARANTIA!$J:$J,MATCH(A46,[1]GARANTIA!$C:$C,0)))&gt;=0,I46-(INDEX([1]GARANTIA!$L:$L,MATCH(A46,[1]GARANTIA!$C:$C,0))),"INSIRA DATA CHAMADO")),"INSIRA N° SERIE")</f>
        <v>537</v>
      </c>
      <c r="G46" s="35">
        <v>20210207</v>
      </c>
      <c r="H46" s="35" t="str">
        <f t="shared" si="0"/>
        <v>FEV</v>
      </c>
      <c r="I46" s="36">
        <v>44236</v>
      </c>
      <c r="J46" s="37">
        <v>44237</v>
      </c>
      <c r="K46" s="39">
        <v>44245</v>
      </c>
      <c r="L46" s="42" t="s">
        <v>23</v>
      </c>
      <c r="M46" s="42" t="s">
        <v>8</v>
      </c>
      <c r="N46" s="42" t="s">
        <v>28</v>
      </c>
      <c r="O46" s="42" t="str">
        <f>IFERROR(INDEX([1]GARANTIA!$E:$E,MATCH(A46,[1]GARANTIA!$C:$C,0)),"INSIRA N° SERIE")</f>
        <v>MTI - 2.500GTS</v>
      </c>
      <c r="P46" s="60" t="s">
        <v>80</v>
      </c>
      <c r="Q46" s="43" t="s">
        <v>328</v>
      </c>
      <c r="R46" s="60" t="s">
        <v>80</v>
      </c>
      <c r="S46" s="44" t="s">
        <v>101</v>
      </c>
      <c r="T46" s="44" t="s">
        <v>142</v>
      </c>
      <c r="U46" s="45"/>
      <c r="V46" s="41" t="str">
        <f>IFERROR(INDEX([1]GARANTIA!$G:$G,MATCH(A46,[1]GARANTIA!$C:$C,0)),"INSIRA N° SERIE")</f>
        <v>PARANAVAI</v>
      </c>
      <c r="W46" s="41" t="str">
        <f>IFERROR(INDEX([1]GARANTIA!$H:$H,MATCH(A46,[1]GARANTIA!$C:$C,0)),"INSIRA N° SERIE")</f>
        <v>PR</v>
      </c>
      <c r="X46" s="41" t="str">
        <f>IFERROR(INDEX([1]GARANTIA!$F:$F,MATCH(A46,[1]GARANTIA!$C:$C,0)),"INSIRA N° SERIE")</f>
        <v>SUDESTE</v>
      </c>
      <c r="Y46" s="46">
        <f t="shared" si="1"/>
        <v>1</v>
      </c>
      <c r="Z46" s="47">
        <f t="shared" si="2"/>
        <v>8</v>
      </c>
      <c r="AA46" s="46">
        <f t="shared" si="4"/>
        <v>9</v>
      </c>
      <c r="AB46" s="46" t="str" cm="1">
        <f t="array" ref="AB46">IFERROR(_xlfn.IFS(L46="FINALIZADO PRESENCIAL",IF(AA46&gt;10,"FORA","DENTRO"),L46="FINALIZADO REMOTO",IF(AA46&gt;5,"FORA","DENTRO")),"-")</f>
        <v>FORA</v>
      </c>
      <c r="AC46" s="41" t="s">
        <v>1671</v>
      </c>
      <c r="AD46" s="41" t="s">
        <v>1671</v>
      </c>
      <c r="AE46" s="48" cm="1">
        <f t="array" ref="AE46">SUMPRODUCT(IFERROR(('[2]PEÇAS GARANTIA'!$A$3:$A$5993=G46)*('[2]PEÇAS GARANTIA'!$A$3:$A$5993&lt;&gt;"")*('[2]PEÇAS GARANTIA'!$R$3:$R$5993),0))</f>
        <v>0</v>
      </c>
      <c r="AF46" s="178">
        <v>0</v>
      </c>
    </row>
    <row r="47" spans="1:32" s="126" customFormat="1" ht="40.15" customHeight="1" x14ac:dyDescent="0.25">
      <c r="A47" s="117">
        <v>9993</v>
      </c>
      <c r="B47" s="118" t="str">
        <f>IFERROR(INDEX([1]GARANTIA!$B:$B,MATCH(A47,[1]GARANTIA!$C:$C,0)),"INSIRA N° SERIE")</f>
        <v>TESTE 121</v>
      </c>
      <c r="C47" s="119">
        <f>IFERROR(INDEX([1]GARANTIA!$J:$J,MATCH(A47,[1]GARANTIA!$C:$C,0)),"INSIRA N° SERIE")</f>
        <v>42979</v>
      </c>
      <c r="D47" s="119" t="str">
        <f>IFERROR(IF(INDEX([1]GARANTIA!$M:$M,MATCH(A47,[1]GARANTIA!$C:$C,0))&gt;=I47,"DENTRO DA GARANTIA","FORA DE GARANTIA"),"INSIRA N° SERIE")</f>
        <v>DENTRO DA GARANTIA</v>
      </c>
      <c r="E47" s="121"/>
      <c r="F47" s="127">
        <f>IFERROR(MAX(0,IF(I47-(INDEX([1]GARANTIA!$J:$J,MATCH(A47,[1]GARANTIA!$C:$C,0)))&gt;=0,I47-(INDEX([1]GARANTIA!$L:$L,MATCH(A47,[1]GARANTIA!$C:$C,0))),"INSIRA DATA CHAMADO")),"INSIRA N° SERIE")</f>
        <v>165</v>
      </c>
      <c r="G47" s="121">
        <v>20210435</v>
      </c>
      <c r="H47" s="35" t="str">
        <f t="shared" si="0"/>
        <v>FEV</v>
      </c>
      <c r="I47" s="119">
        <v>44239</v>
      </c>
      <c r="J47" s="119">
        <v>44239</v>
      </c>
      <c r="K47" s="122">
        <v>44239</v>
      </c>
      <c r="L47" s="118" t="s">
        <v>11</v>
      </c>
      <c r="M47" s="118" t="s">
        <v>8</v>
      </c>
      <c r="N47" s="118" t="s">
        <v>37</v>
      </c>
      <c r="O47" s="118" t="str">
        <f>IFERROR(INDEX([1]GARANTIA!$E:$E,MATCH(A47,[1]GARANTIA!$C:$C,0)),"INSIRA N° SERIE")</f>
        <v>MAC 32.000 GT</v>
      </c>
      <c r="P47" s="123" t="s">
        <v>274</v>
      </c>
      <c r="Q47" s="118" t="s">
        <v>99</v>
      </c>
      <c r="R47" s="123" t="s">
        <v>69</v>
      </c>
      <c r="S47" s="118" t="s">
        <v>99</v>
      </c>
      <c r="T47" s="118" t="s">
        <v>360</v>
      </c>
      <c r="U47" s="124"/>
      <c r="V47" s="118" t="str">
        <f>IFERROR(INDEX([1]GARANTIA!$G:$G,MATCH(A47,[1]GARANTIA!$C:$C,0)),"INSIRA N° SERIE")</f>
        <v>SÃO PAULO</v>
      </c>
      <c r="W47" s="118" t="str">
        <f>IFERROR(INDEX([1]GARANTIA!$H:$H,MATCH(A47,[1]GARANTIA!$C:$C,0)),"INSIRA N° SERIE")</f>
        <v>SP</v>
      </c>
      <c r="X47" s="118" t="str">
        <f>IFERROR(INDEX([1]GARANTIA!$F:$F,MATCH(A47,[1]GARANTIA!$C:$C,0)),"INSIRA N° SERIE")</f>
        <v>SUDESTE</v>
      </c>
      <c r="Y47" s="118">
        <f t="shared" si="1"/>
        <v>0</v>
      </c>
      <c r="Z47" s="125">
        <f t="shared" si="2"/>
        <v>0</v>
      </c>
      <c r="AA47" s="118">
        <f t="shared" si="4"/>
        <v>0</v>
      </c>
      <c r="AB47" s="46" t="str" cm="1">
        <f t="array" ref="AB47">IFERROR(_xlfn.IFS(L47="FINALIZADO PRESENCIAL",IF(AA47&gt;10,"FORA","DENTRO"),L47="FINALIZADO REMOTO",IF(AA47&gt;5,"FORA","DENTRO")),"-")</f>
        <v>DENTRO</v>
      </c>
      <c r="AC47" s="41" t="s">
        <v>1671</v>
      </c>
      <c r="AD47" s="41" t="s">
        <v>1671</v>
      </c>
      <c r="AE47" s="48" cm="1">
        <f t="array" ref="AE47">SUMPRODUCT(IFERROR(('[2]PEÇAS GARANTIA'!$A$3:$A$5993=G47)*('[2]PEÇAS GARANTIA'!$A$3:$A$5993&lt;&gt;"")*('[2]PEÇAS GARANTIA'!$R$3:$R$5993),0))</f>
        <v>0</v>
      </c>
      <c r="AF47" s="178">
        <v>1202</v>
      </c>
    </row>
    <row r="48" spans="1:32" s="49" customFormat="1" ht="40.15" customHeight="1" x14ac:dyDescent="0.25">
      <c r="A48" s="82">
        <v>17344</v>
      </c>
      <c r="B48" s="41" t="str">
        <f>IFERROR(INDEX([1]GARANTIA!$B:$B,MATCH(A48,[1]GARANTIA!$C:$C,0)),"INSIRA N° SERIE")</f>
        <v>TESTE 1</v>
      </c>
      <c r="C48" s="33">
        <f>IFERROR(INDEX([1]GARANTIA!$J:$J,MATCH(A48,[1]GARANTIA!$C:$C,0)),"INSIRA N° SERIE")</f>
        <v>43769</v>
      </c>
      <c r="D48" s="33" t="str">
        <f>IFERROR(IF(INDEX([1]GARANTIA!$M:$M,MATCH(A48,[1]GARANTIA!$C:$C,0))&gt;=I48,"DENTRO DA GARANTIA","FORA DE GARANTIA"),"INSIRA N° SERIE")</f>
        <v>DENTRO DA GARANTIA</v>
      </c>
      <c r="E48" s="148"/>
      <c r="F48" s="109">
        <f>IFERROR(MAX(0,IF(I48-(INDEX([1]GARANTIA!$J:$J,MATCH(A48,[1]GARANTIA!$C:$C,0)))&gt;=0,I48-(INDEX([1]GARANTIA!$L:$L,MATCH(A48,[1]GARANTIA!$C:$C,0))),"INSIRA DATA CHAMADO")),"INSIRA N° SERIE")</f>
        <v>175</v>
      </c>
      <c r="G48" s="35">
        <v>20210208</v>
      </c>
      <c r="H48" s="35" t="str">
        <f t="shared" si="0"/>
        <v>FEV</v>
      </c>
      <c r="I48" s="36">
        <v>44239</v>
      </c>
      <c r="J48" s="37">
        <v>44239</v>
      </c>
      <c r="K48" s="39">
        <v>44239</v>
      </c>
      <c r="L48" s="42" t="s">
        <v>23</v>
      </c>
      <c r="M48" s="42" t="s">
        <v>8</v>
      </c>
      <c r="N48" s="42" t="s">
        <v>28</v>
      </c>
      <c r="O48" s="42" t="str">
        <f>IFERROR(INDEX([1]GARANTIA!$E:$E,MATCH(A48,[1]GARANTIA!$C:$C,0)),"INSIRA N° SERIE")</f>
        <v>MTI - 12.000GTS</v>
      </c>
      <c r="P48" s="60" t="s">
        <v>73</v>
      </c>
      <c r="Q48" s="43" t="s">
        <v>328</v>
      </c>
      <c r="R48" s="60" t="s">
        <v>131</v>
      </c>
      <c r="S48" s="44" t="s">
        <v>101</v>
      </c>
      <c r="T48" s="44" t="s">
        <v>142</v>
      </c>
      <c r="U48" s="45"/>
      <c r="V48" s="41" t="str">
        <f>IFERROR(INDEX([1]GARANTIA!$G:$G,MATCH(A48,[1]GARANTIA!$C:$C,0)),"INSIRA N° SERIE")</f>
        <v xml:space="preserve">GUARULHOS </v>
      </c>
      <c r="W48" s="41" t="str">
        <f>IFERROR(INDEX([1]GARANTIA!$H:$H,MATCH(A48,[1]GARANTIA!$C:$C,0)),"INSIRA N° SERIE")</f>
        <v xml:space="preserve">SP </v>
      </c>
      <c r="X48" s="41" t="str">
        <f>IFERROR(INDEX([1]GARANTIA!$F:$F,MATCH(A48,[1]GARANTIA!$C:$C,0)),"INSIRA N° SERIE")</f>
        <v>SUDESTE</v>
      </c>
      <c r="Y48" s="46">
        <f t="shared" si="1"/>
        <v>0</v>
      </c>
      <c r="Z48" s="47">
        <f t="shared" si="2"/>
        <v>0</v>
      </c>
      <c r="AA48" s="46">
        <f t="shared" si="4"/>
        <v>0</v>
      </c>
      <c r="AB48" s="46" t="str" cm="1">
        <f t="array" ref="AB48">IFERROR(_xlfn.IFS(L48="FINALIZADO PRESENCIAL",IF(AA48&gt;10,"FORA","DENTRO"),L48="FINALIZADO REMOTO",IF(AA48&gt;5,"FORA","DENTRO")),"-")</f>
        <v>DENTRO</v>
      </c>
      <c r="AC48" s="41" t="s">
        <v>1671</v>
      </c>
      <c r="AD48" s="41" t="s">
        <v>1671</v>
      </c>
      <c r="AE48" s="48" cm="1">
        <f t="array" ref="AE48">SUMPRODUCT(IFERROR(('[2]PEÇAS GARANTIA'!$A$3:$A$5993=G48)*('[2]PEÇAS GARANTIA'!$A$3:$A$5993&lt;&gt;"")*('[2]PEÇAS GARANTIA'!$R$3:$R$5993),0))</f>
        <v>0</v>
      </c>
      <c r="AF48" s="178">
        <v>0</v>
      </c>
    </row>
    <row r="49" spans="1:32" s="49" customFormat="1" ht="40.15" customHeight="1" x14ac:dyDescent="0.25">
      <c r="A49" s="82">
        <v>46637</v>
      </c>
      <c r="B49" s="41" t="str">
        <f>IFERROR(INDEX([1]GARANTIA!$B:$B,MATCH(A49,[1]GARANTIA!$C:$C,0)),"INSIRA N° SERIE")</f>
        <v>TESTE 5</v>
      </c>
      <c r="C49" s="33">
        <f>IFERROR(INDEX([1]GARANTIA!$J:$J,MATCH(A49,[1]GARANTIA!$C:$C,0)),"INSIRA N° SERIE")</f>
        <v>43951</v>
      </c>
      <c r="D49" s="33" t="str">
        <f>IFERROR(IF(INDEX([1]GARANTIA!$M:$M,MATCH(A49,[1]GARANTIA!$C:$C,0))&gt;=I49,"DENTRO DA GARANTIA","FORA DE GARANTIA"),"INSIRA N° SERIE")</f>
        <v>DENTRO DA GARANTIA</v>
      </c>
      <c r="E49" s="148"/>
      <c r="F49" s="109">
        <f>IFERROR(MAX(0,IF(I49-(INDEX([1]GARANTIA!$J:$J,MATCH(A49,[1]GARANTIA!$C:$C,0)))&gt;=0,I49-(INDEX([1]GARANTIA!$L:$L,MATCH(A49,[1]GARANTIA!$C:$C,0))),"INSIRA DATA CHAMADO")),"INSIRA N° SERIE")</f>
        <v>63</v>
      </c>
      <c r="G49" s="17">
        <v>20210209</v>
      </c>
      <c r="H49" s="35" t="str">
        <f t="shared" si="0"/>
        <v>FEV</v>
      </c>
      <c r="I49" s="36">
        <v>44239</v>
      </c>
      <c r="J49" s="37">
        <v>44239</v>
      </c>
      <c r="K49" s="39">
        <v>44239</v>
      </c>
      <c r="L49" s="42" t="s">
        <v>23</v>
      </c>
      <c r="M49" s="42" t="s">
        <v>8</v>
      </c>
      <c r="N49" s="42" t="s">
        <v>28</v>
      </c>
      <c r="O49" s="42" t="str">
        <f>IFERROR(INDEX([1]GARANTIA!$E:$E,MATCH(A49,[1]GARANTIA!$C:$C,0)),"INSIRA N° SERIE")</f>
        <v>MTI - 7.000GTS</v>
      </c>
      <c r="P49" s="60" t="s">
        <v>247</v>
      </c>
      <c r="Q49" s="43" t="s">
        <v>328</v>
      </c>
      <c r="R49" s="60" t="s">
        <v>131</v>
      </c>
      <c r="S49" s="44" t="s">
        <v>101</v>
      </c>
      <c r="T49" s="44" t="s">
        <v>142</v>
      </c>
      <c r="U49" s="45"/>
      <c r="V49" s="41" t="str">
        <f>IFERROR(INDEX([1]GARANTIA!$G:$G,MATCH(A49,[1]GARANTIA!$C:$C,0)),"INSIRA N° SERIE")</f>
        <v>WENSESLAU</v>
      </c>
      <c r="W49" s="41" t="str">
        <f>IFERROR(INDEX([1]GARANTIA!$H:$H,MATCH(A49,[1]GARANTIA!$C:$C,0)),"INSIRA N° SERIE")</f>
        <v>PR</v>
      </c>
      <c r="X49" s="41" t="str">
        <f>IFERROR(INDEX([1]GARANTIA!$F:$F,MATCH(A49,[1]GARANTIA!$C:$C,0)),"INSIRA N° SERIE")</f>
        <v>SUDESTE</v>
      </c>
      <c r="Y49" s="46">
        <f t="shared" si="1"/>
        <v>0</v>
      </c>
      <c r="Z49" s="47">
        <f t="shared" si="2"/>
        <v>0</v>
      </c>
      <c r="AA49" s="46">
        <f t="shared" si="4"/>
        <v>0</v>
      </c>
      <c r="AB49" s="46" t="str" cm="1">
        <f t="array" ref="AB49">IFERROR(_xlfn.IFS(L49="FINALIZADO PRESENCIAL",IF(AA49&gt;10,"FORA","DENTRO"),L49="FINALIZADO REMOTO",IF(AA49&gt;5,"FORA","DENTRO")),"-")</f>
        <v>DENTRO</v>
      </c>
      <c r="AC49" s="41" t="s">
        <v>1671</v>
      </c>
      <c r="AD49" s="41" t="s">
        <v>1671</v>
      </c>
      <c r="AE49" s="48" cm="1">
        <f t="array" ref="AE49">SUMPRODUCT(IFERROR(('[2]PEÇAS GARANTIA'!$A$3:$A$5993=G49)*('[2]PEÇAS GARANTIA'!$A$3:$A$5993&lt;&gt;"")*('[2]PEÇAS GARANTIA'!$R$3:$R$5993),0))</f>
        <v>0</v>
      </c>
      <c r="AF49" s="178">
        <v>0</v>
      </c>
    </row>
    <row r="50" spans="1:32" s="49" customFormat="1" ht="40.15" customHeight="1" x14ac:dyDescent="0.25">
      <c r="A50" s="82">
        <v>26351</v>
      </c>
      <c r="B50" s="41" t="str">
        <f>IFERROR(INDEX([1]GARANTIA!$B:$B,MATCH(A50,[1]GARANTIA!$C:$C,0)),"INSIRA N° SERIE")</f>
        <v>TESTE 91</v>
      </c>
      <c r="C50" s="33">
        <f>IFERROR(INDEX([1]GARANTIA!$J:$J,MATCH(A50,[1]GARANTIA!$C:$C,0)),"INSIRA N° SERIE")</f>
        <v>44123</v>
      </c>
      <c r="D50" s="33" t="str">
        <f>IFERROR(IF(INDEX([1]GARANTIA!$M:$M,MATCH(A50,[1]GARANTIA!$C:$C,0))&gt;=I50,"DENTRO DA GARANTIA","FORA DE GARANTIA"),"INSIRA N° SERIE")</f>
        <v>DENTRO DA GARANTIA</v>
      </c>
      <c r="E50" s="148"/>
      <c r="F50" s="109">
        <f>IFERROR(MAX(0,IF(I50-(INDEX([1]GARANTIA!$J:$J,MATCH(A50,[1]GARANTIA!$C:$C,0)))&gt;=0,I50-(INDEX([1]GARANTIA!$L:$L,MATCH(A50,[1]GARANTIA!$C:$C,0))),"INSIRA DATA CHAMADO")),"INSIRA N° SERIE")</f>
        <v>0</v>
      </c>
      <c r="G50" s="35">
        <v>20210426</v>
      </c>
      <c r="H50" s="35" t="str">
        <f t="shared" si="0"/>
        <v>FEV</v>
      </c>
      <c r="I50" s="36">
        <v>44239</v>
      </c>
      <c r="J50" s="37">
        <v>44239</v>
      </c>
      <c r="K50" s="38">
        <v>44239</v>
      </c>
      <c r="L50" s="42" t="s">
        <v>23</v>
      </c>
      <c r="M50" s="42" t="s">
        <v>8</v>
      </c>
      <c r="N50" s="42" t="s">
        <v>26</v>
      </c>
      <c r="O50" s="42" t="str">
        <f>IFERROR(INDEX([1]GARANTIA!$E:$E,MATCH(A50,[1]GARANTIA!$C:$C,0)),"INSIRA N° SERIE")</f>
        <v>MTI - 1.000GTS</v>
      </c>
      <c r="P50" s="60" t="s">
        <v>179</v>
      </c>
      <c r="Q50" s="43" t="s">
        <v>326</v>
      </c>
      <c r="R50" s="60" t="s">
        <v>180</v>
      </c>
      <c r="S50" s="44" t="s">
        <v>101</v>
      </c>
      <c r="T50" s="44" t="s">
        <v>142</v>
      </c>
      <c r="U50" s="45"/>
      <c r="V50" s="41" t="str">
        <f>IFERROR(INDEX([1]GARANTIA!$G:$G,MATCH(A50,[1]GARANTIA!$C:$C,0)),"INSIRA N° SERIE")</f>
        <v>CAPIVARI</v>
      </c>
      <c r="W50" s="41" t="str">
        <f>IFERROR(INDEX([1]GARANTIA!$H:$H,MATCH(A50,[1]GARANTIA!$C:$C,0)),"INSIRA N° SERIE")</f>
        <v>SP</v>
      </c>
      <c r="X50" s="41" t="str">
        <f>IFERROR(INDEX([1]GARANTIA!$F:$F,MATCH(A50,[1]GARANTIA!$C:$C,0)),"INSIRA N° SERIE")</f>
        <v>SUDESTE</v>
      </c>
      <c r="Y50" s="46">
        <f t="shared" si="1"/>
        <v>0</v>
      </c>
      <c r="Z50" s="47">
        <f t="shared" si="2"/>
        <v>0</v>
      </c>
      <c r="AA50" s="46">
        <f t="shared" si="4"/>
        <v>0</v>
      </c>
      <c r="AB50" s="46" t="str" cm="1">
        <f t="array" ref="AB50">IFERROR(_xlfn.IFS(L50="FINALIZADO PRESENCIAL",IF(AA50&gt;10,"FORA","DENTRO"),L50="FINALIZADO REMOTO",IF(AA50&gt;5,"FORA","DENTRO")),"-")</f>
        <v>DENTRO</v>
      </c>
      <c r="AC50" s="41" t="s">
        <v>1671</v>
      </c>
      <c r="AD50" s="41" t="s">
        <v>1671</v>
      </c>
      <c r="AE50" s="48" cm="1">
        <f t="array" ref="AE50">SUMPRODUCT(IFERROR(('[2]PEÇAS GARANTIA'!$A$3:$A$5993=G50)*('[2]PEÇAS GARANTIA'!$A$3:$A$5993&lt;&gt;"")*('[2]PEÇAS GARANTIA'!$R$3:$R$5993),0))</f>
        <v>0</v>
      </c>
      <c r="AF50" s="178">
        <v>0</v>
      </c>
    </row>
    <row r="51" spans="1:32" s="49" customFormat="1" ht="40.15" customHeight="1" x14ac:dyDescent="0.25">
      <c r="A51" s="82">
        <v>46637</v>
      </c>
      <c r="B51" s="41" t="str">
        <f>IFERROR(INDEX([1]GARANTIA!$B:$B,MATCH(A51,[1]GARANTIA!$C:$C,0)),"INSIRA N° SERIE")</f>
        <v>TESTE 5</v>
      </c>
      <c r="C51" s="33">
        <f>IFERROR(INDEX([1]GARANTIA!$J:$J,MATCH(A51,[1]GARANTIA!$C:$C,0)),"INSIRA N° SERIE")</f>
        <v>43951</v>
      </c>
      <c r="D51" s="33" t="str">
        <f>IFERROR(IF(INDEX([1]GARANTIA!$M:$M,MATCH(A51,[1]GARANTIA!$C:$C,0))&gt;=I51,"DENTRO DA GARANTIA","FORA DE GARANTIA"),"INSIRA N° SERIE")</f>
        <v>DENTRO DA GARANTIA</v>
      </c>
      <c r="E51" s="148"/>
      <c r="F51" s="109">
        <f>IFERROR(MAX(0,IF(I51-(INDEX([1]GARANTIA!$J:$J,MATCH(A51,[1]GARANTIA!$C:$C,0)))&gt;=0,I51-(INDEX([1]GARANTIA!$L:$L,MATCH(A51,[1]GARANTIA!$C:$C,0))),"INSIRA DATA CHAMADO")),"INSIRA N° SERIE")</f>
        <v>64</v>
      </c>
      <c r="G51" s="35">
        <v>20210210</v>
      </c>
      <c r="H51" s="35" t="str">
        <f t="shared" si="0"/>
        <v>FEV</v>
      </c>
      <c r="I51" s="36">
        <v>44240</v>
      </c>
      <c r="J51" s="37">
        <v>44240</v>
      </c>
      <c r="K51" s="39">
        <v>44240</v>
      </c>
      <c r="L51" s="42" t="s">
        <v>23</v>
      </c>
      <c r="M51" s="42" t="s">
        <v>8</v>
      </c>
      <c r="N51" s="42" t="s">
        <v>29</v>
      </c>
      <c r="O51" s="42" t="str">
        <f>IFERROR(INDEX([1]GARANTIA!$E:$E,MATCH(A51,[1]GARANTIA!$C:$C,0)),"INSIRA N° SERIE")</f>
        <v>MTI - 7.000GTS</v>
      </c>
      <c r="P51" s="60" t="s">
        <v>82</v>
      </c>
      <c r="Q51" s="43" t="s">
        <v>305</v>
      </c>
      <c r="R51" s="60" t="s">
        <v>246</v>
      </c>
      <c r="S51" s="44" t="s">
        <v>638</v>
      </c>
      <c r="T51" s="44" t="s">
        <v>143</v>
      </c>
      <c r="U51" s="45"/>
      <c r="V51" s="41" t="str">
        <f>IFERROR(INDEX([1]GARANTIA!$G:$G,MATCH(A51,[1]GARANTIA!$C:$C,0)),"INSIRA N° SERIE")</f>
        <v>WENSESLAU</v>
      </c>
      <c r="W51" s="41" t="str">
        <f>IFERROR(INDEX([1]GARANTIA!$H:$H,MATCH(A51,[1]GARANTIA!$C:$C,0)),"INSIRA N° SERIE")</f>
        <v>PR</v>
      </c>
      <c r="X51" s="41" t="str">
        <f>IFERROR(INDEX([1]GARANTIA!$F:$F,MATCH(A51,[1]GARANTIA!$C:$C,0)),"INSIRA N° SERIE")</f>
        <v>SUDESTE</v>
      </c>
      <c r="Y51" s="46">
        <f t="shared" si="1"/>
        <v>0</v>
      </c>
      <c r="Z51" s="47">
        <f t="shared" si="2"/>
        <v>0</v>
      </c>
      <c r="AA51" s="46">
        <f t="shared" si="4"/>
        <v>0</v>
      </c>
      <c r="AB51" s="46" t="str" cm="1">
        <f t="array" ref="AB51">IFERROR(_xlfn.IFS(L51="FINALIZADO PRESENCIAL",IF(AA51&gt;10,"FORA","DENTRO"),L51="FINALIZADO REMOTO",IF(AA51&gt;5,"FORA","DENTRO")),"-")</f>
        <v>DENTRO</v>
      </c>
      <c r="AC51" s="41" t="s">
        <v>1671</v>
      </c>
      <c r="AD51" s="41" t="s">
        <v>1671</v>
      </c>
      <c r="AE51" s="48" cm="1">
        <f t="array" ref="AE51">SUMPRODUCT(IFERROR(('[2]PEÇAS GARANTIA'!$A$3:$A$5993=G51)*('[2]PEÇAS GARANTIA'!$A$3:$A$5993&lt;&gt;"")*('[2]PEÇAS GARANTIA'!$R$3:$R$5993),0))</f>
        <v>0</v>
      </c>
      <c r="AF51" s="178">
        <v>0</v>
      </c>
    </row>
    <row r="52" spans="1:32" s="49" customFormat="1" ht="40.15" customHeight="1" x14ac:dyDescent="0.25">
      <c r="A52" s="82">
        <v>91210</v>
      </c>
      <c r="B52" s="41" t="str">
        <f>IFERROR(INDEX([1]GARANTIA!$B:$B,MATCH(A52,[1]GARANTIA!$C:$C,0)),"INSIRA N° SERIE")</f>
        <v>TESTE 145</v>
      </c>
      <c r="C52" s="33">
        <f>IFERROR(INDEX([1]GARANTIA!$J:$J,MATCH(A52,[1]GARANTIA!$C:$C,0)),"INSIRA N° SERIE")</f>
        <v>43738</v>
      </c>
      <c r="D52" s="33" t="str">
        <f>IFERROR(IF(INDEX([1]GARANTIA!$M:$M,MATCH(A52,[1]GARANTIA!$C:$C,0))&gt;=I52,"DENTRO DA GARANTIA","FORA DE GARANTIA"),"INSIRA N° SERIE")</f>
        <v>DENTRO DA GARANTIA</v>
      </c>
      <c r="E52" s="148"/>
      <c r="F52" s="109">
        <f>IFERROR(MAX(0,IF(I52-(INDEX([1]GARANTIA!$J:$J,MATCH(A52,[1]GARANTIA!$C:$C,0)))&gt;=0,I52-(INDEX([1]GARANTIA!$L:$L,MATCH(A52,[1]GARANTIA!$C:$C,0))),"INSIRA DATA CHAMADO")),"INSIRA N° SERIE")</f>
        <v>244</v>
      </c>
      <c r="G52" s="35">
        <v>20210211</v>
      </c>
      <c r="H52" s="35" t="str">
        <f t="shared" si="0"/>
        <v>FEV</v>
      </c>
      <c r="I52" s="36">
        <v>44242</v>
      </c>
      <c r="J52" s="37">
        <v>44242</v>
      </c>
      <c r="K52" s="39">
        <v>44249</v>
      </c>
      <c r="L52" s="42" t="s">
        <v>23</v>
      </c>
      <c r="M52" s="42" t="s">
        <v>8</v>
      </c>
      <c r="N52" s="42" t="s">
        <v>45</v>
      </c>
      <c r="O52" s="42" t="str">
        <f>IFERROR(INDEX([1]GARANTIA!$E:$E,MATCH(A52,[1]GARANTIA!$C:$C,0)),"INSIRA N° SERIE")</f>
        <v>MTI - 7.000GTS</v>
      </c>
      <c r="P52" s="60" t="s">
        <v>231</v>
      </c>
      <c r="Q52" s="43" t="s">
        <v>329</v>
      </c>
      <c r="R52" s="60" t="s">
        <v>83</v>
      </c>
      <c r="S52" s="44" t="s">
        <v>639</v>
      </c>
      <c r="T52" s="44" t="s">
        <v>641</v>
      </c>
      <c r="U52" s="45"/>
      <c r="V52" s="41" t="str">
        <f>IFERROR(INDEX([1]GARANTIA!$G:$G,MATCH(A52,[1]GARANTIA!$C:$C,0)),"INSIRA N° SERIE")</f>
        <v xml:space="preserve">SÃO VICENTE </v>
      </c>
      <c r="W52" s="41" t="str">
        <f>IFERROR(INDEX([1]GARANTIA!$H:$H,MATCH(A52,[1]GARANTIA!$C:$C,0)),"INSIRA N° SERIE")</f>
        <v>SP</v>
      </c>
      <c r="X52" s="41" t="str">
        <f>IFERROR(INDEX([1]GARANTIA!$F:$F,MATCH(A52,[1]GARANTIA!$C:$C,0)),"INSIRA N° SERIE")</f>
        <v>SUDESTE</v>
      </c>
      <c r="Y52" s="46">
        <f t="shared" si="1"/>
        <v>0</v>
      </c>
      <c r="Z52" s="47">
        <f t="shared" si="2"/>
        <v>7</v>
      </c>
      <c r="AA52" s="46">
        <f t="shared" si="4"/>
        <v>7</v>
      </c>
      <c r="AB52" s="46" t="str" cm="1">
        <f t="array" ref="AB52">IFERROR(_xlfn.IFS(L52="FINALIZADO PRESENCIAL",IF(AA52&gt;10,"FORA","DENTRO"),L52="FINALIZADO REMOTO",IF(AA52&gt;5,"FORA","DENTRO")),"-")</f>
        <v>FORA</v>
      </c>
      <c r="AC52" s="41" t="s">
        <v>1671</v>
      </c>
      <c r="AD52" s="41" t="s">
        <v>1671</v>
      </c>
      <c r="AE52" s="48" cm="1">
        <f t="array" ref="AE52">SUMPRODUCT(IFERROR(('[2]PEÇAS GARANTIA'!$A$3:$A$5993=G52)*('[2]PEÇAS GARANTIA'!$A$3:$A$5993&lt;&gt;"")*('[2]PEÇAS GARANTIA'!$R$3:$R$5993),0))</f>
        <v>90</v>
      </c>
      <c r="AF52" s="178">
        <v>0</v>
      </c>
    </row>
    <row r="53" spans="1:32" s="49" customFormat="1" ht="40.15" customHeight="1" x14ac:dyDescent="0.25">
      <c r="A53" s="82">
        <v>46637</v>
      </c>
      <c r="B53" s="41" t="str">
        <f>IFERROR(INDEX([1]GARANTIA!$B:$B,MATCH(A53,[1]GARANTIA!$C:$C,0)),"INSIRA N° SERIE")</f>
        <v>TESTE 5</v>
      </c>
      <c r="C53" s="33">
        <f>IFERROR(INDEX([1]GARANTIA!$J:$J,MATCH(A53,[1]GARANTIA!$C:$C,0)),"INSIRA N° SERIE")</f>
        <v>43951</v>
      </c>
      <c r="D53" s="33" t="str">
        <f>IFERROR(IF(INDEX([1]GARANTIA!$M:$M,MATCH(A53,[1]GARANTIA!$C:$C,0))&gt;=I53,"DENTRO DA GARANTIA","FORA DE GARANTIA"),"INSIRA N° SERIE")</f>
        <v>DENTRO DA GARANTIA</v>
      </c>
      <c r="E53" s="148"/>
      <c r="F53" s="109">
        <f>IFERROR(MAX(0,IF(I53-(INDEX([1]GARANTIA!$J:$J,MATCH(A53,[1]GARANTIA!$C:$C,0)))&gt;=0,I53-(INDEX([1]GARANTIA!$L:$L,MATCH(A53,[1]GARANTIA!$C:$C,0))),"INSIRA DATA CHAMADO")),"INSIRA N° SERIE")</f>
        <v>67</v>
      </c>
      <c r="G53" s="35">
        <v>20210212</v>
      </c>
      <c r="H53" s="35" t="str">
        <f t="shared" si="0"/>
        <v>FEV</v>
      </c>
      <c r="I53" s="36">
        <v>44243</v>
      </c>
      <c r="J53" s="37">
        <v>44243</v>
      </c>
      <c r="K53" s="39">
        <v>44246</v>
      </c>
      <c r="L53" s="42" t="s">
        <v>23</v>
      </c>
      <c r="M53" s="42" t="s">
        <v>8</v>
      </c>
      <c r="N53" s="42" t="s">
        <v>32</v>
      </c>
      <c r="O53" s="42" t="str">
        <f>IFERROR(INDEX([1]GARANTIA!$E:$E,MATCH(A53,[1]GARANTIA!$C:$C,0)),"INSIRA N° SERIE")</f>
        <v>MTI - 7.000GTS</v>
      </c>
      <c r="P53" s="60" t="s">
        <v>231</v>
      </c>
      <c r="Q53" s="43" t="s">
        <v>329</v>
      </c>
      <c r="R53" s="60" t="s">
        <v>83</v>
      </c>
      <c r="S53" s="44" t="s">
        <v>638</v>
      </c>
      <c r="T53" s="44" t="s">
        <v>641</v>
      </c>
      <c r="U53" s="45"/>
      <c r="V53" s="41" t="str">
        <f>IFERROR(INDEX([1]GARANTIA!$G:$G,MATCH(A53,[1]GARANTIA!$C:$C,0)),"INSIRA N° SERIE")</f>
        <v>WENSESLAU</v>
      </c>
      <c r="W53" s="41" t="str">
        <f>IFERROR(INDEX([1]GARANTIA!$H:$H,MATCH(A53,[1]GARANTIA!$C:$C,0)),"INSIRA N° SERIE")</f>
        <v>PR</v>
      </c>
      <c r="X53" s="41" t="str">
        <f>IFERROR(INDEX([1]GARANTIA!$F:$F,MATCH(A53,[1]GARANTIA!$C:$C,0)),"INSIRA N° SERIE")</f>
        <v>SUDESTE</v>
      </c>
      <c r="Y53" s="46">
        <f t="shared" si="1"/>
        <v>0</v>
      </c>
      <c r="Z53" s="47">
        <f t="shared" si="2"/>
        <v>3</v>
      </c>
      <c r="AA53" s="46">
        <f t="shared" si="4"/>
        <v>3</v>
      </c>
      <c r="AB53" s="46" t="str" cm="1">
        <f t="array" ref="AB53">IFERROR(_xlfn.IFS(L53="FINALIZADO PRESENCIAL",IF(AA53&gt;10,"FORA","DENTRO"),L53="FINALIZADO REMOTO",IF(AA53&gt;5,"FORA","DENTRO")),"-")</f>
        <v>DENTRO</v>
      </c>
      <c r="AC53" s="41" t="s">
        <v>1671</v>
      </c>
      <c r="AD53" s="41" t="s">
        <v>1671</v>
      </c>
      <c r="AE53" s="48" cm="1">
        <f t="array" ref="AE53">SUMPRODUCT(IFERROR(('[2]PEÇAS GARANTIA'!$A$3:$A$5993=G53)*('[2]PEÇAS GARANTIA'!$A$3:$A$5993&lt;&gt;"")*('[2]PEÇAS GARANTIA'!$R$3:$R$5993),0))</f>
        <v>0</v>
      </c>
      <c r="AF53" s="178">
        <v>0</v>
      </c>
    </row>
    <row r="54" spans="1:32" s="49" customFormat="1" ht="40.15" customHeight="1" x14ac:dyDescent="0.25">
      <c r="A54" s="82">
        <v>31524</v>
      </c>
      <c r="B54" s="41" t="str">
        <f>IFERROR(INDEX([1]GARANTIA!$B:$B,MATCH(A54,[1]GARANTIA!$C:$C,0)),"INSIRA N° SERIE")</f>
        <v>TESTE 50</v>
      </c>
      <c r="C54" s="33">
        <f>IFERROR(INDEX([1]GARANTIA!$J:$J,MATCH(A54,[1]GARANTIA!$C:$C,0)),"INSIRA N° SERIE")</f>
        <v>43675</v>
      </c>
      <c r="D54" s="33" t="str">
        <f>IFERROR(IF(INDEX([1]GARANTIA!$M:$M,MATCH(A54,[1]GARANTIA!$C:$C,0))&gt;=I54,"DENTRO DA GARANTIA","FORA DE GARANTIA"),"INSIRA N° SERIE")</f>
        <v>DENTRO DA GARANTIA</v>
      </c>
      <c r="E54" s="148"/>
      <c r="F54" s="109">
        <f>IFERROR(MAX(0,IF(I54-(INDEX([1]GARANTIA!$J:$J,MATCH(A54,[1]GARANTIA!$C:$C,0)))&gt;=0,I54-(INDEX([1]GARANTIA!$L:$L,MATCH(A54,[1]GARANTIA!$C:$C,0))),"INSIRA DATA CHAMADO")),"INSIRA N° SERIE")</f>
        <v>347</v>
      </c>
      <c r="G54" s="35">
        <v>20210213</v>
      </c>
      <c r="H54" s="35" t="str">
        <f t="shared" si="0"/>
        <v>FEV</v>
      </c>
      <c r="I54" s="36">
        <v>44243</v>
      </c>
      <c r="J54" s="37">
        <v>44243</v>
      </c>
      <c r="K54" s="39">
        <v>44246</v>
      </c>
      <c r="L54" s="42" t="s">
        <v>23</v>
      </c>
      <c r="M54" s="42" t="s">
        <v>8</v>
      </c>
      <c r="N54" s="42" t="s">
        <v>41</v>
      </c>
      <c r="O54" s="42" t="str">
        <f>IFERROR(INDEX([1]GARANTIA!$E:$E,MATCH(A54,[1]GARANTIA!$C:$C,0)),"INSIRA N° SERIE")</f>
        <v>MTI - 4.000GTS</v>
      </c>
      <c r="P54" s="60" t="s">
        <v>244</v>
      </c>
      <c r="Q54" s="43" t="s">
        <v>335</v>
      </c>
      <c r="R54" s="60" t="s">
        <v>245</v>
      </c>
      <c r="S54" s="44" t="s">
        <v>639</v>
      </c>
      <c r="T54" s="44" t="s">
        <v>142</v>
      </c>
      <c r="U54" s="45"/>
      <c r="V54" s="41" t="str">
        <f>IFERROR(INDEX([1]GARANTIA!$G:$G,MATCH(A54,[1]GARANTIA!$C:$C,0)),"INSIRA N° SERIE")</f>
        <v>SANTA FÉ DO SUL</v>
      </c>
      <c r="W54" s="41" t="str">
        <f>IFERROR(INDEX([1]GARANTIA!$H:$H,MATCH(A54,[1]GARANTIA!$C:$C,0)),"INSIRA N° SERIE")</f>
        <v>SP</v>
      </c>
      <c r="X54" s="41" t="str">
        <f>IFERROR(INDEX([1]GARANTIA!$F:$F,MATCH(A54,[1]GARANTIA!$C:$C,0)),"INSIRA N° SERIE")</f>
        <v>SUDESTE</v>
      </c>
      <c r="Y54" s="46">
        <f t="shared" si="1"/>
        <v>0</v>
      </c>
      <c r="Z54" s="47">
        <f t="shared" si="2"/>
        <v>3</v>
      </c>
      <c r="AA54" s="46">
        <f t="shared" si="4"/>
        <v>3</v>
      </c>
      <c r="AB54" s="46" t="str" cm="1">
        <f t="array" ref="AB54">IFERROR(_xlfn.IFS(L54="FINALIZADO PRESENCIAL",IF(AA54&gt;10,"FORA","DENTRO"),L54="FINALIZADO REMOTO",IF(AA54&gt;5,"FORA","DENTRO")),"-")</f>
        <v>DENTRO</v>
      </c>
      <c r="AC54" s="41" t="s">
        <v>1671</v>
      </c>
      <c r="AD54" s="41" t="s">
        <v>1671</v>
      </c>
      <c r="AE54" s="48" cm="1">
        <f t="array" ref="AE54">SUMPRODUCT(IFERROR(('[2]PEÇAS GARANTIA'!$A$3:$A$5993=G54)*('[2]PEÇAS GARANTIA'!$A$3:$A$5993&lt;&gt;"")*('[2]PEÇAS GARANTIA'!$R$3:$R$5993),0))</f>
        <v>0</v>
      </c>
      <c r="AF54" s="178">
        <v>0</v>
      </c>
    </row>
    <row r="55" spans="1:32" s="49" customFormat="1" ht="40.15" customHeight="1" x14ac:dyDescent="0.25">
      <c r="A55" s="82">
        <v>57531</v>
      </c>
      <c r="B55" s="41" t="str">
        <f>IFERROR(INDEX([1]GARANTIA!$B:$B,MATCH(A55,[1]GARANTIA!$C:$C,0)),"INSIRA N° SERIE")</f>
        <v>TESTE 244</v>
      </c>
      <c r="C55" s="33">
        <f>IFERROR(INDEX([1]GARANTIA!$J:$J,MATCH(A55,[1]GARANTIA!$C:$C,0)),"INSIRA N° SERIE")</f>
        <v>43980</v>
      </c>
      <c r="D55" s="33" t="str">
        <f>IFERROR(IF(INDEX([1]GARANTIA!$M:$M,MATCH(A55,[1]GARANTIA!$C:$C,0))&gt;=I55,"DENTRO DA GARANTIA","FORA DE GARANTIA"),"INSIRA N° SERIE")</f>
        <v>DENTRO DA GARANTIA</v>
      </c>
      <c r="E55" s="148"/>
      <c r="F55" s="109">
        <f>IFERROR(MAX(0,IF(I55-(INDEX([1]GARANTIA!$J:$J,MATCH(A55,[1]GARANTIA!$C:$C,0)))&gt;=0,I55-(INDEX([1]GARANTIA!$L:$L,MATCH(A55,[1]GARANTIA!$C:$C,0))),"INSIRA DATA CHAMADO")),"INSIRA N° SERIE")</f>
        <v>210</v>
      </c>
      <c r="G55" s="35">
        <v>20210214</v>
      </c>
      <c r="H55" s="35" t="str">
        <f t="shared" si="0"/>
        <v>FEV</v>
      </c>
      <c r="I55" s="36">
        <v>44245</v>
      </c>
      <c r="J55" s="37">
        <v>44245</v>
      </c>
      <c r="K55" s="39">
        <v>44246</v>
      </c>
      <c r="L55" s="42" t="s">
        <v>23</v>
      </c>
      <c r="M55" s="42" t="s">
        <v>8</v>
      </c>
      <c r="N55" s="42" t="s">
        <v>31</v>
      </c>
      <c r="O55" s="42" t="str">
        <f>IFERROR(INDEX([1]GARANTIA!$E:$E,MATCH(A55,[1]GARANTIA!$C:$C,0)),"INSIRA N° SERIE")</f>
        <v>MTI - 2.500GTS</v>
      </c>
      <c r="P55" s="60" t="s">
        <v>242</v>
      </c>
      <c r="Q55" s="43" t="s">
        <v>326</v>
      </c>
      <c r="R55" s="60" t="s">
        <v>243</v>
      </c>
      <c r="S55" s="44" t="s">
        <v>325</v>
      </c>
      <c r="T55" s="44" t="s">
        <v>640</v>
      </c>
      <c r="U55" s="45"/>
      <c r="V55" s="41" t="str">
        <f>IFERROR(INDEX([1]GARANTIA!$G:$G,MATCH(A55,[1]GARANTIA!$C:$C,0)),"INSIRA N° SERIE")</f>
        <v xml:space="preserve">BRASILIA </v>
      </c>
      <c r="W55" s="41" t="str">
        <f>IFERROR(INDEX([1]GARANTIA!$H:$H,MATCH(A55,[1]GARANTIA!$C:$C,0)),"INSIRA N° SERIE")</f>
        <v>DF</v>
      </c>
      <c r="X55" s="41" t="str">
        <f>IFERROR(INDEX([1]GARANTIA!$F:$F,MATCH(A55,[1]GARANTIA!$C:$C,0)),"INSIRA N° SERIE")</f>
        <v>CENTROESTE</v>
      </c>
      <c r="Y55" s="46">
        <f t="shared" si="1"/>
        <v>0</v>
      </c>
      <c r="Z55" s="47">
        <f t="shared" si="2"/>
        <v>1</v>
      </c>
      <c r="AA55" s="46">
        <f t="shared" si="4"/>
        <v>1</v>
      </c>
      <c r="AB55" s="46" t="str" cm="1">
        <f t="array" ref="AB55">IFERROR(_xlfn.IFS(L55="FINALIZADO PRESENCIAL",IF(AA55&gt;10,"FORA","DENTRO"),L55="FINALIZADO REMOTO",IF(AA55&gt;5,"FORA","DENTRO")),"-")</f>
        <v>DENTRO</v>
      </c>
      <c r="AC55" s="41" t="s">
        <v>1671</v>
      </c>
      <c r="AD55" s="41" t="s">
        <v>1671</v>
      </c>
      <c r="AE55" s="48" cm="1">
        <f t="array" ref="AE55">SUMPRODUCT(IFERROR(('[2]PEÇAS GARANTIA'!$A$3:$A$5993=G55)*('[2]PEÇAS GARANTIA'!$A$3:$A$5993&lt;&gt;"")*('[2]PEÇAS GARANTIA'!$R$3:$R$5993),0))</f>
        <v>0</v>
      </c>
      <c r="AF55" s="178">
        <v>0</v>
      </c>
    </row>
    <row r="56" spans="1:32" s="49" customFormat="1" ht="40.15" customHeight="1" x14ac:dyDescent="0.25">
      <c r="A56" s="82">
        <v>57046</v>
      </c>
      <c r="B56" s="41" t="str">
        <f>IFERROR(INDEX([1]GARANTIA!$B:$B,MATCH(A56,[1]GARANTIA!$C:$C,0)),"INSIRA N° SERIE")</f>
        <v>TESTE 224</v>
      </c>
      <c r="C56" s="33">
        <f>IFERROR(INDEX([1]GARANTIA!$J:$J,MATCH(A56,[1]GARANTIA!$C:$C,0)),"INSIRA N° SERIE")</f>
        <v>43936</v>
      </c>
      <c r="D56" s="33" t="str">
        <f>IFERROR(IF(INDEX([1]GARANTIA!$M:$M,MATCH(A56,[1]GARANTIA!$C:$C,0))&gt;=I56,"DENTRO DA GARANTIA","FORA DE GARANTIA"),"INSIRA N° SERIE")</f>
        <v>DENTRO DA GARANTIA</v>
      </c>
      <c r="E56" s="148"/>
      <c r="F56" s="109">
        <f>IFERROR(MAX(0,IF(I56-(INDEX([1]GARANTIA!$J:$J,MATCH(A56,[1]GARANTIA!$C:$C,0)))&gt;=0,I56-(INDEX([1]GARANTIA!$L:$L,MATCH(A56,[1]GARANTIA!$C:$C,0))),"INSIRA DATA CHAMADO")),"INSIRA N° SERIE")</f>
        <v>133</v>
      </c>
      <c r="G56" s="35">
        <v>20210215</v>
      </c>
      <c r="H56" s="35" t="str">
        <f t="shared" si="0"/>
        <v>FEV</v>
      </c>
      <c r="I56" s="36">
        <v>44245</v>
      </c>
      <c r="J56" s="37">
        <v>44245</v>
      </c>
      <c r="K56" s="39">
        <v>44253</v>
      </c>
      <c r="L56" s="42" t="s">
        <v>11</v>
      </c>
      <c r="M56" s="42" t="s">
        <v>8</v>
      </c>
      <c r="N56" s="42" t="s">
        <v>50</v>
      </c>
      <c r="O56" s="42" t="str">
        <f>IFERROR(INDEX([1]GARANTIA!$E:$E,MATCH(A56,[1]GARANTIA!$C:$C,0)),"INSIRA N° SERIE")</f>
        <v>EMS - 1</v>
      </c>
      <c r="P56" s="60" t="s">
        <v>213</v>
      </c>
      <c r="Q56" s="43" t="s">
        <v>326</v>
      </c>
      <c r="R56" s="60" t="s">
        <v>107</v>
      </c>
      <c r="S56" s="44" t="s">
        <v>325</v>
      </c>
      <c r="T56" s="44" t="s">
        <v>640</v>
      </c>
      <c r="U56" s="45"/>
      <c r="V56" s="41" t="str">
        <f>IFERROR(INDEX([1]GARANTIA!$G:$G,MATCH(A56,[1]GARANTIA!$C:$C,0)),"INSIRA N° SERIE")</f>
        <v xml:space="preserve">ITAJAI </v>
      </c>
      <c r="W56" s="41" t="str">
        <f>IFERROR(INDEX([1]GARANTIA!$H:$H,MATCH(A56,[1]GARANTIA!$C:$C,0)),"INSIRA N° SERIE")</f>
        <v>SC</v>
      </c>
      <c r="X56" s="41" t="str">
        <f>IFERROR(INDEX([1]GARANTIA!$F:$F,MATCH(A56,[1]GARANTIA!$C:$C,0)),"INSIRA N° SERIE")</f>
        <v>SUL</v>
      </c>
      <c r="Y56" s="46">
        <f t="shared" si="1"/>
        <v>0</v>
      </c>
      <c r="Z56" s="47">
        <f t="shared" si="2"/>
        <v>8</v>
      </c>
      <c r="AA56" s="46">
        <f t="shared" si="4"/>
        <v>8</v>
      </c>
      <c r="AB56" s="46" t="str" cm="1">
        <f t="array" ref="AB56">IFERROR(_xlfn.IFS(L56="FINALIZADO PRESENCIAL",IF(AA56&gt;10,"FORA","DENTRO"),L56="FINALIZADO REMOTO",IF(AA56&gt;5,"FORA","DENTRO")),"-")</f>
        <v>DENTRO</v>
      </c>
      <c r="AC56" s="41" t="s">
        <v>1671</v>
      </c>
      <c r="AD56" s="41" t="s">
        <v>1671</v>
      </c>
      <c r="AE56" s="48" cm="1">
        <f t="array" ref="AE56">SUMPRODUCT(IFERROR(('[2]PEÇAS GARANTIA'!$A$3:$A$5993=G56)*('[2]PEÇAS GARANTIA'!$A$3:$A$5993&lt;&gt;"")*('[2]PEÇAS GARANTIA'!$R$3:$R$5993),0))</f>
        <v>0</v>
      </c>
      <c r="AF56" s="178">
        <v>1552.77</v>
      </c>
    </row>
    <row r="57" spans="1:32" s="49" customFormat="1" ht="40.15" customHeight="1" x14ac:dyDescent="0.2">
      <c r="A57" s="82">
        <v>67301</v>
      </c>
      <c r="B57" s="41" t="str">
        <f>IFERROR(INDEX([1]GARANTIA!$B:$B,MATCH(A57,[1]GARANTIA!$C:$C,0)),"INSIRA N° SERIE")</f>
        <v>TESTE 59</v>
      </c>
      <c r="C57" s="33">
        <f>IFERROR(INDEX([1]GARANTIA!$J:$J,MATCH(A57,[1]GARANTIA!$C:$C,0)),"INSIRA N° SERIE")</f>
        <v>44051</v>
      </c>
      <c r="D57" s="33" t="str">
        <f>IFERROR(IF(INDEX([1]GARANTIA!$M:$M,MATCH(A57,[1]GARANTIA!$C:$C,0))&gt;=I57,"DENTRO DA GARANTIA","FORA DE GARANTIA"),"INSIRA N° SERIE")</f>
        <v>DENTRO DA GARANTIA</v>
      </c>
      <c r="E57" s="148"/>
      <c r="F57" s="109">
        <f>IFERROR(MAX(0,IF(I57-(INDEX([1]GARANTIA!$J:$J,MATCH(A57,[1]GARANTIA!$C:$C,0)))&gt;=0,I57-(INDEX([1]GARANTIA!$L:$L,MATCH(A57,[1]GARANTIA!$C:$C,0))),"INSIRA DATA CHAMADO")),"INSIRA N° SERIE")</f>
        <v>13</v>
      </c>
      <c r="G57" s="35">
        <v>20210216</v>
      </c>
      <c r="H57" s="35" t="str">
        <f t="shared" si="0"/>
        <v>FEV</v>
      </c>
      <c r="I57" s="36">
        <v>44245</v>
      </c>
      <c r="J57" s="37">
        <v>44245</v>
      </c>
      <c r="K57" s="39">
        <v>44252</v>
      </c>
      <c r="L57" s="42" t="s">
        <v>11</v>
      </c>
      <c r="M57" s="42" t="s">
        <v>8</v>
      </c>
      <c r="N57" s="42" t="s">
        <v>40</v>
      </c>
      <c r="O57" s="42" t="str">
        <f>IFERROR(INDEX([1]GARANTIA!$E:$E,MATCH(A57,[1]GARANTIA!$C:$C,0)),"INSIRA N° SERIE")</f>
        <v>MTI - 4.000GTS</v>
      </c>
      <c r="P57" s="61" t="s">
        <v>241</v>
      </c>
      <c r="Q57" s="43" t="s">
        <v>324</v>
      </c>
      <c r="R57" s="60" t="s">
        <v>84</v>
      </c>
      <c r="S57" s="44" t="s">
        <v>101</v>
      </c>
      <c r="T57" s="44" t="s">
        <v>306</v>
      </c>
      <c r="U57" s="45"/>
      <c r="V57" s="41" t="str">
        <f>IFERROR(INDEX([1]GARANTIA!$G:$G,MATCH(A57,[1]GARANTIA!$C:$C,0)),"INSIRA N° SERIE")</f>
        <v>GOVERNADOR VALADARES</v>
      </c>
      <c r="W57" s="41" t="str">
        <f>IFERROR(INDEX([1]GARANTIA!$H:$H,MATCH(A57,[1]GARANTIA!$C:$C,0)),"INSIRA N° SERIE")</f>
        <v>MG</v>
      </c>
      <c r="X57" s="41" t="str">
        <f>IFERROR(INDEX([1]GARANTIA!$F:$F,MATCH(A57,[1]GARANTIA!$C:$C,0)),"INSIRA N° SERIE")</f>
        <v>SUDESTE</v>
      </c>
      <c r="Y57" s="46">
        <f t="shared" si="1"/>
        <v>0</v>
      </c>
      <c r="Z57" s="47">
        <f t="shared" si="2"/>
        <v>7</v>
      </c>
      <c r="AA57" s="46">
        <f t="shared" si="4"/>
        <v>7</v>
      </c>
      <c r="AB57" s="46" t="str" cm="1">
        <f t="array" ref="AB57">IFERROR(_xlfn.IFS(L57="FINALIZADO PRESENCIAL",IF(AA57&gt;10,"FORA","DENTRO"),L57="FINALIZADO REMOTO",IF(AA57&gt;5,"FORA","DENTRO")),"-")</f>
        <v>DENTRO</v>
      </c>
      <c r="AC57" s="41" t="s">
        <v>1671</v>
      </c>
      <c r="AD57" s="41" t="s">
        <v>1671</v>
      </c>
      <c r="AE57" s="48" cm="1">
        <f t="array" ref="AE57">SUMPRODUCT(IFERROR(('[2]PEÇAS GARANTIA'!$A$3:$A$5993=G57)*('[2]PEÇAS GARANTIA'!$A$3:$A$5993&lt;&gt;"")*('[2]PEÇAS GARANTIA'!$R$3:$R$5993),0))</f>
        <v>0</v>
      </c>
      <c r="AF57" s="178">
        <v>4668.54</v>
      </c>
    </row>
    <row r="58" spans="1:32" s="49" customFormat="1" ht="40.15" customHeight="1" x14ac:dyDescent="0.25">
      <c r="A58" s="82">
        <v>82650</v>
      </c>
      <c r="B58" s="41" t="str">
        <f>IFERROR(INDEX([1]GARANTIA!$B:$B,MATCH(A58,[1]GARANTIA!$C:$C,0)),"INSIRA N° SERIE")</f>
        <v>TESTE 148</v>
      </c>
      <c r="C58" s="33">
        <f>IFERROR(INDEX([1]GARANTIA!$J:$J,MATCH(A58,[1]GARANTIA!$C:$C,0)),"INSIRA N° SERIE")</f>
        <v>44106</v>
      </c>
      <c r="D58" s="33" t="str">
        <f>IFERROR(IF(INDEX([1]GARANTIA!$M:$M,MATCH(A58,[1]GARANTIA!$C:$C,0))&gt;=I58,"DENTRO DA GARANTIA","FORA DE GARANTIA"),"INSIRA N° SERIE")</f>
        <v>DENTRO DA GARANTIA</v>
      </c>
      <c r="E58" s="148"/>
      <c r="F58" s="109">
        <f>IFERROR(MAX(0,IF(I58-(INDEX([1]GARANTIA!$J:$J,MATCH(A58,[1]GARANTIA!$C:$C,0)))&gt;=0,I58-(INDEX([1]GARANTIA!$L:$L,MATCH(A58,[1]GARANTIA!$C:$C,0))),"INSIRA DATA CHAMADO")),"INSIRA N° SERIE")</f>
        <v>1</v>
      </c>
      <c r="G58" s="35">
        <v>20210320</v>
      </c>
      <c r="H58" s="35" t="str">
        <f t="shared" si="0"/>
        <v>FEV</v>
      </c>
      <c r="I58" s="36">
        <v>44245</v>
      </c>
      <c r="J58" s="37">
        <v>44273</v>
      </c>
      <c r="K58" s="39">
        <v>44281</v>
      </c>
      <c r="L58" s="42" t="s">
        <v>11</v>
      </c>
      <c r="M58" s="42" t="s">
        <v>8</v>
      </c>
      <c r="N58" s="42" t="s">
        <v>43</v>
      </c>
      <c r="O58" s="42" t="str">
        <f>IFERROR(INDEX([1]GARANTIA!$E:$E,MATCH(A58,[1]GARANTIA!$C:$C,0)),"INSIRA N° SERIE")</f>
        <v>MTI - 12.000GTS</v>
      </c>
      <c r="P58" s="60" t="s">
        <v>278</v>
      </c>
      <c r="Q58" s="43" t="s">
        <v>324</v>
      </c>
      <c r="R58" s="60" t="s">
        <v>126</v>
      </c>
      <c r="S58" s="44" t="s">
        <v>101</v>
      </c>
      <c r="T58" s="44" t="s">
        <v>306</v>
      </c>
      <c r="U58" s="45"/>
      <c r="V58" s="41" t="str">
        <f>IFERROR(INDEX([1]GARANTIA!$G:$G,MATCH(A58,[1]GARANTIA!$C:$C,0)),"INSIRA N° SERIE")</f>
        <v>NOVO AIRÃO</v>
      </c>
      <c r="W58" s="41" t="str">
        <f>IFERROR(INDEX([1]GARANTIA!$H:$H,MATCH(A58,[1]GARANTIA!$C:$C,0)),"INSIRA N° SERIE")</f>
        <v>AM</v>
      </c>
      <c r="X58" s="41" t="str">
        <f>IFERROR(INDEX([1]GARANTIA!$F:$F,MATCH(A58,[1]GARANTIA!$C:$C,0)),"INSIRA N° SERIE")</f>
        <v>NORTE</v>
      </c>
      <c r="Y58" s="74">
        <f t="shared" si="1"/>
        <v>28</v>
      </c>
      <c r="Z58" s="75">
        <f t="shared" si="2"/>
        <v>8</v>
      </c>
      <c r="AA58" s="74">
        <f>IF(Z58="NÃO FINALIZADO","",Z58+Y58)</f>
        <v>36</v>
      </c>
      <c r="AB58" s="46" t="str" cm="1">
        <f t="array" ref="AB58">IFERROR(_xlfn.IFS(L58="FINALIZADO PRESENCIAL",IF(AA58&gt;10,"FORA","DENTRO"),L58="FINALIZADO REMOTO",IF(AA58&gt;5,"FORA","DENTRO")),"-")</f>
        <v>FORA</v>
      </c>
      <c r="AC58" s="41" t="s">
        <v>1671</v>
      </c>
      <c r="AD58" s="41" t="s">
        <v>1671</v>
      </c>
      <c r="AE58" s="48" cm="1">
        <f t="array" ref="AE58">SUMPRODUCT(IFERROR(('[2]PEÇAS GARANTIA'!$A$3:$A$5993=G58)*('[2]PEÇAS GARANTIA'!$A$3:$A$5993&lt;&gt;"")*('[2]PEÇAS GARANTIA'!$R$3:$R$5993),0))</f>
        <v>19972.703800000003</v>
      </c>
      <c r="AF58" s="178">
        <v>7387.6299999999992</v>
      </c>
    </row>
    <row r="59" spans="1:32" s="49" customFormat="1" ht="40.15" customHeight="1" x14ac:dyDescent="0.25">
      <c r="A59" s="82">
        <v>25628</v>
      </c>
      <c r="B59" s="41" t="str">
        <f>IFERROR(INDEX([1]GARANTIA!$B:$B,MATCH(A59,[1]GARANTIA!$C:$C,0)),"INSIRA N° SERIE")</f>
        <v>TESTE 70</v>
      </c>
      <c r="C59" s="33">
        <f>IFERROR(INDEX([1]GARANTIA!$J:$J,MATCH(A59,[1]GARANTIA!$C:$C,0)),"INSIRA N° SERIE")</f>
        <v>44043</v>
      </c>
      <c r="D59" s="33" t="str">
        <f>IFERROR(IF(INDEX([1]GARANTIA!$M:$M,MATCH(A59,[1]GARANTIA!$C:$C,0))&gt;=I59,"DENTRO DA GARANTIA","FORA DE GARANTIA"),"INSIRA N° SERIE")</f>
        <v>DENTRO DA GARANTIA</v>
      </c>
      <c r="E59" s="148"/>
      <c r="F59" s="109">
        <f>IFERROR(MAX(0,IF(I59-(INDEX([1]GARANTIA!$J:$J,MATCH(A59,[1]GARANTIA!$C:$C,0)))&gt;=0,I59-(INDEX([1]GARANTIA!$L:$L,MATCH(A59,[1]GARANTIA!$C:$C,0))),"INSIRA DATA CHAMADO")),"INSIRA N° SERIE")</f>
        <v>73</v>
      </c>
      <c r="G59" s="35">
        <v>20210217</v>
      </c>
      <c r="H59" s="35" t="str">
        <f t="shared" si="0"/>
        <v>FEV</v>
      </c>
      <c r="I59" s="36">
        <v>44249</v>
      </c>
      <c r="J59" s="37">
        <v>44250</v>
      </c>
      <c r="K59" s="39">
        <v>44250</v>
      </c>
      <c r="L59" s="42" t="s">
        <v>23</v>
      </c>
      <c r="M59" s="42" t="s">
        <v>8</v>
      </c>
      <c r="N59" s="42" t="s">
        <v>75</v>
      </c>
      <c r="O59" s="42" t="str">
        <f>IFERROR(INDEX([1]GARANTIA!$E:$E,MATCH(A59,[1]GARANTIA!$C:$C,0)),"INSIRA N° SERIE")</f>
        <v>MTI - 1.000GTS</v>
      </c>
      <c r="P59" s="60" t="s">
        <v>240</v>
      </c>
      <c r="Q59" s="43" t="s">
        <v>85</v>
      </c>
      <c r="R59" s="60" t="s">
        <v>86</v>
      </c>
      <c r="S59" s="44" t="s">
        <v>102</v>
      </c>
      <c r="T59" s="44" t="s">
        <v>141</v>
      </c>
      <c r="U59" s="45"/>
      <c r="V59" s="41" t="str">
        <f>IFERROR(INDEX([1]GARANTIA!$G:$G,MATCH(A59,[1]GARANTIA!$C:$C,0)),"INSIRA N° SERIE")</f>
        <v>ARAPUTANGA</v>
      </c>
      <c r="W59" s="41" t="str">
        <f>IFERROR(INDEX([1]GARANTIA!$H:$H,MATCH(A59,[1]GARANTIA!$C:$C,0)),"INSIRA N° SERIE")</f>
        <v>MT</v>
      </c>
      <c r="X59" s="41" t="str">
        <f>IFERROR(INDEX([1]GARANTIA!$F:$F,MATCH(A59,[1]GARANTIA!$C:$C,0)),"INSIRA N° SERIE")</f>
        <v>CENTROESTE</v>
      </c>
      <c r="Y59" s="46">
        <f t="shared" si="1"/>
        <v>1</v>
      </c>
      <c r="Z59" s="47">
        <f t="shared" si="2"/>
        <v>0</v>
      </c>
      <c r="AA59" s="46">
        <f t="shared" si="4"/>
        <v>1</v>
      </c>
      <c r="AB59" s="46" t="str" cm="1">
        <f t="array" ref="AB59">IFERROR(_xlfn.IFS(L59="FINALIZADO PRESENCIAL",IF(AA59&gt;10,"FORA","DENTRO"),L59="FINALIZADO REMOTO",IF(AA59&gt;5,"FORA","DENTRO")),"-")</f>
        <v>DENTRO</v>
      </c>
      <c r="AC59" s="41" t="s">
        <v>1671</v>
      </c>
      <c r="AD59" s="41" t="s">
        <v>1671</v>
      </c>
      <c r="AE59" s="48" cm="1">
        <f t="array" ref="AE59">SUMPRODUCT(IFERROR(('[2]PEÇAS GARANTIA'!$A$3:$A$5993=G59)*('[2]PEÇAS GARANTIA'!$A$3:$A$5993&lt;&gt;"")*('[2]PEÇAS GARANTIA'!$R$3:$R$5993),0))</f>
        <v>0</v>
      </c>
      <c r="AF59" s="178">
        <v>0</v>
      </c>
    </row>
    <row r="60" spans="1:32" s="49" customFormat="1" ht="40.15" customHeight="1" x14ac:dyDescent="0.25">
      <c r="A60" s="82">
        <v>3002641</v>
      </c>
      <c r="B60" s="41" t="str">
        <f>IFERROR(INDEX([1]GARANTIA!$B:$B,MATCH(A60,[1]GARANTIA!$C:$C,0)),"INSIRA N° SERIE")</f>
        <v>TESTE 167</v>
      </c>
      <c r="C60" s="33">
        <f>IFERROR(INDEX([1]GARANTIA!$J:$J,MATCH(A60,[1]GARANTIA!$C:$C,0)),"INSIRA N° SERIE")</f>
        <v>43524</v>
      </c>
      <c r="D60" s="33" t="str">
        <f>IFERROR(IF(INDEX([1]GARANTIA!$M:$M,MATCH(A60,[1]GARANTIA!$C:$C,0))&gt;=I60,"DENTRO DA GARANTIA","FORA DE GARANTIA"),"INSIRA N° SERIE")</f>
        <v>DENTRO DA GARANTIA</v>
      </c>
      <c r="E60" s="148"/>
      <c r="F60" s="109">
        <f>IFERROR(MAX(0,IF(I60-(INDEX([1]GARANTIA!$J:$J,MATCH(A60,[1]GARANTIA!$C:$C,0)))&gt;=0,I60-(INDEX([1]GARANTIA!$L:$L,MATCH(A60,[1]GARANTIA!$C:$C,0))),"INSIRA DATA CHAMADO")),"INSIRA N° SERIE")</f>
        <v>40</v>
      </c>
      <c r="G60" s="35">
        <v>20210218</v>
      </c>
      <c r="H60" s="35" t="str">
        <f t="shared" si="0"/>
        <v>FEV</v>
      </c>
      <c r="I60" s="36">
        <v>44251</v>
      </c>
      <c r="J60" s="37">
        <v>44251</v>
      </c>
      <c r="K60" s="39">
        <v>44253</v>
      </c>
      <c r="L60" s="42" t="s">
        <v>23</v>
      </c>
      <c r="M60" s="42" t="s">
        <v>8</v>
      </c>
      <c r="N60" s="42" t="s">
        <v>28</v>
      </c>
      <c r="O60" s="42" t="str">
        <f>IFERROR(INDEX([1]GARANTIA!$E:$E,MATCH(A60,[1]GARANTIA!$C:$C,0)),"INSIRA N° SERIE")</f>
        <v>MTI - 7.000GTS</v>
      </c>
      <c r="P60" s="60" t="s">
        <v>239</v>
      </c>
      <c r="Q60" s="43" t="s">
        <v>328</v>
      </c>
      <c r="R60" s="60" t="s">
        <v>131</v>
      </c>
      <c r="S60" s="44" t="s">
        <v>101</v>
      </c>
      <c r="T60" s="44" t="s">
        <v>142</v>
      </c>
      <c r="U60" s="45"/>
      <c r="V60" s="41" t="str">
        <f>IFERROR(INDEX([1]GARANTIA!$G:$G,MATCH(A60,[1]GARANTIA!$C:$C,0)),"INSIRA N° SERIE")</f>
        <v xml:space="preserve">DIADEMA </v>
      </c>
      <c r="W60" s="41" t="str">
        <f>IFERROR(INDEX([1]GARANTIA!$H:$H,MATCH(A60,[1]GARANTIA!$C:$C,0)),"INSIRA N° SERIE")</f>
        <v>SP</v>
      </c>
      <c r="X60" s="41" t="str">
        <f>IFERROR(INDEX([1]GARANTIA!$F:$F,MATCH(A60,[1]GARANTIA!$C:$C,0)),"INSIRA N° SERIE")</f>
        <v>SUDESTE</v>
      </c>
      <c r="Y60" s="46">
        <f t="shared" si="1"/>
        <v>0</v>
      </c>
      <c r="Z60" s="47">
        <f t="shared" si="2"/>
        <v>2</v>
      </c>
      <c r="AA60" s="46">
        <f t="shared" si="4"/>
        <v>2</v>
      </c>
      <c r="AB60" s="46" t="str" cm="1">
        <f t="array" ref="AB60">IFERROR(_xlfn.IFS(L60="FINALIZADO PRESENCIAL",IF(AA60&gt;10,"FORA","DENTRO"),L60="FINALIZADO REMOTO",IF(AA60&gt;5,"FORA","DENTRO")),"-")</f>
        <v>DENTRO</v>
      </c>
      <c r="AC60" s="41" t="s">
        <v>1671</v>
      </c>
      <c r="AD60" s="41" t="s">
        <v>1671</v>
      </c>
      <c r="AE60" s="48" cm="1">
        <f t="array" ref="AE60">SUMPRODUCT(IFERROR(('[2]PEÇAS GARANTIA'!$A$3:$A$5993=G60)*('[2]PEÇAS GARANTIA'!$A$3:$A$5993&lt;&gt;"")*('[2]PEÇAS GARANTIA'!$R$3:$R$5993),0))</f>
        <v>0</v>
      </c>
      <c r="AF60" s="178">
        <v>0</v>
      </c>
    </row>
    <row r="61" spans="1:32" s="49" customFormat="1" ht="40.15" customHeight="1" x14ac:dyDescent="0.25">
      <c r="A61" s="82">
        <v>73508</v>
      </c>
      <c r="B61" s="41" t="str">
        <f>IFERROR(INDEX([1]GARANTIA!$B:$B,MATCH(A61,[1]GARANTIA!$C:$C,0)),"INSIRA N° SERIE")</f>
        <v>TESTE 327</v>
      </c>
      <c r="C61" s="33">
        <f>IFERROR(INDEX([1]GARANTIA!$J:$J,MATCH(A61,[1]GARANTIA!$C:$C,0)),"INSIRA N° SERIE")</f>
        <v>44104</v>
      </c>
      <c r="D61" s="33" t="str">
        <f>IFERROR(IF(INDEX([1]GARANTIA!$M:$M,MATCH(A61,[1]GARANTIA!$C:$C,0))&gt;=I61,"DENTRO DA GARANTIA","FORA DE GARANTIA"),"INSIRA N° SERIE")</f>
        <v>DENTRO DA GARANTIA</v>
      </c>
      <c r="E61" s="148"/>
      <c r="F61" s="109">
        <f>IFERROR(MAX(0,IF(I61-(INDEX([1]GARANTIA!$J:$J,MATCH(A61,[1]GARANTIA!$C:$C,0)))&gt;=0,I61-(INDEX([1]GARANTIA!$L:$L,MATCH(A61,[1]GARANTIA!$C:$C,0))),"INSIRA DATA CHAMADO")),"INSIRA N° SERIE")</f>
        <v>47</v>
      </c>
      <c r="G61" s="35">
        <v>20210219</v>
      </c>
      <c r="H61" s="35" t="str">
        <f t="shared" si="0"/>
        <v>FEV</v>
      </c>
      <c r="I61" s="36">
        <v>44252</v>
      </c>
      <c r="J61" s="37">
        <v>44252</v>
      </c>
      <c r="K61" s="39">
        <v>44253</v>
      </c>
      <c r="L61" s="42" t="s">
        <v>23</v>
      </c>
      <c r="M61" s="42" t="s">
        <v>8</v>
      </c>
      <c r="N61" s="42" t="s">
        <v>76</v>
      </c>
      <c r="O61" s="42" t="str">
        <f>IFERROR(INDEX([1]GARANTIA!$E:$E,MATCH(A61,[1]GARANTIA!$C:$C,0)),"INSIRA N° SERIE")</f>
        <v>MTI - 4.000GES</v>
      </c>
      <c r="P61" s="60" t="s">
        <v>87</v>
      </c>
      <c r="Q61" s="43" t="s">
        <v>305</v>
      </c>
      <c r="R61" s="60" t="s">
        <v>238</v>
      </c>
      <c r="S61" s="44" t="s">
        <v>638</v>
      </c>
      <c r="T61" s="44" t="s">
        <v>143</v>
      </c>
      <c r="U61" s="45"/>
      <c r="V61" s="41" t="str">
        <f>IFERROR(INDEX([1]GARANTIA!$G:$G,MATCH(A61,[1]GARANTIA!$C:$C,0)),"INSIRA N° SERIE")</f>
        <v>JARU</v>
      </c>
      <c r="W61" s="41" t="str">
        <f>IFERROR(INDEX([1]GARANTIA!$H:$H,MATCH(A61,[1]GARANTIA!$C:$C,0)),"INSIRA N° SERIE")</f>
        <v>RO</v>
      </c>
      <c r="X61" s="41" t="str">
        <f>IFERROR(INDEX([1]GARANTIA!$F:$F,MATCH(A61,[1]GARANTIA!$C:$C,0)),"INSIRA N° SERIE")</f>
        <v>NORTE</v>
      </c>
      <c r="Y61" s="46">
        <f t="shared" si="1"/>
        <v>0</v>
      </c>
      <c r="Z61" s="47">
        <f t="shared" si="2"/>
        <v>1</v>
      </c>
      <c r="AA61" s="46">
        <f t="shared" si="4"/>
        <v>1</v>
      </c>
      <c r="AB61" s="46" t="str" cm="1">
        <f t="array" ref="AB61">IFERROR(_xlfn.IFS(L61="FINALIZADO PRESENCIAL",IF(AA61&gt;10,"FORA","DENTRO"),L61="FINALIZADO REMOTO",IF(AA61&gt;5,"FORA","DENTRO")),"-")</f>
        <v>DENTRO</v>
      </c>
      <c r="AC61" s="41" t="s">
        <v>1671</v>
      </c>
      <c r="AD61" s="41" t="s">
        <v>1671</v>
      </c>
      <c r="AE61" s="48" cm="1">
        <f t="array" ref="AE61">SUMPRODUCT(IFERROR(('[2]PEÇAS GARANTIA'!$A$3:$A$5993=G61)*('[2]PEÇAS GARANTIA'!$A$3:$A$5993&lt;&gt;"")*('[2]PEÇAS GARANTIA'!$R$3:$R$5993),0))</f>
        <v>0</v>
      </c>
      <c r="AF61" s="178">
        <v>0</v>
      </c>
    </row>
    <row r="62" spans="1:32" s="49" customFormat="1" ht="40.15" customHeight="1" x14ac:dyDescent="0.25">
      <c r="A62" s="82">
        <v>86746</v>
      </c>
      <c r="B62" s="41" t="str">
        <f>IFERROR(INDEX([1]GARANTIA!$B:$B,MATCH(A62,[1]GARANTIA!$C:$C,0)),"INSIRA N° SERIE")</f>
        <v>TESTE 320</v>
      </c>
      <c r="C62" s="33">
        <f>IFERROR(INDEX([1]GARANTIA!$J:$J,MATCH(A62,[1]GARANTIA!$C:$C,0)),"INSIRA N° SERIE")</f>
        <v>44104</v>
      </c>
      <c r="D62" s="33" t="str">
        <f>IFERROR(IF(INDEX([1]GARANTIA!$M:$M,MATCH(A62,[1]GARANTIA!$C:$C,0))&gt;=I62,"DENTRO DA GARANTIA","FORA DE GARANTIA"),"INSIRA N° SERIE")</f>
        <v>DENTRO DA GARANTIA</v>
      </c>
      <c r="E62" s="148"/>
      <c r="F62" s="109">
        <f>IFERROR(MAX(0,IF(I62-(INDEX([1]GARANTIA!$J:$J,MATCH(A62,[1]GARANTIA!$C:$C,0)))&gt;=0,I62-(INDEX([1]GARANTIA!$L:$L,MATCH(A62,[1]GARANTIA!$C:$C,0))),"INSIRA DATA CHAMADO")),"INSIRA N° SERIE")</f>
        <v>0</v>
      </c>
      <c r="G62" s="35">
        <v>20210427</v>
      </c>
      <c r="H62" s="35" t="str">
        <f t="shared" si="0"/>
        <v>FEV</v>
      </c>
      <c r="I62" s="36">
        <v>44253</v>
      </c>
      <c r="J62" s="37">
        <v>44253</v>
      </c>
      <c r="K62" s="38">
        <v>44253</v>
      </c>
      <c r="L62" s="42" t="s">
        <v>11</v>
      </c>
      <c r="M62" s="42" t="s">
        <v>8</v>
      </c>
      <c r="N62" s="42" t="s">
        <v>26</v>
      </c>
      <c r="O62" s="42" t="str">
        <f>IFERROR(INDEX([1]GARANTIA!$E:$E,MATCH(A62,[1]GARANTIA!$C:$C,0)),"INSIRA N° SERIE")</f>
        <v>MTI - 1.000GTS</v>
      </c>
      <c r="P62" s="60" t="s">
        <v>179</v>
      </c>
      <c r="Q62" s="43" t="s">
        <v>328</v>
      </c>
      <c r="R62" s="60" t="s">
        <v>180</v>
      </c>
      <c r="S62" s="44" t="s">
        <v>101</v>
      </c>
      <c r="T62" s="44" t="s">
        <v>142</v>
      </c>
      <c r="U62" s="45"/>
      <c r="V62" s="41" t="str">
        <f>IFERROR(INDEX([1]GARANTIA!$G:$G,MATCH(A62,[1]GARANTIA!$C:$C,0)),"INSIRA N° SERIE")</f>
        <v>CORRENTE</v>
      </c>
      <c r="W62" s="41" t="str">
        <f>IFERROR(INDEX([1]GARANTIA!$H:$H,MATCH(A62,[1]GARANTIA!$C:$C,0)),"INSIRA N° SERIE")</f>
        <v>PI</v>
      </c>
      <c r="X62" s="41" t="str">
        <f>IFERROR(INDEX([1]GARANTIA!$F:$F,MATCH(A62,[1]GARANTIA!$C:$C,0)),"INSIRA N° SERIE")</f>
        <v>NORDESTE</v>
      </c>
      <c r="Y62" s="46">
        <f t="shared" si="1"/>
        <v>0</v>
      </c>
      <c r="Z62" s="47">
        <f t="shared" si="2"/>
        <v>0</v>
      </c>
      <c r="AA62" s="46">
        <f t="shared" si="4"/>
        <v>0</v>
      </c>
      <c r="AB62" s="46" t="str" cm="1">
        <f t="array" ref="AB62">IFERROR(_xlfn.IFS(L62="FINALIZADO PRESENCIAL",IF(AA62&gt;10,"FORA","DENTRO"),L62="FINALIZADO REMOTO",IF(AA62&gt;5,"FORA","DENTRO")),"-")</f>
        <v>DENTRO</v>
      </c>
      <c r="AC62" s="41" t="s">
        <v>1671</v>
      </c>
      <c r="AD62" s="41" t="s">
        <v>1671</v>
      </c>
      <c r="AE62" s="48" cm="1">
        <f t="array" ref="AE62">SUMPRODUCT(IFERROR(('[2]PEÇAS GARANTIA'!$A$3:$A$5993=G62)*('[2]PEÇAS GARANTIA'!$A$3:$A$5993&lt;&gt;"")*('[2]PEÇAS GARANTIA'!$R$3:$R$5993),0))</f>
        <v>0</v>
      </c>
      <c r="AF62" s="178">
        <v>0</v>
      </c>
    </row>
    <row r="63" spans="1:32" s="49" customFormat="1" ht="40.15" customHeight="1" x14ac:dyDescent="0.25">
      <c r="A63" s="82">
        <v>3002515</v>
      </c>
      <c r="B63" s="41" t="str">
        <f>IFERROR(INDEX([1]GARANTIA!$B:$B,MATCH(A63,[1]GARANTIA!$C:$C,0)),"INSIRA N° SERIE")</f>
        <v>TESTE 273</v>
      </c>
      <c r="C63" s="33">
        <f>IFERROR(INDEX([1]GARANTIA!$J:$J,MATCH(A63,[1]GARANTIA!$C:$C,0)),"INSIRA N° SERIE")</f>
        <v>43461</v>
      </c>
      <c r="D63" s="33" t="str">
        <f>IFERROR(IF(INDEX([1]GARANTIA!$M:$M,MATCH(A63,[1]GARANTIA!$C:$C,0))&gt;=I63,"DENTRO DA GARANTIA","FORA DE GARANTIA"),"INSIRA N° SERIE")</f>
        <v>FORA DE GARANTIA</v>
      </c>
      <c r="E63" s="148"/>
      <c r="F63" s="109">
        <f>IFERROR(MAX(0,IF(I63-(INDEX([1]GARANTIA!$J:$J,MATCH(A63,[1]GARANTIA!$C:$C,0)))&gt;=0,I63-(INDEX([1]GARANTIA!$L:$L,MATCH(A63,[1]GARANTIA!$C:$C,0))),"INSIRA DATA CHAMADO")),"INSIRA N° SERIE")</f>
        <v>382</v>
      </c>
      <c r="G63" s="35">
        <v>20210221</v>
      </c>
      <c r="H63" s="35" t="str">
        <f t="shared" si="0"/>
        <v>FEV</v>
      </c>
      <c r="I63" s="36">
        <v>44253</v>
      </c>
      <c r="J63" s="37">
        <v>44253</v>
      </c>
      <c r="K63" s="39">
        <v>44260</v>
      </c>
      <c r="L63" s="42" t="s">
        <v>23</v>
      </c>
      <c r="M63" s="42" t="s">
        <v>8</v>
      </c>
      <c r="N63" s="42" t="s">
        <v>43</v>
      </c>
      <c r="O63" s="42" t="str">
        <f>IFERROR(INDEX([1]GARANTIA!$E:$E,MATCH(A63,[1]GARANTIA!$C:$C,0)),"INSIRA N° SERIE")</f>
        <v>MTI - 60.000GE</v>
      </c>
      <c r="P63" s="60" t="s">
        <v>237</v>
      </c>
      <c r="Q63" s="43" t="s">
        <v>38</v>
      </c>
      <c r="R63" s="60" t="s">
        <v>92</v>
      </c>
      <c r="S63" s="44" t="s">
        <v>102</v>
      </c>
      <c r="T63" s="44" t="s">
        <v>143</v>
      </c>
      <c r="U63" s="45"/>
      <c r="V63" s="41" t="str">
        <f>IFERROR(INDEX([1]GARANTIA!$G:$G,MATCH(A63,[1]GARANTIA!$C:$C,0)),"INSIRA N° SERIE")</f>
        <v>MONTEVIDEO</v>
      </c>
      <c r="W63" s="41" t="str">
        <f>IFERROR(INDEX([1]GARANTIA!$H:$H,MATCH(A63,[1]GARANTIA!$C:$C,0)),"INSIRA N° SERIE")</f>
        <v>URY</v>
      </c>
      <c r="X63" s="41" t="str">
        <f>IFERROR(INDEX([1]GARANTIA!$F:$F,MATCH(A63,[1]GARANTIA!$C:$C,0)),"INSIRA N° SERIE")</f>
        <v xml:space="preserve">INTERNACIONAL </v>
      </c>
      <c r="Y63" s="46">
        <f t="shared" si="1"/>
        <v>0</v>
      </c>
      <c r="Z63" s="47">
        <f t="shared" si="2"/>
        <v>7</v>
      </c>
      <c r="AA63" s="46">
        <f t="shared" si="4"/>
        <v>7</v>
      </c>
      <c r="AB63" s="46" t="str" cm="1">
        <f t="array" ref="AB63">IFERROR(_xlfn.IFS(L63="FINALIZADO PRESENCIAL",IF(AA63&gt;10,"FORA","DENTRO"),L63="FINALIZADO REMOTO",IF(AA63&gt;5,"FORA","DENTRO")),"-")</f>
        <v>FORA</v>
      </c>
      <c r="AC63" s="41" t="s">
        <v>1671</v>
      </c>
      <c r="AD63" s="41" t="s">
        <v>1671</v>
      </c>
      <c r="AE63" s="48" cm="1">
        <f t="array" ref="AE63">SUMPRODUCT(IFERROR(('[2]PEÇAS GARANTIA'!$A$3:$A$5993=G63)*('[2]PEÇAS GARANTIA'!$A$3:$A$5993&lt;&gt;"")*('[2]PEÇAS GARANTIA'!$R$3:$R$5993),0))</f>
        <v>0</v>
      </c>
      <c r="AF63" s="178">
        <v>0</v>
      </c>
    </row>
    <row r="64" spans="1:32" s="76" customFormat="1" ht="40.15" customHeight="1" x14ac:dyDescent="0.25">
      <c r="A64" s="82">
        <v>9993</v>
      </c>
      <c r="B64" s="41" t="str">
        <f>IFERROR(INDEX([1]GARANTIA!$B:$B,MATCH(A64,[1]GARANTIA!$C:$C,0)),"INSIRA N° SERIE")</f>
        <v>TESTE 121</v>
      </c>
      <c r="C64" s="33">
        <f>IFERROR(INDEX([1]GARANTIA!$J:$J,MATCH(A64,[1]GARANTIA!$C:$C,0)),"INSIRA N° SERIE")</f>
        <v>42979</v>
      </c>
      <c r="D64" s="33" t="str">
        <f>IFERROR(IF(INDEX([1]GARANTIA!$M:$M,MATCH(A64,[1]GARANTIA!$C:$C,0))&gt;=I64,"DENTRO DA GARANTIA","FORA DE GARANTIA"),"INSIRA N° SERIE")</f>
        <v>DENTRO DA GARANTIA</v>
      </c>
      <c r="E64" s="148"/>
      <c r="F64" s="109">
        <f>IFERROR(MAX(0,IF(I64-(INDEX([1]GARANTIA!$J:$J,MATCH(A64,[1]GARANTIA!$C:$C,0)))&gt;=0,I64-(INDEX([1]GARANTIA!$L:$L,MATCH(A64,[1]GARANTIA!$C:$C,0))),"INSIRA DATA CHAMADO")),"INSIRA N° SERIE")</f>
        <v>182</v>
      </c>
      <c r="G64" s="65">
        <v>20210300</v>
      </c>
      <c r="H64" s="35" t="str">
        <f t="shared" si="0"/>
        <v>MAR</v>
      </c>
      <c r="I64" s="66">
        <v>44256</v>
      </c>
      <c r="J64" s="67">
        <v>44256</v>
      </c>
      <c r="K64" s="77">
        <v>44265</v>
      </c>
      <c r="L64" s="69" t="s">
        <v>11</v>
      </c>
      <c r="M64" s="69" t="s">
        <v>8</v>
      </c>
      <c r="N64" s="69" t="s">
        <v>26</v>
      </c>
      <c r="O64" s="42" t="str">
        <f>IFERROR(INDEX([1]GARANTIA!$E:$E,MATCH(A64,[1]GARANTIA!$C:$C,0)),"INSIRA N° SERIE")</f>
        <v>MAC 32.000 GT</v>
      </c>
      <c r="P64" s="70" t="s">
        <v>236</v>
      </c>
      <c r="Q64" s="71" t="s">
        <v>62</v>
      </c>
      <c r="R64" s="70" t="s">
        <v>105</v>
      </c>
      <c r="S64" s="44" t="s">
        <v>325</v>
      </c>
      <c r="T64" s="72" t="s">
        <v>640</v>
      </c>
      <c r="U64" s="73"/>
      <c r="V64" s="41" t="str">
        <f>IFERROR(INDEX([1]GARANTIA!$G:$G,MATCH(A64,[1]GARANTIA!$C:$C,0)),"INSIRA N° SERIE")</f>
        <v>SÃO PAULO</v>
      </c>
      <c r="W64" s="41" t="str">
        <f>IFERROR(INDEX([1]GARANTIA!$H:$H,MATCH(A64,[1]GARANTIA!$C:$C,0)),"INSIRA N° SERIE")</f>
        <v>SP</v>
      </c>
      <c r="X64" s="41" t="str">
        <f>IFERROR(INDEX([1]GARANTIA!$F:$F,MATCH(A64,[1]GARANTIA!$C:$C,0)),"INSIRA N° SERIE")</f>
        <v>SUDESTE</v>
      </c>
      <c r="Y64" s="74">
        <f t="shared" si="1"/>
        <v>0</v>
      </c>
      <c r="Z64" s="75">
        <f t="shared" si="2"/>
        <v>9</v>
      </c>
      <c r="AA64" s="74">
        <f t="shared" si="4"/>
        <v>9</v>
      </c>
      <c r="AB64" s="46" t="str" cm="1">
        <f t="array" ref="AB64">IFERROR(_xlfn.IFS(L64="FINALIZADO PRESENCIAL",IF(AA64&gt;10,"FORA","DENTRO"),L64="FINALIZADO REMOTO",IF(AA64&gt;5,"FORA","DENTRO")),"-")</f>
        <v>DENTRO</v>
      </c>
      <c r="AC64" s="41" t="s">
        <v>1671</v>
      </c>
      <c r="AD64" s="41" t="s">
        <v>1671</v>
      </c>
      <c r="AE64" s="48" cm="1">
        <f t="array" ref="AE64">SUMPRODUCT(IFERROR(('[2]PEÇAS GARANTIA'!$A$3:$A$5993=G64)*('[2]PEÇAS GARANTIA'!$A$3:$A$5993&lt;&gt;"")*('[2]PEÇAS GARANTIA'!$R$3:$R$5993),0))</f>
        <v>0</v>
      </c>
      <c r="AF64" s="178">
        <v>726.06</v>
      </c>
    </row>
    <row r="65" spans="1:32" s="49" customFormat="1" ht="40.15" customHeight="1" x14ac:dyDescent="0.25">
      <c r="A65" s="82">
        <v>86328</v>
      </c>
      <c r="B65" s="41" t="str">
        <f>IFERROR(INDEX([1]GARANTIA!$B:$B,MATCH(A65,[1]GARANTIA!$C:$C,0)),"INSIRA N° SERIE")</f>
        <v>TESTE 211</v>
      </c>
      <c r="C65" s="33">
        <f>IFERROR(INDEX([1]GARANTIA!$J:$J,MATCH(A65,[1]GARANTIA!$C:$C,0)),"INSIRA N° SERIE")</f>
        <v>44084</v>
      </c>
      <c r="D65" s="33" t="str">
        <f>IFERROR(IF(INDEX([1]GARANTIA!$M:$M,MATCH(A65,[1]GARANTIA!$C:$C,0))&gt;=I65,"DENTRO DA GARANTIA","FORA DE GARANTIA"),"INSIRA N° SERIE")</f>
        <v>DENTRO DA GARANTIA</v>
      </c>
      <c r="E65" s="148"/>
      <c r="F65" s="109">
        <f>IFERROR(MAX(0,IF(I65-(INDEX([1]GARANTIA!$J:$J,MATCH(A65,[1]GARANTIA!$C:$C,0)))&gt;=0,I65-(INDEX([1]GARANTIA!$L:$L,MATCH(A65,[1]GARANTIA!$C:$C,0))),"INSIRA DATA CHAMADO")),"INSIRA N° SERIE")</f>
        <v>77</v>
      </c>
      <c r="G65" s="35">
        <v>20210301</v>
      </c>
      <c r="H65" s="35" t="str">
        <f t="shared" si="0"/>
        <v>MAR</v>
      </c>
      <c r="I65" s="36">
        <v>44256</v>
      </c>
      <c r="J65" s="37">
        <v>44256</v>
      </c>
      <c r="K65" s="38">
        <v>44258</v>
      </c>
      <c r="L65" s="42" t="s">
        <v>11</v>
      </c>
      <c r="M65" s="42" t="s">
        <v>8</v>
      </c>
      <c r="N65" s="42" t="s">
        <v>43</v>
      </c>
      <c r="O65" s="42" t="str">
        <f>IFERROR(INDEX([1]GARANTIA!$E:$E,MATCH(A65,[1]GARANTIA!$C:$C,0)),"INSIRA N° SERIE")</f>
        <v>MTI - 1.000GTS</v>
      </c>
      <c r="P65" s="60" t="s">
        <v>235</v>
      </c>
      <c r="Q65" s="43" t="s">
        <v>324</v>
      </c>
      <c r="R65" s="60" t="s">
        <v>112</v>
      </c>
      <c r="S65" s="44" t="s">
        <v>638</v>
      </c>
      <c r="T65" s="44" t="s">
        <v>144</v>
      </c>
      <c r="U65" s="45"/>
      <c r="V65" s="41" t="str">
        <f>IFERROR(INDEX([1]GARANTIA!$G:$G,MATCH(A65,[1]GARANTIA!$C:$C,0)),"INSIRA N° SERIE")</f>
        <v xml:space="preserve">RIO BRANCO </v>
      </c>
      <c r="W65" s="41" t="str">
        <f>IFERROR(INDEX([1]GARANTIA!$H:$H,MATCH(A65,[1]GARANTIA!$C:$C,0)),"INSIRA N° SERIE")</f>
        <v>AC</v>
      </c>
      <c r="X65" s="41" t="str">
        <f>IFERROR(INDEX([1]GARANTIA!$F:$F,MATCH(A65,[1]GARANTIA!$C:$C,0)),"INSIRA N° SERIE")</f>
        <v>NORTE</v>
      </c>
      <c r="Y65" s="74">
        <f t="shared" si="1"/>
        <v>0</v>
      </c>
      <c r="Z65" s="75">
        <f t="shared" si="2"/>
        <v>2</v>
      </c>
      <c r="AA65" s="74">
        <f t="shared" si="4"/>
        <v>2</v>
      </c>
      <c r="AB65" s="46" t="str" cm="1">
        <f t="array" ref="AB65">IFERROR(_xlfn.IFS(L65="FINALIZADO PRESENCIAL",IF(AA65&gt;10,"FORA","DENTRO"),L65="FINALIZADO REMOTO",IF(AA65&gt;5,"FORA","DENTRO")),"-")</f>
        <v>DENTRO</v>
      </c>
      <c r="AC65" s="41" t="s">
        <v>1671</v>
      </c>
      <c r="AD65" s="41" t="s">
        <v>1671</v>
      </c>
      <c r="AE65" s="48" cm="1">
        <f t="array" ref="AE65">SUMPRODUCT(IFERROR(('[2]PEÇAS GARANTIA'!$A$3:$A$5993=G65)*('[2]PEÇAS GARANTIA'!$A$3:$A$5993&lt;&gt;"")*('[2]PEÇAS GARANTIA'!$R$3:$R$5993),0))</f>
        <v>0</v>
      </c>
      <c r="AF65" s="178">
        <v>0</v>
      </c>
    </row>
    <row r="66" spans="1:32" s="126" customFormat="1" ht="40.15" customHeight="1" x14ac:dyDescent="0.25">
      <c r="A66" s="117">
        <v>9994</v>
      </c>
      <c r="B66" s="118" t="str">
        <f>IFERROR(INDEX([1]GARANTIA!$B:$B,MATCH(A66,[1]GARANTIA!$C:$C,0)),"INSIRA N° SERIE")</f>
        <v>TESTE 220</v>
      </c>
      <c r="C66" s="119">
        <f>IFERROR(INDEX([1]GARANTIA!$J:$J,MATCH(A66,[1]GARANTIA!$C:$C,0)),"INSIRA N° SERIE")</f>
        <v>43048</v>
      </c>
      <c r="D66" s="119" t="str">
        <f>IFERROR(IF(INDEX([1]GARANTIA!$M:$M,MATCH(A66,[1]GARANTIA!$C:$C,0))&gt;=I66,"DENTRO DA GARANTIA","FORA DE GARANTIA"),"INSIRA N° SERIE")</f>
        <v>FORA DE GARANTIA</v>
      </c>
      <c r="E66" s="121"/>
      <c r="F66" s="127">
        <f>IFERROR(MAX(0,IF(I66-(INDEX([1]GARANTIA!$J:$J,MATCH(A66,[1]GARANTIA!$C:$C,0)))&gt;=0,I66-(INDEX([1]GARANTIA!$L:$L,MATCH(A66,[1]GARANTIA!$C:$C,0))),"INSIRA DATA CHAMADO")),"INSIRA N° SERIE")</f>
        <v>976</v>
      </c>
      <c r="G66" s="121">
        <v>20210302</v>
      </c>
      <c r="H66" s="35" t="str">
        <f t="shared" si="0"/>
        <v>MAR</v>
      </c>
      <c r="I66" s="119">
        <v>44256</v>
      </c>
      <c r="J66" s="119">
        <v>44256</v>
      </c>
      <c r="K66" s="119">
        <v>44257</v>
      </c>
      <c r="L66" s="118" t="s">
        <v>23</v>
      </c>
      <c r="M66" s="118" t="s">
        <v>8</v>
      </c>
      <c r="N66" s="118" t="s">
        <v>28</v>
      </c>
      <c r="O66" s="118" t="str">
        <f>IFERROR(INDEX([1]GARANTIA!$E:$E,MATCH(A66,[1]GARANTIA!$C:$C,0)),"INSIRA N° SERIE")</f>
        <v>MAC 2.500 GT</v>
      </c>
      <c r="P66" s="123" t="s">
        <v>234</v>
      </c>
      <c r="Q66" s="118" t="s">
        <v>99</v>
      </c>
      <c r="R66" s="123" t="s">
        <v>91</v>
      </c>
      <c r="S66" s="118" t="s">
        <v>99</v>
      </c>
      <c r="T66" s="118" t="s">
        <v>360</v>
      </c>
      <c r="U66" s="124"/>
      <c r="V66" s="118" t="str">
        <f>IFERROR(INDEX([1]GARANTIA!$G:$G,MATCH(A66,[1]GARANTIA!$C:$C,0)),"INSIRA N° SERIE")</f>
        <v>COROMANDEL</v>
      </c>
      <c r="W66" s="118" t="str">
        <f>IFERROR(INDEX([1]GARANTIA!$H:$H,MATCH(A66,[1]GARANTIA!$C:$C,0)),"INSIRA N° SERIE")</f>
        <v>MG</v>
      </c>
      <c r="X66" s="118" t="str">
        <f>IFERROR(INDEX([1]GARANTIA!$F:$F,MATCH(A66,[1]GARANTIA!$C:$C,0)),"INSIRA N° SERIE")</f>
        <v>SUDESTE</v>
      </c>
      <c r="Y66" s="118">
        <f t="shared" si="1"/>
        <v>0</v>
      </c>
      <c r="Z66" s="125">
        <f t="shared" si="2"/>
        <v>1</v>
      </c>
      <c r="AA66" s="118">
        <f t="shared" si="4"/>
        <v>1</v>
      </c>
      <c r="AB66" s="46" t="str" cm="1">
        <f t="array" ref="AB66">IFERROR(_xlfn.IFS(L66="FINALIZADO PRESENCIAL",IF(AA66&gt;10,"FORA","DENTRO"),L66="FINALIZADO REMOTO",IF(AA66&gt;5,"FORA","DENTRO")),"-")</f>
        <v>DENTRO</v>
      </c>
      <c r="AC66" s="41" t="s">
        <v>1671</v>
      </c>
      <c r="AD66" s="41" t="s">
        <v>1671</v>
      </c>
      <c r="AE66" s="48" cm="1">
        <f t="array" ref="AE66">SUMPRODUCT(IFERROR(('[2]PEÇAS GARANTIA'!$A$3:$A$5993=G66)*('[2]PEÇAS GARANTIA'!$A$3:$A$5993&lt;&gt;"")*('[2]PEÇAS GARANTIA'!$R$3:$R$5993),0))</f>
        <v>0</v>
      </c>
      <c r="AF66" s="178">
        <v>0</v>
      </c>
    </row>
    <row r="67" spans="1:32" s="49" customFormat="1" ht="40.15" customHeight="1" x14ac:dyDescent="0.25">
      <c r="A67" s="82">
        <v>82650</v>
      </c>
      <c r="B67" s="41" t="str">
        <f>IFERROR(INDEX([1]GARANTIA!$B:$B,MATCH(A67,[1]GARANTIA!$C:$C,0)),"INSIRA N° SERIE")</f>
        <v>TESTE 148</v>
      </c>
      <c r="C67" s="33">
        <f>IFERROR(INDEX([1]GARANTIA!$J:$J,MATCH(A67,[1]GARANTIA!$C:$C,0)),"INSIRA N° SERIE")</f>
        <v>44106</v>
      </c>
      <c r="D67" s="33" t="str">
        <f>IFERROR(IF(INDEX([1]GARANTIA!$M:$M,MATCH(A67,[1]GARANTIA!$C:$C,0))&gt;=I67,"DENTRO DA GARANTIA","FORA DE GARANTIA"),"INSIRA N° SERIE")</f>
        <v>DENTRO DA GARANTIA</v>
      </c>
      <c r="E67" s="148"/>
      <c r="F67" s="109">
        <f>IFERROR(MAX(0,IF(I67-(INDEX([1]GARANTIA!$J:$J,MATCH(A67,[1]GARANTIA!$C:$C,0)))&gt;=0,I67-(INDEX([1]GARANTIA!$L:$L,MATCH(A67,[1]GARANTIA!$C:$C,0))),"INSIRA DATA CHAMADO")),"INSIRA N° SERIE")</f>
        <v>12</v>
      </c>
      <c r="G67" s="35">
        <v>20210436</v>
      </c>
      <c r="H67" s="35" t="str">
        <f t="shared" ref="H67:H130" si="5">IF(YEAR(I67)=YEAR(I67),IF(I67&lt;&gt;"",UPPER(TEXT(I67,"MMM")),""),"")</f>
        <v>MAR</v>
      </c>
      <c r="I67" s="36">
        <v>44256</v>
      </c>
      <c r="J67" s="37">
        <v>44256</v>
      </c>
      <c r="K67" s="38">
        <v>44256</v>
      </c>
      <c r="L67" s="42" t="s">
        <v>11</v>
      </c>
      <c r="M67" s="42" t="s">
        <v>8</v>
      </c>
      <c r="N67" s="42" t="s">
        <v>43</v>
      </c>
      <c r="O67" s="42" t="str">
        <f>IFERROR(INDEX([1]GARANTIA!$E:$E,MATCH(A67,[1]GARANTIA!$C:$C,0)),"INSIRA N° SERIE")</f>
        <v>MTI - 12.000GTS</v>
      </c>
      <c r="P67" s="60" t="s">
        <v>278</v>
      </c>
      <c r="Q67" s="43" t="s">
        <v>324</v>
      </c>
      <c r="R67" s="60" t="s">
        <v>126</v>
      </c>
      <c r="S67" s="44" t="s">
        <v>101</v>
      </c>
      <c r="T67" s="44" t="s">
        <v>306</v>
      </c>
      <c r="U67" s="52"/>
      <c r="V67" s="41" t="str">
        <f>IFERROR(INDEX([1]GARANTIA!$G:$G,MATCH(A67,[1]GARANTIA!$C:$C,0)),"INSIRA N° SERIE")</f>
        <v>NOVO AIRÃO</v>
      </c>
      <c r="W67" s="41" t="str">
        <f>IFERROR(INDEX([1]GARANTIA!$H:$H,MATCH(A67,[1]GARANTIA!$C:$C,0)),"INSIRA N° SERIE")</f>
        <v>AM</v>
      </c>
      <c r="X67" s="41" t="str">
        <f>IFERROR(INDEX([1]GARANTIA!$F:$F,MATCH(A67,[1]GARANTIA!$C:$C,0)),"INSIRA N° SERIE")</f>
        <v>NORTE</v>
      </c>
      <c r="Y67" s="74">
        <f t="shared" ref="Y67:Y107" si="6">IF(G67&lt;&gt;"",J67-I67,"INSIRA N° OS")</f>
        <v>0</v>
      </c>
      <c r="Z67" s="75">
        <f t="shared" ref="Z67:Z130" si="7">IF(G67&lt;&gt;"",IF(OR(A67="",K67="",Q67="",P67="",R67=""),"NÃO FINALIZADO",K67-J67),"INSIRA N° OS")</f>
        <v>0</v>
      </c>
      <c r="AA67" s="74">
        <f t="shared" si="4"/>
        <v>0</v>
      </c>
      <c r="AB67" s="46" t="str" cm="1">
        <f t="array" ref="AB67">IFERROR(_xlfn.IFS(L67="FINALIZADO PRESENCIAL",IF(AA67&gt;10,"FORA","DENTRO"),L67="FINALIZADO REMOTO",IF(AA67&gt;5,"FORA","DENTRO")),"-")</f>
        <v>DENTRO</v>
      </c>
      <c r="AC67" s="41" t="s">
        <v>1671</v>
      </c>
      <c r="AD67" s="41" t="s">
        <v>1671</v>
      </c>
      <c r="AE67" s="48" cm="1">
        <f t="array" ref="AE67">SUMPRODUCT(IFERROR(('[2]PEÇAS GARANTIA'!$A$3:$A$5993=G67)*('[2]PEÇAS GARANTIA'!$A$3:$A$5993&lt;&gt;"")*('[2]PEÇAS GARANTIA'!$R$3:$R$5993),0))</f>
        <v>0</v>
      </c>
      <c r="AF67" s="178">
        <v>6285</v>
      </c>
    </row>
    <row r="68" spans="1:32" s="49" customFormat="1" ht="40.15" customHeight="1" x14ac:dyDescent="0.25">
      <c r="A68" s="82">
        <v>3713</v>
      </c>
      <c r="B68" s="41" t="str">
        <f>IFERROR(INDEX([1]GARANTIA!$B:$B,MATCH(A68,[1]GARANTIA!$C:$C,0)),"INSIRA N° SERIE")</f>
        <v>TESTE 237</v>
      </c>
      <c r="C68" s="33">
        <f>IFERROR(INDEX([1]GARANTIA!$J:$J,MATCH(A68,[1]GARANTIA!$C:$C,0)),"INSIRA N° SERIE")</f>
        <v>43707</v>
      </c>
      <c r="D68" s="33" t="str">
        <f>IFERROR(IF(INDEX([1]GARANTIA!$M:$M,MATCH(A68,[1]GARANTIA!$C:$C,0))&gt;=I68,"DENTRO DA GARANTIA","FORA DE GARANTIA"),"INSIRA N° SERIE")</f>
        <v>DENTRO DA GARANTIA</v>
      </c>
      <c r="E68" s="148"/>
      <c r="F68" s="109">
        <f>IFERROR(MAX(0,IF(I68-(INDEX([1]GARANTIA!$J:$J,MATCH(A68,[1]GARANTIA!$C:$C,0)))&gt;=0,I68-(INDEX([1]GARANTIA!$L:$L,MATCH(A68,[1]GARANTIA!$C:$C,0))),"INSIRA DATA CHAMADO")),"INSIRA N° SERIE")</f>
        <v>89</v>
      </c>
      <c r="G68" s="35">
        <v>20210303</v>
      </c>
      <c r="H68" s="35" t="str">
        <f t="shared" si="5"/>
        <v>MAR</v>
      </c>
      <c r="I68" s="36">
        <v>44257</v>
      </c>
      <c r="J68" s="37">
        <v>44257</v>
      </c>
      <c r="K68" s="38">
        <v>44257</v>
      </c>
      <c r="L68" s="42" t="s">
        <v>23</v>
      </c>
      <c r="M68" s="42" t="s">
        <v>8</v>
      </c>
      <c r="N68" s="42" t="s">
        <v>39</v>
      </c>
      <c r="O68" s="42" t="str">
        <f>IFERROR(INDEX([1]GARANTIA!$E:$E,MATCH(A68,[1]GARANTIA!$C:$C,0)),"INSIRA N° SERIE")</f>
        <v>MTI - 7.000GTS</v>
      </c>
      <c r="P68" s="60" t="s">
        <v>230</v>
      </c>
      <c r="Q68" s="43" t="s">
        <v>321</v>
      </c>
      <c r="R68" s="60" t="s">
        <v>113</v>
      </c>
      <c r="S68" s="44" t="s">
        <v>98</v>
      </c>
      <c r="T68" s="44" t="s">
        <v>641</v>
      </c>
      <c r="U68" s="45"/>
      <c r="V68" s="41" t="str">
        <f>IFERROR(INDEX([1]GARANTIA!$G:$G,MATCH(A68,[1]GARANTIA!$C:$C,0)),"INSIRA N° SERIE")</f>
        <v xml:space="preserve">AGUA DE SANTA BARBARA </v>
      </c>
      <c r="W68" s="41" t="str">
        <f>IFERROR(INDEX([1]GARANTIA!$H:$H,MATCH(A68,[1]GARANTIA!$C:$C,0)),"INSIRA N° SERIE")</f>
        <v xml:space="preserve">SP </v>
      </c>
      <c r="X68" s="41" t="str">
        <f>IFERROR(INDEX([1]GARANTIA!$F:$F,MATCH(A68,[1]GARANTIA!$C:$C,0)),"INSIRA N° SERIE")</f>
        <v>SUDESTE</v>
      </c>
      <c r="Y68" s="46">
        <f t="shared" si="6"/>
        <v>0</v>
      </c>
      <c r="Z68" s="47">
        <f t="shared" si="7"/>
        <v>0</v>
      </c>
      <c r="AA68" s="46">
        <f t="shared" ref="AA68:AA95" si="8">IF(Z68="NÃO FINALIZADO","",Z68+Y68)</f>
        <v>0</v>
      </c>
      <c r="AB68" s="46" t="str" cm="1">
        <f t="array" ref="AB68">IFERROR(_xlfn.IFS(L68="FINALIZADO PRESENCIAL",IF(AA68&gt;10,"FORA","DENTRO"),L68="FINALIZADO REMOTO",IF(AA68&gt;5,"FORA","DENTRO")),"-")</f>
        <v>DENTRO</v>
      </c>
      <c r="AC68" s="41" t="s">
        <v>1671</v>
      </c>
      <c r="AD68" s="41" t="s">
        <v>1671</v>
      </c>
      <c r="AE68" s="48" cm="1">
        <f t="array" ref="AE68">SUMPRODUCT(IFERROR(('[2]PEÇAS GARANTIA'!$A$3:$A$5993=G68)*('[2]PEÇAS GARANTIA'!$A$3:$A$5993&lt;&gt;"")*('[2]PEÇAS GARANTIA'!$R$3:$R$5993),0))</f>
        <v>0</v>
      </c>
      <c r="AF68" s="178">
        <v>0</v>
      </c>
    </row>
    <row r="69" spans="1:32" s="49" customFormat="1" ht="40.15" customHeight="1" x14ac:dyDescent="0.25">
      <c r="A69" s="82">
        <v>31792</v>
      </c>
      <c r="B69" s="41" t="str">
        <f>IFERROR(INDEX([1]GARANTIA!$B:$B,MATCH(A69,[1]GARANTIA!$C:$C,0)),"INSIRA N° SERIE")</f>
        <v>TESTE 44</v>
      </c>
      <c r="C69" s="33">
        <f>IFERROR(INDEX([1]GARANTIA!$J:$J,MATCH(A69,[1]GARANTIA!$C:$C,0)),"INSIRA N° SERIE")</f>
        <v>44165</v>
      </c>
      <c r="D69" s="33" t="str">
        <f>IFERROR(IF(INDEX([1]GARANTIA!$M:$M,MATCH(A69,[1]GARANTIA!$C:$C,0))&gt;=I69,"DENTRO DA GARANTIA","FORA DE GARANTIA"),"INSIRA N° SERIE")</f>
        <v>DENTRO DA GARANTIA</v>
      </c>
      <c r="E69" s="148"/>
      <c r="F69" s="109">
        <f>IFERROR(MAX(0,IF(I69-(INDEX([1]GARANTIA!$J:$J,MATCH(A69,[1]GARANTIA!$C:$C,0)))&gt;=0,I69-(INDEX([1]GARANTIA!$L:$L,MATCH(A69,[1]GARANTIA!$C:$C,0))),"INSIRA DATA CHAMADO")),"INSIRA N° SERIE")</f>
        <v>0</v>
      </c>
      <c r="G69" s="35">
        <v>20210304</v>
      </c>
      <c r="H69" s="35" t="str">
        <f t="shared" si="5"/>
        <v>MAR</v>
      </c>
      <c r="I69" s="36">
        <v>44263</v>
      </c>
      <c r="J69" s="37">
        <v>44263</v>
      </c>
      <c r="K69" s="39">
        <v>44263</v>
      </c>
      <c r="L69" s="42" t="s">
        <v>11</v>
      </c>
      <c r="M69" s="42" t="s">
        <v>8</v>
      </c>
      <c r="N69" s="42" t="s">
        <v>42</v>
      </c>
      <c r="O69" s="42" t="str">
        <f>IFERROR(INDEX([1]GARANTIA!$E:$E,MATCH(A69,[1]GARANTIA!$C:$C,0)),"INSIRA N° SERIE")</f>
        <v>MTI - 4.000GES</v>
      </c>
      <c r="P69" s="60" t="s">
        <v>292</v>
      </c>
      <c r="Q69" s="43" t="s">
        <v>324</v>
      </c>
      <c r="R69" s="60" t="s">
        <v>127</v>
      </c>
      <c r="S69" s="44" t="s">
        <v>101</v>
      </c>
      <c r="T69" s="44" t="s">
        <v>306</v>
      </c>
      <c r="U69" s="45"/>
      <c r="V69" s="41" t="str">
        <f>IFERROR(INDEX([1]GARANTIA!$G:$G,MATCH(A69,[1]GARANTIA!$C:$C,0)),"INSIRA N° SERIE")</f>
        <v xml:space="preserve">BARREIRINHAS </v>
      </c>
      <c r="W69" s="41" t="str">
        <f>IFERROR(INDEX([1]GARANTIA!$H:$H,MATCH(A69,[1]GARANTIA!$C:$C,0)),"INSIRA N° SERIE")</f>
        <v>MA</v>
      </c>
      <c r="X69" s="41" t="str">
        <f>IFERROR(INDEX([1]GARANTIA!$F:$F,MATCH(A69,[1]GARANTIA!$C:$C,0)),"INSIRA N° SERIE")</f>
        <v>NORDESTE</v>
      </c>
      <c r="Y69" s="74">
        <f t="shared" si="6"/>
        <v>0</v>
      </c>
      <c r="Z69" s="75">
        <f t="shared" si="7"/>
        <v>0</v>
      </c>
      <c r="AA69" s="74">
        <f t="shared" si="8"/>
        <v>0</v>
      </c>
      <c r="AB69" s="46" t="str" cm="1">
        <f t="array" ref="AB69">IFERROR(_xlfn.IFS(L69="FINALIZADO PRESENCIAL",IF(AA69&gt;10,"FORA","DENTRO"),L69="FINALIZADO REMOTO",IF(AA69&gt;5,"FORA","DENTRO")),"-")</f>
        <v>DENTRO</v>
      </c>
      <c r="AC69" s="41" t="s">
        <v>1671</v>
      </c>
      <c r="AD69" s="41" t="s">
        <v>1671</v>
      </c>
      <c r="AE69" s="48" cm="1">
        <f t="array" ref="AE69">SUMPRODUCT(IFERROR(('[2]PEÇAS GARANTIA'!$A$3:$A$5993=G69)*('[2]PEÇAS GARANTIA'!$A$3:$A$5993&lt;&gt;"")*('[2]PEÇAS GARANTIA'!$R$3:$R$5993),0))</f>
        <v>250</v>
      </c>
      <c r="AF69" s="178">
        <v>440</v>
      </c>
    </row>
    <row r="70" spans="1:32" s="49" customFormat="1" ht="40.15" customHeight="1" x14ac:dyDescent="0.25">
      <c r="A70" s="82">
        <v>98426</v>
      </c>
      <c r="B70" s="41" t="str">
        <f>IFERROR(INDEX([1]GARANTIA!$B:$B,MATCH(A70,[1]GARANTIA!$C:$C,0)),"INSIRA N° SERIE")</f>
        <v>TESTE 270</v>
      </c>
      <c r="C70" s="33">
        <f>IFERROR(INDEX([1]GARANTIA!$J:$J,MATCH(A70,[1]GARANTIA!$C:$C,0)),"INSIRA N° SERIE")</f>
        <v>43852</v>
      </c>
      <c r="D70" s="33" t="str">
        <f>IFERROR(IF(INDEX([1]GARANTIA!$M:$M,MATCH(A70,[1]GARANTIA!$C:$C,0))&gt;=I70,"DENTRO DA GARANTIA","FORA DE GARANTIA"),"INSIRA N° SERIE")</f>
        <v>DENTRO DA GARANTIA</v>
      </c>
      <c r="E70" s="148"/>
      <c r="F70" s="109">
        <f>IFERROR(MAX(0,IF(I70-(INDEX([1]GARANTIA!$J:$J,MATCH(A70,[1]GARANTIA!$C:$C,0)))&gt;=0,I70-(INDEX([1]GARANTIA!$L:$L,MATCH(A70,[1]GARANTIA!$C:$C,0))),"INSIRA DATA CHAMADO")),"INSIRA N° SERIE")</f>
        <v>150</v>
      </c>
      <c r="G70" s="35">
        <v>20210305</v>
      </c>
      <c r="H70" s="35" t="str">
        <f t="shared" si="5"/>
        <v>MAR</v>
      </c>
      <c r="I70" s="36">
        <v>44263</v>
      </c>
      <c r="J70" s="37">
        <v>44264</v>
      </c>
      <c r="K70" s="38">
        <v>44264</v>
      </c>
      <c r="L70" s="42" t="s">
        <v>23</v>
      </c>
      <c r="M70" s="42" t="s">
        <v>8</v>
      </c>
      <c r="N70" s="42" t="s">
        <v>42</v>
      </c>
      <c r="O70" s="42" t="str">
        <f>IFERROR(INDEX([1]GARANTIA!$E:$E,MATCH(A70,[1]GARANTIA!$C:$C,0)),"INSIRA N° SERIE")</f>
        <v>MTI - 17.000GT</v>
      </c>
      <c r="P70" s="60" t="s">
        <v>229</v>
      </c>
      <c r="Q70" s="43" t="s">
        <v>324</v>
      </c>
      <c r="R70" s="60" t="s">
        <v>114</v>
      </c>
      <c r="S70" s="44" t="s">
        <v>638</v>
      </c>
      <c r="T70" s="44" t="s">
        <v>144</v>
      </c>
      <c r="U70" s="45"/>
      <c r="V70" s="41" t="str">
        <f>IFERROR(INDEX([1]GARANTIA!$G:$G,MATCH(A70,[1]GARANTIA!$C:$C,0)),"INSIRA N° SERIE")</f>
        <v>PARAGUAY</v>
      </c>
      <c r="W70" s="41" t="str">
        <f>IFERROR(INDEX([1]GARANTIA!$H:$H,MATCH(A70,[1]GARANTIA!$C:$C,0)),"INSIRA N° SERIE")</f>
        <v>PGY</v>
      </c>
      <c r="X70" s="41" t="str">
        <f>IFERROR(INDEX([1]GARANTIA!$F:$F,MATCH(A70,[1]GARANTIA!$C:$C,0)),"INSIRA N° SERIE")</f>
        <v xml:space="preserve">INTERNACIONAL </v>
      </c>
      <c r="Y70" s="46">
        <f t="shared" si="6"/>
        <v>1</v>
      </c>
      <c r="Z70" s="47">
        <f t="shared" si="7"/>
        <v>0</v>
      </c>
      <c r="AA70" s="46">
        <f t="shared" si="8"/>
        <v>1</v>
      </c>
      <c r="AB70" s="46" t="str" cm="1">
        <f t="array" ref="AB70">IFERROR(_xlfn.IFS(L70="FINALIZADO PRESENCIAL",IF(AA70&gt;10,"FORA","DENTRO"),L70="FINALIZADO REMOTO",IF(AA70&gt;5,"FORA","DENTRO")),"-")</f>
        <v>DENTRO</v>
      </c>
      <c r="AC70" s="41" t="s">
        <v>1671</v>
      </c>
      <c r="AD70" s="41" t="s">
        <v>1671</v>
      </c>
      <c r="AE70" s="48" cm="1">
        <f t="array" ref="AE70">SUMPRODUCT(IFERROR(('[2]PEÇAS GARANTIA'!$A$3:$A$5993=G70)*('[2]PEÇAS GARANTIA'!$A$3:$A$5993&lt;&gt;"")*('[2]PEÇAS GARANTIA'!$R$3:$R$5993),0))</f>
        <v>3100</v>
      </c>
      <c r="AF70" s="178">
        <v>0</v>
      </c>
    </row>
    <row r="71" spans="1:32" s="49" customFormat="1" ht="40.15" customHeight="1" x14ac:dyDescent="0.25">
      <c r="A71" s="82">
        <v>16030</v>
      </c>
      <c r="B71" s="41" t="str">
        <f>IFERROR(INDEX([1]GARANTIA!$B:$B,MATCH(A71,[1]GARANTIA!$C:$C,0)),"INSIRA N° SERIE")</f>
        <v>TESTE 219</v>
      </c>
      <c r="C71" s="33">
        <f>IFERROR(INDEX([1]GARANTIA!$J:$J,MATCH(A71,[1]GARANTIA!$C:$C,0)),"INSIRA N° SERIE")</f>
        <v>43630</v>
      </c>
      <c r="D71" s="33" t="str">
        <f>IFERROR(IF(INDEX([1]GARANTIA!$M:$M,MATCH(A71,[1]GARANTIA!$C:$C,0))&gt;=I71,"DENTRO DA GARANTIA","FORA DE GARANTIA"),"INSIRA N° SERIE")</f>
        <v>DENTRO DA GARANTIA</v>
      </c>
      <c r="E71" s="148"/>
      <c r="F71" s="109">
        <f>IFERROR(MAX(0,IF(I71-(INDEX([1]GARANTIA!$J:$J,MATCH(A71,[1]GARANTIA!$C:$C,0)))&gt;=0,I71-(INDEX([1]GARANTIA!$L:$L,MATCH(A71,[1]GARANTIA!$C:$C,0))),"INSIRA DATA CHAMADO")),"INSIRA N° SERIE")</f>
        <v>317</v>
      </c>
      <c r="G71" s="35">
        <v>20210306</v>
      </c>
      <c r="H71" s="35" t="str">
        <f t="shared" si="5"/>
        <v>MAR</v>
      </c>
      <c r="I71" s="36">
        <v>44263</v>
      </c>
      <c r="J71" s="37">
        <v>44263</v>
      </c>
      <c r="K71" s="38">
        <v>44267</v>
      </c>
      <c r="L71" s="42" t="s">
        <v>23</v>
      </c>
      <c r="M71" s="42" t="s">
        <v>8</v>
      </c>
      <c r="N71" s="42" t="s">
        <v>45</v>
      </c>
      <c r="O71" s="42" t="str">
        <f>IFERROR(INDEX([1]GARANTIA!$E:$E,MATCH(A71,[1]GARANTIA!$C:$C,0)),"INSIRA N° SERIE")</f>
        <v>TR - 1</v>
      </c>
      <c r="P71" s="60" t="s">
        <v>228</v>
      </c>
      <c r="Q71" s="43" t="s">
        <v>327</v>
      </c>
      <c r="R71" s="60" t="s">
        <v>115</v>
      </c>
      <c r="S71" s="44" t="s">
        <v>325</v>
      </c>
      <c r="T71" s="44" t="s">
        <v>640</v>
      </c>
      <c r="U71" s="45"/>
      <c r="V71" s="41" t="str">
        <f>IFERROR(INDEX([1]GARANTIA!$G:$G,MATCH(A71,[1]GARANTIA!$C:$C,0)),"INSIRA N° SERIE")</f>
        <v xml:space="preserve">CAMAÇARI </v>
      </c>
      <c r="W71" s="41" t="str">
        <f>IFERROR(INDEX([1]GARANTIA!$H:$H,MATCH(A71,[1]GARANTIA!$C:$C,0)),"INSIRA N° SERIE")</f>
        <v>BA</v>
      </c>
      <c r="X71" s="41" t="str">
        <f>IFERROR(INDEX([1]GARANTIA!$F:$F,MATCH(A71,[1]GARANTIA!$C:$C,0)),"INSIRA N° SERIE")</f>
        <v>NORDESTE</v>
      </c>
      <c r="Y71" s="46">
        <f t="shared" si="6"/>
        <v>0</v>
      </c>
      <c r="Z71" s="47">
        <f t="shared" si="7"/>
        <v>4</v>
      </c>
      <c r="AA71" s="46">
        <f t="shared" si="8"/>
        <v>4</v>
      </c>
      <c r="AB71" s="46" t="str" cm="1">
        <f t="array" ref="AB71">IFERROR(_xlfn.IFS(L71="FINALIZADO PRESENCIAL",IF(AA71&gt;10,"FORA","DENTRO"),L71="FINALIZADO REMOTO",IF(AA71&gt;5,"FORA","DENTRO")),"-")</f>
        <v>DENTRO</v>
      </c>
      <c r="AC71" s="41" t="s">
        <v>1671</v>
      </c>
      <c r="AD71" s="41" t="s">
        <v>1671</v>
      </c>
      <c r="AE71" s="48" cm="1">
        <f t="array" ref="AE71">SUMPRODUCT(IFERROR(('[2]PEÇAS GARANTIA'!$A$3:$A$5993=G71)*('[2]PEÇAS GARANTIA'!$A$3:$A$5993&lt;&gt;"")*('[2]PEÇAS GARANTIA'!$R$3:$R$5993),0))</f>
        <v>160.37</v>
      </c>
      <c r="AF71" s="178">
        <v>0</v>
      </c>
    </row>
    <row r="72" spans="1:32" s="49" customFormat="1" ht="40.15" customHeight="1" x14ac:dyDescent="0.25">
      <c r="A72" s="82">
        <v>9998</v>
      </c>
      <c r="B72" s="41" t="str">
        <f>IFERROR(INDEX([1]GARANTIA!$B:$B,MATCH(A72,[1]GARANTIA!$C:$C,0)),"INSIRA N° SERIE")</f>
        <v>TESTE 115</v>
      </c>
      <c r="C72" s="33">
        <f>IFERROR(INDEX([1]GARANTIA!$J:$J,MATCH(A72,[1]GARANTIA!$C:$C,0)),"INSIRA N° SERIE")</f>
        <v>43738</v>
      </c>
      <c r="D72" s="33" t="str">
        <f>IFERROR(IF(INDEX([1]GARANTIA!$M:$M,MATCH(A72,[1]GARANTIA!$C:$C,0))&gt;=I72,"DENTRO DA GARANTIA","FORA DE GARANTIA"),"INSIRA N° SERIE")</f>
        <v>DENTRO DA GARANTIA</v>
      </c>
      <c r="E72" s="148"/>
      <c r="F72" s="109">
        <f>IFERROR(MAX(0,IF(I72-(INDEX([1]GARANTIA!$J:$J,MATCH(A72,[1]GARANTIA!$C:$C,0)))&gt;=0,I72-(INDEX([1]GARANTIA!$L:$L,MATCH(A72,[1]GARANTIA!$C:$C,0))),"INSIRA DATA CHAMADO")),"INSIRA N° SERIE")</f>
        <v>291</v>
      </c>
      <c r="G72" s="35">
        <v>20210307</v>
      </c>
      <c r="H72" s="35" t="str">
        <f t="shared" si="5"/>
        <v>MAR</v>
      </c>
      <c r="I72" s="36">
        <v>44263</v>
      </c>
      <c r="J72" s="37">
        <v>44263</v>
      </c>
      <c r="K72" s="38">
        <v>44267</v>
      </c>
      <c r="L72" s="42" t="s">
        <v>11</v>
      </c>
      <c r="M72" s="42" t="s">
        <v>8</v>
      </c>
      <c r="N72" s="42" t="s">
        <v>28</v>
      </c>
      <c r="O72" s="42" t="str">
        <f>IFERROR(INDEX([1]GARANTIA!$E:$E,MATCH(A72,[1]GARANTIA!$C:$C,0)),"INSIRA N° SERIE")</f>
        <v>MTI - 2.500GTS</v>
      </c>
      <c r="P72" s="60" t="s">
        <v>293</v>
      </c>
      <c r="Q72" s="43" t="s">
        <v>328</v>
      </c>
      <c r="R72" s="60" t="s">
        <v>117</v>
      </c>
      <c r="S72" s="44" t="s">
        <v>101</v>
      </c>
      <c r="T72" s="44" t="s">
        <v>142</v>
      </c>
      <c r="U72" s="45"/>
      <c r="V72" s="41" t="str">
        <f>IFERROR(INDEX([1]GARANTIA!$G:$G,MATCH(A72,[1]GARANTIA!$C:$C,0)),"INSIRA N° SERIE")</f>
        <v xml:space="preserve">DOURADOS </v>
      </c>
      <c r="W72" s="41" t="str">
        <f>IFERROR(INDEX([1]GARANTIA!$H:$H,MATCH(A72,[1]GARANTIA!$C:$C,0)),"INSIRA N° SERIE")</f>
        <v>MS</v>
      </c>
      <c r="X72" s="41" t="str">
        <f>IFERROR(INDEX([1]GARANTIA!$F:$F,MATCH(A72,[1]GARANTIA!$C:$C,0)),"INSIRA N° SERIE")</f>
        <v>CENTROESTE</v>
      </c>
      <c r="Y72" s="74">
        <f t="shared" si="6"/>
        <v>0</v>
      </c>
      <c r="Z72" s="75">
        <f t="shared" si="7"/>
        <v>4</v>
      </c>
      <c r="AA72" s="74">
        <f t="shared" si="8"/>
        <v>4</v>
      </c>
      <c r="AB72" s="46" t="str" cm="1">
        <f t="array" ref="AB72">IFERROR(_xlfn.IFS(L72="FINALIZADO PRESENCIAL",IF(AA72&gt;10,"FORA","DENTRO"),L72="FINALIZADO REMOTO",IF(AA72&gt;5,"FORA","DENTRO")),"-")</f>
        <v>DENTRO</v>
      </c>
      <c r="AC72" s="41" t="s">
        <v>1671</v>
      </c>
      <c r="AD72" s="41" t="s">
        <v>1671</v>
      </c>
      <c r="AE72" s="48" cm="1">
        <f t="array" ref="AE72">SUMPRODUCT(IFERROR(('[2]PEÇAS GARANTIA'!$A$3:$A$5993=G72)*('[2]PEÇAS GARANTIA'!$A$3:$A$5993&lt;&gt;"")*('[2]PEÇAS GARANTIA'!$R$3:$R$5993),0))</f>
        <v>3873.1200000000003</v>
      </c>
      <c r="AF72" s="178">
        <v>260</v>
      </c>
    </row>
    <row r="73" spans="1:32" s="53" customFormat="1" ht="40.15" customHeight="1" x14ac:dyDescent="0.25">
      <c r="A73" s="82">
        <v>26351</v>
      </c>
      <c r="B73" s="41" t="str">
        <f>IFERROR(INDEX([1]GARANTIA!$B:$B,MATCH(A73,[1]GARANTIA!$C:$C,0)),"INSIRA N° SERIE")</f>
        <v>TESTE 91</v>
      </c>
      <c r="C73" s="33">
        <f>IFERROR(INDEX([1]GARANTIA!$J:$J,MATCH(A73,[1]GARANTIA!$C:$C,0)),"INSIRA N° SERIE")</f>
        <v>44123</v>
      </c>
      <c r="D73" s="33" t="str">
        <f>IFERROR(IF(INDEX([1]GARANTIA!$M:$M,MATCH(A73,[1]GARANTIA!$C:$C,0))&gt;=I73,"DENTRO DA GARANTIA","FORA DE GARANTIA"),"INSIRA N° SERIE")</f>
        <v>DENTRO DA GARANTIA</v>
      </c>
      <c r="E73" s="148"/>
      <c r="F73" s="109">
        <f>IFERROR(MAX(0,IF(I73-(INDEX([1]GARANTIA!$J:$J,MATCH(A73,[1]GARANTIA!$C:$C,0)))&gt;=0,I73-(INDEX([1]GARANTIA!$L:$L,MATCH(A73,[1]GARANTIA!$C:$C,0))),"INSIRA DATA CHAMADO")),"INSIRA N° SERIE")</f>
        <v>25</v>
      </c>
      <c r="G73" s="17">
        <v>20210309</v>
      </c>
      <c r="H73" s="35" t="str">
        <f t="shared" si="5"/>
        <v>MAR</v>
      </c>
      <c r="I73" s="36">
        <v>44264</v>
      </c>
      <c r="J73" s="37">
        <v>44264</v>
      </c>
      <c r="K73" s="38">
        <v>44267</v>
      </c>
      <c r="L73" s="42" t="s">
        <v>23</v>
      </c>
      <c r="M73" s="42" t="s">
        <v>8</v>
      </c>
      <c r="N73" s="42" t="s">
        <v>27</v>
      </c>
      <c r="O73" s="42" t="str">
        <f>IFERROR(INDEX([1]GARANTIA!$E:$E,MATCH(A73,[1]GARANTIA!$C:$C,0)),"INSIRA N° SERIE")</f>
        <v>MTI - 1.000GTS</v>
      </c>
      <c r="P73" s="60" t="s">
        <v>226</v>
      </c>
      <c r="Q73" s="43" t="s">
        <v>38</v>
      </c>
      <c r="R73" s="60" t="s">
        <v>104</v>
      </c>
      <c r="S73" s="44" t="s">
        <v>101</v>
      </c>
      <c r="T73" s="44" t="s">
        <v>296</v>
      </c>
      <c r="U73" s="45"/>
      <c r="V73" s="41" t="str">
        <f>IFERROR(INDEX([1]GARANTIA!$G:$G,MATCH(A73,[1]GARANTIA!$C:$C,0)),"INSIRA N° SERIE")</f>
        <v>CAPIVARI</v>
      </c>
      <c r="W73" s="41" t="str">
        <f>IFERROR(INDEX([1]GARANTIA!$H:$H,MATCH(A73,[1]GARANTIA!$C:$C,0)),"INSIRA N° SERIE")</f>
        <v>SP</v>
      </c>
      <c r="X73" s="41" t="str">
        <f>IFERROR(INDEX([1]GARANTIA!$F:$F,MATCH(A73,[1]GARANTIA!$C:$C,0)),"INSIRA N° SERIE")</f>
        <v>SUDESTE</v>
      </c>
      <c r="Y73" s="46">
        <f t="shared" si="6"/>
        <v>0</v>
      </c>
      <c r="Z73" s="47">
        <f t="shared" si="7"/>
        <v>3</v>
      </c>
      <c r="AA73" s="46">
        <f t="shared" si="8"/>
        <v>3</v>
      </c>
      <c r="AB73" s="46" t="str" cm="1">
        <f t="array" ref="AB73">IFERROR(_xlfn.IFS(L73="FINALIZADO PRESENCIAL",IF(AA73&gt;10,"FORA","DENTRO"),L73="FINALIZADO REMOTO",IF(AA73&gt;5,"FORA","DENTRO")),"-")</f>
        <v>DENTRO</v>
      </c>
      <c r="AC73" s="41" t="s">
        <v>1671</v>
      </c>
      <c r="AD73" s="41" t="s">
        <v>1671</v>
      </c>
      <c r="AE73" s="48" cm="1">
        <f t="array" ref="AE73">SUMPRODUCT(IFERROR(('[2]PEÇAS GARANTIA'!$A$3:$A$5993=G73)*('[2]PEÇAS GARANTIA'!$A$3:$A$5993&lt;&gt;"")*('[2]PEÇAS GARANTIA'!$R$3:$R$5993),0))</f>
        <v>0</v>
      </c>
      <c r="AF73" s="178">
        <v>0</v>
      </c>
    </row>
    <row r="74" spans="1:32" s="126" customFormat="1" ht="40.15" customHeight="1" x14ac:dyDescent="0.25">
      <c r="A74" s="117">
        <v>9992</v>
      </c>
      <c r="B74" s="118" t="str">
        <f>IFERROR(INDEX([1]GARANTIA!$B:$B,MATCH(A74,[1]GARANTIA!$C:$C,0)),"INSIRA N° SERIE")</f>
        <v>TESTE 258</v>
      </c>
      <c r="C74" s="119">
        <f>IFERROR(INDEX([1]GARANTIA!$J:$J,MATCH(A74,[1]GARANTIA!$C:$C,0)),"INSIRA N° SERIE")</f>
        <v>43410</v>
      </c>
      <c r="D74" s="119" t="str">
        <f>IFERROR(IF(INDEX([1]GARANTIA!$M:$M,MATCH(A74,[1]GARANTIA!$C:$C,0))&gt;=I74,"DENTRO DA GARANTIA","FORA DE GARANTIA"),"INSIRA N° SERIE")</f>
        <v>FORA DE GARANTIA</v>
      </c>
      <c r="E74" s="121"/>
      <c r="F74" s="127">
        <f>IFERROR(MAX(0,IF(I74-(INDEX([1]GARANTIA!$J:$J,MATCH(A74,[1]GARANTIA!$C:$C,0)))&gt;=0,I74-(INDEX([1]GARANTIA!$L:$L,MATCH(A74,[1]GARANTIA!$C:$C,0))),"INSIRA DATA CHAMADO")),"INSIRA N° SERIE")</f>
        <v>679</v>
      </c>
      <c r="G74" s="121">
        <v>20210310</v>
      </c>
      <c r="H74" s="35" t="str">
        <f t="shared" si="5"/>
        <v>MAR</v>
      </c>
      <c r="I74" s="119">
        <v>44264</v>
      </c>
      <c r="J74" s="119">
        <v>44264</v>
      </c>
      <c r="K74" s="119">
        <v>44267</v>
      </c>
      <c r="L74" s="118" t="s">
        <v>23</v>
      </c>
      <c r="M74" s="118" t="s">
        <v>8</v>
      </c>
      <c r="N74" s="118" t="s">
        <v>38</v>
      </c>
      <c r="O74" s="118" t="str">
        <f>IFERROR(INDEX([1]GARANTIA!$E:$E,MATCH(A74,[1]GARANTIA!$C:$C,0)),"INSIRA N° SERIE")</f>
        <v>MTI - 4.000GTS</v>
      </c>
      <c r="P74" s="123" t="s">
        <v>225</v>
      </c>
      <c r="Q74" s="118" t="s">
        <v>99</v>
      </c>
      <c r="R74" s="123" t="s">
        <v>94</v>
      </c>
      <c r="S74" s="118" t="s">
        <v>325</v>
      </c>
      <c r="T74" s="118" t="s">
        <v>640</v>
      </c>
      <c r="U74" s="124"/>
      <c r="V74" s="118" t="str">
        <f>IFERROR(INDEX([1]GARANTIA!$G:$G,MATCH(A74,[1]GARANTIA!$C:$C,0)),"INSIRA N° SERIE")</f>
        <v>MANACAPURU</v>
      </c>
      <c r="W74" s="118" t="str">
        <f>IFERROR(INDEX([1]GARANTIA!$H:$H,MATCH(A74,[1]GARANTIA!$C:$C,0)),"INSIRA N° SERIE")</f>
        <v>AM</v>
      </c>
      <c r="X74" s="118" t="str">
        <f>IFERROR(INDEX([1]GARANTIA!$F:$F,MATCH(A74,[1]GARANTIA!$C:$C,0)),"INSIRA N° SERIE")</f>
        <v>NORTE</v>
      </c>
      <c r="Y74" s="118">
        <f t="shared" si="6"/>
        <v>0</v>
      </c>
      <c r="Z74" s="125">
        <f t="shared" si="7"/>
        <v>3</v>
      </c>
      <c r="AA74" s="118">
        <f t="shared" si="8"/>
        <v>3</v>
      </c>
      <c r="AB74" s="46" t="str" cm="1">
        <f t="array" ref="AB74">IFERROR(_xlfn.IFS(L74="FINALIZADO PRESENCIAL",IF(AA74&gt;10,"FORA","DENTRO"),L74="FINALIZADO REMOTO",IF(AA74&gt;5,"FORA","DENTRO")),"-")</f>
        <v>DENTRO</v>
      </c>
      <c r="AC74" s="41" t="s">
        <v>1671</v>
      </c>
      <c r="AD74" s="41" t="s">
        <v>1671</v>
      </c>
      <c r="AE74" s="48" cm="1">
        <f t="array" ref="AE74">SUMPRODUCT(IFERROR(('[2]PEÇAS GARANTIA'!$A$3:$A$5993=G74)*('[2]PEÇAS GARANTIA'!$A$3:$A$5993&lt;&gt;"")*('[2]PEÇAS GARANTIA'!$R$3:$R$5993),0))</f>
        <v>0</v>
      </c>
      <c r="AF74" s="178">
        <v>0</v>
      </c>
    </row>
    <row r="75" spans="1:32" s="126" customFormat="1" ht="40.15" customHeight="1" x14ac:dyDescent="0.25">
      <c r="A75" s="117">
        <v>9997</v>
      </c>
      <c r="B75" s="118" t="str">
        <f>IFERROR(INDEX([1]GARANTIA!$B:$B,MATCH(A75,[1]GARANTIA!$C:$C,0)),"INSIRA N° SERIE")</f>
        <v>TESTE 164</v>
      </c>
      <c r="C75" s="119">
        <f>IFERROR(INDEX([1]GARANTIA!$J:$J,MATCH(A75,[1]GARANTIA!$C:$C,0)),"INSIRA N° SERIE")</f>
        <v>43008</v>
      </c>
      <c r="D75" s="119" t="str">
        <f>IFERROR(IF(INDEX([1]GARANTIA!$M:$M,MATCH(A75,[1]GARANTIA!$C:$C,0))&gt;=I75,"DENTRO DA GARANTIA","FORA DE GARANTIA"),"INSIRA N° SERIE")</f>
        <v>FORA DE GARANTIA</v>
      </c>
      <c r="E75" s="121"/>
      <c r="F75" s="127">
        <f>IFERROR(MAX(0,IF(I75-(INDEX([1]GARANTIA!$J:$J,MATCH(A75,[1]GARANTIA!$C:$C,0)))&gt;=0,I75-(INDEX([1]GARANTIA!$L:$L,MATCH(A75,[1]GARANTIA!$C:$C,0))),"INSIRA DATA CHAMADO")),"INSIRA N° SERIE")</f>
        <v>660</v>
      </c>
      <c r="G75" s="121">
        <v>20210311</v>
      </c>
      <c r="H75" s="35" t="str">
        <f t="shared" si="5"/>
        <v>MAR</v>
      </c>
      <c r="I75" s="119">
        <v>44265</v>
      </c>
      <c r="J75" s="119">
        <v>44265</v>
      </c>
      <c r="K75" s="119">
        <v>44265</v>
      </c>
      <c r="L75" s="118" t="s">
        <v>23</v>
      </c>
      <c r="M75" s="118" t="s">
        <v>8</v>
      </c>
      <c r="N75" s="118" t="s">
        <v>53</v>
      </c>
      <c r="O75" s="118" t="str">
        <f>IFERROR(INDEX([1]GARANTIA!$E:$E,MATCH(A75,[1]GARANTIA!$C:$C,0)),"INSIRA N° SERIE")</f>
        <v>MAC 7.000 GT</v>
      </c>
      <c r="P75" s="123" t="s">
        <v>214</v>
      </c>
      <c r="Q75" s="118" t="s">
        <v>99</v>
      </c>
      <c r="R75" s="123" t="s">
        <v>95</v>
      </c>
      <c r="S75" s="118" t="s">
        <v>99</v>
      </c>
      <c r="T75" s="118" t="s">
        <v>360</v>
      </c>
      <c r="U75" s="124"/>
      <c r="V75" s="118" t="str">
        <f>IFERROR(INDEX([1]GARANTIA!$G:$G,MATCH(A75,[1]GARANTIA!$C:$C,0)),"INSIRA N° SERIE")</f>
        <v>SANTA CRUZ DE LA SIERRA</v>
      </c>
      <c r="W75" s="118" t="str">
        <f>IFERROR(INDEX([1]GARANTIA!$H:$H,MATCH(A75,[1]GARANTIA!$C:$C,0)),"INSIRA N° SERIE")</f>
        <v>BOL</v>
      </c>
      <c r="X75" s="118" t="str">
        <f>IFERROR(INDEX([1]GARANTIA!$F:$F,MATCH(A75,[1]GARANTIA!$C:$C,0)),"INSIRA N° SERIE")</f>
        <v xml:space="preserve">INTERNACIONAL </v>
      </c>
      <c r="Y75" s="118">
        <f t="shared" si="6"/>
        <v>0</v>
      </c>
      <c r="Z75" s="125">
        <f t="shared" si="7"/>
        <v>0</v>
      </c>
      <c r="AA75" s="118">
        <f t="shared" si="8"/>
        <v>0</v>
      </c>
      <c r="AB75" s="46" t="str" cm="1">
        <f t="array" ref="AB75">IFERROR(_xlfn.IFS(L75="FINALIZADO PRESENCIAL",IF(AA75&gt;10,"FORA","DENTRO"),L75="FINALIZADO REMOTO",IF(AA75&gt;5,"FORA","DENTRO")),"-")</f>
        <v>DENTRO</v>
      </c>
      <c r="AC75" s="41" t="s">
        <v>1671</v>
      </c>
      <c r="AD75" s="41" t="s">
        <v>1671</v>
      </c>
      <c r="AE75" s="48" cm="1">
        <f t="array" ref="AE75">SUMPRODUCT(IFERROR(('[2]PEÇAS GARANTIA'!$A$3:$A$5993=G75)*('[2]PEÇAS GARANTIA'!$A$3:$A$5993&lt;&gt;"")*('[2]PEÇAS GARANTIA'!$R$3:$R$5993),0))</f>
        <v>0</v>
      </c>
      <c r="AF75" s="178">
        <v>0</v>
      </c>
    </row>
    <row r="76" spans="1:32" s="49" customFormat="1" ht="40.15" customHeight="1" x14ac:dyDescent="0.25">
      <c r="A76" s="82">
        <v>82866</v>
      </c>
      <c r="B76" s="41" t="str">
        <f>IFERROR(INDEX([1]GARANTIA!$B:$B,MATCH(A76,[1]GARANTIA!$C:$C,0)),"INSIRA N° SERIE")</f>
        <v>TESTE 309</v>
      </c>
      <c r="C76" s="33">
        <f>IFERROR(INDEX([1]GARANTIA!$J:$J,MATCH(A76,[1]GARANTIA!$C:$C,0)),"INSIRA N° SERIE")</f>
        <v>44158</v>
      </c>
      <c r="D76" s="33" t="str">
        <f>IFERROR(IF(INDEX([1]GARANTIA!$M:$M,MATCH(A76,[1]GARANTIA!$C:$C,0))&gt;=I76,"DENTRO DA GARANTIA","FORA DE GARANTIA"),"INSIRA N° SERIE")</f>
        <v>DENTRO DA GARANTIA</v>
      </c>
      <c r="E76" s="148"/>
      <c r="F76" s="109">
        <f>IFERROR(MAX(0,IF(I76-(INDEX([1]GARANTIA!$J:$J,MATCH(A76,[1]GARANTIA!$C:$C,0)))&gt;=0,I76-(INDEX([1]GARANTIA!$L:$L,MATCH(A76,[1]GARANTIA!$C:$C,0))),"INSIRA DATA CHAMADO")),"INSIRA N° SERIE")</f>
        <v>6</v>
      </c>
      <c r="G76" s="35">
        <v>20210312</v>
      </c>
      <c r="H76" s="35" t="str">
        <f t="shared" si="5"/>
        <v>MAR</v>
      </c>
      <c r="I76" s="36">
        <v>44266</v>
      </c>
      <c r="J76" s="37">
        <v>44266</v>
      </c>
      <c r="K76" s="38">
        <v>44267</v>
      </c>
      <c r="L76" s="42" t="s">
        <v>23</v>
      </c>
      <c r="M76" s="42" t="s">
        <v>8</v>
      </c>
      <c r="N76" s="42" t="s">
        <v>76</v>
      </c>
      <c r="O76" s="42" t="str">
        <f>IFERROR(INDEX([1]GARANTIA!$E:$E,MATCH(A76,[1]GARANTIA!$C:$C,0)),"INSIRA N° SERIE")</f>
        <v>MTI - 1.000GTS</v>
      </c>
      <c r="P76" s="60" t="s">
        <v>167</v>
      </c>
      <c r="Q76" s="43" t="s">
        <v>38</v>
      </c>
      <c r="R76" s="60" t="s">
        <v>224</v>
      </c>
      <c r="S76" s="44" t="s">
        <v>101</v>
      </c>
      <c r="T76" s="44" t="s">
        <v>296</v>
      </c>
      <c r="U76" s="45"/>
      <c r="V76" s="41" t="str">
        <f>IFERROR(INDEX([1]GARANTIA!$G:$G,MATCH(A76,[1]GARANTIA!$C:$C,0)),"INSIRA N° SERIE")</f>
        <v>SÃO JOSE DEL REI</v>
      </c>
      <c r="W76" s="41" t="str">
        <f>IFERROR(INDEX([1]GARANTIA!$H:$H,MATCH(A76,[1]GARANTIA!$C:$C,0)),"INSIRA N° SERIE")</f>
        <v>MG</v>
      </c>
      <c r="X76" s="41" t="str">
        <f>IFERROR(INDEX([1]GARANTIA!$F:$F,MATCH(A76,[1]GARANTIA!$C:$C,0)),"INSIRA N° SERIE")</f>
        <v>SUDESTE</v>
      </c>
      <c r="Y76" s="46">
        <f t="shared" si="6"/>
        <v>0</v>
      </c>
      <c r="Z76" s="47">
        <f t="shared" si="7"/>
        <v>1</v>
      </c>
      <c r="AA76" s="46">
        <f t="shared" si="8"/>
        <v>1</v>
      </c>
      <c r="AB76" s="46" t="str" cm="1">
        <f t="array" ref="AB76">IFERROR(_xlfn.IFS(L76="FINALIZADO PRESENCIAL",IF(AA76&gt;10,"FORA","DENTRO"),L76="FINALIZADO REMOTO",IF(AA76&gt;5,"FORA","DENTRO")),"-")</f>
        <v>DENTRO</v>
      </c>
      <c r="AC76" s="41" t="s">
        <v>1671</v>
      </c>
      <c r="AD76" s="41" t="s">
        <v>1671</v>
      </c>
      <c r="AE76" s="48" cm="1">
        <f t="array" ref="AE76">SUMPRODUCT(IFERROR(('[2]PEÇAS GARANTIA'!$A$3:$A$5993=G76)*('[2]PEÇAS GARANTIA'!$A$3:$A$5993&lt;&gt;"")*('[2]PEÇAS GARANTIA'!$R$3:$R$5993),0))</f>
        <v>0</v>
      </c>
      <c r="AF76" s="178">
        <v>0</v>
      </c>
    </row>
    <row r="77" spans="1:32" s="49" customFormat="1" ht="40.15" customHeight="1" x14ac:dyDescent="0.25">
      <c r="A77" s="82">
        <v>99914</v>
      </c>
      <c r="B77" s="41" t="str">
        <f>IFERROR(INDEX([1]GARANTIA!$B:$B,MATCH(A77,[1]GARANTIA!$C:$C,0)),"INSIRA N° SERIE")</f>
        <v>TESTE 141</v>
      </c>
      <c r="C77" s="33">
        <f>IFERROR(INDEX([1]GARANTIA!$J:$J,MATCH(A77,[1]GARANTIA!$C:$C,0)),"INSIRA N° SERIE")</f>
        <v>43238</v>
      </c>
      <c r="D77" s="33" t="str">
        <f>IFERROR(IF(INDEX([1]GARANTIA!$M:$M,MATCH(A77,[1]GARANTIA!$C:$C,0))&gt;=I77,"DENTRO DA GARANTIA","FORA DE GARANTIA"),"INSIRA N° SERIE")</f>
        <v>FORA DE GARANTIA</v>
      </c>
      <c r="E77" s="148"/>
      <c r="F77" s="109">
        <f>IFERROR(MAX(0,IF(I77-(INDEX([1]GARANTIA!$J:$J,MATCH(A77,[1]GARANTIA!$C:$C,0)))&gt;=0,I77-(INDEX([1]GARANTIA!$L:$L,MATCH(A77,[1]GARANTIA!$C:$C,0))),"INSIRA DATA CHAMADO")),"INSIRA N° SERIE")</f>
        <v>499</v>
      </c>
      <c r="G77" s="35">
        <v>20210313</v>
      </c>
      <c r="H77" s="35" t="str">
        <f t="shared" si="5"/>
        <v>MAR</v>
      </c>
      <c r="I77" s="36">
        <v>44267</v>
      </c>
      <c r="J77" s="37">
        <v>44267</v>
      </c>
      <c r="K77" s="38">
        <v>44267</v>
      </c>
      <c r="L77" s="42" t="s">
        <v>23</v>
      </c>
      <c r="M77" s="42" t="s">
        <v>8</v>
      </c>
      <c r="N77" s="42" t="s">
        <v>76</v>
      </c>
      <c r="O77" s="42" t="str">
        <f>IFERROR(INDEX([1]GARANTIA!$E:$E,MATCH(A77,[1]GARANTIA!$C:$C,0)),"INSIRA N° SERIE")</f>
        <v>MTI - 32.000 GT</v>
      </c>
      <c r="P77" s="60" t="s">
        <v>167</v>
      </c>
      <c r="Q77" s="43" t="s">
        <v>38</v>
      </c>
      <c r="R77" s="60" t="s">
        <v>223</v>
      </c>
      <c r="S77" s="44" t="s">
        <v>101</v>
      </c>
      <c r="T77" s="44" t="s">
        <v>296</v>
      </c>
      <c r="U77" s="45"/>
      <c r="V77" s="41" t="str">
        <f>IFERROR(INDEX([1]GARANTIA!$G:$G,MATCH(A77,[1]GARANTIA!$C:$C,0)),"INSIRA N° SERIE")</f>
        <v>ITAPIRA</v>
      </c>
      <c r="W77" s="41" t="str">
        <f>IFERROR(INDEX([1]GARANTIA!$H:$H,MATCH(A77,[1]GARANTIA!$C:$C,0)),"INSIRA N° SERIE")</f>
        <v>SP</v>
      </c>
      <c r="X77" s="41" t="str">
        <f>IFERROR(INDEX([1]GARANTIA!$F:$F,MATCH(A77,[1]GARANTIA!$C:$C,0)),"INSIRA N° SERIE")</f>
        <v>SUDESTE</v>
      </c>
      <c r="Y77" s="46">
        <f t="shared" si="6"/>
        <v>0</v>
      </c>
      <c r="Z77" s="47">
        <f t="shared" si="7"/>
        <v>0</v>
      </c>
      <c r="AA77" s="46">
        <f t="shared" si="8"/>
        <v>0</v>
      </c>
      <c r="AB77" s="46" t="str" cm="1">
        <f t="array" ref="AB77">IFERROR(_xlfn.IFS(L77="FINALIZADO PRESENCIAL",IF(AA77&gt;10,"FORA","DENTRO"),L77="FINALIZADO REMOTO",IF(AA77&gt;5,"FORA","DENTRO")),"-")</f>
        <v>DENTRO</v>
      </c>
      <c r="AC77" s="41" t="s">
        <v>1671</v>
      </c>
      <c r="AD77" s="41" t="s">
        <v>1671</v>
      </c>
      <c r="AE77" s="48" cm="1">
        <f t="array" ref="AE77">SUMPRODUCT(IFERROR(('[2]PEÇAS GARANTIA'!$A$3:$A$5993=G77)*('[2]PEÇAS GARANTIA'!$A$3:$A$5993&lt;&gt;"")*('[2]PEÇAS GARANTIA'!$R$3:$R$5993),0))</f>
        <v>0</v>
      </c>
      <c r="AF77" s="178">
        <v>0</v>
      </c>
    </row>
    <row r="78" spans="1:32" s="49" customFormat="1" ht="40.15" customHeight="1" x14ac:dyDescent="0.25">
      <c r="A78" s="82">
        <v>37350</v>
      </c>
      <c r="B78" s="41" t="str">
        <f>IFERROR(INDEX([1]GARANTIA!$B:$B,MATCH(A78,[1]GARANTIA!$C:$C,0)),"INSIRA N° SERIE")</f>
        <v>TESTE 56</v>
      </c>
      <c r="C78" s="33">
        <f>IFERROR(INDEX([1]GARANTIA!$J:$J,MATCH(A78,[1]GARANTIA!$C:$C,0)),"INSIRA N° SERIE")</f>
        <v>43738</v>
      </c>
      <c r="D78" s="33" t="str">
        <f>IFERROR(IF(INDEX([1]GARANTIA!$M:$M,MATCH(A78,[1]GARANTIA!$C:$C,0))&gt;=I78,"DENTRO DA GARANTIA","FORA DE GARANTIA"),"INSIRA N° SERIE")</f>
        <v>DENTRO DA GARANTIA</v>
      </c>
      <c r="E78" s="148"/>
      <c r="F78" s="109">
        <f>IFERROR(MAX(0,IF(I78-(INDEX([1]GARANTIA!$J:$J,MATCH(A78,[1]GARANTIA!$C:$C,0)))&gt;=0,I78-(INDEX([1]GARANTIA!$L:$L,MATCH(A78,[1]GARANTIA!$C:$C,0))),"INSIRA DATA CHAMADO")),"INSIRA N° SERIE")</f>
        <v>291</v>
      </c>
      <c r="G78" s="35">
        <v>20210314</v>
      </c>
      <c r="H78" s="35" t="str">
        <f t="shared" si="5"/>
        <v>MAR</v>
      </c>
      <c r="I78" s="36">
        <v>44270</v>
      </c>
      <c r="J78" s="37">
        <v>44270</v>
      </c>
      <c r="K78" s="38">
        <v>44274</v>
      </c>
      <c r="L78" s="42" t="s">
        <v>23</v>
      </c>
      <c r="M78" s="42" t="s">
        <v>8</v>
      </c>
      <c r="N78" s="42" t="s">
        <v>43</v>
      </c>
      <c r="O78" s="42" t="str">
        <f>IFERROR(INDEX([1]GARANTIA!$E:$E,MATCH(A78,[1]GARANTIA!$C:$C,0)),"INSIRA N° SERIE")</f>
        <v>MTI - 7.000GTS</v>
      </c>
      <c r="P78" s="60" t="s">
        <v>222</v>
      </c>
      <c r="Q78" s="43" t="s">
        <v>38</v>
      </c>
      <c r="R78" s="60" t="s">
        <v>221</v>
      </c>
      <c r="S78" s="44" t="s">
        <v>101</v>
      </c>
      <c r="T78" s="44" t="s">
        <v>296</v>
      </c>
      <c r="U78" s="45"/>
      <c r="V78" s="41" t="str">
        <f>IFERROR(INDEX([1]GARANTIA!$G:$G,MATCH(A78,[1]GARANTIA!$C:$C,0)),"INSIRA N° SERIE")</f>
        <v>VINHEDO</v>
      </c>
      <c r="W78" s="41" t="str">
        <f>IFERROR(INDEX([1]GARANTIA!$H:$H,MATCH(A78,[1]GARANTIA!$C:$C,0)),"INSIRA N° SERIE")</f>
        <v>SP</v>
      </c>
      <c r="X78" s="41" t="str">
        <f>IFERROR(INDEX([1]GARANTIA!$F:$F,MATCH(A78,[1]GARANTIA!$C:$C,0)),"INSIRA N° SERIE")</f>
        <v>SUDESTE</v>
      </c>
      <c r="Y78" s="46">
        <f t="shared" si="6"/>
        <v>0</v>
      </c>
      <c r="Z78" s="47">
        <f t="shared" si="7"/>
        <v>4</v>
      </c>
      <c r="AA78" s="46">
        <f t="shared" si="8"/>
        <v>4</v>
      </c>
      <c r="AB78" s="46" t="str" cm="1">
        <f t="array" ref="AB78">IFERROR(_xlfn.IFS(L78="FINALIZADO PRESENCIAL",IF(AA78&gt;10,"FORA","DENTRO"),L78="FINALIZADO REMOTO",IF(AA78&gt;5,"FORA","DENTRO")),"-")</f>
        <v>DENTRO</v>
      </c>
      <c r="AC78" s="41" t="s">
        <v>1671</v>
      </c>
      <c r="AD78" s="41" t="s">
        <v>1671</v>
      </c>
      <c r="AE78" s="48" cm="1">
        <f t="array" ref="AE78">SUMPRODUCT(IFERROR(('[2]PEÇAS GARANTIA'!$A$3:$A$5993=G78)*('[2]PEÇAS GARANTIA'!$A$3:$A$5993&lt;&gt;"")*('[2]PEÇAS GARANTIA'!$R$3:$R$5993),0))</f>
        <v>0</v>
      </c>
      <c r="AF78" s="178">
        <v>0</v>
      </c>
    </row>
    <row r="79" spans="1:32" s="49" customFormat="1" ht="40.15" customHeight="1" x14ac:dyDescent="0.25">
      <c r="A79" s="82">
        <v>48063</v>
      </c>
      <c r="B79" s="41" t="str">
        <f>IFERROR(INDEX([1]GARANTIA!$B:$B,MATCH(A79,[1]GARANTIA!$C:$C,0)),"INSIRA N° SERIE")</f>
        <v>TESTE 26</v>
      </c>
      <c r="C79" s="33">
        <f>IFERROR(INDEX([1]GARANTIA!$J:$J,MATCH(A79,[1]GARANTIA!$C:$C,0)),"INSIRA N° SERIE")</f>
        <v>44012</v>
      </c>
      <c r="D79" s="33" t="str">
        <f>IFERROR(IF(INDEX([1]GARANTIA!$M:$M,MATCH(A79,[1]GARANTIA!$C:$C,0))&gt;=I79,"DENTRO DA GARANTIA","FORA DE GARANTIA"),"INSIRA N° SERIE")</f>
        <v>DENTRO DA GARANTIA</v>
      </c>
      <c r="E79" s="148"/>
      <c r="F79" s="109">
        <f>IFERROR(MAX(0,IF(I79-(INDEX([1]GARANTIA!$J:$J,MATCH(A79,[1]GARANTIA!$C:$C,0)))&gt;=0,I79-(INDEX([1]GARANTIA!$L:$L,MATCH(A79,[1]GARANTIA!$C:$C,0))),"INSIRA DATA CHAMADO")),"INSIRA N° SERIE")</f>
        <v>60</v>
      </c>
      <c r="G79" s="35">
        <v>20210315</v>
      </c>
      <c r="H79" s="35" t="str">
        <f t="shared" si="5"/>
        <v>MAR</v>
      </c>
      <c r="I79" s="36">
        <v>44270</v>
      </c>
      <c r="J79" s="37">
        <v>44270</v>
      </c>
      <c r="K79" s="38">
        <v>44274</v>
      </c>
      <c r="L79" s="42" t="s">
        <v>23</v>
      </c>
      <c r="M79" s="42" t="s">
        <v>8</v>
      </c>
      <c r="N79" s="42" t="s">
        <v>28</v>
      </c>
      <c r="O79" s="42" t="str">
        <f>IFERROR(INDEX([1]GARANTIA!$E:$E,MATCH(A79,[1]GARANTIA!$C:$C,0)),"INSIRA N° SERIE")</f>
        <v>MTI - 4.000GTS</v>
      </c>
      <c r="P79" s="60" t="s">
        <v>220</v>
      </c>
      <c r="Q79" s="43" t="s">
        <v>328</v>
      </c>
      <c r="R79" s="60" t="s">
        <v>131</v>
      </c>
      <c r="S79" s="44" t="s">
        <v>101</v>
      </c>
      <c r="T79" s="44" t="s">
        <v>142</v>
      </c>
      <c r="U79" s="45"/>
      <c r="V79" s="41" t="str">
        <f>IFERROR(INDEX([1]GARANTIA!$G:$G,MATCH(A79,[1]GARANTIA!$C:$C,0)),"INSIRA N° SERIE")</f>
        <v>CERES</v>
      </c>
      <c r="W79" s="41" t="str">
        <f>IFERROR(INDEX([1]GARANTIA!$H:$H,MATCH(A79,[1]GARANTIA!$C:$C,0)),"INSIRA N° SERIE")</f>
        <v xml:space="preserve">GO </v>
      </c>
      <c r="X79" s="41" t="str">
        <f>IFERROR(INDEX([1]GARANTIA!$F:$F,MATCH(A79,[1]GARANTIA!$C:$C,0)),"INSIRA N° SERIE")</f>
        <v>CENTROESTE</v>
      </c>
      <c r="Y79" s="46">
        <f t="shared" si="6"/>
        <v>0</v>
      </c>
      <c r="Z79" s="47">
        <f t="shared" si="7"/>
        <v>4</v>
      </c>
      <c r="AA79" s="46">
        <f t="shared" si="8"/>
        <v>4</v>
      </c>
      <c r="AB79" s="46" t="str" cm="1">
        <f t="array" ref="AB79">IFERROR(_xlfn.IFS(L79="FINALIZADO PRESENCIAL",IF(AA79&gt;10,"FORA","DENTRO"),L79="FINALIZADO REMOTO",IF(AA79&gt;5,"FORA","DENTRO")),"-")</f>
        <v>DENTRO</v>
      </c>
      <c r="AC79" s="41" t="s">
        <v>1671</v>
      </c>
      <c r="AD79" s="41" t="s">
        <v>1671</v>
      </c>
      <c r="AE79" s="48" cm="1">
        <f t="array" ref="AE79">SUMPRODUCT(IFERROR(('[2]PEÇAS GARANTIA'!$A$3:$A$5993=G79)*('[2]PEÇAS GARANTIA'!$A$3:$A$5993&lt;&gt;"")*('[2]PEÇAS GARANTIA'!$R$3:$R$5993),0))</f>
        <v>0</v>
      </c>
      <c r="AF79" s="178">
        <v>0</v>
      </c>
    </row>
    <row r="80" spans="1:32" s="49" customFormat="1" ht="40.15" customHeight="1" x14ac:dyDescent="0.25">
      <c r="A80" s="82">
        <v>86328</v>
      </c>
      <c r="B80" s="41" t="str">
        <f>IFERROR(INDEX([1]GARANTIA!$B:$B,MATCH(A80,[1]GARANTIA!$C:$C,0)),"INSIRA N° SERIE")</f>
        <v>TESTE 211</v>
      </c>
      <c r="C80" s="33">
        <f>IFERROR(INDEX([1]GARANTIA!$J:$J,MATCH(A80,[1]GARANTIA!$C:$C,0)),"INSIRA N° SERIE")</f>
        <v>44084</v>
      </c>
      <c r="D80" s="33" t="str">
        <f>IFERROR(IF(INDEX([1]GARANTIA!$M:$M,MATCH(A80,[1]GARANTIA!$C:$C,0))&gt;=I80,"DENTRO DA GARANTIA","FORA DE GARANTIA"),"INSIRA N° SERIE")</f>
        <v>DENTRO DA GARANTIA</v>
      </c>
      <c r="E80" s="148"/>
      <c r="F80" s="109">
        <f>IFERROR(MAX(0,IF(I80-(INDEX([1]GARANTIA!$J:$J,MATCH(A80,[1]GARANTIA!$C:$C,0)))&gt;=0,I80-(INDEX([1]GARANTIA!$L:$L,MATCH(A80,[1]GARANTIA!$C:$C,0))),"INSIRA DATA CHAMADO")),"INSIRA N° SERIE")</f>
        <v>92</v>
      </c>
      <c r="G80" s="35">
        <v>20210316</v>
      </c>
      <c r="H80" s="35" t="str">
        <f t="shared" si="5"/>
        <v>MAR</v>
      </c>
      <c r="I80" s="36">
        <v>44271</v>
      </c>
      <c r="J80" s="37">
        <v>44271</v>
      </c>
      <c r="K80" s="38">
        <v>44274</v>
      </c>
      <c r="L80" s="42" t="s">
        <v>23</v>
      </c>
      <c r="M80" s="42" t="s">
        <v>8</v>
      </c>
      <c r="N80" s="42" t="s">
        <v>30</v>
      </c>
      <c r="O80" s="42" t="str">
        <f>IFERROR(INDEX([1]GARANTIA!$E:$E,MATCH(A80,[1]GARANTIA!$C:$C,0)),"INSIRA N° SERIE")</f>
        <v>MTI - 1.000GTS</v>
      </c>
      <c r="P80" s="60" t="s">
        <v>219</v>
      </c>
      <c r="Q80" s="43" t="s">
        <v>38</v>
      </c>
      <c r="R80" s="60" t="s">
        <v>218</v>
      </c>
      <c r="S80" s="44" t="s">
        <v>101</v>
      </c>
      <c r="T80" s="44" t="s">
        <v>296</v>
      </c>
      <c r="U80" s="45"/>
      <c r="V80" s="41" t="str">
        <f>IFERROR(INDEX([1]GARANTIA!$G:$G,MATCH(A80,[1]GARANTIA!$C:$C,0)),"INSIRA N° SERIE")</f>
        <v xml:space="preserve">RIO BRANCO </v>
      </c>
      <c r="W80" s="41" t="str">
        <f>IFERROR(INDEX([1]GARANTIA!$H:$H,MATCH(A80,[1]GARANTIA!$C:$C,0)),"INSIRA N° SERIE")</f>
        <v>AC</v>
      </c>
      <c r="X80" s="41" t="str">
        <f>IFERROR(INDEX([1]GARANTIA!$F:$F,MATCH(A80,[1]GARANTIA!$C:$C,0)),"INSIRA N° SERIE")</f>
        <v>NORTE</v>
      </c>
      <c r="Y80" s="46">
        <f t="shared" si="6"/>
        <v>0</v>
      </c>
      <c r="Z80" s="47">
        <f t="shared" si="7"/>
        <v>3</v>
      </c>
      <c r="AA80" s="46">
        <f t="shared" si="8"/>
        <v>3</v>
      </c>
      <c r="AB80" s="46" t="str" cm="1">
        <f t="array" ref="AB80">IFERROR(_xlfn.IFS(L80="FINALIZADO PRESENCIAL",IF(AA80&gt;10,"FORA","DENTRO"),L80="FINALIZADO REMOTO",IF(AA80&gt;5,"FORA","DENTRO")),"-")</f>
        <v>DENTRO</v>
      </c>
      <c r="AC80" s="41" t="s">
        <v>1671</v>
      </c>
      <c r="AD80" s="41" t="s">
        <v>1671</v>
      </c>
      <c r="AE80" s="48" cm="1">
        <f t="array" ref="AE80">SUMPRODUCT(IFERROR(('[2]PEÇAS GARANTIA'!$A$3:$A$5993=G80)*('[2]PEÇAS GARANTIA'!$A$3:$A$5993&lt;&gt;"")*('[2]PEÇAS GARANTIA'!$R$3:$R$5993),0))</f>
        <v>0</v>
      </c>
      <c r="AF80" s="178">
        <v>0</v>
      </c>
    </row>
    <row r="81" spans="1:32" s="49" customFormat="1" ht="40.15" customHeight="1" x14ac:dyDescent="0.25">
      <c r="A81" s="82">
        <v>99525</v>
      </c>
      <c r="B81" s="41" t="str">
        <f>IFERROR(INDEX([1]GARANTIA!$B:$B,MATCH(A81,[1]GARANTIA!$C:$C,0)),"INSIRA N° SERIE")</f>
        <v>TESTE 194</v>
      </c>
      <c r="C81" s="33">
        <f>IFERROR(INDEX([1]GARANTIA!$J:$J,MATCH(A81,[1]GARANTIA!$C:$C,0)),"INSIRA N° SERIE")</f>
        <v>43861</v>
      </c>
      <c r="D81" s="33" t="str">
        <f>IFERROR(IF(INDEX([1]GARANTIA!$M:$M,MATCH(A81,[1]GARANTIA!$C:$C,0))&gt;=I81,"DENTRO DA GARANTIA","FORA DE GARANTIA"),"INSIRA N° SERIE")</f>
        <v>DENTRO DA GARANTIA</v>
      </c>
      <c r="E81" s="148"/>
      <c r="F81" s="109">
        <f>IFERROR(MAX(0,IF(I81-(INDEX([1]GARANTIA!$J:$J,MATCH(A81,[1]GARANTIA!$C:$C,0)))&gt;=0,I81-(INDEX([1]GARANTIA!$L:$L,MATCH(A81,[1]GARANTIA!$C:$C,0))),"INSIRA DATA CHAMADO")),"INSIRA N° SERIE")</f>
        <v>141</v>
      </c>
      <c r="G81" s="35">
        <v>20210424</v>
      </c>
      <c r="H81" s="35" t="str">
        <f t="shared" si="5"/>
        <v>MAR</v>
      </c>
      <c r="I81" s="36">
        <v>44271</v>
      </c>
      <c r="J81" s="37">
        <v>44271</v>
      </c>
      <c r="K81" s="38">
        <v>44273</v>
      </c>
      <c r="L81" s="42" t="s">
        <v>23</v>
      </c>
      <c r="M81" s="42" t="s">
        <v>8</v>
      </c>
      <c r="N81" s="42" t="s">
        <v>50</v>
      </c>
      <c r="O81" s="42" t="str">
        <f>IFERROR(INDEX([1]GARANTIA!$E:$E,MATCH(A81,[1]GARANTIA!$C:$C,0)),"INSIRA N° SERIE")</f>
        <v>EMS - 1</v>
      </c>
      <c r="P81" s="60" t="s">
        <v>203</v>
      </c>
      <c r="Q81" s="43" t="s">
        <v>326</v>
      </c>
      <c r="R81" s="60" t="s">
        <v>107</v>
      </c>
      <c r="S81" s="44" t="s">
        <v>325</v>
      </c>
      <c r="T81" s="44" t="s">
        <v>640</v>
      </c>
      <c r="U81" s="45"/>
      <c r="V81" s="41" t="str">
        <f>IFERROR(INDEX([1]GARANTIA!$G:$G,MATCH(A81,[1]GARANTIA!$C:$C,0)),"INSIRA N° SERIE")</f>
        <v xml:space="preserve">LAGOA SANTA </v>
      </c>
      <c r="W81" s="41" t="str">
        <f>IFERROR(INDEX([1]GARANTIA!$H:$H,MATCH(A81,[1]GARANTIA!$C:$C,0)),"INSIRA N° SERIE")</f>
        <v xml:space="preserve">MG </v>
      </c>
      <c r="X81" s="41" t="str">
        <f>IFERROR(INDEX([1]GARANTIA!$F:$F,MATCH(A81,[1]GARANTIA!$C:$C,0)),"INSIRA N° SERIE")</f>
        <v>SUDESTE</v>
      </c>
      <c r="Y81" s="46">
        <f t="shared" si="6"/>
        <v>0</v>
      </c>
      <c r="Z81" s="47">
        <f t="shared" si="7"/>
        <v>2</v>
      </c>
      <c r="AA81" s="46">
        <f t="shared" si="8"/>
        <v>2</v>
      </c>
      <c r="AB81" s="46" t="str" cm="1">
        <f t="array" ref="AB81">IFERROR(_xlfn.IFS(L81="FINALIZADO PRESENCIAL",IF(AA81&gt;10,"FORA","DENTRO"),L81="FINALIZADO REMOTO",IF(AA81&gt;5,"FORA","DENTRO")),"-")</f>
        <v>DENTRO</v>
      </c>
      <c r="AC81" s="41" t="s">
        <v>1671</v>
      </c>
      <c r="AD81" s="41" t="s">
        <v>1671</v>
      </c>
      <c r="AE81" s="48" cm="1">
        <f t="array" ref="AE81">SUMPRODUCT(IFERROR(('[2]PEÇAS GARANTIA'!$A$3:$A$5993=G81)*('[2]PEÇAS GARANTIA'!$A$3:$A$5993&lt;&gt;"")*('[2]PEÇAS GARANTIA'!$R$3:$R$5993),0))</f>
        <v>20</v>
      </c>
      <c r="AF81" s="178">
        <v>0</v>
      </c>
    </row>
    <row r="82" spans="1:32" s="49" customFormat="1" ht="40.15" customHeight="1" x14ac:dyDescent="0.25">
      <c r="A82" s="82">
        <v>3000224</v>
      </c>
      <c r="B82" s="41" t="str">
        <f>IFERROR(INDEX([1]GARANTIA!$B:$B,MATCH(A82,[1]GARANTIA!$C:$C,0)),"INSIRA N° SERIE")</f>
        <v>TESTE 172</v>
      </c>
      <c r="C82" s="33">
        <f>IFERROR(INDEX([1]GARANTIA!$J:$J,MATCH(A82,[1]GARANTIA!$C:$C,0)),"INSIRA N° SERIE")</f>
        <v>43059</v>
      </c>
      <c r="D82" s="33" t="str">
        <f>IFERROR(IF(INDEX([1]GARANTIA!$M:$M,MATCH(A82,[1]GARANTIA!$C:$C,0))&gt;=I82,"DENTRO DA GARANTIA","FORA DE GARANTIA"),"INSIRA N° SERIE")</f>
        <v>FORA DE GARANTIA</v>
      </c>
      <c r="E82" s="148"/>
      <c r="F82" s="109">
        <f>IFERROR(MAX(0,IF(I82-(INDEX([1]GARANTIA!$J:$J,MATCH(A82,[1]GARANTIA!$C:$C,0)))&gt;=0,I82-(INDEX([1]GARANTIA!$L:$L,MATCH(A82,[1]GARANTIA!$C:$C,0))),"INSIRA DATA CHAMADO")),"INSIRA N° SERIE")</f>
        <v>1090</v>
      </c>
      <c r="G82" s="35">
        <v>20210318</v>
      </c>
      <c r="H82" s="35" t="str">
        <f t="shared" si="5"/>
        <v>MAR</v>
      </c>
      <c r="I82" s="36">
        <v>44272</v>
      </c>
      <c r="J82" s="37">
        <v>44272</v>
      </c>
      <c r="K82" s="38">
        <v>44274</v>
      </c>
      <c r="L82" s="42" t="s">
        <v>23</v>
      </c>
      <c r="M82" s="42" t="s">
        <v>8</v>
      </c>
      <c r="N82" s="42" t="s">
        <v>43</v>
      </c>
      <c r="O82" s="42" t="str">
        <f>IFERROR(INDEX([1]GARANTIA!$E:$E,MATCH(A82,[1]GARANTIA!$C:$C,0)),"INSIRA N° SERIE")</f>
        <v>MAC 7.000 GT</v>
      </c>
      <c r="P82" s="60" t="s">
        <v>217</v>
      </c>
      <c r="Q82" s="43" t="s">
        <v>335</v>
      </c>
      <c r="R82" s="60" t="s">
        <v>106</v>
      </c>
      <c r="S82" s="44" t="s">
        <v>102</v>
      </c>
      <c r="T82" s="44" t="s">
        <v>296</v>
      </c>
      <c r="U82" s="45"/>
      <c r="V82" s="41" t="str">
        <f>IFERROR(INDEX([1]GARANTIA!$G:$G,MATCH(A82,[1]GARANTIA!$C:$C,0)),"INSIRA N° SERIE")</f>
        <v>CONCÓRDIA</v>
      </c>
      <c r="W82" s="41" t="str">
        <f>IFERROR(INDEX([1]GARANTIA!$H:$H,MATCH(A82,[1]GARANTIA!$C:$C,0)),"INSIRA N° SERIE")</f>
        <v>SC</v>
      </c>
      <c r="X82" s="41" t="str">
        <f>IFERROR(INDEX([1]GARANTIA!$F:$F,MATCH(A82,[1]GARANTIA!$C:$C,0)),"INSIRA N° SERIE")</f>
        <v>SUL</v>
      </c>
      <c r="Y82" s="46">
        <f t="shared" si="6"/>
        <v>0</v>
      </c>
      <c r="Z82" s="47">
        <f t="shared" si="7"/>
        <v>2</v>
      </c>
      <c r="AA82" s="46">
        <f t="shared" si="8"/>
        <v>2</v>
      </c>
      <c r="AB82" s="46" t="str" cm="1">
        <f t="array" ref="AB82">IFERROR(_xlfn.IFS(L82="FINALIZADO PRESENCIAL",IF(AA82&gt;10,"FORA","DENTRO"),L82="FINALIZADO REMOTO",IF(AA82&gt;5,"FORA","DENTRO")),"-")</f>
        <v>DENTRO</v>
      </c>
      <c r="AC82" s="41" t="s">
        <v>1671</v>
      </c>
      <c r="AD82" s="41" t="s">
        <v>1671</v>
      </c>
      <c r="AE82" s="48" cm="1">
        <f t="array" ref="AE82">SUMPRODUCT(IFERROR(('[2]PEÇAS GARANTIA'!$A$3:$A$5993=G82)*('[2]PEÇAS GARANTIA'!$A$3:$A$5993&lt;&gt;"")*('[2]PEÇAS GARANTIA'!$R$3:$R$5993),0))</f>
        <v>0</v>
      </c>
      <c r="AF82" s="178">
        <v>0</v>
      </c>
    </row>
    <row r="83" spans="1:32" s="49" customFormat="1" ht="40.15" customHeight="1" x14ac:dyDescent="0.25">
      <c r="A83" s="82">
        <v>3002319</v>
      </c>
      <c r="B83" s="41" t="str">
        <f>IFERROR(INDEX([1]GARANTIA!$B:$B,MATCH(A83,[1]GARANTIA!$C:$C,0)),"INSIRA N° SERIE")</f>
        <v>TESTE 31</v>
      </c>
      <c r="C83" s="33">
        <f>IFERROR(INDEX([1]GARANTIA!$J:$J,MATCH(A83,[1]GARANTIA!$C:$C,0)),"INSIRA N° SERIE")</f>
        <v>43355</v>
      </c>
      <c r="D83" s="33" t="str">
        <f>IFERROR(IF(INDEX([1]GARANTIA!$M:$M,MATCH(A83,[1]GARANTIA!$C:$C,0))&gt;=I83,"DENTRO DA GARANTIA","FORA DE GARANTIA"),"INSIRA N° SERIE")</f>
        <v>DENTRO DA GARANTIA</v>
      </c>
      <c r="E83" s="148"/>
      <c r="F83" s="109">
        <f>IFERROR(MAX(0,IF(I83-(INDEX([1]GARANTIA!$J:$J,MATCH(A83,[1]GARANTIA!$C:$C,0)))&gt;=0,I83-(INDEX([1]GARANTIA!$L:$L,MATCH(A83,[1]GARANTIA!$C:$C,0))),"INSIRA DATA CHAMADO")),"INSIRA N° SERIE")</f>
        <v>105</v>
      </c>
      <c r="G83" s="35">
        <v>20210319</v>
      </c>
      <c r="H83" s="35" t="str">
        <f t="shared" si="5"/>
        <v>MAR</v>
      </c>
      <c r="I83" s="36">
        <v>44273</v>
      </c>
      <c r="J83" s="37">
        <v>44273</v>
      </c>
      <c r="K83" s="39">
        <v>44273</v>
      </c>
      <c r="L83" s="42" t="s">
        <v>11</v>
      </c>
      <c r="M83" s="42" t="s">
        <v>8</v>
      </c>
      <c r="N83" s="42" t="s">
        <v>62</v>
      </c>
      <c r="O83" s="42" t="str">
        <f>IFERROR(INDEX([1]GARANTIA!$E:$E,MATCH(A83,[1]GARANTIA!$C:$C,0)),"INSIRA N° SERIE")</f>
        <v>MTI - 24.000GE</v>
      </c>
      <c r="P83" s="60" t="s">
        <v>216</v>
      </c>
      <c r="Q83" s="43" t="s">
        <v>62</v>
      </c>
      <c r="R83" s="60" t="s">
        <v>215</v>
      </c>
      <c r="S83" s="44" t="s">
        <v>325</v>
      </c>
      <c r="T83" s="72" t="s">
        <v>640</v>
      </c>
      <c r="U83" s="45"/>
      <c r="V83" s="41" t="str">
        <f>IFERROR(INDEX([1]GARANTIA!$G:$G,MATCH(A83,[1]GARANTIA!$C:$C,0)),"INSIRA N° SERIE")</f>
        <v>NOVA VIÇOSA</v>
      </c>
      <c r="W83" s="41" t="str">
        <f>IFERROR(INDEX([1]GARANTIA!$H:$H,MATCH(A83,[1]GARANTIA!$C:$C,0)),"INSIRA N° SERIE")</f>
        <v>BA</v>
      </c>
      <c r="X83" s="41" t="str">
        <f>IFERROR(INDEX([1]GARANTIA!$F:$F,MATCH(A83,[1]GARANTIA!$C:$C,0)),"INSIRA N° SERIE")</f>
        <v>NORDESTE</v>
      </c>
      <c r="Y83" s="74">
        <f t="shared" si="6"/>
        <v>0</v>
      </c>
      <c r="Z83" s="75">
        <f t="shared" si="7"/>
        <v>0</v>
      </c>
      <c r="AA83" s="74">
        <f t="shared" si="8"/>
        <v>0</v>
      </c>
      <c r="AB83" s="46" t="str" cm="1">
        <f t="array" ref="AB83">IFERROR(_xlfn.IFS(L83="FINALIZADO PRESENCIAL",IF(AA83&gt;10,"FORA","DENTRO"),L83="FINALIZADO REMOTO",IF(AA83&gt;5,"FORA","DENTRO")),"-")</f>
        <v>DENTRO</v>
      </c>
      <c r="AC83" s="41" t="s">
        <v>1671</v>
      </c>
      <c r="AD83" s="41" t="s">
        <v>1671</v>
      </c>
      <c r="AE83" s="48" cm="1">
        <f t="array" ref="AE83">SUMPRODUCT(IFERROR(('[2]PEÇAS GARANTIA'!$A$3:$A$5993=G83)*('[2]PEÇAS GARANTIA'!$A$3:$A$5993&lt;&gt;"")*('[2]PEÇAS GARANTIA'!$R$3:$R$5993),0))</f>
        <v>0</v>
      </c>
      <c r="AF83" s="178">
        <v>6183.98</v>
      </c>
    </row>
    <row r="84" spans="1:32" s="126" customFormat="1" ht="40.15" customHeight="1" x14ac:dyDescent="0.25">
      <c r="A84" s="117">
        <v>9996</v>
      </c>
      <c r="B84" s="118" t="str">
        <f>IFERROR(INDEX([1]GARANTIA!$B:$B,MATCH(A84,[1]GARANTIA!$C:$C,0)),"INSIRA N° SERIE")</f>
        <v>TESTE 196</v>
      </c>
      <c r="C84" s="119">
        <f>IFERROR(INDEX([1]GARANTIA!$J:$J,MATCH(A84,[1]GARANTIA!$C:$C,0)),"INSIRA N° SERIE")</f>
        <v>42566</v>
      </c>
      <c r="D84" s="119" t="str">
        <f>IFERROR(IF(INDEX([1]GARANTIA!$M:$M,MATCH(A84,[1]GARANTIA!$C:$C,0))&gt;=I84,"DENTRO DA GARANTIA","FORA DE GARANTIA"),"INSIRA N° SERIE")</f>
        <v>FORA DE GARANTIA</v>
      </c>
      <c r="E84" s="121"/>
      <c r="F84" s="127">
        <f>IFERROR(MAX(0,IF(I84-(INDEX([1]GARANTIA!$J:$J,MATCH(A84,[1]GARANTIA!$C:$C,0)))&gt;=0,I84-(INDEX([1]GARANTIA!$L:$L,MATCH(A84,[1]GARANTIA!$C:$C,0))),"INSIRA DATA CHAMADO")),"INSIRA N° SERIE")</f>
        <v>1431</v>
      </c>
      <c r="G84" s="121">
        <v>20210321</v>
      </c>
      <c r="H84" s="35" t="str">
        <f t="shared" si="5"/>
        <v>MAR</v>
      </c>
      <c r="I84" s="119">
        <v>44273</v>
      </c>
      <c r="J84" s="119">
        <v>44273</v>
      </c>
      <c r="K84" s="122">
        <v>44273</v>
      </c>
      <c r="L84" s="118" t="s">
        <v>23</v>
      </c>
      <c r="M84" s="118" t="s">
        <v>8</v>
      </c>
      <c r="N84" s="118" t="s">
        <v>53</v>
      </c>
      <c r="O84" s="118" t="str">
        <f>IFERROR(INDEX([1]GARANTIA!$E:$E,MATCH(A84,[1]GARANTIA!$C:$C,0)),"INSIRA N° SERIE")</f>
        <v>MAC 15.000 GE</v>
      </c>
      <c r="P84" s="123" t="s">
        <v>214</v>
      </c>
      <c r="Q84" s="118" t="s">
        <v>99</v>
      </c>
      <c r="R84" s="123" t="s">
        <v>95</v>
      </c>
      <c r="S84" s="118" t="s">
        <v>99</v>
      </c>
      <c r="T84" s="118" t="s">
        <v>360</v>
      </c>
      <c r="U84" s="124"/>
      <c r="V84" s="118" t="str">
        <f>IFERROR(INDEX([1]GARANTIA!$G:$G,MATCH(A84,[1]GARANTIA!$C:$C,0)),"INSIRA N° SERIE")</f>
        <v xml:space="preserve">PARANAGUA </v>
      </c>
      <c r="W84" s="118" t="str">
        <f>IFERROR(INDEX([1]GARANTIA!$H:$H,MATCH(A84,[1]GARANTIA!$C:$C,0)),"INSIRA N° SERIE")</f>
        <v>PR</v>
      </c>
      <c r="X84" s="118" t="str">
        <f>IFERROR(INDEX([1]GARANTIA!$F:$F,MATCH(A84,[1]GARANTIA!$C:$C,0)),"INSIRA N° SERIE")</f>
        <v>SUDESTE</v>
      </c>
      <c r="Y84" s="118">
        <f t="shared" si="6"/>
        <v>0</v>
      </c>
      <c r="Z84" s="125">
        <f t="shared" si="7"/>
        <v>0</v>
      </c>
      <c r="AA84" s="118">
        <f t="shared" si="8"/>
        <v>0</v>
      </c>
      <c r="AB84" s="46" t="str" cm="1">
        <f t="array" ref="AB84">IFERROR(_xlfn.IFS(L84="FINALIZADO PRESENCIAL",IF(AA84&gt;10,"FORA","DENTRO"),L84="FINALIZADO REMOTO",IF(AA84&gt;5,"FORA","DENTRO")),"-")</f>
        <v>DENTRO</v>
      </c>
      <c r="AC84" s="41" t="s">
        <v>1671</v>
      </c>
      <c r="AD84" s="41" t="s">
        <v>1671</v>
      </c>
      <c r="AE84" s="48" cm="1">
        <f t="array" ref="AE84">SUMPRODUCT(IFERROR(('[2]PEÇAS GARANTIA'!$A$3:$A$5993=G84)*('[2]PEÇAS GARANTIA'!$A$3:$A$5993&lt;&gt;"")*('[2]PEÇAS GARANTIA'!$R$3:$R$5993),0))</f>
        <v>0</v>
      </c>
      <c r="AF84" s="178">
        <v>0</v>
      </c>
    </row>
    <row r="85" spans="1:32" s="49" customFormat="1" ht="40.15" customHeight="1" x14ac:dyDescent="0.25">
      <c r="A85" s="82">
        <v>60938</v>
      </c>
      <c r="B85" s="41" t="str">
        <f>IFERROR(INDEX([1]GARANTIA!$B:$B,MATCH(A85,[1]GARANTIA!$C:$C,0)),"INSIRA N° SERIE")</f>
        <v>TESTE 71</v>
      </c>
      <c r="C85" s="33">
        <f>IFERROR(INDEX([1]GARANTIA!$J:$J,MATCH(A85,[1]GARANTIA!$C:$C,0)),"INSIRA N° SERIE")</f>
        <v>44043</v>
      </c>
      <c r="D85" s="33" t="str">
        <f>IFERROR(IF(INDEX([1]GARANTIA!$M:$M,MATCH(A85,[1]GARANTIA!$C:$C,0))&gt;=I85,"DENTRO DA GARANTIA","FORA DE GARANTIA"),"INSIRA N° SERIE")</f>
        <v>DENTRO DA GARANTIA</v>
      </c>
      <c r="E85" s="148"/>
      <c r="F85" s="109">
        <f>IFERROR(MAX(0,IF(I85-(INDEX([1]GARANTIA!$J:$J,MATCH(A85,[1]GARANTIA!$C:$C,0)))&gt;=0,I85-(INDEX([1]GARANTIA!$L:$L,MATCH(A85,[1]GARANTIA!$C:$C,0))),"INSIRA DATA CHAMADO")),"INSIRA N° SERIE")</f>
        <v>97</v>
      </c>
      <c r="G85" s="35">
        <v>20210322</v>
      </c>
      <c r="H85" s="35" t="str">
        <f t="shared" si="5"/>
        <v>MAR</v>
      </c>
      <c r="I85" s="36">
        <v>44273</v>
      </c>
      <c r="J85" s="37">
        <v>44274</v>
      </c>
      <c r="K85" s="38">
        <v>44277</v>
      </c>
      <c r="L85" s="42" t="s">
        <v>23</v>
      </c>
      <c r="M85" s="42" t="s">
        <v>8</v>
      </c>
      <c r="N85" s="42" t="s">
        <v>50</v>
      </c>
      <c r="O85" s="42" t="str">
        <f>IFERROR(INDEX([1]GARANTIA!$E:$E,MATCH(A85,[1]GARANTIA!$C:$C,0)),"INSIRA N° SERIE")</f>
        <v>EMS - 0</v>
      </c>
      <c r="P85" s="60" t="s">
        <v>213</v>
      </c>
      <c r="Q85" s="43" t="s">
        <v>326</v>
      </c>
      <c r="R85" s="60" t="s">
        <v>107</v>
      </c>
      <c r="S85" s="44" t="s">
        <v>325</v>
      </c>
      <c r="T85" s="44" t="s">
        <v>640</v>
      </c>
      <c r="U85" s="45"/>
      <c r="V85" s="41" t="str">
        <f>IFERROR(INDEX([1]GARANTIA!$G:$G,MATCH(A85,[1]GARANTIA!$C:$C,0)),"INSIRA N° SERIE")</f>
        <v>ARAPUTANGA</v>
      </c>
      <c r="W85" s="41" t="str">
        <f>IFERROR(INDEX([1]GARANTIA!$H:$H,MATCH(A85,[1]GARANTIA!$C:$C,0)),"INSIRA N° SERIE")</f>
        <v>MT</v>
      </c>
      <c r="X85" s="41" t="str">
        <f>IFERROR(INDEX([1]GARANTIA!$F:$F,MATCH(A85,[1]GARANTIA!$C:$C,0)),"INSIRA N° SERIE")</f>
        <v>CENTROESTE</v>
      </c>
      <c r="Y85" s="46">
        <f t="shared" si="6"/>
        <v>1</v>
      </c>
      <c r="Z85" s="47">
        <f t="shared" si="7"/>
        <v>3</v>
      </c>
      <c r="AA85" s="46">
        <f t="shared" si="8"/>
        <v>4</v>
      </c>
      <c r="AB85" s="46" t="str" cm="1">
        <f t="array" ref="AB85">IFERROR(_xlfn.IFS(L85="FINALIZADO PRESENCIAL",IF(AA85&gt;10,"FORA","DENTRO"),L85="FINALIZADO REMOTO",IF(AA85&gt;5,"FORA","DENTRO")),"-")</f>
        <v>DENTRO</v>
      </c>
      <c r="AC85" s="41" t="s">
        <v>1671</v>
      </c>
      <c r="AD85" s="41" t="s">
        <v>1671</v>
      </c>
      <c r="AE85" s="48" cm="1">
        <f t="array" ref="AE85">SUMPRODUCT(IFERROR(('[2]PEÇAS GARANTIA'!$A$3:$A$5993=G85)*('[2]PEÇAS GARANTIA'!$A$3:$A$5993&lt;&gt;"")*('[2]PEÇAS GARANTIA'!$R$3:$R$5993),0))</f>
        <v>258</v>
      </c>
      <c r="AF85" s="178">
        <v>0</v>
      </c>
    </row>
    <row r="86" spans="1:32" s="49" customFormat="1" ht="40.15" customHeight="1" x14ac:dyDescent="0.25">
      <c r="A86" s="82">
        <v>59053</v>
      </c>
      <c r="B86" s="41" t="str">
        <f>IFERROR(INDEX([1]GARANTIA!$B:$B,MATCH(A86,[1]GARANTIA!$C:$C,0)),"INSIRA N° SERIE")</f>
        <v>TESTE 328</v>
      </c>
      <c r="C86" s="33">
        <f>IFERROR(INDEX([1]GARANTIA!$J:$J,MATCH(A86,[1]GARANTIA!$C:$C,0)),"INSIRA N° SERIE")</f>
        <v>44155</v>
      </c>
      <c r="D86" s="33" t="str">
        <f>IFERROR(IF(INDEX([1]GARANTIA!$M:$M,MATCH(A86,[1]GARANTIA!$C:$C,0))&gt;=I86,"DENTRO DA GARANTIA","FORA DE GARANTIA"),"INSIRA N° SERIE")</f>
        <v>DENTRO DA GARANTIA</v>
      </c>
      <c r="E86" s="148"/>
      <c r="F86" s="109">
        <f>IFERROR(MAX(0,IF(I86-(INDEX([1]GARANTIA!$J:$J,MATCH(A86,[1]GARANTIA!$C:$C,0)))&gt;=0,I86-(INDEX([1]GARANTIA!$L:$L,MATCH(A86,[1]GARANTIA!$C:$C,0))),"INSIRA DATA CHAMADO")),"INSIRA N° SERIE")</f>
        <v>68</v>
      </c>
      <c r="G86" s="35">
        <v>20210420</v>
      </c>
      <c r="H86" s="35" t="str">
        <f t="shared" si="5"/>
        <v>MAR</v>
      </c>
      <c r="I86" s="36">
        <v>44273</v>
      </c>
      <c r="J86" s="37">
        <v>44274</v>
      </c>
      <c r="K86" s="38">
        <v>44277</v>
      </c>
      <c r="L86" s="42" t="s">
        <v>23</v>
      </c>
      <c r="M86" s="42" t="s">
        <v>8</v>
      </c>
      <c r="N86" s="42" t="s">
        <v>50</v>
      </c>
      <c r="O86" s="42" t="str">
        <f>IFERROR(INDEX([1]GARANTIA!$E:$E,MATCH(A86,[1]GARANTIA!$C:$C,0)),"INSIRA N° SERIE")</f>
        <v>EMS - 1</v>
      </c>
      <c r="P86" s="60" t="s">
        <v>213</v>
      </c>
      <c r="Q86" s="43" t="s">
        <v>326</v>
      </c>
      <c r="R86" s="60" t="s">
        <v>107</v>
      </c>
      <c r="S86" s="44" t="s">
        <v>325</v>
      </c>
      <c r="T86" s="44" t="s">
        <v>640</v>
      </c>
      <c r="U86" s="45"/>
      <c r="V86" s="41" t="str">
        <f>IFERROR(INDEX([1]GARANTIA!$G:$G,MATCH(A86,[1]GARANTIA!$C:$C,0)),"INSIRA N° SERIE")</f>
        <v>JARU</v>
      </c>
      <c r="W86" s="41" t="str">
        <f>IFERROR(INDEX([1]GARANTIA!$H:$H,MATCH(A86,[1]GARANTIA!$C:$C,0)),"INSIRA N° SERIE")</f>
        <v>RO</v>
      </c>
      <c r="X86" s="41" t="str">
        <f>IFERROR(INDEX([1]GARANTIA!$F:$F,MATCH(A86,[1]GARANTIA!$C:$C,0)),"INSIRA N° SERIE")</f>
        <v>NORTE</v>
      </c>
      <c r="Y86" s="46">
        <f t="shared" si="6"/>
        <v>1</v>
      </c>
      <c r="Z86" s="47">
        <f t="shared" si="7"/>
        <v>3</v>
      </c>
      <c r="AA86" s="46">
        <f t="shared" si="8"/>
        <v>4</v>
      </c>
      <c r="AB86" s="46" t="str" cm="1">
        <f t="array" ref="AB86">IFERROR(_xlfn.IFS(L86="FINALIZADO PRESENCIAL",IF(AA86&gt;10,"FORA","DENTRO"),L86="FINALIZADO REMOTO",IF(AA86&gt;5,"FORA","DENTRO")),"-")</f>
        <v>DENTRO</v>
      </c>
      <c r="AC86" s="41" t="s">
        <v>1671</v>
      </c>
      <c r="AD86" s="41" t="s">
        <v>1671</v>
      </c>
      <c r="AE86" s="48" cm="1">
        <f t="array" ref="AE86">SUMPRODUCT(IFERROR(('[2]PEÇAS GARANTIA'!$A$3:$A$5993=G86)*('[2]PEÇAS GARANTIA'!$A$3:$A$5993&lt;&gt;"")*('[2]PEÇAS GARANTIA'!$R$3:$R$5993),0))</f>
        <v>162</v>
      </c>
      <c r="AF86" s="178">
        <v>0</v>
      </c>
    </row>
    <row r="87" spans="1:32" s="49" customFormat="1" ht="40.15" customHeight="1" x14ac:dyDescent="0.25">
      <c r="A87" s="82">
        <v>31792</v>
      </c>
      <c r="B87" s="41" t="str">
        <f>IFERROR(INDEX([1]GARANTIA!$B:$B,MATCH(A87,[1]GARANTIA!$C:$C,0)),"INSIRA N° SERIE")</f>
        <v>TESTE 44</v>
      </c>
      <c r="C87" s="33">
        <f>IFERROR(INDEX([1]GARANTIA!$J:$J,MATCH(A87,[1]GARANTIA!$C:$C,0)),"INSIRA N° SERIE")</f>
        <v>44165</v>
      </c>
      <c r="D87" s="33" t="str">
        <f>IFERROR(IF(INDEX([1]GARANTIA!$M:$M,MATCH(A87,[1]GARANTIA!$C:$C,0))&gt;=I87,"DENTRO DA GARANTIA","FORA DE GARANTIA"),"INSIRA N° SERIE")</f>
        <v>DENTRO DA GARANTIA</v>
      </c>
      <c r="E87" s="148"/>
      <c r="F87" s="109">
        <f>IFERROR(MAX(0,IF(I87-(INDEX([1]GARANTIA!$J:$J,MATCH(A87,[1]GARANTIA!$C:$C,0)))&gt;=0,I87-(INDEX([1]GARANTIA!$L:$L,MATCH(A87,[1]GARANTIA!$C:$C,0))),"INSIRA DATA CHAMADO")),"INSIRA N° SERIE")</f>
        <v>12</v>
      </c>
      <c r="G87" s="35">
        <v>20210323</v>
      </c>
      <c r="H87" s="35" t="str">
        <f t="shared" si="5"/>
        <v>MAR</v>
      </c>
      <c r="I87" s="36">
        <v>44275</v>
      </c>
      <c r="J87" s="37">
        <v>44275</v>
      </c>
      <c r="K87" s="39">
        <v>44275</v>
      </c>
      <c r="L87" s="42" t="s">
        <v>23</v>
      </c>
      <c r="M87" s="42" t="s">
        <v>8</v>
      </c>
      <c r="N87" s="42" t="s">
        <v>30</v>
      </c>
      <c r="O87" s="42" t="str">
        <f>IFERROR(INDEX([1]GARANTIA!$E:$E,MATCH(A87,[1]GARANTIA!$C:$C,0)),"INSIRA N° SERIE")</f>
        <v>MTI - 4.000GES</v>
      </c>
      <c r="P87" s="60" t="s">
        <v>212</v>
      </c>
      <c r="Q87" s="43" t="s">
        <v>85</v>
      </c>
      <c r="R87" s="60" t="s">
        <v>108</v>
      </c>
      <c r="S87" s="44" t="s">
        <v>102</v>
      </c>
      <c r="T87" s="44" t="s">
        <v>296</v>
      </c>
      <c r="U87" s="45"/>
      <c r="V87" s="41" t="str">
        <f>IFERROR(INDEX([1]GARANTIA!$G:$G,MATCH(A87,[1]GARANTIA!$C:$C,0)),"INSIRA N° SERIE")</f>
        <v xml:space="preserve">BARREIRINHAS </v>
      </c>
      <c r="W87" s="41" t="str">
        <f>IFERROR(INDEX([1]GARANTIA!$H:$H,MATCH(A87,[1]GARANTIA!$C:$C,0)),"INSIRA N° SERIE")</f>
        <v>MA</v>
      </c>
      <c r="X87" s="41" t="str">
        <f>IFERROR(INDEX([1]GARANTIA!$F:$F,MATCH(A87,[1]GARANTIA!$C:$C,0)),"INSIRA N° SERIE")</f>
        <v>NORDESTE</v>
      </c>
      <c r="Y87" s="46">
        <f t="shared" si="6"/>
        <v>0</v>
      </c>
      <c r="Z87" s="47">
        <f t="shared" si="7"/>
        <v>0</v>
      </c>
      <c r="AA87" s="46">
        <f t="shared" si="8"/>
        <v>0</v>
      </c>
      <c r="AB87" s="46" t="str" cm="1">
        <f t="array" ref="AB87">IFERROR(_xlfn.IFS(L87="FINALIZADO PRESENCIAL",IF(AA87&gt;10,"FORA","DENTRO"),L87="FINALIZADO REMOTO",IF(AA87&gt;5,"FORA","DENTRO")),"-")</f>
        <v>DENTRO</v>
      </c>
      <c r="AC87" s="41" t="s">
        <v>1671</v>
      </c>
      <c r="AD87" s="41" t="s">
        <v>1671</v>
      </c>
      <c r="AE87" s="48" cm="1">
        <f t="array" ref="AE87">SUMPRODUCT(IFERROR(('[2]PEÇAS GARANTIA'!$A$3:$A$5993=G87)*('[2]PEÇAS GARANTIA'!$A$3:$A$5993&lt;&gt;"")*('[2]PEÇAS GARANTIA'!$R$3:$R$5993),0))</f>
        <v>0</v>
      </c>
      <c r="AF87" s="178">
        <v>0</v>
      </c>
    </row>
    <row r="88" spans="1:32" s="49" customFormat="1" ht="40.15" customHeight="1" x14ac:dyDescent="0.25">
      <c r="A88" s="82">
        <v>37350</v>
      </c>
      <c r="B88" s="41" t="str">
        <f>IFERROR(INDEX([1]GARANTIA!$B:$B,MATCH(A88,[1]GARANTIA!$C:$C,0)),"INSIRA N° SERIE")</f>
        <v>TESTE 56</v>
      </c>
      <c r="C88" s="33">
        <f>IFERROR(INDEX([1]GARANTIA!$J:$J,MATCH(A88,[1]GARANTIA!$C:$C,0)),"INSIRA N° SERIE")</f>
        <v>43738</v>
      </c>
      <c r="D88" s="33" t="str">
        <f>IFERROR(IF(INDEX([1]GARANTIA!$M:$M,MATCH(A88,[1]GARANTIA!$C:$C,0))&gt;=I88,"DENTRO DA GARANTIA","FORA DE GARANTIA"),"INSIRA N° SERIE")</f>
        <v>DENTRO DA GARANTIA</v>
      </c>
      <c r="E88" s="148"/>
      <c r="F88" s="109">
        <f>IFERROR(MAX(0,IF(I88-(INDEX([1]GARANTIA!$J:$J,MATCH(A88,[1]GARANTIA!$C:$C,0)))&gt;=0,I88-(INDEX([1]GARANTIA!$L:$L,MATCH(A88,[1]GARANTIA!$C:$C,0))),"INSIRA DATA CHAMADO")),"INSIRA N° SERIE")</f>
        <v>298</v>
      </c>
      <c r="G88" s="35">
        <v>20210324</v>
      </c>
      <c r="H88" s="35" t="str">
        <f t="shared" si="5"/>
        <v>MAR</v>
      </c>
      <c r="I88" s="36">
        <v>44277</v>
      </c>
      <c r="J88" s="37">
        <v>44277</v>
      </c>
      <c r="K88" s="38">
        <v>44279</v>
      </c>
      <c r="L88" s="42" t="s">
        <v>11</v>
      </c>
      <c r="M88" s="42" t="s">
        <v>8</v>
      </c>
      <c r="N88" s="42" t="s">
        <v>28</v>
      </c>
      <c r="O88" s="42" t="str">
        <f>IFERROR(INDEX([1]GARANTIA!$E:$E,MATCH(A88,[1]GARANTIA!$C:$C,0)),"INSIRA N° SERIE")</f>
        <v>MTI - 7.000GTS</v>
      </c>
      <c r="P88" s="60" t="s">
        <v>209</v>
      </c>
      <c r="Q88" s="43" t="s">
        <v>328</v>
      </c>
      <c r="R88" s="60" t="s">
        <v>210</v>
      </c>
      <c r="S88" s="44" t="s">
        <v>101</v>
      </c>
      <c r="T88" s="44" t="s">
        <v>142</v>
      </c>
      <c r="U88" s="45"/>
      <c r="V88" s="41" t="str">
        <f>IFERROR(INDEX([1]GARANTIA!$G:$G,MATCH(A88,[1]GARANTIA!$C:$C,0)),"INSIRA N° SERIE")</f>
        <v>VINHEDO</v>
      </c>
      <c r="W88" s="41" t="str">
        <f>IFERROR(INDEX([1]GARANTIA!$H:$H,MATCH(A88,[1]GARANTIA!$C:$C,0)),"INSIRA N° SERIE")</f>
        <v>SP</v>
      </c>
      <c r="X88" s="41" t="str">
        <f>IFERROR(INDEX([1]GARANTIA!$F:$F,MATCH(A88,[1]GARANTIA!$C:$C,0)),"INSIRA N° SERIE")</f>
        <v>SUDESTE</v>
      </c>
      <c r="Y88" s="74">
        <f t="shared" si="6"/>
        <v>0</v>
      </c>
      <c r="Z88" s="75">
        <f t="shared" si="7"/>
        <v>2</v>
      </c>
      <c r="AA88" s="74">
        <f t="shared" si="8"/>
        <v>2</v>
      </c>
      <c r="AB88" s="46" t="str" cm="1">
        <f t="array" ref="AB88">IFERROR(_xlfn.IFS(L88="FINALIZADO PRESENCIAL",IF(AA88&gt;10,"FORA","DENTRO"),L88="FINALIZADO REMOTO",IF(AA88&gt;5,"FORA","DENTRO")),"-")</f>
        <v>DENTRO</v>
      </c>
      <c r="AC88" s="41" t="s">
        <v>1671</v>
      </c>
      <c r="AD88" s="41" t="s">
        <v>1671</v>
      </c>
      <c r="AE88" s="48" cm="1">
        <f t="array" ref="AE88">SUMPRODUCT(IFERROR(('[2]PEÇAS GARANTIA'!$A$3:$A$5993=G88)*('[2]PEÇAS GARANTIA'!$A$3:$A$5993&lt;&gt;"")*('[2]PEÇAS GARANTIA'!$R$3:$R$5993),0))</f>
        <v>0</v>
      </c>
      <c r="AF88" s="178">
        <v>57.3</v>
      </c>
    </row>
    <row r="89" spans="1:32" s="49" customFormat="1" ht="40.15" customHeight="1" x14ac:dyDescent="0.25">
      <c r="A89" s="82">
        <v>82866</v>
      </c>
      <c r="B89" s="41" t="str">
        <f>IFERROR(INDEX([1]GARANTIA!$B:$B,MATCH(A89,[1]GARANTIA!$C:$C,0)),"INSIRA N° SERIE")</f>
        <v>TESTE 309</v>
      </c>
      <c r="C89" s="33">
        <f>IFERROR(INDEX([1]GARANTIA!$J:$J,MATCH(A89,[1]GARANTIA!$C:$C,0)),"INSIRA N° SERIE")</f>
        <v>44158</v>
      </c>
      <c r="D89" s="33" t="str">
        <f>IFERROR(IF(INDEX([1]GARANTIA!$M:$M,MATCH(A89,[1]GARANTIA!$C:$C,0))&gt;=I89,"DENTRO DA GARANTIA","FORA DE GARANTIA"),"INSIRA N° SERIE")</f>
        <v>DENTRO DA GARANTIA</v>
      </c>
      <c r="E89" s="148"/>
      <c r="F89" s="109">
        <f>IFERROR(MAX(0,IF(I89-(INDEX([1]GARANTIA!$J:$J,MATCH(A89,[1]GARANTIA!$C:$C,0)))&gt;=0,I89-(INDEX([1]GARANTIA!$L:$L,MATCH(A89,[1]GARANTIA!$C:$C,0))),"INSIRA DATA CHAMADO")),"INSIRA N° SERIE")</f>
        <v>18</v>
      </c>
      <c r="G89" s="35">
        <v>20210325</v>
      </c>
      <c r="H89" s="35" t="str">
        <f t="shared" si="5"/>
        <v>MAR</v>
      </c>
      <c r="I89" s="36">
        <v>44278</v>
      </c>
      <c r="J89" s="37">
        <v>44278</v>
      </c>
      <c r="K89" s="38">
        <v>44279</v>
      </c>
      <c r="L89" s="42" t="s">
        <v>23</v>
      </c>
      <c r="M89" s="42" t="s">
        <v>8</v>
      </c>
      <c r="N89" s="42" t="s">
        <v>76</v>
      </c>
      <c r="O89" s="42" t="str">
        <f>IFERROR(INDEX([1]GARANTIA!$E:$E,MATCH(A89,[1]GARANTIA!$C:$C,0)),"INSIRA N° SERIE")</f>
        <v>MTI - 1.000GTS</v>
      </c>
      <c r="P89" s="60" t="s">
        <v>208</v>
      </c>
      <c r="Q89" s="43" t="s">
        <v>330</v>
      </c>
      <c r="R89" s="60" t="s">
        <v>207</v>
      </c>
      <c r="S89" s="44" t="s">
        <v>638</v>
      </c>
      <c r="T89" s="44" t="s">
        <v>142</v>
      </c>
      <c r="U89" s="45"/>
      <c r="V89" s="41" t="str">
        <f>IFERROR(INDEX([1]GARANTIA!$G:$G,MATCH(A89,[1]GARANTIA!$C:$C,0)),"INSIRA N° SERIE")</f>
        <v>SÃO JOSE DEL REI</v>
      </c>
      <c r="W89" s="41" t="str">
        <f>IFERROR(INDEX([1]GARANTIA!$H:$H,MATCH(A89,[1]GARANTIA!$C:$C,0)),"INSIRA N° SERIE")</f>
        <v>MG</v>
      </c>
      <c r="X89" s="41" t="str">
        <f>IFERROR(INDEX([1]GARANTIA!$F:$F,MATCH(A89,[1]GARANTIA!$C:$C,0)),"INSIRA N° SERIE")</f>
        <v>SUDESTE</v>
      </c>
      <c r="Y89" s="46">
        <f t="shared" si="6"/>
        <v>0</v>
      </c>
      <c r="Z89" s="47">
        <f t="shared" si="7"/>
        <v>1</v>
      </c>
      <c r="AA89" s="46">
        <f t="shared" si="8"/>
        <v>1</v>
      </c>
      <c r="AB89" s="46" t="str" cm="1">
        <f t="array" ref="AB89">IFERROR(_xlfn.IFS(L89="FINALIZADO PRESENCIAL",IF(AA89&gt;10,"FORA","DENTRO"),L89="FINALIZADO REMOTO",IF(AA89&gt;5,"FORA","DENTRO")),"-")</f>
        <v>DENTRO</v>
      </c>
      <c r="AC89" s="41" t="s">
        <v>1671</v>
      </c>
      <c r="AD89" s="41" t="s">
        <v>1671</v>
      </c>
      <c r="AE89" s="48" cm="1">
        <f t="array" ref="AE89">SUMPRODUCT(IFERROR(('[2]PEÇAS GARANTIA'!$A$3:$A$5993=G89)*('[2]PEÇAS GARANTIA'!$A$3:$A$5993&lt;&gt;"")*('[2]PEÇAS GARANTIA'!$R$3:$R$5993),0))</f>
        <v>0</v>
      </c>
      <c r="AF89" s="178">
        <v>0</v>
      </c>
    </row>
    <row r="90" spans="1:32" s="49" customFormat="1" ht="40.15" customHeight="1" x14ac:dyDescent="0.25">
      <c r="A90" s="82">
        <v>99910</v>
      </c>
      <c r="B90" s="41" t="str">
        <f>IFERROR(INDEX([1]GARANTIA!$B:$B,MATCH(A90,[1]GARANTIA!$C:$C,0)),"INSIRA N° SERIE")</f>
        <v>TESTE 117</v>
      </c>
      <c r="C90" s="33">
        <f>IFERROR(INDEX([1]GARANTIA!$J:$J,MATCH(A90,[1]GARANTIA!$C:$C,0)),"INSIRA N° SERIE")</f>
        <v>43739</v>
      </c>
      <c r="D90" s="33" t="str">
        <f>IFERROR(IF(INDEX([1]GARANTIA!$M:$M,MATCH(A90,[1]GARANTIA!$C:$C,0))&gt;=I90,"DENTRO DA GARANTIA","FORA DE GARANTIA"),"INSIRA N° SERIE")</f>
        <v>FORA DE GARANTIA</v>
      </c>
      <c r="E90" s="148"/>
      <c r="F90" s="109">
        <f>IFERROR(MAX(0,IF(I90-(INDEX([1]GARANTIA!$J:$J,MATCH(A90,[1]GARANTIA!$C:$C,0)))&gt;=0,I90-(INDEX([1]GARANTIA!$L:$L,MATCH(A90,[1]GARANTIA!$C:$C,0))),"INSIRA DATA CHAMADO")),"INSIRA N° SERIE")</f>
        <v>733</v>
      </c>
      <c r="G90" s="35">
        <v>20210326</v>
      </c>
      <c r="H90" s="35" t="str">
        <f t="shared" si="5"/>
        <v>MAR</v>
      </c>
      <c r="I90" s="36">
        <v>44279</v>
      </c>
      <c r="J90" s="37">
        <v>44279</v>
      </c>
      <c r="K90" s="38">
        <v>44281</v>
      </c>
      <c r="L90" s="42" t="s">
        <v>23</v>
      </c>
      <c r="M90" s="42" t="s">
        <v>8</v>
      </c>
      <c r="N90" s="42" t="s">
        <v>89</v>
      </c>
      <c r="O90" s="42" t="str">
        <f>IFERROR(INDEX([1]GARANTIA!$E:$E,MATCH(A90,[1]GARANTIA!$C:$C,0)),"INSIRA N° SERIE")</f>
        <v>TR - 1</v>
      </c>
      <c r="P90" s="60" t="s">
        <v>211</v>
      </c>
      <c r="Q90" s="43" t="s">
        <v>326</v>
      </c>
      <c r="R90" s="60" t="s">
        <v>120</v>
      </c>
      <c r="S90" s="44" t="s">
        <v>325</v>
      </c>
      <c r="T90" s="44" t="s">
        <v>640</v>
      </c>
      <c r="U90" s="45"/>
      <c r="V90" s="41" t="str">
        <f>IFERROR(INDEX([1]GARANTIA!$G:$G,MATCH(A90,[1]GARANTIA!$C:$C,0)),"INSIRA N° SERIE")</f>
        <v xml:space="preserve">DOURADOS </v>
      </c>
      <c r="W90" s="41" t="str">
        <f>IFERROR(INDEX([1]GARANTIA!$H:$H,MATCH(A90,[1]GARANTIA!$C:$C,0)),"INSIRA N° SERIE")</f>
        <v>MS</v>
      </c>
      <c r="X90" s="41" t="str">
        <f>IFERROR(INDEX([1]GARANTIA!$F:$F,MATCH(A90,[1]GARANTIA!$C:$C,0)),"INSIRA N° SERIE")</f>
        <v>CENTROESTE</v>
      </c>
      <c r="Y90" s="46">
        <f t="shared" si="6"/>
        <v>0</v>
      </c>
      <c r="Z90" s="47">
        <f t="shared" si="7"/>
        <v>2</v>
      </c>
      <c r="AA90" s="46">
        <f t="shared" si="8"/>
        <v>2</v>
      </c>
      <c r="AB90" s="46" t="str" cm="1">
        <f t="array" ref="AB90">IFERROR(_xlfn.IFS(L90="FINALIZADO PRESENCIAL",IF(AA90&gt;10,"FORA","DENTRO"),L90="FINALIZADO REMOTO",IF(AA90&gt;5,"FORA","DENTRO")),"-")</f>
        <v>DENTRO</v>
      </c>
      <c r="AC90" s="41" t="s">
        <v>1671</v>
      </c>
      <c r="AD90" s="41" t="s">
        <v>1671</v>
      </c>
      <c r="AE90" s="48" cm="1">
        <f t="array" ref="AE90">SUMPRODUCT(IFERROR(('[2]PEÇAS GARANTIA'!$A$3:$A$5993=G90)*('[2]PEÇAS GARANTIA'!$A$3:$A$5993&lt;&gt;"")*('[2]PEÇAS GARANTIA'!$R$3:$R$5993),0))</f>
        <v>0</v>
      </c>
      <c r="AF90" s="178">
        <v>0</v>
      </c>
    </row>
    <row r="91" spans="1:32" s="126" customFormat="1" ht="40.15" customHeight="1" x14ac:dyDescent="0.25">
      <c r="A91" s="117">
        <v>3001107</v>
      </c>
      <c r="B91" s="118" t="str">
        <f>IFERROR(INDEX([1]GARANTIA!$B:$B,MATCH(A91,[1]GARANTIA!$C:$C,0)),"INSIRA N° SERIE")</f>
        <v>TESTE 251</v>
      </c>
      <c r="C91" s="119">
        <f>IFERROR(INDEX([1]GARANTIA!$J:$J,MATCH(A91,[1]GARANTIA!$C:$C,0)),"INSIRA N° SERIE")</f>
        <v>43081</v>
      </c>
      <c r="D91" s="119" t="str">
        <f>IFERROR(IF(INDEX([1]GARANTIA!$M:$M,MATCH(A91,[1]GARANTIA!$C:$C,0))&gt;=I91,"DENTRO DA GARANTIA","FORA DE GARANTIA"),"INSIRA N° SERIE")</f>
        <v>FORA DE GARANTIA</v>
      </c>
      <c r="E91" s="121"/>
      <c r="F91" s="127">
        <f>IFERROR(MAX(0,IF(I91-(INDEX([1]GARANTIA!$J:$J,MATCH(A91,[1]GARANTIA!$C:$C,0)))&gt;=0,I91-(INDEX([1]GARANTIA!$L:$L,MATCH(A91,[1]GARANTIA!$C:$C,0))),"INSIRA DATA CHAMADO")),"INSIRA N° SERIE")</f>
        <v>933</v>
      </c>
      <c r="G91" s="121">
        <v>20210327</v>
      </c>
      <c r="H91" s="35" t="str">
        <f t="shared" si="5"/>
        <v>MAR</v>
      </c>
      <c r="I91" s="119">
        <v>44279</v>
      </c>
      <c r="J91" s="119">
        <v>44279</v>
      </c>
      <c r="K91" s="119">
        <v>44281</v>
      </c>
      <c r="L91" s="118" t="s">
        <v>23</v>
      </c>
      <c r="M91" s="118" t="s">
        <v>8</v>
      </c>
      <c r="N91" s="118" t="s">
        <v>76</v>
      </c>
      <c r="O91" s="118" t="str">
        <f>IFERROR(INDEX([1]GARANTIA!$E:$E,MATCH(A91,[1]GARANTIA!$C:$C,0)),"INSIRA N° SERIE")</f>
        <v>MAC 4.000 GT</v>
      </c>
      <c r="P91" s="123" t="s">
        <v>202</v>
      </c>
      <c r="Q91" s="118" t="s">
        <v>99</v>
      </c>
      <c r="R91" s="123" t="s">
        <v>111</v>
      </c>
      <c r="S91" s="118" t="s">
        <v>99</v>
      </c>
      <c r="T91" s="118" t="s">
        <v>360</v>
      </c>
      <c r="U91" s="124"/>
      <c r="V91" s="118" t="str">
        <f>IFERROR(INDEX([1]GARANTIA!$G:$G,MATCH(A91,[1]GARANTIA!$C:$C,0)),"INSIRA N° SERIE")</f>
        <v xml:space="preserve">PATO BRANCO </v>
      </c>
      <c r="W91" s="118" t="str">
        <f>IFERROR(INDEX([1]GARANTIA!$H:$H,MATCH(A91,[1]GARANTIA!$C:$C,0)),"INSIRA N° SERIE")</f>
        <v>PR</v>
      </c>
      <c r="X91" s="118" t="str">
        <f>IFERROR(INDEX([1]GARANTIA!$F:$F,MATCH(A91,[1]GARANTIA!$C:$C,0)),"INSIRA N° SERIE")</f>
        <v>SUDESTE</v>
      </c>
      <c r="Y91" s="118">
        <f t="shared" si="6"/>
        <v>0</v>
      </c>
      <c r="Z91" s="125">
        <f t="shared" si="7"/>
        <v>2</v>
      </c>
      <c r="AA91" s="118">
        <f t="shared" si="8"/>
        <v>2</v>
      </c>
      <c r="AB91" s="46" t="str" cm="1">
        <f t="array" ref="AB91">IFERROR(_xlfn.IFS(L91="FINALIZADO PRESENCIAL",IF(AA91&gt;10,"FORA","DENTRO"),L91="FINALIZADO REMOTO",IF(AA91&gt;5,"FORA","DENTRO")),"-")</f>
        <v>DENTRO</v>
      </c>
      <c r="AC91" s="41" t="s">
        <v>1671</v>
      </c>
      <c r="AD91" s="41" t="s">
        <v>1671</v>
      </c>
      <c r="AE91" s="48" cm="1">
        <f t="array" ref="AE91">SUMPRODUCT(IFERROR(('[2]PEÇAS GARANTIA'!$A$3:$A$5993=G91)*('[2]PEÇAS GARANTIA'!$A$3:$A$5993&lt;&gt;"")*('[2]PEÇAS GARANTIA'!$R$3:$R$5993),0))</f>
        <v>0</v>
      </c>
      <c r="AF91" s="178">
        <v>0</v>
      </c>
    </row>
    <row r="92" spans="1:32" s="49" customFormat="1" ht="40.15" customHeight="1" x14ac:dyDescent="0.25">
      <c r="A92" s="82">
        <v>78022</v>
      </c>
      <c r="B92" s="41" t="str">
        <f>IFERROR(INDEX([1]GARANTIA!$B:$B,MATCH(A92,[1]GARANTIA!$C:$C,0)),"INSIRA N° SERIE")</f>
        <v>TESTE 268</v>
      </c>
      <c r="C92" s="33">
        <f>IFERROR(INDEX([1]GARANTIA!$J:$J,MATCH(A92,[1]GARANTIA!$C:$C,0)),"INSIRA N° SERIE")</f>
        <v>43951</v>
      </c>
      <c r="D92" s="33" t="str">
        <f>IFERROR(IF(INDEX([1]GARANTIA!$M:$M,MATCH(A92,[1]GARANTIA!$C:$C,0))&gt;=I92,"DENTRO DA GARANTIA","FORA DE GARANTIA"),"INSIRA N° SERIE")</f>
        <v>DENTRO DA GARANTIA</v>
      </c>
      <c r="E92" s="148"/>
      <c r="F92" s="109">
        <f>IFERROR(MAX(0,IF(I92-(INDEX([1]GARANTIA!$J:$J,MATCH(A92,[1]GARANTIA!$C:$C,0)))&gt;=0,I92-(INDEX([1]GARANTIA!$L:$L,MATCH(A92,[1]GARANTIA!$C:$C,0))),"INSIRA DATA CHAMADO")),"INSIRA N° SERIE")</f>
        <v>261</v>
      </c>
      <c r="G92" s="35">
        <v>20210328</v>
      </c>
      <c r="H92" s="35" t="str">
        <f t="shared" si="5"/>
        <v>MAR</v>
      </c>
      <c r="I92" s="36">
        <v>44279</v>
      </c>
      <c r="J92" s="37">
        <v>44280</v>
      </c>
      <c r="K92" s="38">
        <v>44284</v>
      </c>
      <c r="L92" s="42" t="s">
        <v>23</v>
      </c>
      <c r="M92" s="42" t="s">
        <v>8</v>
      </c>
      <c r="N92" s="42" t="s">
        <v>43</v>
      </c>
      <c r="O92" s="42" t="str">
        <f>IFERROR(INDEX([1]GARANTIA!$E:$E,MATCH(A92,[1]GARANTIA!$C:$C,0)),"INSIRA N° SERIE")</f>
        <v>MTI - 4.000GTS</v>
      </c>
      <c r="P92" s="60" t="s">
        <v>201</v>
      </c>
      <c r="Q92" s="43" t="s">
        <v>321</v>
      </c>
      <c r="R92" s="60" t="s">
        <v>200</v>
      </c>
      <c r="S92" s="44" t="s">
        <v>638</v>
      </c>
      <c r="T92" s="44" t="s">
        <v>144</v>
      </c>
      <c r="U92" s="45"/>
      <c r="V92" s="41" t="str">
        <f>IFERROR(INDEX([1]GARANTIA!$G:$G,MATCH(A92,[1]GARANTIA!$C:$C,0)),"INSIRA N° SERIE")</f>
        <v xml:space="preserve">CAMPO GRANDE </v>
      </c>
      <c r="W92" s="41" t="str">
        <f>IFERROR(INDEX([1]GARANTIA!$H:$H,MATCH(A92,[1]GARANTIA!$C:$C,0)),"INSIRA N° SERIE")</f>
        <v>MS</v>
      </c>
      <c r="X92" s="41" t="str">
        <f>IFERROR(INDEX([1]GARANTIA!$F:$F,MATCH(A92,[1]GARANTIA!$C:$C,0)),"INSIRA N° SERIE")</f>
        <v>CENTROESTE</v>
      </c>
      <c r="Y92" s="46">
        <f t="shared" si="6"/>
        <v>1</v>
      </c>
      <c r="Z92" s="47">
        <f t="shared" si="7"/>
        <v>4</v>
      </c>
      <c r="AA92" s="46">
        <f t="shared" si="8"/>
        <v>5</v>
      </c>
      <c r="AB92" s="46" t="str" cm="1">
        <f t="array" ref="AB92">IFERROR(_xlfn.IFS(L92="FINALIZADO PRESENCIAL",IF(AA92&gt;10,"FORA","DENTRO"),L92="FINALIZADO REMOTO",IF(AA92&gt;5,"FORA","DENTRO")),"-")</f>
        <v>DENTRO</v>
      </c>
      <c r="AC92" s="41" t="s">
        <v>1671</v>
      </c>
      <c r="AD92" s="41" t="s">
        <v>1671</v>
      </c>
      <c r="AE92" s="48" cm="1">
        <f t="array" ref="AE92">SUMPRODUCT(IFERROR(('[2]PEÇAS GARANTIA'!$A$3:$A$5993=G92)*('[2]PEÇAS GARANTIA'!$A$3:$A$5993&lt;&gt;"")*('[2]PEÇAS GARANTIA'!$R$3:$R$5993),0))</f>
        <v>0</v>
      </c>
      <c r="AF92" s="178">
        <v>0</v>
      </c>
    </row>
    <row r="93" spans="1:32" s="126" customFormat="1" ht="40.15" customHeight="1" x14ac:dyDescent="0.25">
      <c r="A93" s="117">
        <v>9994</v>
      </c>
      <c r="B93" s="118" t="str">
        <f>IFERROR(INDEX([1]GARANTIA!$B:$B,MATCH(A93,[1]GARANTIA!$C:$C,0)),"INSIRA N° SERIE")</f>
        <v>TESTE 220</v>
      </c>
      <c r="C93" s="119">
        <f>IFERROR(INDEX([1]GARANTIA!$J:$J,MATCH(A93,[1]GARANTIA!$C:$C,0)),"INSIRA N° SERIE")</f>
        <v>43048</v>
      </c>
      <c r="D93" s="119" t="str">
        <f>IFERROR(IF(INDEX([1]GARANTIA!$M:$M,MATCH(A93,[1]GARANTIA!$C:$C,0))&gt;=I93,"DENTRO DA GARANTIA","FORA DE GARANTIA"),"INSIRA N° SERIE")</f>
        <v>FORA DE GARANTIA</v>
      </c>
      <c r="E93" s="121"/>
      <c r="F93" s="127">
        <f>IFERROR(MAX(0,IF(I93-(INDEX([1]GARANTIA!$J:$J,MATCH(A93,[1]GARANTIA!$C:$C,0)))&gt;=0,I93-(INDEX([1]GARANTIA!$L:$L,MATCH(A93,[1]GARANTIA!$C:$C,0))),"INSIRA DATA CHAMADO")),"INSIRA N° SERIE")</f>
        <v>1000</v>
      </c>
      <c r="G93" s="121">
        <v>20210329</v>
      </c>
      <c r="H93" s="35" t="str">
        <f t="shared" si="5"/>
        <v>MAR</v>
      </c>
      <c r="I93" s="119">
        <v>44280</v>
      </c>
      <c r="J93" s="119">
        <v>44280</v>
      </c>
      <c r="K93" s="119">
        <v>44280</v>
      </c>
      <c r="L93" s="118" t="s">
        <v>23</v>
      </c>
      <c r="M93" s="118" t="s">
        <v>8</v>
      </c>
      <c r="N93" s="118" t="s">
        <v>38</v>
      </c>
      <c r="O93" s="118" t="str">
        <f>IFERROR(INDEX([1]GARANTIA!$E:$E,MATCH(A93,[1]GARANTIA!$C:$C,0)),"INSIRA N° SERIE")</f>
        <v>MAC 2.500 GT</v>
      </c>
      <c r="P93" s="123" t="s">
        <v>199</v>
      </c>
      <c r="Q93" s="118" t="s">
        <v>99</v>
      </c>
      <c r="R93" s="123" t="s">
        <v>109</v>
      </c>
      <c r="S93" s="118" t="s">
        <v>99</v>
      </c>
      <c r="T93" s="118" t="s">
        <v>360</v>
      </c>
      <c r="U93" s="124"/>
      <c r="V93" s="118" t="str">
        <f>IFERROR(INDEX([1]GARANTIA!$G:$G,MATCH(A93,[1]GARANTIA!$C:$C,0)),"INSIRA N° SERIE")</f>
        <v>COROMANDEL</v>
      </c>
      <c r="W93" s="118" t="str">
        <f>IFERROR(INDEX([1]GARANTIA!$H:$H,MATCH(A93,[1]GARANTIA!$C:$C,0)),"INSIRA N° SERIE")</f>
        <v>MG</v>
      </c>
      <c r="X93" s="118" t="str">
        <f>IFERROR(INDEX([1]GARANTIA!$F:$F,MATCH(A93,[1]GARANTIA!$C:$C,0)),"INSIRA N° SERIE")</f>
        <v>SUDESTE</v>
      </c>
      <c r="Y93" s="118">
        <f t="shared" si="6"/>
        <v>0</v>
      </c>
      <c r="Z93" s="125">
        <f t="shared" si="7"/>
        <v>0</v>
      </c>
      <c r="AA93" s="118">
        <f t="shared" si="8"/>
        <v>0</v>
      </c>
      <c r="AB93" s="46" t="str" cm="1">
        <f t="array" ref="AB93">IFERROR(_xlfn.IFS(L93="FINALIZADO PRESENCIAL",IF(AA93&gt;10,"FORA","DENTRO"),L93="FINALIZADO REMOTO",IF(AA93&gt;5,"FORA","DENTRO")),"-")</f>
        <v>DENTRO</v>
      </c>
      <c r="AC93" s="41" t="s">
        <v>1671</v>
      </c>
      <c r="AD93" s="41" t="s">
        <v>1671</v>
      </c>
      <c r="AE93" s="48" cm="1">
        <f t="array" ref="AE93">SUMPRODUCT(IFERROR(('[2]PEÇAS GARANTIA'!$A$3:$A$5993=G93)*('[2]PEÇAS GARANTIA'!$A$3:$A$5993&lt;&gt;"")*('[2]PEÇAS GARANTIA'!$R$3:$R$5993),0))</f>
        <v>0</v>
      </c>
      <c r="AF93" s="178">
        <v>0</v>
      </c>
    </row>
    <row r="94" spans="1:32" s="49" customFormat="1" ht="40.15" customHeight="1" x14ac:dyDescent="0.25">
      <c r="A94" s="82">
        <v>59891</v>
      </c>
      <c r="B94" s="41" t="str">
        <f>IFERROR(INDEX([1]GARANTIA!$B:$B,MATCH(A94,[1]GARANTIA!$C:$C,0)),"INSIRA N° SERIE")</f>
        <v>TESTE 293</v>
      </c>
      <c r="C94" s="33">
        <f>IFERROR(INDEX([1]GARANTIA!$J:$J,MATCH(A94,[1]GARANTIA!$C:$C,0)),"INSIRA N° SERIE")</f>
        <v>43301</v>
      </c>
      <c r="D94" s="33" t="str">
        <f>IFERROR(IF(INDEX([1]GARANTIA!$M:$M,MATCH(A94,[1]GARANTIA!$C:$C,0))&gt;=I94,"DENTRO DA GARANTIA","FORA DE GARANTIA"),"INSIRA N° SERIE")</f>
        <v>FORA DE GARANTIA</v>
      </c>
      <c r="E94" s="148"/>
      <c r="F94" s="109">
        <f>IFERROR(MAX(0,IF(I94-(INDEX([1]GARANTIA!$J:$J,MATCH(A94,[1]GARANTIA!$C:$C,0)))&gt;=0,I94-(INDEX([1]GARANTIA!$L:$L,MATCH(A94,[1]GARANTIA!$C:$C,0))),"INSIRA DATA CHAMADO")),"INSIRA N° SERIE")</f>
        <v>468</v>
      </c>
      <c r="G94" s="35">
        <v>20210330</v>
      </c>
      <c r="H94" s="35" t="str">
        <f t="shared" si="5"/>
        <v>MAR</v>
      </c>
      <c r="I94" s="36">
        <v>44280</v>
      </c>
      <c r="J94" s="37">
        <v>44280</v>
      </c>
      <c r="K94" s="38">
        <v>44281</v>
      </c>
      <c r="L94" s="42" t="s">
        <v>23</v>
      </c>
      <c r="M94" s="42" t="s">
        <v>8</v>
      </c>
      <c r="N94" s="42" t="s">
        <v>40</v>
      </c>
      <c r="O94" s="42" t="str">
        <f>IFERROR(INDEX([1]GARANTIA!$E:$E,MATCH(A94,[1]GARANTIA!$C:$C,0)),"INSIRA N° SERIE")</f>
        <v>MTI - 4.000GTS</v>
      </c>
      <c r="P94" s="60" t="s">
        <v>206</v>
      </c>
      <c r="Q94" s="43" t="s">
        <v>144</v>
      </c>
      <c r="R94" s="60" t="s">
        <v>110</v>
      </c>
      <c r="S94" s="44" t="s">
        <v>638</v>
      </c>
      <c r="T94" s="44" t="s">
        <v>144</v>
      </c>
      <c r="U94" s="45"/>
      <c r="V94" s="41" t="str">
        <f>IFERROR(INDEX([1]GARANTIA!$G:$G,MATCH(A94,[1]GARANTIA!$C:$C,0)),"INSIRA N° SERIE")</f>
        <v>SÃO PAULO</v>
      </c>
      <c r="W94" s="41" t="str">
        <f>IFERROR(INDEX([1]GARANTIA!$H:$H,MATCH(A94,[1]GARANTIA!$C:$C,0)),"INSIRA N° SERIE")</f>
        <v>SP</v>
      </c>
      <c r="X94" s="41" t="str">
        <f>IFERROR(INDEX([1]GARANTIA!$F:$F,MATCH(A94,[1]GARANTIA!$C:$C,0)),"INSIRA N° SERIE")</f>
        <v>SUDESTE</v>
      </c>
      <c r="Y94" s="46">
        <f t="shared" si="6"/>
        <v>0</v>
      </c>
      <c r="Z94" s="47">
        <f t="shared" si="7"/>
        <v>1</v>
      </c>
      <c r="AA94" s="46">
        <f t="shared" si="8"/>
        <v>1</v>
      </c>
      <c r="AB94" s="46" t="str" cm="1">
        <f t="array" ref="AB94">IFERROR(_xlfn.IFS(L94="FINALIZADO PRESENCIAL",IF(AA94&gt;10,"FORA","DENTRO"),L94="FINALIZADO REMOTO",IF(AA94&gt;5,"FORA","DENTRO")),"-")</f>
        <v>DENTRO</v>
      </c>
      <c r="AC94" s="41" t="s">
        <v>1671</v>
      </c>
      <c r="AD94" s="41" t="s">
        <v>1671</v>
      </c>
      <c r="AE94" s="48" cm="1">
        <f t="array" ref="AE94">SUMPRODUCT(IFERROR(('[2]PEÇAS GARANTIA'!$A$3:$A$5993=G94)*('[2]PEÇAS GARANTIA'!$A$3:$A$5993&lt;&gt;"")*('[2]PEÇAS GARANTIA'!$R$3:$R$5993),0))</f>
        <v>0</v>
      </c>
      <c r="AF94" s="178">
        <v>0</v>
      </c>
    </row>
    <row r="95" spans="1:32" s="49" customFormat="1" ht="40.15" customHeight="1" x14ac:dyDescent="0.25">
      <c r="A95" s="82">
        <v>74629</v>
      </c>
      <c r="B95" s="41" t="str">
        <f>IFERROR(INDEX([1]GARANTIA!$B:$B,MATCH(A95,[1]GARANTIA!$C:$C,0)),"INSIRA N° SERIE")</f>
        <v>TESTE 329</v>
      </c>
      <c r="C95" s="33">
        <f>IFERROR(INDEX([1]GARANTIA!$J:$J,MATCH(A95,[1]GARANTIA!$C:$C,0)),"INSIRA N° SERIE")</f>
        <v>44090</v>
      </c>
      <c r="D95" s="33" t="str">
        <f>IFERROR(IF(INDEX([1]GARANTIA!$M:$M,MATCH(A95,[1]GARANTIA!$C:$C,0))&gt;=I95,"DENTRO DA GARANTIA","FORA DE GARANTIA"),"INSIRA N° SERIE")</f>
        <v>DENTRO DA GARANTIA</v>
      </c>
      <c r="E95" s="148"/>
      <c r="F95" s="109">
        <f>IFERROR(MAX(0,IF(I95-(INDEX([1]GARANTIA!$J:$J,MATCH(A95,[1]GARANTIA!$C:$C,0)))&gt;=0,I95-(INDEX([1]GARANTIA!$L:$L,MATCH(A95,[1]GARANTIA!$C:$C,0))),"INSIRA DATA CHAMADO")),"INSIRA N° SERIE")</f>
        <v>98</v>
      </c>
      <c r="G95" s="35">
        <v>20210332</v>
      </c>
      <c r="H95" s="35" t="str">
        <f t="shared" si="5"/>
        <v>MAR</v>
      </c>
      <c r="I95" s="36">
        <v>44281</v>
      </c>
      <c r="J95" s="37">
        <v>44281</v>
      </c>
      <c r="K95" s="38">
        <v>44286</v>
      </c>
      <c r="L95" s="42" t="s">
        <v>23</v>
      </c>
      <c r="M95" s="42" t="s">
        <v>8</v>
      </c>
      <c r="N95" s="42" t="s">
        <v>28</v>
      </c>
      <c r="O95" s="42" t="str">
        <f>IFERROR(INDEX([1]GARANTIA!$E:$E,MATCH(A95,[1]GARANTIA!$C:$C,0)),"INSIRA N° SERIE")</f>
        <v>MTI - 1.000GTS</v>
      </c>
      <c r="P95" s="60" t="s">
        <v>204</v>
      </c>
      <c r="Q95" s="43" t="s">
        <v>305</v>
      </c>
      <c r="R95" s="60" t="s">
        <v>205</v>
      </c>
      <c r="S95" s="44" t="s">
        <v>638</v>
      </c>
      <c r="T95" s="44" t="s">
        <v>143</v>
      </c>
      <c r="U95" s="45"/>
      <c r="V95" s="41" t="str">
        <f>IFERROR(INDEX([1]GARANTIA!$G:$G,MATCH(A95,[1]GARANTIA!$C:$C,0)),"INSIRA N° SERIE")</f>
        <v>QUIRINOPOLIS</v>
      </c>
      <c r="W95" s="41" t="str">
        <f>IFERROR(INDEX([1]GARANTIA!$H:$H,MATCH(A95,[1]GARANTIA!$C:$C,0)),"INSIRA N° SERIE")</f>
        <v xml:space="preserve">GO </v>
      </c>
      <c r="X95" s="41" t="str">
        <f>IFERROR(INDEX([1]GARANTIA!$F:$F,MATCH(A95,[1]GARANTIA!$C:$C,0)),"INSIRA N° SERIE")</f>
        <v>CENTROESTE</v>
      </c>
      <c r="Y95" s="46">
        <f t="shared" si="6"/>
        <v>0</v>
      </c>
      <c r="Z95" s="47">
        <f t="shared" si="7"/>
        <v>5</v>
      </c>
      <c r="AA95" s="46">
        <f t="shared" si="8"/>
        <v>5</v>
      </c>
      <c r="AB95" s="46" t="str" cm="1">
        <f t="array" ref="AB95">IFERROR(_xlfn.IFS(L95="FINALIZADO PRESENCIAL",IF(AA95&gt;10,"FORA","DENTRO"),L95="FINALIZADO REMOTO",IF(AA95&gt;5,"FORA","DENTRO")),"-")</f>
        <v>DENTRO</v>
      </c>
      <c r="AC95" s="41" t="s">
        <v>1671</v>
      </c>
      <c r="AD95" s="41" t="s">
        <v>1671</v>
      </c>
      <c r="AE95" s="48" cm="1">
        <f t="array" ref="AE95">SUMPRODUCT(IFERROR(('[2]PEÇAS GARANTIA'!$A$3:$A$5993=G95)*('[2]PEÇAS GARANTIA'!$A$3:$A$5993&lt;&gt;"")*('[2]PEÇAS GARANTIA'!$R$3:$R$5993),0))</f>
        <v>0</v>
      </c>
      <c r="AF95" s="178">
        <v>0</v>
      </c>
    </row>
    <row r="96" spans="1:32" s="49" customFormat="1" ht="40.15" customHeight="1" x14ac:dyDescent="0.25">
      <c r="A96" s="82">
        <v>86746</v>
      </c>
      <c r="B96" s="41" t="str">
        <f>IFERROR(INDEX([1]GARANTIA!$B:$B,MATCH(A96,[1]GARANTIA!$C:$C,0)),"INSIRA N° SERIE")</f>
        <v>TESTE 320</v>
      </c>
      <c r="C96" s="33">
        <f>IFERROR(INDEX([1]GARANTIA!$J:$J,MATCH(A96,[1]GARANTIA!$C:$C,0)),"INSIRA N° SERIE")</f>
        <v>44104</v>
      </c>
      <c r="D96" s="33" t="str">
        <f>IFERROR(IF(INDEX([1]GARANTIA!$M:$M,MATCH(A96,[1]GARANTIA!$C:$C,0))&gt;=I96,"DENTRO DA GARANTIA","FORA DE GARANTIA"),"INSIRA N° SERIE")</f>
        <v>DENTRO DA GARANTIA</v>
      </c>
      <c r="E96" s="148"/>
      <c r="F96" s="109">
        <f>IFERROR(MAX(0,IF(I96-(INDEX([1]GARANTIA!$J:$J,MATCH(A96,[1]GARANTIA!$C:$C,0)))&gt;=0,I96-(INDEX([1]GARANTIA!$L:$L,MATCH(A96,[1]GARANTIA!$C:$C,0))),"INSIRA DATA CHAMADO")),"INSIRA N° SERIE")</f>
        <v>30</v>
      </c>
      <c r="G96" s="35">
        <v>20210333</v>
      </c>
      <c r="H96" s="35" t="str">
        <f t="shared" si="5"/>
        <v>MAR</v>
      </c>
      <c r="I96" s="36">
        <v>44283</v>
      </c>
      <c r="J96" s="37">
        <v>44284</v>
      </c>
      <c r="K96" s="38">
        <v>44290</v>
      </c>
      <c r="L96" s="42" t="s">
        <v>11</v>
      </c>
      <c r="M96" s="42" t="s">
        <v>8</v>
      </c>
      <c r="N96" s="42" t="s">
        <v>28</v>
      </c>
      <c r="O96" s="42" t="str">
        <f>IFERROR(INDEX([1]GARANTIA!$E:$E,MATCH(A96,[1]GARANTIA!$C:$C,0)),"INSIRA N° SERIE")</f>
        <v>MTI - 1.000GTS</v>
      </c>
      <c r="P96" s="60" t="s">
        <v>197</v>
      </c>
      <c r="Q96" s="43" t="s">
        <v>324</v>
      </c>
      <c r="R96" s="60" t="s">
        <v>198</v>
      </c>
      <c r="S96" s="44" t="s">
        <v>101</v>
      </c>
      <c r="T96" s="44" t="s">
        <v>306</v>
      </c>
      <c r="U96" s="45"/>
      <c r="V96" s="41" t="str">
        <f>IFERROR(INDEX([1]GARANTIA!$G:$G,MATCH(A96,[1]GARANTIA!$C:$C,0)),"INSIRA N° SERIE")</f>
        <v>CORRENTE</v>
      </c>
      <c r="W96" s="41" t="str">
        <f>IFERROR(INDEX([1]GARANTIA!$H:$H,MATCH(A96,[1]GARANTIA!$C:$C,0)),"INSIRA N° SERIE")</f>
        <v>PI</v>
      </c>
      <c r="X96" s="41" t="str">
        <f>IFERROR(INDEX([1]GARANTIA!$F:$F,MATCH(A96,[1]GARANTIA!$C:$C,0)),"INSIRA N° SERIE")</f>
        <v>NORDESTE</v>
      </c>
      <c r="Y96" s="46">
        <f t="shared" si="6"/>
        <v>1</v>
      </c>
      <c r="Z96" s="47">
        <f t="shared" si="7"/>
        <v>6</v>
      </c>
      <c r="AA96" s="46">
        <f t="shared" ref="AA96:AA107" si="9">IF(Z96="NÃO FINALIZADO","",Z96+Y96)</f>
        <v>7</v>
      </c>
      <c r="AB96" s="46" t="str" cm="1">
        <f t="array" ref="AB96">IFERROR(_xlfn.IFS(L96="FINALIZADO PRESENCIAL",IF(AA96&gt;10,"FORA","DENTRO"),L96="FINALIZADO REMOTO",IF(AA96&gt;5,"FORA","DENTRO")),"-")</f>
        <v>DENTRO</v>
      </c>
      <c r="AC96" s="41" t="s">
        <v>1671</v>
      </c>
      <c r="AD96" s="41" t="s">
        <v>1671</v>
      </c>
      <c r="AE96" s="48" cm="1">
        <f t="array" ref="AE96">SUMPRODUCT(IFERROR(('[2]PEÇAS GARANTIA'!$A$3:$A$5993=G96)*('[2]PEÇAS GARANTIA'!$A$3:$A$5993&lt;&gt;"")*('[2]PEÇAS GARANTIA'!$R$3:$R$5993),0))</f>
        <v>1864.5</v>
      </c>
      <c r="AF96" s="178">
        <v>2833.5</v>
      </c>
    </row>
    <row r="97" spans="1:32" s="49" customFormat="1" ht="40.15" customHeight="1" x14ac:dyDescent="0.25">
      <c r="A97" s="82">
        <v>50354</v>
      </c>
      <c r="B97" s="41" t="str">
        <f>IFERROR(INDEX([1]GARANTIA!$B:$B,MATCH(A97,[1]GARANTIA!$C:$C,0)),"INSIRA N° SERIE")</f>
        <v>TESTE 10</v>
      </c>
      <c r="C97" s="33">
        <f>IFERROR(INDEX([1]GARANTIA!$J:$J,MATCH(A97,[1]GARANTIA!$C:$C,0)),"INSIRA N° SERIE")</f>
        <v>44074</v>
      </c>
      <c r="D97" s="33" t="str">
        <f>IFERROR(IF(INDEX([1]GARANTIA!$M:$M,MATCH(A97,[1]GARANTIA!$C:$C,0))&gt;=I97,"DENTRO DA GARANTIA","FORA DE GARANTIA"),"INSIRA N° SERIE")</f>
        <v>DENTRO DA GARANTIA</v>
      </c>
      <c r="E97" s="148"/>
      <c r="F97" s="109">
        <f>IFERROR(MAX(0,IF(I97-(INDEX([1]GARANTIA!$J:$J,MATCH(A97,[1]GARANTIA!$C:$C,0)))&gt;=0,I97-(INDEX([1]GARANTIA!$L:$L,MATCH(A97,[1]GARANTIA!$C:$C,0))),"INSIRA DATA CHAMADO")),"INSIRA N° SERIE")</f>
        <v>140</v>
      </c>
      <c r="G97" s="35">
        <v>20210334</v>
      </c>
      <c r="H97" s="35" t="str">
        <f t="shared" si="5"/>
        <v>MAR</v>
      </c>
      <c r="I97" s="36">
        <v>44283</v>
      </c>
      <c r="J97" s="37">
        <v>44283</v>
      </c>
      <c r="K97" s="38">
        <v>44286</v>
      </c>
      <c r="L97" s="42" t="s">
        <v>23</v>
      </c>
      <c r="M97" s="42" t="s">
        <v>8</v>
      </c>
      <c r="N97" s="42" t="s">
        <v>28</v>
      </c>
      <c r="O97" s="42" t="str">
        <f>IFERROR(INDEX([1]GARANTIA!$E:$E,MATCH(A97,[1]GARANTIA!$C:$C,0)),"INSIRA N° SERIE")</f>
        <v>MTI - 4.000GTS</v>
      </c>
      <c r="P97" s="60" t="s">
        <v>195</v>
      </c>
      <c r="Q97" s="43" t="s">
        <v>321</v>
      </c>
      <c r="R97" s="60" t="s">
        <v>196</v>
      </c>
      <c r="S97" s="44" t="s">
        <v>638</v>
      </c>
      <c r="T97" s="44" t="s">
        <v>143</v>
      </c>
      <c r="U97" s="45"/>
      <c r="V97" s="41" t="str">
        <f>IFERROR(INDEX([1]GARANTIA!$G:$G,MATCH(A97,[1]GARANTIA!$C:$C,0)),"INSIRA N° SERIE")</f>
        <v>CERQUILHO</v>
      </c>
      <c r="W97" s="41" t="str">
        <f>IFERROR(INDEX([1]GARANTIA!$H:$H,MATCH(A97,[1]GARANTIA!$C:$C,0)),"INSIRA N° SERIE")</f>
        <v>SP</v>
      </c>
      <c r="X97" s="41" t="str">
        <f>IFERROR(INDEX([1]GARANTIA!$F:$F,MATCH(A97,[1]GARANTIA!$C:$C,0)),"INSIRA N° SERIE")</f>
        <v>SUDESTE</v>
      </c>
      <c r="Y97" s="46">
        <f t="shared" si="6"/>
        <v>0</v>
      </c>
      <c r="Z97" s="47">
        <f t="shared" si="7"/>
        <v>3</v>
      </c>
      <c r="AA97" s="46">
        <f t="shared" si="9"/>
        <v>3</v>
      </c>
      <c r="AB97" s="46" t="str" cm="1">
        <f t="array" ref="AB97">IFERROR(_xlfn.IFS(L97="FINALIZADO PRESENCIAL",IF(AA97&gt;10,"FORA","DENTRO"),L97="FINALIZADO REMOTO",IF(AA97&gt;5,"FORA","DENTRO")),"-")</f>
        <v>DENTRO</v>
      </c>
      <c r="AC97" s="41" t="s">
        <v>1671</v>
      </c>
      <c r="AD97" s="41" t="s">
        <v>1671</v>
      </c>
      <c r="AE97" s="48" cm="1">
        <f t="array" ref="AE97">SUMPRODUCT(IFERROR(('[2]PEÇAS GARANTIA'!$A$3:$A$5993=G97)*('[2]PEÇAS GARANTIA'!$A$3:$A$5993&lt;&gt;"")*('[2]PEÇAS GARANTIA'!$R$3:$R$5993),0))</f>
        <v>0</v>
      </c>
      <c r="AF97" s="178">
        <v>0</v>
      </c>
    </row>
    <row r="98" spans="1:32" s="49" customFormat="1" ht="40.15" customHeight="1" x14ac:dyDescent="0.25">
      <c r="A98" s="82">
        <v>42353</v>
      </c>
      <c r="B98" s="41" t="str">
        <f>IFERROR(INDEX([1]GARANTIA!$B:$B,MATCH(A98,[1]GARANTIA!$C:$C,0)),"INSIRA N° SERIE")</f>
        <v>TESTE 272</v>
      </c>
      <c r="C98" s="33">
        <f>IFERROR(INDEX([1]GARANTIA!$J:$J,MATCH(A98,[1]GARANTIA!$C:$C,0)),"INSIRA N° SERIE")</f>
        <v>44078</v>
      </c>
      <c r="D98" s="33" t="str">
        <f>IFERROR(IF(INDEX([1]GARANTIA!$M:$M,MATCH(A98,[1]GARANTIA!$C:$C,0))&gt;=I98,"DENTRO DA GARANTIA","FORA DE GARANTIA"),"INSIRA N° SERIE")</f>
        <v>DENTRO DA GARANTIA</v>
      </c>
      <c r="E98" s="148"/>
      <c r="F98" s="109">
        <f>IFERROR(MAX(0,IF(I98-(INDEX([1]GARANTIA!$J:$J,MATCH(A98,[1]GARANTIA!$C:$C,0)))&gt;=0,I98-(INDEX([1]GARANTIA!$L:$L,MATCH(A98,[1]GARANTIA!$C:$C,0))),"INSIRA DATA CHAMADO")),"INSIRA N° SERIE")</f>
        <v>3</v>
      </c>
      <c r="G98" s="35">
        <v>20210335</v>
      </c>
      <c r="H98" s="35" t="str">
        <f t="shared" si="5"/>
        <v>MAR</v>
      </c>
      <c r="I98" s="36">
        <v>44284</v>
      </c>
      <c r="J98" s="37">
        <v>44284</v>
      </c>
      <c r="K98" s="38">
        <v>44294</v>
      </c>
      <c r="L98" s="42" t="s">
        <v>11</v>
      </c>
      <c r="M98" s="42" t="s">
        <v>8</v>
      </c>
      <c r="N98" s="42" t="s">
        <v>57</v>
      </c>
      <c r="O98" s="42" t="str">
        <f>IFERROR(INDEX([1]GARANTIA!$E:$E,MATCH(A98,[1]GARANTIA!$C:$C,0)),"INSIRA N° SERIE")</f>
        <v>MTI - 20.000GE</v>
      </c>
      <c r="P98" s="60" t="s">
        <v>194</v>
      </c>
      <c r="Q98" s="43" t="s">
        <v>54</v>
      </c>
      <c r="R98" s="60" t="s">
        <v>125</v>
      </c>
      <c r="S98" s="44" t="s">
        <v>638</v>
      </c>
      <c r="T98" s="44" t="s">
        <v>97</v>
      </c>
      <c r="U98" s="45"/>
      <c r="V98" s="41" t="str">
        <f>IFERROR(INDEX([1]GARANTIA!$G:$G,MATCH(A98,[1]GARANTIA!$C:$C,0)),"INSIRA N° SERIE")</f>
        <v>MAXARANGUAPE</v>
      </c>
      <c r="W98" s="41" t="str">
        <f>IFERROR(INDEX([1]GARANTIA!$H:$H,MATCH(A98,[1]GARANTIA!$C:$C,0)),"INSIRA N° SERIE")</f>
        <v>RN</v>
      </c>
      <c r="X98" s="41" t="str">
        <f>IFERROR(INDEX([1]GARANTIA!$F:$F,MATCH(A98,[1]GARANTIA!$C:$C,0)),"INSIRA N° SERIE")</f>
        <v>NORDESTE</v>
      </c>
      <c r="Y98" s="46">
        <f t="shared" si="6"/>
        <v>0</v>
      </c>
      <c r="Z98" s="47">
        <f t="shared" si="7"/>
        <v>10</v>
      </c>
      <c r="AA98" s="46">
        <f t="shared" si="9"/>
        <v>10</v>
      </c>
      <c r="AB98" s="46" t="str" cm="1">
        <f t="array" ref="AB98">IFERROR(_xlfn.IFS(L98="FINALIZADO PRESENCIAL",IF(AA98&gt;10,"FORA","DENTRO"),L98="FINALIZADO REMOTO",IF(AA98&gt;5,"FORA","DENTRO")),"-")</f>
        <v>DENTRO</v>
      </c>
      <c r="AC98" s="41" t="s">
        <v>1671</v>
      </c>
      <c r="AD98" s="41" t="s">
        <v>1671</v>
      </c>
      <c r="AE98" s="48" cm="1">
        <f t="array" ref="AE98">SUMPRODUCT(IFERROR(('[2]PEÇAS GARANTIA'!$A$3:$A$5993=G98)*('[2]PEÇAS GARANTIA'!$A$3:$A$5993&lt;&gt;"")*('[2]PEÇAS GARANTIA'!$R$3:$R$5993),0))</f>
        <v>13265.609999999999</v>
      </c>
      <c r="AF98" s="178">
        <v>20507.060000000001</v>
      </c>
    </row>
    <row r="99" spans="1:32" s="49" customFormat="1" ht="40.15" customHeight="1" x14ac:dyDescent="0.25">
      <c r="A99" s="82">
        <v>47823</v>
      </c>
      <c r="B99" s="41" t="str">
        <f>IFERROR(INDEX([1]GARANTIA!$B:$B,MATCH(A99,[1]GARANTIA!$C:$C,0)),"INSIRA N° SERIE")</f>
        <v>TESTE 295</v>
      </c>
      <c r="C99" s="33">
        <f>IFERROR(INDEX([1]GARANTIA!$J:$J,MATCH(A99,[1]GARANTIA!$C:$C,0)),"INSIRA N° SERIE")</f>
        <v>43830</v>
      </c>
      <c r="D99" s="33" t="str">
        <f>IFERROR(IF(INDEX([1]GARANTIA!$M:$M,MATCH(A99,[1]GARANTIA!$C:$C,0))&gt;=I99,"DENTRO DA GARANTIA","FORA DE GARANTIA"),"INSIRA N° SERIE")</f>
        <v>DENTRO DA GARANTIA</v>
      </c>
      <c r="E99" s="148"/>
      <c r="F99" s="109">
        <f>IFERROR(MAX(0,IF(I99-(INDEX([1]GARANTIA!$J:$J,MATCH(A99,[1]GARANTIA!$C:$C,0)))&gt;=0,I99-(INDEX([1]GARANTIA!$L:$L,MATCH(A99,[1]GARANTIA!$C:$C,0))),"INSIRA DATA CHAMADO")),"INSIRA N° SERIE")</f>
        <v>171</v>
      </c>
      <c r="G99" s="35">
        <v>20210336</v>
      </c>
      <c r="H99" s="35" t="str">
        <f t="shared" si="5"/>
        <v>MAR</v>
      </c>
      <c r="I99" s="36">
        <v>44284</v>
      </c>
      <c r="J99" s="37">
        <v>44284</v>
      </c>
      <c r="K99" s="38">
        <v>44286</v>
      </c>
      <c r="L99" s="42" t="s">
        <v>23</v>
      </c>
      <c r="M99" s="42" t="s">
        <v>8</v>
      </c>
      <c r="N99" s="42" t="s">
        <v>43</v>
      </c>
      <c r="O99" s="42" t="str">
        <f>IFERROR(INDEX([1]GARANTIA!$E:$E,MATCH(A99,[1]GARANTIA!$C:$C,0)),"INSIRA N° SERIE")</f>
        <v>MTI - 12.000GTS</v>
      </c>
      <c r="P99" s="60" t="s">
        <v>192</v>
      </c>
      <c r="Q99" s="43" t="s">
        <v>321</v>
      </c>
      <c r="R99" s="60" t="s">
        <v>193</v>
      </c>
      <c r="S99" s="44" t="s">
        <v>638</v>
      </c>
      <c r="T99" s="44" t="s">
        <v>143</v>
      </c>
      <c r="U99" s="45"/>
      <c r="V99" s="41" t="str">
        <f>IFERROR(INDEX([1]GARANTIA!$G:$G,MATCH(A99,[1]GARANTIA!$C:$C,0)),"INSIRA N° SERIE")</f>
        <v xml:space="preserve">LUIS EDUARDO MAGALHAES </v>
      </c>
      <c r="W99" s="41" t="str">
        <f>IFERROR(INDEX([1]GARANTIA!$H:$H,MATCH(A99,[1]GARANTIA!$C:$C,0)),"INSIRA N° SERIE")</f>
        <v>BA</v>
      </c>
      <c r="X99" s="41" t="str">
        <f>IFERROR(INDEX([1]GARANTIA!$F:$F,MATCH(A99,[1]GARANTIA!$C:$C,0)),"INSIRA N° SERIE")</f>
        <v>NORDESTE</v>
      </c>
      <c r="Y99" s="46">
        <f t="shared" si="6"/>
        <v>0</v>
      </c>
      <c r="Z99" s="47">
        <f t="shared" si="7"/>
        <v>2</v>
      </c>
      <c r="AA99" s="46">
        <f t="shared" si="9"/>
        <v>2</v>
      </c>
      <c r="AB99" s="46" t="str" cm="1">
        <f t="array" ref="AB99">IFERROR(_xlfn.IFS(L99="FINALIZADO PRESENCIAL",IF(AA99&gt;10,"FORA","DENTRO"),L99="FINALIZADO REMOTO",IF(AA99&gt;5,"FORA","DENTRO")),"-")</f>
        <v>DENTRO</v>
      </c>
      <c r="AC99" s="41" t="s">
        <v>1671</v>
      </c>
      <c r="AD99" s="41" t="s">
        <v>1671</v>
      </c>
      <c r="AE99" s="48" cm="1">
        <f t="array" ref="AE99">SUMPRODUCT(IFERROR(('[2]PEÇAS GARANTIA'!$A$3:$A$5993=G99)*('[2]PEÇAS GARANTIA'!$A$3:$A$5993&lt;&gt;"")*('[2]PEÇAS GARANTIA'!$R$3:$R$5993),0))</f>
        <v>0</v>
      </c>
      <c r="AF99" s="178">
        <v>0</v>
      </c>
    </row>
    <row r="100" spans="1:32" s="49" customFormat="1" ht="40.15" customHeight="1" x14ac:dyDescent="0.25">
      <c r="A100" s="82">
        <v>86411</v>
      </c>
      <c r="B100" s="41" t="str">
        <f>IFERROR(INDEX([1]GARANTIA!$B:$B,MATCH(A100,[1]GARANTIA!$C:$C,0)),"INSIRA N° SERIE")</f>
        <v>TESTE 317</v>
      </c>
      <c r="C100" s="33">
        <f>IFERROR(INDEX([1]GARANTIA!$J:$J,MATCH(A100,[1]GARANTIA!$C:$C,0)),"INSIRA N° SERIE")</f>
        <v>43763</v>
      </c>
      <c r="D100" s="33" t="str">
        <f>IFERROR(IF(INDEX([1]GARANTIA!$M:$M,MATCH(A100,[1]GARANTIA!$C:$C,0))&gt;=I100,"DENTRO DA GARANTIA","FORA DE GARANTIA"),"INSIRA N° SERIE")</f>
        <v>DENTRO DA GARANTIA</v>
      </c>
      <c r="E100" s="148"/>
      <c r="F100" s="109">
        <f>IFERROR(MAX(0,IF(I100-(INDEX([1]GARANTIA!$J:$J,MATCH(A100,[1]GARANTIA!$C:$C,0)))&gt;=0,I100-(INDEX([1]GARANTIA!$L:$L,MATCH(A100,[1]GARANTIA!$C:$C,0))),"INSIRA DATA CHAMADO")),"INSIRA N° SERIE")</f>
        <v>199</v>
      </c>
      <c r="G100" s="35">
        <v>20210337</v>
      </c>
      <c r="H100" s="35" t="str">
        <f t="shared" si="5"/>
        <v>MAR</v>
      </c>
      <c r="I100" s="36">
        <v>44285</v>
      </c>
      <c r="J100" s="37">
        <v>44285</v>
      </c>
      <c r="K100" s="39">
        <v>44286</v>
      </c>
      <c r="L100" s="42" t="s">
        <v>23</v>
      </c>
      <c r="M100" s="42" t="s">
        <v>8</v>
      </c>
      <c r="N100" s="42" t="s">
        <v>26</v>
      </c>
      <c r="O100" s="42" t="str">
        <f>IFERROR(INDEX([1]GARANTIA!$E:$E,MATCH(A100,[1]GARANTIA!$C:$C,0)),"INSIRA N° SERIE")</f>
        <v>MTI - 7.000GTS</v>
      </c>
      <c r="P100" s="60" t="s">
        <v>191</v>
      </c>
      <c r="Q100" s="43" t="s">
        <v>326</v>
      </c>
      <c r="R100" s="60" t="s">
        <v>118</v>
      </c>
      <c r="S100" s="44" t="s">
        <v>325</v>
      </c>
      <c r="T100" s="44" t="s">
        <v>640</v>
      </c>
      <c r="U100" s="45"/>
      <c r="V100" s="41" t="str">
        <f>IFERROR(INDEX([1]GARANTIA!$G:$G,MATCH(A100,[1]GARANTIA!$C:$C,0)),"INSIRA N° SERIE")</f>
        <v>JAU</v>
      </c>
      <c r="W100" s="41" t="str">
        <f>IFERROR(INDEX([1]GARANTIA!$H:$H,MATCH(A100,[1]GARANTIA!$C:$C,0)),"INSIRA N° SERIE")</f>
        <v>SP</v>
      </c>
      <c r="X100" s="41" t="str">
        <f>IFERROR(INDEX([1]GARANTIA!$F:$F,MATCH(A100,[1]GARANTIA!$C:$C,0)),"INSIRA N° SERIE")</f>
        <v>SUDESTE</v>
      </c>
      <c r="Y100" s="46">
        <f t="shared" si="6"/>
        <v>0</v>
      </c>
      <c r="Z100" s="47">
        <f t="shared" si="7"/>
        <v>1</v>
      </c>
      <c r="AA100" s="46">
        <f t="shared" si="9"/>
        <v>1</v>
      </c>
      <c r="AB100" s="46" t="str" cm="1">
        <f t="array" ref="AB100">IFERROR(_xlfn.IFS(L100="FINALIZADO PRESENCIAL",IF(AA100&gt;10,"FORA","DENTRO"),L100="FINALIZADO REMOTO",IF(AA100&gt;5,"FORA","DENTRO")),"-")</f>
        <v>DENTRO</v>
      </c>
      <c r="AC100" s="41" t="s">
        <v>1671</v>
      </c>
      <c r="AD100" s="41" t="s">
        <v>1671</v>
      </c>
      <c r="AE100" s="48" cm="1">
        <f t="array" ref="AE100">SUMPRODUCT(IFERROR(('[2]PEÇAS GARANTIA'!$A$3:$A$5993=G100)*('[2]PEÇAS GARANTIA'!$A$3:$A$5993&lt;&gt;"")*('[2]PEÇAS GARANTIA'!$R$3:$R$5993),0))</f>
        <v>445.71</v>
      </c>
      <c r="AF100" s="178">
        <v>0</v>
      </c>
    </row>
    <row r="101" spans="1:32" s="49" customFormat="1" ht="40.15" customHeight="1" x14ac:dyDescent="0.25">
      <c r="A101" s="82">
        <v>92314</v>
      </c>
      <c r="B101" s="41" t="str">
        <f>IFERROR(INDEX([1]GARANTIA!$B:$B,MATCH(A101,[1]GARANTIA!$C:$C,0)),"INSIRA N° SERIE")</f>
        <v>TESTE 47</v>
      </c>
      <c r="C101" s="33">
        <f>IFERROR(INDEX([1]GARANTIA!$J:$J,MATCH(A101,[1]GARANTIA!$C:$C,0)),"INSIRA N° SERIE")</f>
        <v>43591</v>
      </c>
      <c r="D101" s="33" t="str">
        <f>IFERROR(IF(INDEX([1]GARANTIA!$M:$M,MATCH(A101,[1]GARANTIA!$C:$C,0))&gt;=I101,"DENTRO DA GARANTIA","FORA DE GARANTIA"),"INSIRA N° SERIE")</f>
        <v>FORA DE GARANTIA</v>
      </c>
      <c r="E101" s="148"/>
      <c r="F101" s="109">
        <f>IFERROR(MAX(0,IF(I101-(INDEX([1]GARANTIA!$J:$J,MATCH(A101,[1]GARANTIA!$C:$C,0)))&gt;=0,I101-(INDEX([1]GARANTIA!$L:$L,MATCH(A101,[1]GARANTIA!$C:$C,0))),"INSIRA DATA CHAMADO")),"INSIRA N° SERIE")</f>
        <v>487</v>
      </c>
      <c r="G101" s="35">
        <v>20210421</v>
      </c>
      <c r="H101" s="35" t="str">
        <f t="shared" si="5"/>
        <v>MAR</v>
      </c>
      <c r="I101" s="36">
        <v>44285</v>
      </c>
      <c r="J101" s="37">
        <v>44285</v>
      </c>
      <c r="K101" s="39">
        <v>44286</v>
      </c>
      <c r="L101" s="42" t="s">
        <v>23</v>
      </c>
      <c r="M101" s="42" t="s">
        <v>8</v>
      </c>
      <c r="N101" s="42" t="s">
        <v>26</v>
      </c>
      <c r="O101" s="42" t="str">
        <f>IFERROR(INDEX([1]GARANTIA!$E:$E,MATCH(A101,[1]GARANTIA!$C:$C,0)),"INSIRA N° SERIE")</f>
        <v>MTI - 22.000GT</v>
      </c>
      <c r="P101" s="60" t="s">
        <v>190</v>
      </c>
      <c r="Q101" s="43" t="s">
        <v>62</v>
      </c>
      <c r="R101" s="60" t="s">
        <v>176</v>
      </c>
      <c r="S101" s="44" t="s">
        <v>325</v>
      </c>
      <c r="T101" s="44" t="s">
        <v>640</v>
      </c>
      <c r="U101" s="45"/>
      <c r="V101" s="41" t="str">
        <f>IFERROR(INDEX([1]GARANTIA!$G:$G,MATCH(A101,[1]GARANTIA!$C:$C,0)),"INSIRA N° SERIE")</f>
        <v>TEIXEIRA DE FREITAS</v>
      </c>
      <c r="W101" s="41" t="str">
        <f>IFERROR(INDEX([1]GARANTIA!$H:$H,MATCH(A101,[1]GARANTIA!$C:$C,0)),"INSIRA N° SERIE")</f>
        <v>BA</v>
      </c>
      <c r="X101" s="41" t="str">
        <f>IFERROR(INDEX([1]GARANTIA!$F:$F,MATCH(A101,[1]GARANTIA!$C:$C,0)),"INSIRA N° SERIE")</f>
        <v>NORDESTE</v>
      </c>
      <c r="Y101" s="46">
        <f t="shared" si="6"/>
        <v>0</v>
      </c>
      <c r="Z101" s="47">
        <f t="shared" si="7"/>
        <v>1</v>
      </c>
      <c r="AA101" s="46">
        <f t="shared" si="9"/>
        <v>1</v>
      </c>
      <c r="AB101" s="46" t="str" cm="1">
        <f t="array" ref="AB101">IFERROR(_xlfn.IFS(L101="FINALIZADO PRESENCIAL",IF(AA101&gt;10,"FORA","DENTRO"),L101="FINALIZADO REMOTO",IF(AA101&gt;5,"FORA","DENTRO")),"-")</f>
        <v>DENTRO</v>
      </c>
      <c r="AC101" s="41" t="s">
        <v>1671</v>
      </c>
      <c r="AD101" s="41" t="s">
        <v>1671</v>
      </c>
      <c r="AE101" s="48" cm="1">
        <f t="array" ref="AE101">SUMPRODUCT(IFERROR(('[2]PEÇAS GARANTIA'!$A$3:$A$5993=G101)*('[2]PEÇAS GARANTIA'!$A$3:$A$5993&lt;&gt;"")*('[2]PEÇAS GARANTIA'!$R$3:$R$5993),0))</f>
        <v>1775.39</v>
      </c>
      <c r="AF101" s="178">
        <v>0</v>
      </c>
    </row>
    <row r="102" spans="1:32" s="49" customFormat="1" ht="40.15" customHeight="1" x14ac:dyDescent="0.25">
      <c r="A102" s="82">
        <v>44524</v>
      </c>
      <c r="B102" s="41" t="str">
        <f>IFERROR(INDEX([1]GARANTIA!$B:$B,MATCH(A102,[1]GARANTIA!$C:$C,0)),"INSIRA N° SERIE")</f>
        <v>TESTE 173</v>
      </c>
      <c r="C102" s="33">
        <f>IFERROR(INDEX([1]GARANTIA!$J:$J,MATCH(A102,[1]GARANTIA!$C:$C,0)),"INSIRA N° SERIE")</f>
        <v>44119</v>
      </c>
      <c r="D102" s="33" t="str">
        <f>IFERROR(IF(INDEX([1]GARANTIA!$M:$M,MATCH(A102,[1]GARANTIA!$C:$C,0))&gt;=I102,"DENTRO DA GARANTIA","FORA DE GARANTIA"),"INSIRA N° SERIE")</f>
        <v>DENTRO DA GARANTIA</v>
      </c>
      <c r="E102" s="148"/>
      <c r="F102" s="109">
        <f>IFERROR(MAX(0,IF(I102-(INDEX([1]GARANTIA!$J:$J,MATCH(A102,[1]GARANTIA!$C:$C,0)))&gt;=0,I102-(INDEX([1]GARANTIA!$L:$L,MATCH(A102,[1]GARANTIA!$C:$C,0))),"INSIRA DATA CHAMADO")),"INSIRA N° SERIE")</f>
        <v>40</v>
      </c>
      <c r="G102" s="35">
        <v>20210338</v>
      </c>
      <c r="H102" s="35" t="str">
        <f t="shared" si="5"/>
        <v>MAR</v>
      </c>
      <c r="I102" s="36">
        <v>44286</v>
      </c>
      <c r="J102" s="37">
        <v>44286</v>
      </c>
      <c r="K102" s="39">
        <v>44286</v>
      </c>
      <c r="L102" s="42" t="s">
        <v>23</v>
      </c>
      <c r="M102" s="42" t="s">
        <v>8</v>
      </c>
      <c r="N102" s="42" t="s">
        <v>39</v>
      </c>
      <c r="O102" s="42" t="str">
        <f>IFERROR(INDEX([1]GARANTIA!$E:$E,MATCH(A102,[1]GARANTIA!$C:$C,0)),"INSIRA N° SERIE")</f>
        <v>MTI - 4.000GTS</v>
      </c>
      <c r="P102" s="60" t="s">
        <v>189</v>
      </c>
      <c r="Q102" s="43" t="s">
        <v>335</v>
      </c>
      <c r="R102" s="60" t="s">
        <v>119</v>
      </c>
      <c r="S102" s="44" t="s">
        <v>102</v>
      </c>
      <c r="T102" s="44" t="s">
        <v>296</v>
      </c>
      <c r="U102" s="45"/>
      <c r="V102" s="41" t="str">
        <f>IFERROR(INDEX([1]GARANTIA!$G:$G,MATCH(A102,[1]GARANTIA!$C:$C,0)),"INSIRA N° SERIE")</f>
        <v>QUIRINOPOLIS</v>
      </c>
      <c r="W102" s="41" t="str">
        <f>IFERROR(INDEX([1]GARANTIA!$H:$H,MATCH(A102,[1]GARANTIA!$C:$C,0)),"INSIRA N° SERIE")</f>
        <v>GO</v>
      </c>
      <c r="X102" s="41" t="str">
        <f>IFERROR(INDEX([1]GARANTIA!$F:$F,MATCH(A102,[1]GARANTIA!$C:$C,0)),"INSIRA N° SERIE")</f>
        <v>CENTROESTE</v>
      </c>
      <c r="Y102" s="46">
        <f t="shared" si="6"/>
        <v>0</v>
      </c>
      <c r="Z102" s="47">
        <f t="shared" si="7"/>
        <v>0</v>
      </c>
      <c r="AA102" s="46">
        <f t="shared" si="9"/>
        <v>0</v>
      </c>
      <c r="AB102" s="46" t="str" cm="1">
        <f t="array" ref="AB102">IFERROR(_xlfn.IFS(L102="FINALIZADO PRESENCIAL",IF(AA102&gt;10,"FORA","DENTRO"),L102="FINALIZADO REMOTO",IF(AA102&gt;5,"FORA","DENTRO")),"-")</f>
        <v>DENTRO</v>
      </c>
      <c r="AC102" s="41" t="s">
        <v>1671</v>
      </c>
      <c r="AD102" s="41" t="s">
        <v>1671</v>
      </c>
      <c r="AE102" s="48" cm="1">
        <f t="array" ref="AE102">SUMPRODUCT(IFERROR(('[2]PEÇAS GARANTIA'!$A$3:$A$5993=G102)*('[2]PEÇAS GARANTIA'!$A$3:$A$5993&lt;&gt;"")*('[2]PEÇAS GARANTIA'!$R$3:$R$5993),0))</f>
        <v>0</v>
      </c>
      <c r="AF102" s="178">
        <v>0</v>
      </c>
    </row>
    <row r="103" spans="1:32" s="49" customFormat="1" ht="40.15" customHeight="1" x14ac:dyDescent="0.25">
      <c r="A103" s="82">
        <v>9991</v>
      </c>
      <c r="B103" s="41" t="str">
        <f>IFERROR(INDEX([1]GARANTIA!$B:$B,MATCH(A103,[1]GARANTIA!$C:$C,0)),"INSIRA N° SERIE")</f>
        <v>TESTE 308</v>
      </c>
      <c r="C103" s="33">
        <f>IFERROR(INDEX([1]GARANTIA!$J:$J,MATCH(A103,[1]GARANTIA!$C:$C,0)),"INSIRA N° SERIE")</f>
        <v>44137</v>
      </c>
      <c r="D103" s="33" t="str">
        <f>IFERROR(IF(INDEX([1]GARANTIA!$M:$M,MATCH(A103,[1]GARANTIA!$C:$C,0))&gt;=I103,"DENTRO DA GARANTIA","FORA DE GARANTIA"),"INSIRA N° SERIE")</f>
        <v>DENTRO DA GARANTIA</v>
      </c>
      <c r="E103" s="148"/>
      <c r="F103" s="109">
        <f>IFERROR(MAX(0,IF(I103-(INDEX([1]GARANTIA!$J:$J,MATCH(A103,[1]GARANTIA!$C:$C,0)))&gt;=0,I103-(INDEX([1]GARANTIA!$L:$L,MATCH(A103,[1]GARANTIA!$C:$C,0))),"INSIRA DATA CHAMADO")),"INSIRA N° SERIE")</f>
        <v>5</v>
      </c>
      <c r="G103" s="35">
        <v>20210423</v>
      </c>
      <c r="H103" s="35" t="str">
        <f t="shared" si="5"/>
        <v>MAR</v>
      </c>
      <c r="I103" s="36">
        <v>44286</v>
      </c>
      <c r="J103" s="37">
        <v>44286</v>
      </c>
      <c r="K103" s="39">
        <v>44286</v>
      </c>
      <c r="L103" s="42" t="s">
        <v>23</v>
      </c>
      <c r="M103" s="42" t="s">
        <v>8</v>
      </c>
      <c r="N103" s="42" t="s">
        <v>43</v>
      </c>
      <c r="O103" s="42" t="str">
        <f>IFERROR(INDEX([1]GARANTIA!$E:$E,MATCH(A103,[1]GARANTIA!$C:$C,0)),"INSIRA N° SERIE")</f>
        <v>MTI - 40.000GT</v>
      </c>
      <c r="P103" s="60" t="s">
        <v>177</v>
      </c>
      <c r="Q103" s="43" t="s">
        <v>331</v>
      </c>
      <c r="R103" s="60" t="s">
        <v>178</v>
      </c>
      <c r="S103" s="44" t="s">
        <v>638</v>
      </c>
      <c r="T103" s="44" t="s">
        <v>141</v>
      </c>
      <c r="U103" s="45"/>
      <c r="V103" s="41" t="str">
        <f>IFERROR(INDEX([1]GARANTIA!$G:$G,MATCH(A103,[1]GARANTIA!$C:$C,0)),"INSIRA N° SERIE")</f>
        <v>OSASCO</v>
      </c>
      <c r="W103" s="41" t="str">
        <f>IFERROR(INDEX([1]GARANTIA!$H:$H,MATCH(A103,[1]GARANTIA!$C:$C,0)),"INSIRA N° SERIE")</f>
        <v>SP</v>
      </c>
      <c r="X103" s="41" t="str">
        <f>IFERROR(INDEX([1]GARANTIA!$F:$F,MATCH(A103,[1]GARANTIA!$C:$C,0)),"INSIRA N° SERIE")</f>
        <v>SUDESTE</v>
      </c>
      <c r="Y103" s="46">
        <f t="shared" si="6"/>
        <v>0</v>
      </c>
      <c r="Z103" s="47">
        <f t="shared" si="7"/>
        <v>0</v>
      </c>
      <c r="AA103" s="46">
        <f t="shared" si="9"/>
        <v>0</v>
      </c>
      <c r="AB103" s="46" t="str" cm="1">
        <f t="array" ref="AB103">IFERROR(_xlfn.IFS(L103="FINALIZADO PRESENCIAL",IF(AA103&gt;10,"FORA","DENTRO"),L103="FINALIZADO REMOTO",IF(AA103&gt;5,"FORA","DENTRO")),"-")</f>
        <v>DENTRO</v>
      </c>
      <c r="AC103" s="41" t="s">
        <v>1671</v>
      </c>
      <c r="AD103" s="41" t="s">
        <v>1671</v>
      </c>
      <c r="AE103" s="48" cm="1">
        <f t="array" ref="AE103">SUMPRODUCT(IFERROR(('[2]PEÇAS GARANTIA'!$A$3:$A$5993=G103)*('[2]PEÇAS GARANTIA'!$A$3:$A$5993&lt;&gt;"")*('[2]PEÇAS GARANTIA'!$R$3:$R$5993),0))</f>
        <v>7091.28</v>
      </c>
      <c r="AF103" s="178">
        <v>2897.23</v>
      </c>
    </row>
    <row r="104" spans="1:32" s="49" customFormat="1" ht="40.15" customHeight="1" x14ac:dyDescent="0.25">
      <c r="A104" s="82">
        <v>73508</v>
      </c>
      <c r="B104" s="41" t="str">
        <f>IFERROR(INDEX([1]GARANTIA!$B:$B,MATCH(A104,[1]GARANTIA!$C:$C,0)),"INSIRA N° SERIE")</f>
        <v>TESTE 327</v>
      </c>
      <c r="C104" s="33">
        <f>IFERROR(INDEX([1]GARANTIA!$J:$J,MATCH(A104,[1]GARANTIA!$C:$C,0)),"INSIRA N° SERIE")</f>
        <v>44104</v>
      </c>
      <c r="D104" s="33" t="str">
        <f>IFERROR(IF(INDEX([1]GARANTIA!$M:$M,MATCH(A104,[1]GARANTIA!$C:$C,0))&gt;=I104,"DENTRO DA GARANTIA","FORA DE GARANTIA"),"INSIRA N° SERIE")</f>
        <v>DENTRO DA GARANTIA</v>
      </c>
      <c r="E104" s="148"/>
      <c r="F104" s="109">
        <f>IFERROR(MAX(0,IF(I104-(INDEX([1]GARANTIA!$J:$J,MATCH(A104,[1]GARANTIA!$C:$C,0)))&gt;=0,I104-(INDEX([1]GARANTIA!$L:$L,MATCH(A104,[1]GARANTIA!$C:$C,0))),"INSIRA DATA CHAMADO")),"INSIRA N° SERIE")</f>
        <v>81</v>
      </c>
      <c r="G104" s="35">
        <v>20210339</v>
      </c>
      <c r="H104" s="35" t="str">
        <f t="shared" si="5"/>
        <v>MAR</v>
      </c>
      <c r="I104" s="36">
        <v>44286</v>
      </c>
      <c r="J104" s="37">
        <v>44287</v>
      </c>
      <c r="K104" s="39">
        <v>44287</v>
      </c>
      <c r="L104" s="42" t="s">
        <v>23</v>
      </c>
      <c r="M104" s="42" t="s">
        <v>8</v>
      </c>
      <c r="N104" s="42" t="s">
        <v>76</v>
      </c>
      <c r="O104" s="42" t="str">
        <f>IFERROR(INDEX([1]GARANTIA!$E:$E,MATCH(A104,[1]GARANTIA!$C:$C,0)),"INSIRA N° SERIE")</f>
        <v>MTI - 4.000GES</v>
      </c>
      <c r="P104" s="60" t="s">
        <v>188</v>
      </c>
      <c r="Q104" s="43" t="s">
        <v>305</v>
      </c>
      <c r="R104" s="60" t="s">
        <v>103</v>
      </c>
      <c r="S104" s="44" t="s">
        <v>638</v>
      </c>
      <c r="T104" s="44" t="s">
        <v>143</v>
      </c>
      <c r="U104" s="45"/>
      <c r="V104" s="41" t="str">
        <f>IFERROR(INDEX([1]GARANTIA!$G:$G,MATCH(A104,[1]GARANTIA!$C:$C,0)),"INSIRA N° SERIE")</f>
        <v>JARU</v>
      </c>
      <c r="W104" s="41" t="str">
        <f>IFERROR(INDEX([1]GARANTIA!$H:$H,MATCH(A104,[1]GARANTIA!$C:$C,0)),"INSIRA N° SERIE")</f>
        <v>RO</v>
      </c>
      <c r="X104" s="41" t="str">
        <f>IFERROR(INDEX([1]GARANTIA!$F:$F,MATCH(A104,[1]GARANTIA!$C:$C,0)),"INSIRA N° SERIE")</f>
        <v>NORTE</v>
      </c>
      <c r="Y104" s="46">
        <f t="shared" si="6"/>
        <v>1</v>
      </c>
      <c r="Z104" s="47">
        <f t="shared" si="7"/>
        <v>0</v>
      </c>
      <c r="AA104" s="46">
        <f t="shared" si="9"/>
        <v>1</v>
      </c>
      <c r="AB104" s="46" t="str" cm="1">
        <f t="array" ref="AB104">IFERROR(_xlfn.IFS(L104="FINALIZADO PRESENCIAL",IF(AA104&gt;10,"FORA","DENTRO"),L104="FINALIZADO REMOTO",IF(AA104&gt;5,"FORA","DENTRO")),"-")</f>
        <v>DENTRO</v>
      </c>
      <c r="AC104" s="41" t="s">
        <v>1671</v>
      </c>
      <c r="AD104" s="41" t="s">
        <v>1671</v>
      </c>
      <c r="AE104" s="48" cm="1">
        <f t="array" ref="AE104">SUMPRODUCT(IFERROR(('[2]PEÇAS GARANTIA'!$A$3:$A$5993=G104)*('[2]PEÇAS GARANTIA'!$A$3:$A$5993&lt;&gt;"")*('[2]PEÇAS GARANTIA'!$R$3:$R$5993),0))</f>
        <v>0</v>
      </c>
      <c r="AF104" s="178">
        <v>0</v>
      </c>
    </row>
    <row r="105" spans="1:32" s="106" customFormat="1" ht="12.75" x14ac:dyDescent="0.25">
      <c r="A105" s="82">
        <v>69334</v>
      </c>
      <c r="B105" s="41" t="str">
        <f>IFERROR(INDEX([1]GARANTIA!$B:$B,MATCH(A105,[1]GARANTIA!$C:$C,0)),"INSIRA N° SERIE")</f>
        <v>TESTE 27</v>
      </c>
      <c r="C105" s="33">
        <f>IFERROR(INDEX([1]GARANTIA!$J:$J,MATCH(A105,[1]GARANTIA!$C:$C,0)),"INSIRA N° SERIE")</f>
        <v>44012</v>
      </c>
      <c r="D105" s="33" t="str">
        <f>IFERROR(IF(INDEX([1]GARANTIA!$M:$M,MATCH(A105,[1]GARANTIA!$C:$C,0))&gt;=I105,"DENTRO DA GARANTIA","FORA DE GARANTIA"),"INSIRA N° SERIE")</f>
        <v>DENTRO DA GARANTIA</v>
      </c>
      <c r="E105" s="148"/>
      <c r="F105" s="109">
        <f>IFERROR(MAX(0,IF(I105-(INDEX([1]GARANTIA!$J:$J,MATCH(A105,[1]GARANTIA!$C:$C,0)))&gt;=0,I105-(INDEX([1]GARANTIA!$L:$L,MATCH(A105,[1]GARANTIA!$C:$C,0))),"INSIRA DATA CHAMADO")),"INSIRA N° SERIE")</f>
        <v>77</v>
      </c>
      <c r="G105" s="35">
        <v>20210400</v>
      </c>
      <c r="H105" s="35" t="str">
        <f t="shared" si="5"/>
        <v>ABR</v>
      </c>
      <c r="I105" s="36">
        <v>44287</v>
      </c>
      <c r="J105" s="37">
        <v>44287</v>
      </c>
      <c r="K105" s="39">
        <v>44291</v>
      </c>
      <c r="L105" s="42" t="s">
        <v>23</v>
      </c>
      <c r="M105" s="42" t="s">
        <v>8</v>
      </c>
      <c r="N105" s="42" t="s">
        <v>89</v>
      </c>
      <c r="O105" s="42" t="str">
        <f>IFERROR(INDEX([1]GARANTIA!$E:$E,MATCH(A105,[1]GARANTIA!$C:$C,0)),"INSIRA N° SERIE")</f>
        <v>TR - 1</v>
      </c>
      <c r="P105" s="60" t="s">
        <v>169</v>
      </c>
      <c r="Q105" s="43" t="s">
        <v>332</v>
      </c>
      <c r="R105" s="60" t="s">
        <v>170</v>
      </c>
      <c r="S105" s="44" t="s">
        <v>638</v>
      </c>
      <c r="T105" s="44" t="s">
        <v>141</v>
      </c>
      <c r="U105" s="45"/>
      <c r="V105" s="41" t="str">
        <f>IFERROR(INDEX([1]GARANTIA!$G:$G,MATCH(A105,[1]GARANTIA!$C:$C,0)),"INSIRA N° SERIE")</f>
        <v>CERES</v>
      </c>
      <c r="W105" s="41" t="str">
        <f>IFERROR(INDEX([1]GARANTIA!$H:$H,MATCH(A105,[1]GARANTIA!$C:$C,0)),"INSIRA N° SERIE")</f>
        <v xml:space="preserve">GO </v>
      </c>
      <c r="X105" s="41" t="str">
        <f>IFERROR(INDEX([1]GARANTIA!$F:$F,MATCH(A105,[1]GARANTIA!$C:$C,0)),"INSIRA N° SERIE")</f>
        <v>CENTROESTE</v>
      </c>
      <c r="Y105" s="46">
        <f t="shared" si="6"/>
        <v>0</v>
      </c>
      <c r="Z105" s="47">
        <f t="shared" si="7"/>
        <v>4</v>
      </c>
      <c r="AA105" s="46">
        <f t="shared" si="9"/>
        <v>4</v>
      </c>
      <c r="AB105" s="46" t="str" cm="1">
        <f t="array" ref="AB105">IFERROR(_xlfn.IFS(L105="FINALIZADO PRESENCIAL",IF(AA105&gt;10,"FORA","DENTRO"),L105="FINALIZADO REMOTO",IF(AA105&gt;5,"FORA","DENTRO")),"-")</f>
        <v>DENTRO</v>
      </c>
      <c r="AC105" s="41" t="s">
        <v>1671</v>
      </c>
      <c r="AD105" s="41" t="s">
        <v>1671</v>
      </c>
      <c r="AE105" s="48" cm="1">
        <f t="array" ref="AE105">SUMPRODUCT(IFERROR(('[2]PEÇAS GARANTIA'!$A$3:$A$5993=G105)*('[2]PEÇAS GARANTIA'!$A$3:$A$5993&lt;&gt;"")*('[2]PEÇAS GARANTIA'!$R$3:$R$5993),0))</f>
        <v>0</v>
      </c>
      <c r="AF105" s="178">
        <v>0</v>
      </c>
    </row>
    <row r="106" spans="1:32" s="106" customFormat="1" ht="40.15" customHeight="1" x14ac:dyDescent="0.25">
      <c r="A106" s="82">
        <v>86086</v>
      </c>
      <c r="B106" s="41" t="str">
        <f>IFERROR(INDEX([1]GARANTIA!$B:$B,MATCH(A106,[1]GARANTIA!$C:$C,0)),"INSIRA N° SERIE")</f>
        <v>TESTE 76</v>
      </c>
      <c r="C106" s="33">
        <f>IFERROR(INDEX([1]GARANTIA!$J:$J,MATCH(A106,[1]GARANTIA!$C:$C,0)),"INSIRA N° SERIE")</f>
        <v>43982</v>
      </c>
      <c r="D106" s="33" t="str">
        <f>IFERROR(IF(INDEX([1]GARANTIA!$M:$M,MATCH(A106,[1]GARANTIA!$C:$C,0))&gt;=I106,"DENTRO DA GARANTIA","FORA DE GARANTIA"),"INSIRA N° SERIE")</f>
        <v>DENTRO DA GARANTIA</v>
      </c>
      <c r="E106" s="148"/>
      <c r="F106" s="109">
        <f>IFERROR(MAX(0,IF(I106-(INDEX([1]GARANTIA!$J:$J,MATCH(A106,[1]GARANTIA!$C:$C,0)))&gt;=0,I106-(INDEX([1]GARANTIA!$L:$L,MATCH(A106,[1]GARANTIA!$C:$C,0))),"INSIRA DATA CHAMADO")),"INSIRA N° SERIE")</f>
        <v>280</v>
      </c>
      <c r="G106" s="35">
        <v>20210401</v>
      </c>
      <c r="H106" s="35" t="str">
        <f t="shared" si="5"/>
        <v>ABR</v>
      </c>
      <c r="I106" s="36">
        <v>44287</v>
      </c>
      <c r="J106" s="37">
        <v>44287</v>
      </c>
      <c r="K106" s="39">
        <v>44291</v>
      </c>
      <c r="L106" s="42" t="s">
        <v>23</v>
      </c>
      <c r="M106" s="42" t="s">
        <v>8</v>
      </c>
      <c r="N106" s="42" t="s">
        <v>32</v>
      </c>
      <c r="O106" s="42" t="str">
        <f>IFERROR(INDEX([1]GARANTIA!$E:$E,MATCH(A106,[1]GARANTIA!$C:$C,0)),"INSIRA N° SERIE")</f>
        <v>MTI - 1.000GTS</v>
      </c>
      <c r="P106" s="60" t="s">
        <v>150</v>
      </c>
      <c r="Q106" s="43" t="s">
        <v>326</v>
      </c>
      <c r="R106" s="60" t="s">
        <v>128</v>
      </c>
      <c r="S106" s="44" t="s">
        <v>325</v>
      </c>
      <c r="T106" s="44" t="s">
        <v>640</v>
      </c>
      <c r="U106" s="45"/>
      <c r="V106" s="41" t="str">
        <f>IFERROR(INDEX([1]GARANTIA!$G:$G,MATCH(A106,[1]GARANTIA!$C:$C,0)),"INSIRA N° SERIE")</f>
        <v>LUZIANA</v>
      </c>
      <c r="W106" s="41" t="str">
        <f>IFERROR(INDEX([1]GARANTIA!$H:$H,MATCH(A106,[1]GARANTIA!$C:$C,0)),"INSIRA N° SERIE")</f>
        <v xml:space="preserve">GO </v>
      </c>
      <c r="X106" s="41" t="str">
        <f>IFERROR(INDEX([1]GARANTIA!$F:$F,MATCH(A106,[1]GARANTIA!$C:$C,0)),"INSIRA N° SERIE")</f>
        <v>CENTROESTE</v>
      </c>
      <c r="Y106" s="46">
        <f t="shared" si="6"/>
        <v>0</v>
      </c>
      <c r="Z106" s="47">
        <f t="shared" si="7"/>
        <v>4</v>
      </c>
      <c r="AA106" s="46">
        <f t="shared" si="9"/>
        <v>4</v>
      </c>
      <c r="AB106" s="46" t="str" cm="1">
        <f t="array" ref="AB106">IFERROR(_xlfn.IFS(L106="FINALIZADO PRESENCIAL",IF(AA106&gt;10,"FORA","DENTRO"),L106="FINALIZADO REMOTO",IF(AA106&gt;5,"FORA","DENTRO")),"-")</f>
        <v>DENTRO</v>
      </c>
      <c r="AC106" s="41" t="s">
        <v>1671</v>
      </c>
      <c r="AD106" s="41" t="s">
        <v>1671</v>
      </c>
      <c r="AE106" s="48" cm="1">
        <f t="array" ref="AE106">SUMPRODUCT(IFERROR(('[2]PEÇAS GARANTIA'!$A$3:$A$5993=G106)*('[2]PEÇAS GARANTIA'!$A$3:$A$5993&lt;&gt;"")*('[2]PEÇAS GARANTIA'!$R$3:$R$5993),0))</f>
        <v>494.40999999999997</v>
      </c>
      <c r="AF106" s="178">
        <v>0</v>
      </c>
    </row>
    <row r="107" spans="1:32" s="106" customFormat="1" ht="40.15" customHeight="1" x14ac:dyDescent="0.25">
      <c r="A107" s="82">
        <v>73508</v>
      </c>
      <c r="B107" s="41" t="str">
        <f>IFERROR(INDEX([1]GARANTIA!$B:$B,MATCH(A107,[1]GARANTIA!$C:$C,0)),"INSIRA N° SERIE")</f>
        <v>TESTE 327</v>
      </c>
      <c r="C107" s="33">
        <f>IFERROR(INDEX([1]GARANTIA!$J:$J,MATCH(A107,[1]GARANTIA!$C:$C,0)),"INSIRA N° SERIE")</f>
        <v>44104</v>
      </c>
      <c r="D107" s="33" t="str">
        <f>IFERROR(IF(INDEX([1]GARANTIA!$M:$M,MATCH(A107,[1]GARANTIA!$C:$C,0))&gt;=I107,"DENTRO DA GARANTIA","FORA DE GARANTIA"),"INSIRA N° SERIE")</f>
        <v>DENTRO DA GARANTIA</v>
      </c>
      <c r="E107" s="148"/>
      <c r="F107" s="109">
        <f>IFERROR(MAX(0,IF(I107-(INDEX([1]GARANTIA!$J:$J,MATCH(A107,[1]GARANTIA!$C:$C,0)))&gt;=0,I107-(INDEX([1]GARANTIA!$L:$L,MATCH(A107,[1]GARANTIA!$C:$C,0))),"INSIRA DATA CHAMADO")),"INSIRA N° SERIE")</f>
        <v>82</v>
      </c>
      <c r="G107" s="35">
        <v>20210402</v>
      </c>
      <c r="H107" s="35" t="str">
        <f t="shared" si="5"/>
        <v>ABR</v>
      </c>
      <c r="I107" s="36">
        <v>44287</v>
      </c>
      <c r="J107" s="37">
        <v>44287</v>
      </c>
      <c r="K107" s="39">
        <v>44291</v>
      </c>
      <c r="L107" s="42" t="s">
        <v>23</v>
      </c>
      <c r="M107" s="42" t="s">
        <v>8</v>
      </c>
      <c r="N107" s="42" t="s">
        <v>76</v>
      </c>
      <c r="O107" s="42" t="str">
        <f>IFERROR(INDEX([1]GARANTIA!$E:$E,MATCH(A107,[1]GARANTIA!$C:$C,0)),"INSIRA N° SERIE")</f>
        <v>MTI - 4.000GES</v>
      </c>
      <c r="P107" s="60" t="s">
        <v>151</v>
      </c>
      <c r="Q107" s="43" t="s">
        <v>38</v>
      </c>
      <c r="R107" s="60" t="s">
        <v>152</v>
      </c>
      <c r="S107" s="44" t="s">
        <v>102</v>
      </c>
      <c r="T107" s="44" t="s">
        <v>143</v>
      </c>
      <c r="U107" s="45"/>
      <c r="V107" s="41" t="str">
        <f>IFERROR(INDEX([1]GARANTIA!$G:$G,MATCH(A107,[1]GARANTIA!$C:$C,0)),"INSIRA N° SERIE")</f>
        <v>JARU</v>
      </c>
      <c r="W107" s="41" t="str">
        <f>IFERROR(INDEX([1]GARANTIA!$H:$H,MATCH(A107,[1]GARANTIA!$C:$C,0)),"INSIRA N° SERIE")</f>
        <v>RO</v>
      </c>
      <c r="X107" s="41" t="str">
        <f>IFERROR(INDEX([1]GARANTIA!$F:$F,MATCH(A107,[1]GARANTIA!$C:$C,0)),"INSIRA N° SERIE")</f>
        <v>NORTE</v>
      </c>
      <c r="Y107" s="46">
        <f t="shared" si="6"/>
        <v>0</v>
      </c>
      <c r="Z107" s="47">
        <f t="shared" si="7"/>
        <v>4</v>
      </c>
      <c r="AA107" s="46">
        <f t="shared" si="9"/>
        <v>4</v>
      </c>
      <c r="AB107" s="46" t="str" cm="1">
        <f t="array" ref="AB107">IFERROR(_xlfn.IFS(L107="FINALIZADO PRESENCIAL",IF(AA107&gt;10,"FORA","DENTRO"),L107="FINALIZADO REMOTO",IF(AA107&gt;5,"FORA","DENTRO")),"-")</f>
        <v>DENTRO</v>
      </c>
      <c r="AC107" s="41" t="s">
        <v>1671</v>
      </c>
      <c r="AD107" s="41" t="s">
        <v>1671</v>
      </c>
      <c r="AE107" s="48" cm="1">
        <f t="array" ref="AE107">SUMPRODUCT(IFERROR(('[2]PEÇAS GARANTIA'!$A$3:$A$5993=G107)*('[2]PEÇAS GARANTIA'!$A$3:$A$5993&lt;&gt;"")*('[2]PEÇAS GARANTIA'!$R$3:$R$5993),0))</f>
        <v>0</v>
      </c>
      <c r="AF107" s="178">
        <v>12</v>
      </c>
    </row>
    <row r="108" spans="1:32" ht="43.5" customHeight="1" x14ac:dyDescent="0.25">
      <c r="A108" s="82">
        <v>9991</v>
      </c>
      <c r="B108" s="41" t="str">
        <f>IFERROR(INDEX([1]GARANTIA!$B:$B,MATCH(A108,[1]GARANTIA!$C:$C,0)),"INSIRA N° SERIE")</f>
        <v>TESTE 308</v>
      </c>
      <c r="C108" s="33">
        <f>IFERROR(INDEX([1]GARANTIA!$J:$J,MATCH(A108,[1]GARANTIA!$C:$C,0)),"INSIRA N° SERIE")</f>
        <v>44137</v>
      </c>
      <c r="D108" s="33" t="str">
        <f>IFERROR(IF(INDEX([1]GARANTIA!$M:$M,MATCH(A108,[1]GARANTIA!$C:$C,0))&gt;=I108,"DENTRO DA GARANTIA","FORA DE GARANTIA"),"INSIRA N° SERIE")</f>
        <v>DENTRO DA GARANTIA</v>
      </c>
      <c r="E108" s="148"/>
      <c r="F108" s="109">
        <f>IFERROR(MAX(0,IF(I108-(INDEX([1]GARANTIA!$J:$J,MATCH(A108,[1]GARANTIA!$C:$C,0)))&gt;=0,I108-(INDEX([1]GARANTIA!$L:$L,MATCH(A108,[1]GARANTIA!$C:$C,0))),"INSIRA DATA CHAMADO")),"INSIRA N° SERIE")</f>
        <v>25</v>
      </c>
      <c r="G108" s="35">
        <v>20210605</v>
      </c>
      <c r="H108" s="35" t="str">
        <f t="shared" si="5"/>
        <v>ABR</v>
      </c>
      <c r="I108" s="36">
        <v>44306</v>
      </c>
      <c r="J108" s="37">
        <v>44306</v>
      </c>
      <c r="K108" s="39">
        <v>44350</v>
      </c>
      <c r="L108" s="42" t="s">
        <v>11</v>
      </c>
      <c r="M108" s="42" t="s">
        <v>8</v>
      </c>
      <c r="N108" s="42" t="s">
        <v>62</v>
      </c>
      <c r="O108" s="42" t="str">
        <f>IFERROR(INDEX([1]GARANTIA!$E:$E,MATCH(A108,[1]GARANTIA!$C:$C,0)),"INSIRA N° SERIE")</f>
        <v>MTI - 40.000GT</v>
      </c>
      <c r="P108" s="60" t="s">
        <v>424</v>
      </c>
      <c r="Q108" s="43" t="s">
        <v>62</v>
      </c>
      <c r="R108" s="60" t="s">
        <v>425</v>
      </c>
      <c r="S108" s="44" t="s">
        <v>101</v>
      </c>
      <c r="T108" s="44" t="s">
        <v>142</v>
      </c>
      <c r="U108" s="45"/>
      <c r="V108" s="41" t="str">
        <f>IFERROR(INDEX([1]GARANTIA!$G:$G,MATCH(A108,[1]GARANTIA!$C:$C,0)),"INSIRA N° SERIE")</f>
        <v>OSASCO</v>
      </c>
      <c r="W108" s="41" t="str">
        <f>IFERROR(INDEX([1]GARANTIA!$H:$H,MATCH(A108,[1]GARANTIA!$C:$C,0)),"INSIRA N° SERIE")</f>
        <v>SP</v>
      </c>
      <c r="X108" s="41" t="str">
        <f>IFERROR(INDEX([1]GARANTIA!$F:$F,MATCH(A108,[1]GARANTIA!$C:$C,0)),"INSIRA N° SERIE")</f>
        <v>SUDESTE</v>
      </c>
      <c r="Y108" s="46">
        <f t="shared" ref="Y108:Y139" si="10">IF(G108&lt;&gt;"",J108-I108,"INSIRA N° OS")</f>
        <v>0</v>
      </c>
      <c r="Z108" s="47">
        <f t="shared" si="7"/>
        <v>44</v>
      </c>
      <c r="AA108" s="46">
        <f t="shared" ref="AA108:AA139" si="11">IF(Z108="NÃO FINALIZADO","",Z108+Y108)</f>
        <v>44</v>
      </c>
      <c r="AB108" s="46" t="str" cm="1">
        <f t="array" ref="AB108">IFERROR(_xlfn.IFS(L108="FINALIZADO PRESENCIAL",IF(AA108&gt;10,"FORA","DENTRO"),L108="FINALIZADO REMOTO",IF(AA108&gt;5,"FORA","DENTRO")),"-")</f>
        <v>FORA</v>
      </c>
      <c r="AC108" s="41" t="s">
        <v>1671</v>
      </c>
      <c r="AD108" s="41" t="s">
        <v>1671</v>
      </c>
      <c r="AE108" s="48" cm="1">
        <f t="array" ref="AE108">SUMPRODUCT(IFERROR(('[2]PEÇAS GARANTIA'!$A$3:$A$5993=G108)*('[2]PEÇAS GARANTIA'!$A$3:$A$5993&lt;&gt;"")*('[2]PEÇAS GARANTIA'!$R$3:$R$5993),0))</f>
        <v>0</v>
      </c>
      <c r="AF108" s="178">
        <v>0</v>
      </c>
    </row>
    <row r="109" spans="1:32" s="49" customFormat="1" ht="40.15" customHeight="1" x14ac:dyDescent="0.25">
      <c r="A109" s="82">
        <v>97866</v>
      </c>
      <c r="B109" s="41" t="str">
        <f>IFERROR(INDEX([1]GARANTIA!$B:$B,MATCH(A109,[1]GARANTIA!$C:$C,0)),"INSIRA N° SERIE")</f>
        <v>TESTE 78</v>
      </c>
      <c r="C109" s="33">
        <f>IFERROR(INDEX([1]GARANTIA!$J:$J,MATCH(A109,[1]GARANTIA!$C:$C,0)),"INSIRA N° SERIE")</f>
        <v>43364</v>
      </c>
      <c r="D109" s="33" t="str">
        <f>IFERROR(IF(INDEX([1]GARANTIA!$M:$M,MATCH(A109,[1]GARANTIA!$C:$C,0))&gt;=I109,"DENTRO DA GARANTIA","FORA DE GARANTIA"),"INSIRA N° SERIE")</f>
        <v>DENTRO DA GARANTIA</v>
      </c>
      <c r="E109" s="148"/>
      <c r="F109" s="109">
        <f>IFERROR(MAX(0,IF(I109-(INDEX([1]GARANTIA!$J:$J,MATCH(A109,[1]GARANTIA!$C:$C,0)))&gt;=0,I109-(INDEX([1]GARANTIA!$L:$L,MATCH(A109,[1]GARANTIA!$C:$C,0))),"INSIRA DATA CHAMADO")),"INSIRA N° SERIE")</f>
        <v>345</v>
      </c>
      <c r="G109" s="35">
        <v>20210403</v>
      </c>
      <c r="H109" s="35" t="str">
        <f t="shared" si="5"/>
        <v>ABR</v>
      </c>
      <c r="I109" s="36">
        <v>44291</v>
      </c>
      <c r="J109" s="37">
        <v>44291</v>
      </c>
      <c r="K109" s="39">
        <v>44300</v>
      </c>
      <c r="L109" s="42" t="s">
        <v>11</v>
      </c>
      <c r="M109" s="42" t="s">
        <v>8</v>
      </c>
      <c r="N109" s="42" t="s">
        <v>43</v>
      </c>
      <c r="O109" s="42" t="str">
        <f>IFERROR(INDEX([1]GARANTIA!$E:$E,MATCH(A109,[1]GARANTIA!$C:$C,0)),"INSIRA N° SERIE")</f>
        <v>MTI - 12.000GT</v>
      </c>
      <c r="P109" s="60" t="s">
        <v>148</v>
      </c>
      <c r="Q109" s="43" t="s">
        <v>333</v>
      </c>
      <c r="R109" s="60" t="s">
        <v>171</v>
      </c>
      <c r="S109" s="44" t="s">
        <v>638</v>
      </c>
      <c r="T109" s="44" t="s">
        <v>142</v>
      </c>
      <c r="U109" s="45"/>
      <c r="V109" s="41" t="str">
        <f>IFERROR(INDEX([1]GARANTIA!$G:$G,MATCH(A109,[1]GARANTIA!$C:$C,0)),"INSIRA N° SERIE")</f>
        <v>IPIAÇU</v>
      </c>
      <c r="W109" s="41" t="str">
        <f>IFERROR(INDEX([1]GARANTIA!$H:$H,MATCH(A109,[1]GARANTIA!$C:$C,0)),"INSIRA N° SERIE")</f>
        <v>MG</v>
      </c>
      <c r="X109" s="41" t="str">
        <f>IFERROR(INDEX([1]GARANTIA!$F:$F,MATCH(A109,[1]GARANTIA!$C:$C,0)),"INSIRA N° SERIE")</f>
        <v>SUDESTE</v>
      </c>
      <c r="Y109" s="46">
        <f t="shared" si="10"/>
        <v>0</v>
      </c>
      <c r="Z109" s="47">
        <f t="shared" si="7"/>
        <v>9</v>
      </c>
      <c r="AA109" s="46">
        <f t="shared" si="11"/>
        <v>9</v>
      </c>
      <c r="AB109" s="46" t="str" cm="1">
        <f t="array" ref="AB109">IFERROR(_xlfn.IFS(L109="FINALIZADO PRESENCIAL",IF(AA109&gt;10,"FORA","DENTRO"),L109="FINALIZADO REMOTO",IF(AA109&gt;5,"FORA","DENTRO")),"-")</f>
        <v>DENTRO</v>
      </c>
      <c r="AC109" s="41" t="s">
        <v>1671</v>
      </c>
      <c r="AD109" s="41" t="s">
        <v>1671</v>
      </c>
      <c r="AE109" s="48" cm="1">
        <f t="array" ref="AE109">SUMPRODUCT(IFERROR(('[2]PEÇAS GARANTIA'!$A$3:$A$5993=G109)*('[2]PEÇAS GARANTIA'!$A$3:$A$5993&lt;&gt;"")*('[2]PEÇAS GARANTIA'!$R$3:$R$5993),0))</f>
        <v>893.65</v>
      </c>
      <c r="AF109" s="178">
        <v>1670</v>
      </c>
    </row>
    <row r="110" spans="1:32" s="107" customFormat="1" ht="12.75" x14ac:dyDescent="0.25">
      <c r="A110" s="82">
        <v>50354</v>
      </c>
      <c r="B110" s="41" t="str">
        <f>IFERROR(INDEX([1]GARANTIA!$B:$B,MATCH(A110,[1]GARANTIA!$C:$C,0)),"INSIRA N° SERIE")</f>
        <v>TESTE 10</v>
      </c>
      <c r="C110" s="33">
        <f>IFERROR(INDEX([1]GARANTIA!$J:$J,MATCH(A110,[1]GARANTIA!$C:$C,0)),"INSIRA N° SERIE")</f>
        <v>44074</v>
      </c>
      <c r="D110" s="33" t="str">
        <f>IFERROR(IF(INDEX([1]GARANTIA!$M:$M,MATCH(A110,[1]GARANTIA!$C:$C,0))&gt;=I110,"DENTRO DA GARANTIA","FORA DE GARANTIA"),"INSIRA N° SERIE")</f>
        <v>DENTRO DA GARANTIA</v>
      </c>
      <c r="E110" s="148"/>
      <c r="F110" s="109">
        <f>IFERROR(MAX(0,IF(I110-(INDEX([1]GARANTIA!$J:$J,MATCH(A110,[1]GARANTIA!$C:$C,0)))&gt;=0,I110-(INDEX([1]GARANTIA!$L:$L,MATCH(A110,[1]GARANTIA!$C:$C,0))),"INSIRA DATA CHAMADO")),"INSIRA N° SERIE")</f>
        <v>148</v>
      </c>
      <c r="G110" s="35">
        <v>20210404</v>
      </c>
      <c r="H110" s="35" t="str">
        <f t="shared" si="5"/>
        <v>ABR</v>
      </c>
      <c r="I110" s="36">
        <v>44291</v>
      </c>
      <c r="J110" s="37">
        <v>44291</v>
      </c>
      <c r="K110" s="39">
        <v>44294</v>
      </c>
      <c r="L110" s="42" t="s">
        <v>23</v>
      </c>
      <c r="M110" s="42" t="s">
        <v>8</v>
      </c>
      <c r="N110" s="42" t="s">
        <v>28</v>
      </c>
      <c r="O110" s="42" t="str">
        <f>IFERROR(INDEX([1]GARANTIA!$E:$E,MATCH(A110,[1]GARANTIA!$C:$C,0)),"INSIRA N° SERIE")</f>
        <v>MTI - 4.000GTS</v>
      </c>
      <c r="P110" s="60" t="s">
        <v>154</v>
      </c>
      <c r="Q110" s="43" t="s">
        <v>305</v>
      </c>
      <c r="R110" s="60" t="s">
        <v>153</v>
      </c>
      <c r="S110" s="44" t="s">
        <v>638</v>
      </c>
      <c r="T110" s="44" t="s">
        <v>143</v>
      </c>
      <c r="U110" s="45"/>
      <c r="V110" s="41" t="str">
        <f>IFERROR(INDEX([1]GARANTIA!$G:$G,MATCH(A110,[1]GARANTIA!$C:$C,0)),"INSIRA N° SERIE")</f>
        <v>CERQUILHO</v>
      </c>
      <c r="W110" s="41" t="str">
        <f>IFERROR(INDEX([1]GARANTIA!$H:$H,MATCH(A110,[1]GARANTIA!$C:$C,0)),"INSIRA N° SERIE")</f>
        <v>SP</v>
      </c>
      <c r="X110" s="41" t="str">
        <f>IFERROR(INDEX([1]GARANTIA!$F:$F,MATCH(A110,[1]GARANTIA!$C:$C,0)),"INSIRA N° SERIE")</f>
        <v>SUDESTE</v>
      </c>
      <c r="Y110" s="46">
        <f t="shared" si="10"/>
        <v>0</v>
      </c>
      <c r="Z110" s="47">
        <f t="shared" si="7"/>
        <v>3</v>
      </c>
      <c r="AA110" s="46">
        <f t="shared" si="11"/>
        <v>3</v>
      </c>
      <c r="AB110" s="46" t="str" cm="1">
        <f t="array" ref="AB110">IFERROR(_xlfn.IFS(L110="FINALIZADO PRESENCIAL",IF(AA110&gt;10,"FORA","DENTRO"),L110="FINALIZADO REMOTO",IF(AA110&gt;5,"FORA","DENTRO")),"-")</f>
        <v>DENTRO</v>
      </c>
      <c r="AC110" s="41" t="s">
        <v>1671</v>
      </c>
      <c r="AD110" s="41" t="s">
        <v>1671</v>
      </c>
      <c r="AE110" s="48" cm="1">
        <f t="array" ref="AE110">SUMPRODUCT(IFERROR(('[2]PEÇAS GARANTIA'!$A$3:$A$5993=G110)*('[2]PEÇAS GARANTIA'!$A$3:$A$5993&lt;&gt;"")*('[2]PEÇAS GARANTIA'!$R$3:$R$5993),0))</f>
        <v>0</v>
      </c>
      <c r="AF110" s="178">
        <v>0</v>
      </c>
    </row>
    <row r="111" spans="1:32" s="51" customFormat="1" ht="40.15" customHeight="1" x14ac:dyDescent="0.25">
      <c r="A111" s="82">
        <v>11535</v>
      </c>
      <c r="B111" s="41" t="str">
        <f>IFERROR(INDEX([1]GARANTIA!$B:$B,MATCH(A111,[1]GARANTIA!$C:$C,0)),"INSIRA N° SERIE")</f>
        <v>TESTE 138</v>
      </c>
      <c r="C111" s="33">
        <f>IFERROR(INDEX([1]GARANTIA!$J:$J,MATCH(A111,[1]GARANTIA!$C:$C,0)),"INSIRA N° SERIE")</f>
        <v>43575</v>
      </c>
      <c r="D111" s="33" t="str">
        <f>IFERROR(IF(INDEX([1]GARANTIA!$M:$M,MATCH(A111,[1]GARANTIA!$C:$C,0))&gt;=I111,"DENTRO DA GARANTIA","FORA DE GARANTIA"),"INSIRA N° SERIE")</f>
        <v>DENTRO DA GARANTIA</v>
      </c>
      <c r="E111" s="148"/>
      <c r="F111" s="109">
        <f>IFERROR(MAX(0,IF(I111-(INDEX([1]GARANTIA!$J:$J,MATCH(A111,[1]GARANTIA!$C:$C,0)))&gt;=0,I111-(INDEX([1]GARANTIA!$L:$L,MATCH(A111,[1]GARANTIA!$C:$C,0))),"INSIRA DATA CHAMADO")),"INSIRA N° SERIE")</f>
        <v>216</v>
      </c>
      <c r="G111" s="35">
        <v>20210405</v>
      </c>
      <c r="H111" s="35" t="str">
        <f t="shared" si="5"/>
        <v>ABR</v>
      </c>
      <c r="I111" s="36">
        <v>44291</v>
      </c>
      <c r="J111" s="37">
        <v>44291</v>
      </c>
      <c r="K111" s="39">
        <v>44303</v>
      </c>
      <c r="L111" s="42" t="s">
        <v>11</v>
      </c>
      <c r="M111" s="42" t="s">
        <v>8</v>
      </c>
      <c r="N111" s="42" t="s">
        <v>43</v>
      </c>
      <c r="O111" s="42" t="str">
        <f>IFERROR(INDEX([1]GARANTIA!$E:$E,MATCH(A111,[1]GARANTIA!$C:$C,0)),"INSIRA N° SERIE")</f>
        <v>MTI - 4.000GTS</v>
      </c>
      <c r="P111" s="60" t="s">
        <v>302</v>
      </c>
      <c r="Q111" s="43" t="s">
        <v>54</v>
      </c>
      <c r="R111" s="60" t="s">
        <v>250</v>
      </c>
      <c r="S111" s="44" t="s">
        <v>638</v>
      </c>
      <c r="T111" s="44" t="s">
        <v>97</v>
      </c>
      <c r="U111" s="45"/>
      <c r="V111" s="41" t="str">
        <f>IFERROR(INDEX([1]GARANTIA!$G:$G,MATCH(A111,[1]GARANTIA!$C:$C,0)),"INSIRA N° SERIE")</f>
        <v>JIJOCA DE JERICOACOARA</v>
      </c>
      <c r="W111" s="41" t="str">
        <f>IFERROR(INDEX([1]GARANTIA!$H:$H,MATCH(A111,[1]GARANTIA!$C:$C,0)),"INSIRA N° SERIE")</f>
        <v>CE</v>
      </c>
      <c r="X111" s="41" t="str">
        <f>IFERROR(INDEX([1]GARANTIA!$F:$F,MATCH(A111,[1]GARANTIA!$C:$C,0)),"INSIRA N° SERIE")</f>
        <v>NORDESTE</v>
      </c>
      <c r="Y111" s="46">
        <f t="shared" si="10"/>
        <v>0</v>
      </c>
      <c r="Z111" s="47">
        <f t="shared" si="7"/>
        <v>12</v>
      </c>
      <c r="AA111" s="46">
        <f t="shared" si="11"/>
        <v>12</v>
      </c>
      <c r="AB111" s="46" t="str" cm="1">
        <f t="array" ref="AB111">IFERROR(_xlfn.IFS(L111="FINALIZADO PRESENCIAL",IF(AA111&gt;10,"FORA","DENTRO"),L111="FINALIZADO REMOTO",IF(AA111&gt;5,"FORA","DENTRO")),"-")</f>
        <v>FORA</v>
      </c>
      <c r="AC111" s="41" t="s">
        <v>1671</v>
      </c>
      <c r="AD111" s="41" t="s">
        <v>1671</v>
      </c>
      <c r="AE111" s="48" cm="1">
        <f t="array" ref="AE111">SUMPRODUCT(IFERROR(('[2]PEÇAS GARANTIA'!$A$3:$A$5993=G111)*('[2]PEÇAS GARANTIA'!$A$3:$A$5993&lt;&gt;"")*('[2]PEÇAS GARANTIA'!$R$3:$R$5993),0))</f>
        <v>66350.7799999993</v>
      </c>
      <c r="AF111" s="178">
        <v>4345.49</v>
      </c>
    </row>
    <row r="112" spans="1:32" s="51" customFormat="1" ht="40.15" customHeight="1" x14ac:dyDescent="0.25">
      <c r="A112" s="82">
        <v>25628</v>
      </c>
      <c r="B112" s="41" t="str">
        <f>IFERROR(INDEX([1]GARANTIA!$B:$B,MATCH(A112,[1]GARANTIA!$C:$C,0)),"INSIRA N° SERIE")</f>
        <v>TESTE 70</v>
      </c>
      <c r="C112" s="33">
        <f>IFERROR(INDEX([1]GARANTIA!$J:$J,MATCH(A112,[1]GARANTIA!$C:$C,0)),"INSIRA N° SERIE")</f>
        <v>44043</v>
      </c>
      <c r="D112" s="33" t="str">
        <f>IFERROR(IF(INDEX([1]GARANTIA!$M:$M,MATCH(A112,[1]GARANTIA!$C:$C,0))&gt;=I112,"DENTRO DA GARANTIA","FORA DE GARANTIA"),"INSIRA N° SERIE")</f>
        <v>DENTRO DA GARANTIA</v>
      </c>
      <c r="E112" s="148"/>
      <c r="F112" s="109">
        <f>IFERROR(MAX(0,IF(I112-(INDEX([1]GARANTIA!$J:$J,MATCH(A112,[1]GARANTIA!$C:$C,0)))&gt;=0,I112-(INDEX([1]GARANTIA!$L:$L,MATCH(A112,[1]GARANTIA!$C:$C,0))),"INSIRA DATA CHAMADO")),"INSIRA N° SERIE")</f>
        <v>115</v>
      </c>
      <c r="G112" s="35">
        <v>20210406</v>
      </c>
      <c r="H112" s="35" t="str">
        <f t="shared" si="5"/>
        <v>ABR</v>
      </c>
      <c r="I112" s="36">
        <v>44291</v>
      </c>
      <c r="J112" s="37">
        <v>44291</v>
      </c>
      <c r="K112" s="39">
        <v>44292</v>
      </c>
      <c r="L112" s="42" t="s">
        <v>11</v>
      </c>
      <c r="M112" s="42" t="s">
        <v>8</v>
      </c>
      <c r="N112" s="42" t="s">
        <v>28</v>
      </c>
      <c r="O112" s="42" t="str">
        <f>IFERROR(INDEX([1]GARANTIA!$E:$E,MATCH(A112,[1]GARANTIA!$C:$C,0)),"INSIRA N° SERIE")</f>
        <v>MTI - 1.000GTS</v>
      </c>
      <c r="P112" s="60" t="s">
        <v>155</v>
      </c>
      <c r="Q112" s="43" t="s">
        <v>144</v>
      </c>
      <c r="R112" s="60" t="s">
        <v>130</v>
      </c>
      <c r="S112" s="44" t="s">
        <v>638</v>
      </c>
      <c r="T112" s="44" t="s">
        <v>144</v>
      </c>
      <c r="U112" s="45"/>
      <c r="V112" s="41" t="str">
        <f>IFERROR(INDEX([1]GARANTIA!$G:$G,MATCH(A112,[1]GARANTIA!$C:$C,0)),"INSIRA N° SERIE")</f>
        <v>ARAPUTANGA</v>
      </c>
      <c r="W112" s="41" t="str">
        <f>IFERROR(INDEX([1]GARANTIA!$H:$H,MATCH(A112,[1]GARANTIA!$C:$C,0)),"INSIRA N° SERIE")</f>
        <v>MT</v>
      </c>
      <c r="X112" s="41" t="str">
        <f>IFERROR(INDEX([1]GARANTIA!$F:$F,MATCH(A112,[1]GARANTIA!$C:$C,0)),"INSIRA N° SERIE")</f>
        <v>CENTROESTE</v>
      </c>
      <c r="Y112" s="46">
        <f t="shared" si="10"/>
        <v>0</v>
      </c>
      <c r="Z112" s="47">
        <f t="shared" si="7"/>
        <v>1</v>
      </c>
      <c r="AA112" s="46">
        <f t="shared" si="11"/>
        <v>1</v>
      </c>
      <c r="AB112" s="46" t="str" cm="1">
        <f t="array" ref="AB112">IFERROR(_xlfn.IFS(L112="FINALIZADO PRESENCIAL",IF(AA112&gt;10,"FORA","DENTRO"),L112="FINALIZADO REMOTO",IF(AA112&gt;5,"FORA","DENTRO")),"-")</f>
        <v>DENTRO</v>
      </c>
      <c r="AC112" s="41" t="s">
        <v>1671</v>
      </c>
      <c r="AD112" s="41" t="s">
        <v>1671</v>
      </c>
      <c r="AE112" s="48" cm="1">
        <f t="array" ref="AE112">SUMPRODUCT(IFERROR(('[2]PEÇAS GARANTIA'!$A$3:$A$5993=G112)*('[2]PEÇAS GARANTIA'!$A$3:$A$5993&lt;&gt;"")*('[2]PEÇAS GARANTIA'!$R$3:$R$5993),0))</f>
        <v>0</v>
      </c>
      <c r="AF112" s="178">
        <v>450</v>
      </c>
    </row>
    <row r="113" spans="1:32" s="107" customFormat="1" ht="40.15" customHeight="1" x14ac:dyDescent="0.25">
      <c r="A113" s="82">
        <v>44524</v>
      </c>
      <c r="B113" s="41" t="str">
        <f>IFERROR(INDEX([1]GARANTIA!$B:$B,MATCH(A113,[1]GARANTIA!$C:$C,0)),"INSIRA N° SERIE")</f>
        <v>TESTE 173</v>
      </c>
      <c r="C113" s="33">
        <f>IFERROR(INDEX([1]GARANTIA!$J:$J,MATCH(A113,[1]GARANTIA!$C:$C,0)),"INSIRA N° SERIE")</f>
        <v>44119</v>
      </c>
      <c r="D113" s="33" t="str">
        <f>IFERROR(IF(INDEX([1]GARANTIA!$M:$M,MATCH(A113,[1]GARANTIA!$C:$C,0))&gt;=I113,"DENTRO DA GARANTIA","FORA DE GARANTIA"),"INSIRA N° SERIE")</f>
        <v>DENTRO DA GARANTIA</v>
      </c>
      <c r="E113" s="148"/>
      <c r="F113" s="109">
        <f>IFERROR(MAX(0,IF(I113-(INDEX([1]GARANTIA!$J:$J,MATCH(A113,[1]GARANTIA!$C:$C,0)))&gt;=0,I113-(INDEX([1]GARANTIA!$L:$L,MATCH(A113,[1]GARANTIA!$C:$C,0))),"INSIRA DATA CHAMADO")),"INSIRA N° SERIE")</f>
        <v>45</v>
      </c>
      <c r="G113" s="35">
        <v>20210407</v>
      </c>
      <c r="H113" s="35" t="str">
        <f t="shared" si="5"/>
        <v>ABR</v>
      </c>
      <c r="I113" s="36">
        <v>44291</v>
      </c>
      <c r="J113" s="37">
        <v>44291</v>
      </c>
      <c r="K113" s="39">
        <v>44292</v>
      </c>
      <c r="L113" s="42" t="s">
        <v>23</v>
      </c>
      <c r="M113" s="42" t="s">
        <v>8</v>
      </c>
      <c r="N113" s="42" t="s">
        <v>39</v>
      </c>
      <c r="O113" s="42" t="str">
        <f>IFERROR(INDEX([1]GARANTIA!$E:$E,MATCH(A113,[1]GARANTIA!$C:$C,0)),"INSIRA N° SERIE")</f>
        <v>MTI - 4.000GTS</v>
      </c>
      <c r="P113" s="60" t="s">
        <v>334</v>
      </c>
      <c r="Q113" s="43" t="s">
        <v>335</v>
      </c>
      <c r="R113" s="60" t="s">
        <v>129</v>
      </c>
      <c r="S113" s="44" t="s">
        <v>102</v>
      </c>
      <c r="T113" s="44" t="s">
        <v>296</v>
      </c>
      <c r="U113" s="45"/>
      <c r="V113" s="41" t="str">
        <f>IFERROR(INDEX([1]GARANTIA!$G:$G,MATCH(A113,[1]GARANTIA!$C:$C,0)),"INSIRA N° SERIE")</f>
        <v>QUIRINOPOLIS</v>
      </c>
      <c r="W113" s="41" t="str">
        <f>IFERROR(INDEX([1]GARANTIA!$H:$H,MATCH(A113,[1]GARANTIA!$C:$C,0)),"INSIRA N° SERIE")</f>
        <v>GO</v>
      </c>
      <c r="X113" s="41" t="str">
        <f>IFERROR(INDEX([1]GARANTIA!$F:$F,MATCH(A113,[1]GARANTIA!$C:$C,0)),"INSIRA N° SERIE")</f>
        <v>CENTROESTE</v>
      </c>
      <c r="Y113" s="46">
        <f t="shared" si="10"/>
        <v>0</v>
      </c>
      <c r="Z113" s="47">
        <f t="shared" si="7"/>
        <v>1</v>
      </c>
      <c r="AA113" s="46">
        <f t="shared" si="11"/>
        <v>1</v>
      </c>
      <c r="AB113" s="46" t="str" cm="1">
        <f t="array" ref="AB113">IFERROR(_xlfn.IFS(L113="FINALIZADO PRESENCIAL",IF(AA113&gt;10,"FORA","DENTRO"),L113="FINALIZADO REMOTO",IF(AA113&gt;5,"FORA","DENTRO")),"-")</f>
        <v>DENTRO</v>
      </c>
      <c r="AC113" s="41" t="s">
        <v>1671</v>
      </c>
      <c r="AD113" s="41" t="s">
        <v>1671</v>
      </c>
      <c r="AE113" s="48" cm="1">
        <f t="array" ref="AE113">SUMPRODUCT(IFERROR(('[2]PEÇAS GARANTIA'!$A$3:$A$5993=G113)*('[2]PEÇAS GARANTIA'!$A$3:$A$5993&lt;&gt;"")*('[2]PEÇAS GARANTIA'!$R$3:$R$5993),0))</f>
        <v>0</v>
      </c>
      <c r="AF113" s="178">
        <v>0</v>
      </c>
    </row>
    <row r="114" spans="1:32" s="107" customFormat="1" ht="40.15" customHeight="1" x14ac:dyDescent="0.25">
      <c r="A114" s="82">
        <v>57951</v>
      </c>
      <c r="B114" s="41" t="str">
        <f>IFERROR(INDEX([1]GARANTIA!$B:$B,MATCH(A114,[1]GARANTIA!$C:$C,0)),"INSIRA N° SERIE")</f>
        <v>TESTE 202</v>
      </c>
      <c r="C114" s="33">
        <f>IFERROR(INDEX([1]GARANTIA!$J:$J,MATCH(A114,[1]GARANTIA!$C:$C,0)),"INSIRA N° SERIE")</f>
        <v>44134</v>
      </c>
      <c r="D114" s="33" t="str">
        <f>IFERROR(IF(INDEX([1]GARANTIA!$M:$M,MATCH(A114,[1]GARANTIA!$C:$C,0))&gt;=I114,"DENTRO DA GARANTIA","FORA DE GARANTIA"),"INSIRA N° SERIE")</f>
        <v>DENTRO DA GARANTIA</v>
      </c>
      <c r="E114" s="148"/>
      <c r="F114" s="109">
        <f>IFERROR(MAX(0,IF(I114-(INDEX([1]GARANTIA!$J:$J,MATCH(A114,[1]GARANTIA!$C:$C,0)))&gt;=0,I114-(INDEX([1]GARANTIA!$L:$L,MATCH(A114,[1]GARANTIA!$C:$C,0))),"INSIRA DATA CHAMADO")),"INSIRA N° SERIE")</f>
        <v>150</v>
      </c>
      <c r="G114" s="35">
        <v>20210408</v>
      </c>
      <c r="H114" s="35" t="str">
        <f t="shared" si="5"/>
        <v>ABR</v>
      </c>
      <c r="I114" s="36">
        <v>44291</v>
      </c>
      <c r="J114" s="37">
        <v>44291</v>
      </c>
      <c r="K114" s="39">
        <v>44292</v>
      </c>
      <c r="L114" s="42" t="s">
        <v>23</v>
      </c>
      <c r="M114" s="42" t="s">
        <v>8</v>
      </c>
      <c r="N114" s="42" t="s">
        <v>28</v>
      </c>
      <c r="O114" s="42" t="str">
        <f>IFERROR(INDEX([1]GARANTIA!$E:$E,MATCH(A114,[1]GARANTIA!$C:$C,0)),"INSIRA N° SERIE")</f>
        <v>MTI - 2.500GTS</v>
      </c>
      <c r="P114" s="60" t="s">
        <v>156</v>
      </c>
      <c r="Q114" s="43" t="s">
        <v>328</v>
      </c>
      <c r="R114" s="60" t="s">
        <v>131</v>
      </c>
      <c r="S114" s="44" t="s">
        <v>101</v>
      </c>
      <c r="T114" s="44" t="s">
        <v>142</v>
      </c>
      <c r="U114" s="45"/>
      <c r="V114" s="41" t="str">
        <f>IFERROR(INDEX([1]GARANTIA!$G:$G,MATCH(A114,[1]GARANTIA!$C:$C,0)),"INSIRA N° SERIE")</f>
        <v>JANDIRA</v>
      </c>
      <c r="W114" s="41" t="str">
        <f>IFERROR(INDEX([1]GARANTIA!$H:$H,MATCH(A114,[1]GARANTIA!$C:$C,0)),"INSIRA N° SERIE")</f>
        <v xml:space="preserve">SP </v>
      </c>
      <c r="X114" s="41" t="str">
        <f>IFERROR(INDEX([1]GARANTIA!$F:$F,MATCH(A114,[1]GARANTIA!$C:$C,0)),"INSIRA N° SERIE")</f>
        <v>SUDESTE</v>
      </c>
      <c r="Y114" s="46">
        <f t="shared" si="10"/>
        <v>0</v>
      </c>
      <c r="Z114" s="47">
        <f t="shared" si="7"/>
        <v>1</v>
      </c>
      <c r="AA114" s="46">
        <f t="shared" si="11"/>
        <v>1</v>
      </c>
      <c r="AB114" s="46" t="str" cm="1">
        <f t="array" ref="AB114">IFERROR(_xlfn.IFS(L114="FINALIZADO PRESENCIAL",IF(AA114&gt;10,"FORA","DENTRO"),L114="FINALIZADO REMOTO",IF(AA114&gt;5,"FORA","DENTRO")),"-")</f>
        <v>DENTRO</v>
      </c>
      <c r="AC114" s="41" t="s">
        <v>1671</v>
      </c>
      <c r="AD114" s="41" t="s">
        <v>1671</v>
      </c>
      <c r="AE114" s="48" cm="1">
        <f t="array" ref="AE114">SUMPRODUCT(IFERROR(('[2]PEÇAS GARANTIA'!$A$3:$A$5993=G114)*('[2]PEÇAS GARANTIA'!$A$3:$A$5993&lt;&gt;"")*('[2]PEÇAS GARANTIA'!$R$3:$R$5993),0))</f>
        <v>0</v>
      </c>
      <c r="AF114" s="178">
        <v>0</v>
      </c>
    </row>
    <row r="115" spans="1:32" s="128" customFormat="1" ht="40.15" customHeight="1" x14ac:dyDescent="0.25">
      <c r="A115" s="117">
        <v>3002515</v>
      </c>
      <c r="B115" s="118" t="str">
        <f>IFERROR(INDEX([1]GARANTIA!$B:$B,MATCH(A115,[1]GARANTIA!$C:$C,0)),"INSIRA N° SERIE")</f>
        <v>TESTE 273</v>
      </c>
      <c r="C115" s="119">
        <f>IFERROR(INDEX([1]GARANTIA!$J:$J,MATCH(A115,[1]GARANTIA!$C:$C,0)),"INSIRA N° SERIE")</f>
        <v>43461</v>
      </c>
      <c r="D115" s="119" t="str">
        <f>IFERROR(IF(INDEX([1]GARANTIA!$M:$M,MATCH(A115,[1]GARANTIA!$C:$C,0))&gt;=I115,"DENTRO DA GARANTIA","FORA DE GARANTIA"),"INSIRA N° SERIE")</f>
        <v>FORA DE GARANTIA</v>
      </c>
      <c r="E115" s="121"/>
      <c r="F115" s="127">
        <f>IFERROR(MAX(0,IF(I115-(INDEX([1]GARANTIA!$J:$J,MATCH(A115,[1]GARANTIA!$C:$C,0)))&gt;=0,I115-(INDEX([1]GARANTIA!$L:$L,MATCH(A115,[1]GARANTIA!$C:$C,0))),"INSIRA DATA CHAMADO")),"INSIRA N° SERIE")</f>
        <v>421</v>
      </c>
      <c r="G115" s="121">
        <v>20210409</v>
      </c>
      <c r="H115" s="35" t="str">
        <f t="shared" si="5"/>
        <v>ABR</v>
      </c>
      <c r="I115" s="119">
        <v>44292</v>
      </c>
      <c r="J115" s="119">
        <v>44292</v>
      </c>
      <c r="K115" s="122">
        <v>44292</v>
      </c>
      <c r="L115" s="118" t="s">
        <v>23</v>
      </c>
      <c r="M115" s="118" t="s">
        <v>8</v>
      </c>
      <c r="N115" s="118" t="s">
        <v>38</v>
      </c>
      <c r="O115" s="118" t="str">
        <f>IFERROR(INDEX([1]GARANTIA!$E:$E,MATCH(A115,[1]GARANTIA!$C:$C,0)),"INSIRA N° SERIE")</f>
        <v>MTI - 60.000GE</v>
      </c>
      <c r="P115" s="123" t="s">
        <v>157</v>
      </c>
      <c r="Q115" s="118" t="s">
        <v>99</v>
      </c>
      <c r="R115" s="123" t="s">
        <v>172</v>
      </c>
      <c r="S115" s="118" t="s">
        <v>99</v>
      </c>
      <c r="T115" s="118" t="s">
        <v>360</v>
      </c>
      <c r="U115" s="124"/>
      <c r="V115" s="118" t="str">
        <f>IFERROR(INDEX([1]GARANTIA!$G:$G,MATCH(A115,[1]GARANTIA!$C:$C,0)),"INSIRA N° SERIE")</f>
        <v>MONTEVIDEO</v>
      </c>
      <c r="W115" s="118" t="str">
        <f>IFERROR(INDEX([1]GARANTIA!$H:$H,MATCH(A115,[1]GARANTIA!$C:$C,0)),"INSIRA N° SERIE")</f>
        <v>URY</v>
      </c>
      <c r="X115" s="118" t="str">
        <f>IFERROR(INDEX([1]GARANTIA!$F:$F,MATCH(A115,[1]GARANTIA!$C:$C,0)),"INSIRA N° SERIE")</f>
        <v xml:space="preserve">INTERNACIONAL </v>
      </c>
      <c r="Y115" s="118">
        <f t="shared" si="10"/>
        <v>0</v>
      </c>
      <c r="Z115" s="125">
        <f t="shared" si="7"/>
        <v>0</v>
      </c>
      <c r="AA115" s="118">
        <f t="shared" si="11"/>
        <v>0</v>
      </c>
      <c r="AB115" s="46" t="str" cm="1">
        <f t="array" ref="AB115">IFERROR(_xlfn.IFS(L115="FINALIZADO PRESENCIAL",IF(AA115&gt;10,"FORA","DENTRO"),L115="FINALIZADO REMOTO",IF(AA115&gt;5,"FORA","DENTRO")),"-")</f>
        <v>DENTRO</v>
      </c>
      <c r="AC115" s="41" t="s">
        <v>1671</v>
      </c>
      <c r="AD115" s="41" t="s">
        <v>1671</v>
      </c>
      <c r="AE115" s="48" cm="1">
        <f t="array" ref="AE115">SUMPRODUCT(IFERROR(('[2]PEÇAS GARANTIA'!$A$3:$A$5993=G115)*('[2]PEÇAS GARANTIA'!$A$3:$A$5993&lt;&gt;"")*('[2]PEÇAS GARANTIA'!$R$3:$R$5993),0))</f>
        <v>0</v>
      </c>
      <c r="AF115" s="178">
        <v>0</v>
      </c>
    </row>
    <row r="116" spans="1:32" s="107" customFormat="1" ht="40.15" customHeight="1" x14ac:dyDescent="0.25">
      <c r="A116" s="82">
        <v>99525</v>
      </c>
      <c r="B116" s="41" t="str">
        <f>IFERROR(INDEX([1]GARANTIA!$B:$B,MATCH(A116,[1]GARANTIA!$C:$C,0)),"INSIRA N° SERIE")</f>
        <v>TESTE 194</v>
      </c>
      <c r="C116" s="33">
        <f>IFERROR(INDEX([1]GARANTIA!$J:$J,MATCH(A116,[1]GARANTIA!$C:$C,0)),"INSIRA N° SERIE")</f>
        <v>43861</v>
      </c>
      <c r="D116" s="33" t="str">
        <f>IFERROR(IF(INDEX([1]GARANTIA!$M:$M,MATCH(A116,[1]GARANTIA!$C:$C,0))&gt;=I116,"DENTRO DA GARANTIA","FORA DE GARANTIA"),"INSIRA N° SERIE")</f>
        <v>DENTRO DA GARANTIA</v>
      </c>
      <c r="E116" s="148"/>
      <c r="F116" s="109">
        <f>IFERROR(MAX(0,IF(I116-(INDEX([1]GARANTIA!$J:$J,MATCH(A116,[1]GARANTIA!$C:$C,0)))&gt;=0,I116-(INDEX([1]GARANTIA!$L:$L,MATCH(A116,[1]GARANTIA!$C:$C,0))),"INSIRA DATA CHAMADO")),"INSIRA N° SERIE")</f>
        <v>163</v>
      </c>
      <c r="G116" s="35">
        <v>20210410</v>
      </c>
      <c r="H116" s="35" t="str">
        <f t="shared" si="5"/>
        <v>ABR</v>
      </c>
      <c r="I116" s="36">
        <v>44293</v>
      </c>
      <c r="J116" s="37">
        <v>44293</v>
      </c>
      <c r="K116" s="39">
        <v>44293</v>
      </c>
      <c r="L116" s="42" t="s">
        <v>23</v>
      </c>
      <c r="M116" s="42" t="s">
        <v>8</v>
      </c>
      <c r="N116" s="42" t="s">
        <v>50</v>
      </c>
      <c r="O116" s="42" t="str">
        <f>IFERROR(INDEX([1]GARANTIA!$E:$E,MATCH(A116,[1]GARANTIA!$C:$C,0)),"INSIRA N° SERIE")</f>
        <v>EMS - 1</v>
      </c>
      <c r="P116" s="60" t="s">
        <v>158</v>
      </c>
      <c r="Q116" s="43" t="s">
        <v>38</v>
      </c>
      <c r="R116" s="60" t="s">
        <v>132</v>
      </c>
      <c r="S116" s="44" t="s">
        <v>102</v>
      </c>
      <c r="T116" s="44" t="s">
        <v>640</v>
      </c>
      <c r="U116" s="45"/>
      <c r="V116" s="41" t="str">
        <f>IFERROR(INDEX([1]GARANTIA!$G:$G,MATCH(A116,[1]GARANTIA!$C:$C,0)),"INSIRA N° SERIE")</f>
        <v xml:space="preserve">LAGOA SANTA </v>
      </c>
      <c r="W116" s="41" t="str">
        <f>IFERROR(INDEX([1]GARANTIA!$H:$H,MATCH(A116,[1]GARANTIA!$C:$C,0)),"INSIRA N° SERIE")</f>
        <v xml:space="preserve">MG </v>
      </c>
      <c r="X116" s="41" t="str">
        <f>IFERROR(INDEX([1]GARANTIA!$F:$F,MATCH(A116,[1]GARANTIA!$C:$C,0)),"INSIRA N° SERIE")</f>
        <v>SUDESTE</v>
      </c>
      <c r="Y116" s="46">
        <f t="shared" si="10"/>
        <v>0</v>
      </c>
      <c r="Z116" s="47">
        <f t="shared" si="7"/>
        <v>0</v>
      </c>
      <c r="AA116" s="46">
        <f t="shared" si="11"/>
        <v>0</v>
      </c>
      <c r="AB116" s="46" t="str" cm="1">
        <f t="array" ref="AB116">IFERROR(_xlfn.IFS(L116="FINALIZADO PRESENCIAL",IF(AA116&gt;10,"FORA","DENTRO"),L116="FINALIZADO REMOTO",IF(AA116&gt;5,"FORA","DENTRO")),"-")</f>
        <v>DENTRO</v>
      </c>
      <c r="AC116" s="41" t="s">
        <v>1671</v>
      </c>
      <c r="AD116" s="41" t="s">
        <v>1671</v>
      </c>
      <c r="AE116" s="48" cm="1">
        <f t="array" ref="AE116">SUMPRODUCT(IFERROR(('[2]PEÇAS GARANTIA'!$A$3:$A$5993=G116)*('[2]PEÇAS GARANTIA'!$A$3:$A$5993&lt;&gt;"")*('[2]PEÇAS GARANTIA'!$R$3:$R$5993),0))</f>
        <v>0</v>
      </c>
      <c r="AF116" s="178">
        <v>0</v>
      </c>
    </row>
    <row r="117" spans="1:32" s="107" customFormat="1" ht="40.15" customHeight="1" x14ac:dyDescent="0.25">
      <c r="A117" s="82">
        <v>82866</v>
      </c>
      <c r="B117" s="41" t="str">
        <f>IFERROR(INDEX([1]GARANTIA!$B:$B,MATCH(A117,[1]GARANTIA!$C:$C,0)),"INSIRA N° SERIE")</f>
        <v>TESTE 309</v>
      </c>
      <c r="C117" s="33">
        <f>IFERROR(INDEX([1]GARANTIA!$J:$J,MATCH(A117,[1]GARANTIA!$C:$C,0)),"INSIRA N° SERIE")</f>
        <v>44158</v>
      </c>
      <c r="D117" s="33" t="str">
        <f>IFERROR(IF(INDEX([1]GARANTIA!$M:$M,MATCH(A117,[1]GARANTIA!$C:$C,0))&gt;=I117,"DENTRO DA GARANTIA","FORA DE GARANTIA"),"INSIRA N° SERIE")</f>
        <v>DENTRO DA GARANTIA</v>
      </c>
      <c r="E117" s="148"/>
      <c r="F117" s="109">
        <f>IFERROR(MAX(0,IF(I117-(INDEX([1]GARANTIA!$J:$J,MATCH(A117,[1]GARANTIA!$C:$C,0)))&gt;=0,I117-(INDEX([1]GARANTIA!$L:$L,MATCH(A117,[1]GARANTIA!$C:$C,0))),"INSIRA DATA CHAMADO")),"INSIRA N° SERIE")</f>
        <v>35</v>
      </c>
      <c r="G117" s="35">
        <v>20210412</v>
      </c>
      <c r="H117" s="35" t="str">
        <f t="shared" si="5"/>
        <v>ABR</v>
      </c>
      <c r="I117" s="36">
        <v>44295</v>
      </c>
      <c r="J117" s="37">
        <v>44295</v>
      </c>
      <c r="K117" s="39">
        <v>44299</v>
      </c>
      <c r="L117" s="42" t="s">
        <v>23</v>
      </c>
      <c r="M117" s="42" t="s">
        <v>8</v>
      </c>
      <c r="N117" s="42" t="s">
        <v>76</v>
      </c>
      <c r="O117" s="42" t="str">
        <f>IFERROR(INDEX([1]GARANTIA!$E:$E,MATCH(A117,[1]GARANTIA!$C:$C,0)),"INSIRA N° SERIE")</f>
        <v>MTI - 1.000GTS</v>
      </c>
      <c r="P117" s="60" t="s">
        <v>161</v>
      </c>
      <c r="Q117" s="43" t="s">
        <v>38</v>
      </c>
      <c r="R117" s="60" t="s">
        <v>152</v>
      </c>
      <c r="S117" s="44" t="s">
        <v>102</v>
      </c>
      <c r="T117" s="44" t="s">
        <v>143</v>
      </c>
      <c r="U117" s="45"/>
      <c r="V117" s="41" t="str">
        <f>IFERROR(INDEX([1]GARANTIA!$G:$G,MATCH(A117,[1]GARANTIA!$C:$C,0)),"INSIRA N° SERIE")</f>
        <v>SÃO JOSE DEL REI</v>
      </c>
      <c r="W117" s="41" t="str">
        <f>IFERROR(INDEX([1]GARANTIA!$H:$H,MATCH(A117,[1]GARANTIA!$C:$C,0)),"INSIRA N° SERIE")</f>
        <v>MG</v>
      </c>
      <c r="X117" s="41" t="str">
        <f>IFERROR(INDEX([1]GARANTIA!$F:$F,MATCH(A117,[1]GARANTIA!$C:$C,0)),"INSIRA N° SERIE")</f>
        <v>SUDESTE</v>
      </c>
      <c r="Y117" s="46">
        <f t="shared" si="10"/>
        <v>0</v>
      </c>
      <c r="Z117" s="47">
        <f t="shared" si="7"/>
        <v>4</v>
      </c>
      <c r="AA117" s="46">
        <f t="shared" si="11"/>
        <v>4</v>
      </c>
      <c r="AB117" s="46" t="str" cm="1">
        <f t="array" ref="AB117">IFERROR(_xlfn.IFS(L117="FINALIZADO PRESENCIAL",IF(AA117&gt;10,"FORA","DENTRO"),L117="FINALIZADO REMOTO",IF(AA117&gt;5,"FORA","DENTRO")),"-")</f>
        <v>DENTRO</v>
      </c>
      <c r="AC117" s="41" t="s">
        <v>1671</v>
      </c>
      <c r="AD117" s="41" t="s">
        <v>1671</v>
      </c>
      <c r="AE117" s="48" cm="1">
        <f t="array" ref="AE117">SUMPRODUCT(IFERROR(('[2]PEÇAS GARANTIA'!$A$3:$A$5993=G117)*('[2]PEÇAS GARANTIA'!$A$3:$A$5993&lt;&gt;"")*('[2]PEÇAS GARANTIA'!$R$3:$R$5993),0))</f>
        <v>0</v>
      </c>
      <c r="AF117" s="178">
        <v>0</v>
      </c>
    </row>
    <row r="118" spans="1:32" s="51" customFormat="1" ht="40.15" customHeight="1" x14ac:dyDescent="0.25">
      <c r="A118" s="82">
        <v>74047</v>
      </c>
      <c r="B118" s="41" t="str">
        <f>IFERROR(INDEX([1]GARANTIA!$B:$B,MATCH(A118,[1]GARANTIA!$C:$C,0)),"INSIRA N° SERIE")</f>
        <v>TESTE 74</v>
      </c>
      <c r="C118" s="33">
        <f>IFERROR(INDEX([1]GARANTIA!$J:$J,MATCH(A118,[1]GARANTIA!$C:$C,0)),"INSIRA N° SERIE")</f>
        <v>43982</v>
      </c>
      <c r="D118" s="33" t="str">
        <f>IFERROR(IF(INDEX([1]GARANTIA!$M:$M,MATCH(A118,[1]GARANTIA!$C:$C,0))&gt;=I118,"DENTRO DA GARANTIA","FORA DE GARANTIA"),"INSIRA N° SERIE")</f>
        <v>DENTRO DA GARANTIA</v>
      </c>
      <c r="E118" s="148"/>
      <c r="F118" s="109">
        <f>IFERROR(MAX(0,IF(I118-(INDEX([1]GARANTIA!$J:$J,MATCH(A118,[1]GARANTIA!$C:$C,0)))&gt;=0,I118-(INDEX([1]GARANTIA!$L:$L,MATCH(A118,[1]GARANTIA!$C:$C,0))),"INSIRA DATA CHAMADO")),"INSIRA N° SERIE")</f>
        <v>0</v>
      </c>
      <c r="G118" s="35">
        <v>20210411</v>
      </c>
      <c r="H118" s="35" t="str">
        <f t="shared" si="5"/>
        <v>ABR</v>
      </c>
      <c r="I118" s="36">
        <v>44296</v>
      </c>
      <c r="J118" s="37">
        <v>44296</v>
      </c>
      <c r="K118" s="39">
        <v>44296</v>
      </c>
      <c r="L118" s="42" t="s">
        <v>11</v>
      </c>
      <c r="M118" s="42" t="s">
        <v>164</v>
      </c>
      <c r="N118" s="42" t="s">
        <v>40</v>
      </c>
      <c r="O118" s="42" t="str">
        <f>IFERROR(INDEX([1]GARANTIA!$E:$E,MATCH(A118,[1]GARANTIA!$C:$C,0)),"INSIRA N° SERIE")</f>
        <v>MTI - 4.000GTS</v>
      </c>
      <c r="P118" s="60" t="s">
        <v>159</v>
      </c>
      <c r="Q118" s="43" t="s">
        <v>324</v>
      </c>
      <c r="R118" s="60" t="s">
        <v>160</v>
      </c>
      <c r="S118" s="44" t="s">
        <v>101</v>
      </c>
      <c r="T118" s="44" t="s">
        <v>306</v>
      </c>
      <c r="U118" s="45"/>
      <c r="V118" s="41" t="str">
        <f>IFERROR(INDEX([1]GARANTIA!$G:$G,MATCH(A118,[1]GARANTIA!$C:$C,0)),"INSIRA N° SERIE")</f>
        <v xml:space="preserve">MARABA </v>
      </c>
      <c r="W118" s="41" t="str">
        <f>IFERROR(INDEX([1]GARANTIA!$H:$H,MATCH(A118,[1]GARANTIA!$C:$C,0)),"INSIRA N° SERIE")</f>
        <v>PA</v>
      </c>
      <c r="X118" s="41" t="str">
        <f>IFERROR(INDEX([1]GARANTIA!$F:$F,MATCH(A118,[1]GARANTIA!$C:$C,0)),"INSIRA N° SERIE")</f>
        <v>NORTE</v>
      </c>
      <c r="Y118" s="46">
        <f t="shared" si="10"/>
        <v>0</v>
      </c>
      <c r="Z118" s="47">
        <f t="shared" si="7"/>
        <v>0</v>
      </c>
      <c r="AA118" s="46">
        <f t="shared" si="11"/>
        <v>0</v>
      </c>
      <c r="AB118" s="46" t="str" cm="1">
        <f t="array" ref="AB118">IFERROR(_xlfn.IFS(L118="FINALIZADO PRESENCIAL",IF(AA118&gt;10,"FORA","DENTRO"),L118="FINALIZADO REMOTO",IF(AA118&gt;5,"FORA","DENTRO")),"-")</f>
        <v>DENTRO</v>
      </c>
      <c r="AC118" s="41" t="s">
        <v>1671</v>
      </c>
      <c r="AD118" s="41" t="s">
        <v>1671</v>
      </c>
      <c r="AE118" s="48" cm="1">
        <f t="array" ref="AE118">SUMPRODUCT(IFERROR(('[2]PEÇAS GARANTIA'!$A$3:$A$5993=G118)*('[2]PEÇAS GARANTIA'!$A$3:$A$5993&lt;&gt;"")*('[2]PEÇAS GARANTIA'!$R$3:$R$5993),0))</f>
        <v>2069</v>
      </c>
      <c r="AF118" s="178">
        <v>50</v>
      </c>
    </row>
    <row r="119" spans="1:32" s="107" customFormat="1" ht="40.15" customHeight="1" x14ac:dyDescent="0.25">
      <c r="A119" s="82">
        <v>40476</v>
      </c>
      <c r="B119" s="41" t="str">
        <f>IFERROR(INDEX([1]GARANTIA!$B:$B,MATCH(A119,[1]GARANTIA!$C:$C,0)),"INSIRA N° SERIE")</f>
        <v>TESTE 199</v>
      </c>
      <c r="C119" s="33">
        <f>IFERROR(INDEX([1]GARANTIA!$J:$J,MATCH(A119,[1]GARANTIA!$C:$C,0)),"INSIRA N° SERIE")</f>
        <v>44074</v>
      </c>
      <c r="D119" s="33" t="str">
        <f>IFERROR(IF(INDEX([1]GARANTIA!$M:$M,MATCH(A119,[1]GARANTIA!$C:$C,0))&gt;=I119,"DENTRO DA GARANTIA","FORA DE GARANTIA"),"INSIRA N° SERIE")</f>
        <v>DENTRO DA GARANTIA</v>
      </c>
      <c r="E119" s="148"/>
      <c r="F119" s="109">
        <f>IFERROR(MAX(0,IF(I119-(INDEX([1]GARANTIA!$J:$J,MATCH(A119,[1]GARANTIA!$C:$C,0)))&gt;=0,I119-(INDEX([1]GARANTIA!$L:$L,MATCH(A119,[1]GARANTIA!$C:$C,0))),"INSIRA DATA CHAMADO")),"INSIRA N° SERIE")</f>
        <v>81</v>
      </c>
      <c r="G119" s="35">
        <v>20210413</v>
      </c>
      <c r="H119" s="35" t="str">
        <f t="shared" si="5"/>
        <v>ABR</v>
      </c>
      <c r="I119" s="36">
        <v>44298</v>
      </c>
      <c r="J119" s="37">
        <v>44298</v>
      </c>
      <c r="K119" s="39">
        <v>44298</v>
      </c>
      <c r="L119" s="42" t="s">
        <v>23</v>
      </c>
      <c r="M119" s="42" t="s">
        <v>8</v>
      </c>
      <c r="N119" s="42" t="s">
        <v>31</v>
      </c>
      <c r="O119" s="42" t="str">
        <f>IFERROR(INDEX([1]GARANTIA!$E:$E,MATCH(A119,[1]GARANTIA!$C:$C,0)),"INSIRA N° SERIE")</f>
        <v>MTI - 4.000GTS</v>
      </c>
      <c r="P119" s="60" t="s">
        <v>162</v>
      </c>
      <c r="Q119" s="43" t="s">
        <v>85</v>
      </c>
      <c r="R119" s="60" t="s">
        <v>163</v>
      </c>
      <c r="S119" s="44" t="s">
        <v>102</v>
      </c>
      <c r="T119" s="44" t="s">
        <v>296</v>
      </c>
      <c r="U119" s="45"/>
      <c r="V119" s="41" t="str">
        <f>IFERROR(INDEX([1]GARANTIA!$G:$G,MATCH(A119,[1]GARANTIA!$C:$C,0)),"INSIRA N° SERIE")</f>
        <v xml:space="preserve">SÃO CARLOS </v>
      </c>
      <c r="W119" s="41" t="str">
        <f>IFERROR(INDEX([1]GARANTIA!$H:$H,MATCH(A119,[1]GARANTIA!$C:$C,0)),"INSIRA N° SERIE")</f>
        <v>SP</v>
      </c>
      <c r="X119" s="41" t="str">
        <f>IFERROR(INDEX([1]GARANTIA!$F:$F,MATCH(A119,[1]GARANTIA!$C:$C,0)),"INSIRA N° SERIE")</f>
        <v>SUDESTE</v>
      </c>
      <c r="Y119" s="46">
        <f t="shared" si="10"/>
        <v>0</v>
      </c>
      <c r="Z119" s="47">
        <f t="shared" si="7"/>
        <v>0</v>
      </c>
      <c r="AA119" s="46">
        <f t="shared" si="11"/>
        <v>0</v>
      </c>
      <c r="AB119" s="46" t="str" cm="1">
        <f t="array" ref="AB119">IFERROR(_xlfn.IFS(L119="FINALIZADO PRESENCIAL",IF(AA119&gt;10,"FORA","DENTRO"),L119="FINALIZADO REMOTO",IF(AA119&gt;5,"FORA","DENTRO")),"-")</f>
        <v>DENTRO</v>
      </c>
      <c r="AC119" s="41" t="s">
        <v>1671</v>
      </c>
      <c r="AD119" s="41" t="s">
        <v>1671</v>
      </c>
      <c r="AE119" s="48" cm="1">
        <f t="array" ref="AE119">SUMPRODUCT(IFERROR(('[2]PEÇAS GARANTIA'!$A$3:$A$5993=G119)*('[2]PEÇAS GARANTIA'!$A$3:$A$5993&lt;&gt;"")*('[2]PEÇAS GARANTIA'!$R$3:$R$5993),0))</f>
        <v>0</v>
      </c>
      <c r="AF119" s="178">
        <v>0</v>
      </c>
    </row>
    <row r="120" spans="1:32" s="51" customFormat="1" ht="40.15" customHeight="1" x14ac:dyDescent="0.25">
      <c r="A120" s="82">
        <v>38373</v>
      </c>
      <c r="B120" s="41" t="str">
        <f>IFERROR(INDEX([1]GARANTIA!$B:$B,MATCH(A120,[1]GARANTIA!$C:$C,0)),"INSIRA N° SERIE")</f>
        <v>TESTE 40</v>
      </c>
      <c r="C120" s="33">
        <f>IFERROR(INDEX([1]GARANTIA!$J:$J,MATCH(A120,[1]GARANTIA!$C:$C,0)),"INSIRA N° SERIE")</f>
        <v>44165</v>
      </c>
      <c r="D120" s="33" t="str">
        <f>IFERROR(IF(INDEX([1]GARANTIA!$M:$M,MATCH(A120,[1]GARANTIA!$C:$C,0))&gt;=I120,"DENTRO DA GARANTIA","FORA DE GARANTIA"),"INSIRA N° SERIE")</f>
        <v>DENTRO DA GARANTIA</v>
      </c>
      <c r="E120" s="148"/>
      <c r="F120" s="109">
        <f>IFERROR(MAX(0,IF(I120-(INDEX([1]GARANTIA!$J:$J,MATCH(A120,[1]GARANTIA!$C:$C,0)))&gt;=0,I120-(INDEX([1]GARANTIA!$L:$L,MATCH(A120,[1]GARANTIA!$C:$C,0))),"INSIRA DATA CHAMADO")),"INSIRA N° SERIE")</f>
        <v>0</v>
      </c>
      <c r="G120" s="35">
        <v>20210414</v>
      </c>
      <c r="H120" s="35" t="str">
        <f t="shared" si="5"/>
        <v>ABR</v>
      </c>
      <c r="I120" s="36">
        <v>44299</v>
      </c>
      <c r="J120" s="37">
        <v>44299</v>
      </c>
      <c r="K120" s="39">
        <v>44299</v>
      </c>
      <c r="L120" s="42" t="s">
        <v>11</v>
      </c>
      <c r="M120" s="42" t="s">
        <v>164</v>
      </c>
      <c r="N120" s="42" t="s">
        <v>54</v>
      </c>
      <c r="O120" s="42" t="str">
        <f>IFERROR(INDEX([1]GARANTIA!$E:$E,MATCH(A120,[1]GARANTIA!$C:$C,0)),"INSIRA N° SERIE")</f>
        <v>MTI - 1.000GTS</v>
      </c>
      <c r="P120" s="60" t="s">
        <v>165</v>
      </c>
      <c r="Q120" s="43" t="s">
        <v>54</v>
      </c>
      <c r="R120" s="60" t="s">
        <v>166</v>
      </c>
      <c r="S120" s="44" t="s">
        <v>638</v>
      </c>
      <c r="T120" s="44" t="s">
        <v>142</v>
      </c>
      <c r="U120" s="45"/>
      <c r="V120" s="41" t="str">
        <f>IFERROR(INDEX([1]GARANTIA!$G:$G,MATCH(A120,[1]GARANTIA!$C:$C,0)),"INSIRA N° SERIE")</f>
        <v>ITABERAÍ</v>
      </c>
      <c r="W120" s="41" t="str">
        <f>IFERROR(INDEX([1]GARANTIA!$H:$H,MATCH(A120,[1]GARANTIA!$C:$C,0)),"INSIRA N° SERIE")</f>
        <v>GO</v>
      </c>
      <c r="X120" s="41" t="str">
        <f>IFERROR(INDEX([1]GARANTIA!$F:$F,MATCH(A120,[1]GARANTIA!$C:$C,0)),"INSIRA N° SERIE")</f>
        <v>CENTROESTE</v>
      </c>
      <c r="Y120" s="46">
        <f t="shared" si="10"/>
        <v>0</v>
      </c>
      <c r="Z120" s="47">
        <f t="shared" si="7"/>
        <v>0</v>
      </c>
      <c r="AA120" s="46">
        <f t="shared" si="11"/>
        <v>0</v>
      </c>
      <c r="AB120" s="46" t="str" cm="1">
        <f t="array" ref="AB120">IFERROR(_xlfn.IFS(L120="FINALIZADO PRESENCIAL",IF(AA120&gt;10,"FORA","DENTRO"),L120="FINALIZADO REMOTO",IF(AA120&gt;5,"FORA","DENTRO")),"-")</f>
        <v>DENTRO</v>
      </c>
      <c r="AC120" s="41" t="s">
        <v>1671</v>
      </c>
      <c r="AD120" s="41" t="s">
        <v>1671</v>
      </c>
      <c r="AE120" s="48" cm="1">
        <f t="array" ref="AE120">SUMPRODUCT(IFERROR(('[2]PEÇAS GARANTIA'!$A$3:$A$5993=G120)*('[2]PEÇAS GARANTIA'!$A$3:$A$5993&lt;&gt;"")*('[2]PEÇAS GARANTIA'!$R$3:$R$5993),0))</f>
        <v>0</v>
      </c>
      <c r="AF120" s="178">
        <v>0</v>
      </c>
    </row>
    <row r="121" spans="1:32" s="107" customFormat="1" ht="40.15" customHeight="1" x14ac:dyDescent="0.25">
      <c r="A121" s="82">
        <v>99914</v>
      </c>
      <c r="B121" s="41" t="str">
        <f>IFERROR(INDEX([1]GARANTIA!$B:$B,MATCH(A121,[1]GARANTIA!$C:$C,0)),"INSIRA N° SERIE")</f>
        <v>TESTE 141</v>
      </c>
      <c r="C121" s="33">
        <f>IFERROR(INDEX([1]GARANTIA!$J:$J,MATCH(A121,[1]GARANTIA!$C:$C,0)),"INSIRA N° SERIE")</f>
        <v>43238</v>
      </c>
      <c r="D121" s="33" t="str">
        <f>IFERROR(IF(INDEX([1]GARANTIA!$M:$M,MATCH(A121,[1]GARANTIA!$C:$C,0))&gt;=I121,"DENTRO DA GARANTIA","FORA DE GARANTIA"),"INSIRA N° SERIE")</f>
        <v>FORA DE GARANTIA</v>
      </c>
      <c r="E121" s="148"/>
      <c r="F121" s="109">
        <f>IFERROR(MAX(0,IF(I121-(INDEX([1]GARANTIA!$J:$J,MATCH(A121,[1]GARANTIA!$C:$C,0)))&gt;=0,I121-(INDEX([1]GARANTIA!$L:$L,MATCH(A121,[1]GARANTIA!$C:$C,0))),"INSIRA DATA CHAMADO")),"INSIRA N° SERIE")</f>
        <v>532</v>
      </c>
      <c r="G121" s="35">
        <v>20210415</v>
      </c>
      <c r="H121" s="35" t="str">
        <f t="shared" si="5"/>
        <v>ABR</v>
      </c>
      <c r="I121" s="36">
        <v>44300</v>
      </c>
      <c r="J121" s="37">
        <v>44300</v>
      </c>
      <c r="K121" s="39">
        <v>44301</v>
      </c>
      <c r="L121" s="42" t="s">
        <v>23</v>
      </c>
      <c r="M121" s="42" t="s">
        <v>8</v>
      </c>
      <c r="N121" s="42" t="s">
        <v>39</v>
      </c>
      <c r="O121" s="42" t="str">
        <f>IFERROR(INDEX([1]GARANTIA!$E:$E,MATCH(A121,[1]GARANTIA!$C:$C,0)),"INSIRA N° SERIE")</f>
        <v>MTI - 32.000 GT</v>
      </c>
      <c r="P121" s="60" t="s">
        <v>167</v>
      </c>
      <c r="Q121" s="43" t="s">
        <v>38</v>
      </c>
      <c r="R121" s="60" t="s">
        <v>168</v>
      </c>
      <c r="S121" s="44" t="s">
        <v>101</v>
      </c>
      <c r="T121" s="44" t="s">
        <v>296</v>
      </c>
      <c r="U121" s="45"/>
      <c r="V121" s="41" t="str">
        <f>IFERROR(INDEX([1]GARANTIA!$G:$G,MATCH(A121,[1]GARANTIA!$C:$C,0)),"INSIRA N° SERIE")</f>
        <v>ITAPIRA</v>
      </c>
      <c r="W121" s="41" t="str">
        <f>IFERROR(INDEX([1]GARANTIA!$H:$H,MATCH(A121,[1]GARANTIA!$C:$C,0)),"INSIRA N° SERIE")</f>
        <v>SP</v>
      </c>
      <c r="X121" s="41" t="str">
        <f>IFERROR(INDEX([1]GARANTIA!$F:$F,MATCH(A121,[1]GARANTIA!$C:$C,0)),"INSIRA N° SERIE")</f>
        <v>SUDESTE</v>
      </c>
      <c r="Y121" s="46">
        <f t="shared" si="10"/>
        <v>0</v>
      </c>
      <c r="Z121" s="47">
        <f t="shared" si="7"/>
        <v>1</v>
      </c>
      <c r="AA121" s="46">
        <f t="shared" si="11"/>
        <v>1</v>
      </c>
      <c r="AB121" s="46" t="str" cm="1">
        <f t="array" ref="AB121">IFERROR(_xlfn.IFS(L121="FINALIZADO PRESENCIAL",IF(AA121&gt;10,"FORA","DENTRO"),L121="FINALIZADO REMOTO",IF(AA121&gt;5,"FORA","DENTRO")),"-")</f>
        <v>DENTRO</v>
      </c>
      <c r="AC121" s="41" t="s">
        <v>1671</v>
      </c>
      <c r="AD121" s="41" t="s">
        <v>1671</v>
      </c>
      <c r="AE121" s="48" cm="1">
        <f t="array" ref="AE121">SUMPRODUCT(IFERROR(('[2]PEÇAS GARANTIA'!$A$3:$A$5993=G121)*('[2]PEÇAS GARANTIA'!$A$3:$A$5993&lt;&gt;"")*('[2]PEÇAS GARANTIA'!$R$3:$R$5993),0))</f>
        <v>0</v>
      </c>
      <c r="AF121" s="178">
        <v>0</v>
      </c>
    </row>
    <row r="122" spans="1:32" s="107" customFormat="1" ht="40.15" customHeight="1" x14ac:dyDescent="0.25">
      <c r="A122" s="82">
        <v>40476</v>
      </c>
      <c r="B122" s="41" t="str">
        <f>IFERROR(INDEX([1]GARANTIA!$B:$B,MATCH(A122,[1]GARANTIA!$C:$C,0)),"INSIRA N° SERIE")</f>
        <v>TESTE 199</v>
      </c>
      <c r="C122" s="33">
        <f>IFERROR(INDEX([1]GARANTIA!$J:$J,MATCH(A122,[1]GARANTIA!$C:$C,0)),"INSIRA N° SERIE")</f>
        <v>44074</v>
      </c>
      <c r="D122" s="33" t="str">
        <f>IFERROR(IF(INDEX([1]GARANTIA!$M:$M,MATCH(A122,[1]GARANTIA!$C:$C,0))&gt;=I122,"DENTRO DA GARANTIA","FORA DE GARANTIA"),"INSIRA N° SERIE")</f>
        <v>DENTRO DA GARANTIA</v>
      </c>
      <c r="E122" s="148"/>
      <c r="F122" s="109">
        <f>IFERROR(MAX(0,IF(I122-(INDEX([1]GARANTIA!$J:$J,MATCH(A122,[1]GARANTIA!$C:$C,0)))&gt;=0,I122-(INDEX([1]GARANTIA!$L:$L,MATCH(A122,[1]GARANTIA!$C:$C,0))),"INSIRA DATA CHAMADO")),"INSIRA N° SERIE")</f>
        <v>83</v>
      </c>
      <c r="G122" s="35">
        <v>20210416</v>
      </c>
      <c r="H122" s="35" t="str">
        <f t="shared" si="5"/>
        <v>ABR</v>
      </c>
      <c r="I122" s="36">
        <v>44300</v>
      </c>
      <c r="J122" s="37">
        <v>44300</v>
      </c>
      <c r="K122" s="39">
        <v>44301</v>
      </c>
      <c r="L122" s="42" t="s">
        <v>23</v>
      </c>
      <c r="M122" s="42" t="s">
        <v>8</v>
      </c>
      <c r="N122" s="42" t="s">
        <v>76</v>
      </c>
      <c r="O122" s="42" t="str">
        <f>IFERROR(INDEX([1]GARANTIA!$E:$E,MATCH(A122,[1]GARANTIA!$C:$C,0)),"INSIRA N° SERIE")</f>
        <v>MTI - 4.000GTS</v>
      </c>
      <c r="P122" s="60" t="s">
        <v>167</v>
      </c>
      <c r="Q122" s="43" t="s">
        <v>38</v>
      </c>
      <c r="R122" s="60" t="s">
        <v>168</v>
      </c>
      <c r="S122" s="44" t="s">
        <v>101</v>
      </c>
      <c r="T122" s="44" t="s">
        <v>296</v>
      </c>
      <c r="U122" s="45"/>
      <c r="V122" s="41" t="str">
        <f>IFERROR(INDEX([1]GARANTIA!$G:$G,MATCH(A122,[1]GARANTIA!$C:$C,0)),"INSIRA N° SERIE")</f>
        <v xml:space="preserve">SÃO CARLOS </v>
      </c>
      <c r="W122" s="41" t="str">
        <f>IFERROR(INDEX([1]GARANTIA!$H:$H,MATCH(A122,[1]GARANTIA!$C:$C,0)),"INSIRA N° SERIE")</f>
        <v>SP</v>
      </c>
      <c r="X122" s="41" t="str">
        <f>IFERROR(INDEX([1]GARANTIA!$F:$F,MATCH(A122,[1]GARANTIA!$C:$C,0)),"INSIRA N° SERIE")</f>
        <v>SUDESTE</v>
      </c>
      <c r="Y122" s="46">
        <f t="shared" si="10"/>
        <v>0</v>
      </c>
      <c r="Z122" s="47">
        <f t="shared" si="7"/>
        <v>1</v>
      </c>
      <c r="AA122" s="46">
        <f t="shared" si="11"/>
        <v>1</v>
      </c>
      <c r="AB122" s="46" t="str" cm="1">
        <f t="array" ref="AB122">IFERROR(_xlfn.IFS(L122="FINALIZADO PRESENCIAL",IF(AA122&gt;10,"FORA","DENTRO"),L122="FINALIZADO REMOTO",IF(AA122&gt;5,"FORA","DENTRO")),"-")</f>
        <v>DENTRO</v>
      </c>
      <c r="AC122" s="41" t="s">
        <v>1671</v>
      </c>
      <c r="AD122" s="41" t="s">
        <v>1671</v>
      </c>
      <c r="AE122" s="48" cm="1">
        <f t="array" ref="AE122">SUMPRODUCT(IFERROR(('[2]PEÇAS GARANTIA'!$A$3:$A$5993=G122)*('[2]PEÇAS GARANTIA'!$A$3:$A$5993&lt;&gt;"")*('[2]PEÇAS GARANTIA'!$R$3:$R$5993),0))</f>
        <v>0</v>
      </c>
      <c r="AF122" s="178">
        <v>0</v>
      </c>
    </row>
    <row r="123" spans="1:32" s="107" customFormat="1" ht="40.15" customHeight="1" x14ac:dyDescent="0.25">
      <c r="A123" s="82">
        <v>86746</v>
      </c>
      <c r="B123" s="41" t="str">
        <f>IFERROR(INDEX([1]GARANTIA!$B:$B,MATCH(A123,[1]GARANTIA!$C:$C,0)),"INSIRA N° SERIE")</f>
        <v>TESTE 320</v>
      </c>
      <c r="C123" s="33">
        <f>IFERROR(INDEX([1]GARANTIA!$J:$J,MATCH(A123,[1]GARANTIA!$C:$C,0)),"INSIRA N° SERIE")</f>
        <v>44104</v>
      </c>
      <c r="D123" s="33" t="str">
        <f>IFERROR(IF(INDEX([1]GARANTIA!$M:$M,MATCH(A123,[1]GARANTIA!$C:$C,0))&gt;=I123,"DENTRO DA GARANTIA","FORA DE GARANTIA"),"INSIRA N° SERIE")</f>
        <v>DENTRO DA GARANTIA</v>
      </c>
      <c r="E123" s="148"/>
      <c r="F123" s="109">
        <f>IFERROR(MAX(0,IF(I123-(INDEX([1]GARANTIA!$J:$J,MATCH(A123,[1]GARANTIA!$C:$C,0)))&gt;=0,I123-(INDEX([1]GARANTIA!$L:$L,MATCH(A123,[1]GARANTIA!$C:$C,0))),"INSIRA DATA CHAMADO")),"INSIRA N° SERIE")</f>
        <v>48</v>
      </c>
      <c r="G123" s="35">
        <v>20210417</v>
      </c>
      <c r="H123" s="35" t="str">
        <f t="shared" si="5"/>
        <v>ABR</v>
      </c>
      <c r="I123" s="36">
        <v>44301</v>
      </c>
      <c r="J123" s="37">
        <v>44301</v>
      </c>
      <c r="K123" s="39">
        <v>44301</v>
      </c>
      <c r="L123" s="42" t="s">
        <v>23</v>
      </c>
      <c r="M123" s="42" t="s">
        <v>8</v>
      </c>
      <c r="N123" s="42" t="s">
        <v>30</v>
      </c>
      <c r="O123" s="42" t="str">
        <f>IFERROR(INDEX([1]GARANTIA!$E:$E,MATCH(A123,[1]GARANTIA!$C:$C,0)),"INSIRA N° SERIE")</f>
        <v>MTI - 1.000GTS</v>
      </c>
      <c r="P123" s="60" t="s">
        <v>173</v>
      </c>
      <c r="Q123" s="43" t="s">
        <v>85</v>
      </c>
      <c r="R123" s="60" t="s">
        <v>108</v>
      </c>
      <c r="S123" s="44" t="s">
        <v>102</v>
      </c>
      <c r="T123" s="44" t="s">
        <v>296</v>
      </c>
      <c r="U123" s="45"/>
      <c r="V123" s="41" t="str">
        <f>IFERROR(INDEX([1]GARANTIA!$G:$G,MATCH(A123,[1]GARANTIA!$C:$C,0)),"INSIRA N° SERIE")</f>
        <v>CORRENTE</v>
      </c>
      <c r="W123" s="41" t="str">
        <f>IFERROR(INDEX([1]GARANTIA!$H:$H,MATCH(A123,[1]GARANTIA!$C:$C,0)),"INSIRA N° SERIE")</f>
        <v>PI</v>
      </c>
      <c r="X123" s="41" t="str">
        <f>IFERROR(INDEX([1]GARANTIA!$F:$F,MATCH(A123,[1]GARANTIA!$C:$C,0)),"INSIRA N° SERIE")</f>
        <v>NORDESTE</v>
      </c>
      <c r="Y123" s="46">
        <f t="shared" si="10"/>
        <v>0</v>
      </c>
      <c r="Z123" s="47">
        <f t="shared" si="7"/>
        <v>0</v>
      </c>
      <c r="AA123" s="46">
        <f t="shared" si="11"/>
        <v>0</v>
      </c>
      <c r="AB123" s="46" t="str" cm="1">
        <f t="array" ref="AB123">IFERROR(_xlfn.IFS(L123="FINALIZADO PRESENCIAL",IF(AA123&gt;10,"FORA","DENTRO"),L123="FINALIZADO REMOTO",IF(AA123&gt;5,"FORA","DENTRO")),"-")</f>
        <v>DENTRO</v>
      </c>
      <c r="AC123" s="41" t="s">
        <v>1671</v>
      </c>
      <c r="AD123" s="41" t="s">
        <v>1671</v>
      </c>
      <c r="AE123" s="48" cm="1">
        <f t="array" ref="AE123">SUMPRODUCT(IFERROR(('[2]PEÇAS GARANTIA'!$A$3:$A$5993=G123)*('[2]PEÇAS GARANTIA'!$A$3:$A$5993&lt;&gt;"")*('[2]PEÇAS GARANTIA'!$R$3:$R$5993),0))</f>
        <v>0</v>
      </c>
      <c r="AF123" s="178">
        <v>0</v>
      </c>
    </row>
    <row r="124" spans="1:32" s="107" customFormat="1" ht="40.15" customHeight="1" x14ac:dyDescent="0.25">
      <c r="A124" s="82">
        <v>74629</v>
      </c>
      <c r="B124" s="41" t="str">
        <f>IFERROR(INDEX([1]GARANTIA!$B:$B,MATCH(A124,[1]GARANTIA!$C:$C,0)),"INSIRA N° SERIE")</f>
        <v>TESTE 329</v>
      </c>
      <c r="C124" s="33">
        <f>IFERROR(INDEX([1]GARANTIA!$J:$J,MATCH(A124,[1]GARANTIA!$C:$C,0)),"INSIRA N° SERIE")</f>
        <v>44090</v>
      </c>
      <c r="D124" s="33" t="str">
        <f>IFERROR(IF(INDEX([1]GARANTIA!$M:$M,MATCH(A124,[1]GARANTIA!$C:$C,0))&gt;=I124,"DENTRO DA GARANTIA","FORA DE GARANTIA"),"INSIRA N° SERIE")</f>
        <v>DENTRO DA GARANTIA</v>
      </c>
      <c r="E124" s="148"/>
      <c r="F124" s="109">
        <f>IFERROR(MAX(0,IF(I124-(INDEX([1]GARANTIA!$J:$J,MATCH(A124,[1]GARANTIA!$C:$C,0)))&gt;=0,I124-(INDEX([1]GARANTIA!$L:$L,MATCH(A124,[1]GARANTIA!$C:$C,0))),"INSIRA DATA CHAMADO")),"INSIRA N° SERIE")</f>
        <v>118</v>
      </c>
      <c r="G124" s="35">
        <v>20210418</v>
      </c>
      <c r="H124" s="35" t="str">
        <f t="shared" si="5"/>
        <v>ABR</v>
      </c>
      <c r="I124" s="36">
        <v>44301</v>
      </c>
      <c r="J124" s="37">
        <v>44301</v>
      </c>
      <c r="K124" s="39">
        <v>44306</v>
      </c>
      <c r="L124" s="42" t="s">
        <v>23</v>
      </c>
      <c r="M124" s="42" t="s">
        <v>8</v>
      </c>
      <c r="N124" s="42" t="s">
        <v>28</v>
      </c>
      <c r="O124" s="42" t="str">
        <f>IFERROR(INDEX([1]GARANTIA!$E:$E,MATCH(A124,[1]GARANTIA!$C:$C,0)),"INSIRA N° SERIE")</f>
        <v>MTI - 1.000GTS</v>
      </c>
      <c r="P124" s="60" t="s">
        <v>185</v>
      </c>
      <c r="Q124" s="43" t="s">
        <v>305</v>
      </c>
      <c r="R124" s="60" t="s">
        <v>233</v>
      </c>
      <c r="S124" s="44" t="s">
        <v>638</v>
      </c>
      <c r="T124" s="44" t="s">
        <v>143</v>
      </c>
      <c r="U124" s="45"/>
      <c r="V124" s="41" t="str">
        <f>IFERROR(INDEX([1]GARANTIA!$G:$G,MATCH(A124,[1]GARANTIA!$C:$C,0)),"INSIRA N° SERIE")</f>
        <v>QUIRINOPOLIS</v>
      </c>
      <c r="W124" s="41" t="str">
        <f>IFERROR(INDEX([1]GARANTIA!$H:$H,MATCH(A124,[1]GARANTIA!$C:$C,0)),"INSIRA N° SERIE")</f>
        <v xml:space="preserve">GO </v>
      </c>
      <c r="X124" s="41" t="str">
        <f>IFERROR(INDEX([1]GARANTIA!$F:$F,MATCH(A124,[1]GARANTIA!$C:$C,0)),"INSIRA N° SERIE")</f>
        <v>CENTROESTE</v>
      </c>
      <c r="Y124" s="46">
        <f t="shared" si="10"/>
        <v>0</v>
      </c>
      <c r="Z124" s="47">
        <f t="shared" si="7"/>
        <v>5</v>
      </c>
      <c r="AA124" s="46">
        <f t="shared" si="11"/>
        <v>5</v>
      </c>
      <c r="AB124" s="46" t="str" cm="1">
        <f t="array" ref="AB124">IFERROR(_xlfn.IFS(L124="FINALIZADO PRESENCIAL",IF(AA124&gt;10,"FORA","DENTRO"),L124="FINALIZADO REMOTO",IF(AA124&gt;5,"FORA","DENTRO")),"-")</f>
        <v>DENTRO</v>
      </c>
      <c r="AC124" s="41" t="s">
        <v>1671</v>
      </c>
      <c r="AD124" s="41" t="s">
        <v>1671</v>
      </c>
      <c r="AE124" s="48" cm="1">
        <f t="array" ref="AE124">SUMPRODUCT(IFERROR(('[2]PEÇAS GARANTIA'!$A$3:$A$5993=G124)*('[2]PEÇAS GARANTIA'!$A$3:$A$5993&lt;&gt;"")*('[2]PEÇAS GARANTIA'!$R$3:$R$5993),0))</f>
        <v>0</v>
      </c>
      <c r="AF124" s="178">
        <v>0</v>
      </c>
    </row>
    <row r="125" spans="1:32" s="107" customFormat="1" ht="40.15" customHeight="1" x14ac:dyDescent="0.25">
      <c r="A125" s="82">
        <v>50875</v>
      </c>
      <c r="B125" s="41" t="str">
        <f>IFERROR(INDEX([1]GARANTIA!$B:$B,MATCH(A125,[1]GARANTIA!$C:$C,0)),"INSIRA N° SERIE")</f>
        <v>TESTE 186</v>
      </c>
      <c r="C125" s="33">
        <f>IFERROR(INDEX([1]GARANTIA!$J:$J,MATCH(A125,[1]GARANTIA!$C:$C,0)),"INSIRA N° SERIE")</f>
        <v>44075</v>
      </c>
      <c r="D125" s="33" t="str">
        <f>IFERROR(IF(INDEX([1]GARANTIA!$M:$M,MATCH(A125,[1]GARANTIA!$C:$C,0))&gt;=I125,"DENTRO DA GARANTIA","FORA DE GARANTIA"),"INSIRA N° SERIE")</f>
        <v>DENTRO DA GARANTIA</v>
      </c>
      <c r="E125" s="148"/>
      <c r="F125" s="109">
        <f>IFERROR(MAX(0,IF(I125-(INDEX([1]GARANTIA!$J:$J,MATCH(A125,[1]GARANTIA!$C:$C,0)))&gt;=0,I125-(INDEX([1]GARANTIA!$L:$L,MATCH(A125,[1]GARANTIA!$C:$C,0))),"INSIRA DATA CHAMADO")),"INSIRA N° SERIE")</f>
        <v>113</v>
      </c>
      <c r="G125" s="35">
        <v>20210419</v>
      </c>
      <c r="H125" s="35" t="str">
        <f t="shared" si="5"/>
        <v>ABR</v>
      </c>
      <c r="I125" s="36">
        <v>44301</v>
      </c>
      <c r="J125" s="37">
        <v>44301</v>
      </c>
      <c r="K125" s="39">
        <v>44302</v>
      </c>
      <c r="L125" s="42" t="s">
        <v>23</v>
      </c>
      <c r="M125" s="42" t="s">
        <v>8</v>
      </c>
      <c r="N125" s="42" t="s">
        <v>43</v>
      </c>
      <c r="O125" s="42" t="str">
        <f>IFERROR(INDEX([1]GARANTIA!$E:$E,MATCH(A125,[1]GARANTIA!$C:$C,0)),"INSIRA N° SERIE")</f>
        <v>MTI - 7.000GTS</v>
      </c>
      <c r="P125" s="60" t="s">
        <v>174</v>
      </c>
      <c r="Q125" s="43" t="s">
        <v>335</v>
      </c>
      <c r="R125" s="60" t="s">
        <v>175</v>
      </c>
      <c r="S125" s="44" t="s">
        <v>102</v>
      </c>
      <c r="T125" s="44" t="s">
        <v>296</v>
      </c>
      <c r="U125" s="45"/>
      <c r="V125" s="41" t="str">
        <f>IFERROR(INDEX([1]GARANTIA!$G:$G,MATCH(A125,[1]GARANTIA!$C:$C,0)),"INSIRA N° SERIE")</f>
        <v>NOVA SERRANA</v>
      </c>
      <c r="W125" s="41" t="str">
        <f>IFERROR(INDEX([1]GARANTIA!$H:$H,MATCH(A125,[1]GARANTIA!$C:$C,0)),"INSIRA N° SERIE")</f>
        <v>MG</v>
      </c>
      <c r="X125" s="41" t="str">
        <f>IFERROR(INDEX([1]GARANTIA!$F:$F,MATCH(A125,[1]GARANTIA!$C:$C,0)),"INSIRA N° SERIE")</f>
        <v>SUDESTE</v>
      </c>
      <c r="Y125" s="46">
        <f t="shared" si="10"/>
        <v>0</v>
      </c>
      <c r="Z125" s="47">
        <f t="shared" si="7"/>
        <v>1</v>
      </c>
      <c r="AA125" s="46">
        <f t="shared" si="11"/>
        <v>1</v>
      </c>
      <c r="AB125" s="46" t="str" cm="1">
        <f t="array" ref="AB125">IFERROR(_xlfn.IFS(L125="FINALIZADO PRESENCIAL",IF(AA125&gt;10,"FORA","DENTRO"),L125="FINALIZADO REMOTO",IF(AA125&gt;5,"FORA","DENTRO")),"-")</f>
        <v>DENTRO</v>
      </c>
      <c r="AC125" s="41" t="s">
        <v>1671</v>
      </c>
      <c r="AD125" s="41" t="s">
        <v>1671</v>
      </c>
      <c r="AE125" s="48" cm="1">
        <f t="array" ref="AE125">SUMPRODUCT(IFERROR(('[2]PEÇAS GARANTIA'!$A$3:$A$5993=G125)*('[2]PEÇAS GARANTIA'!$A$3:$A$5993&lt;&gt;"")*('[2]PEÇAS GARANTIA'!$R$3:$R$5993),0))</f>
        <v>0</v>
      </c>
      <c r="AF125" s="178">
        <v>0</v>
      </c>
    </row>
    <row r="126" spans="1:32" s="107" customFormat="1" ht="40.15" customHeight="1" x14ac:dyDescent="0.25">
      <c r="A126" s="82">
        <v>57951</v>
      </c>
      <c r="B126" s="41" t="str">
        <f>IFERROR(INDEX([1]GARANTIA!$B:$B,MATCH(A126,[1]GARANTIA!$C:$C,0)),"INSIRA N° SERIE")</f>
        <v>TESTE 202</v>
      </c>
      <c r="C126" s="33">
        <f>IFERROR(INDEX([1]GARANTIA!$J:$J,MATCH(A126,[1]GARANTIA!$C:$C,0)),"INSIRA N° SERIE")</f>
        <v>44134</v>
      </c>
      <c r="D126" s="33" t="str">
        <f>IFERROR(IF(INDEX([1]GARANTIA!$M:$M,MATCH(A126,[1]GARANTIA!$C:$C,0))&gt;=I126,"DENTRO DA GARANTIA","FORA DE GARANTIA"),"INSIRA N° SERIE")</f>
        <v>DENTRO DA GARANTIA</v>
      </c>
      <c r="E126" s="148"/>
      <c r="F126" s="109">
        <f>IFERROR(MAX(0,IF(I126-(INDEX([1]GARANTIA!$J:$J,MATCH(A126,[1]GARANTIA!$C:$C,0)))&gt;=0,I126-(INDEX([1]GARANTIA!$L:$L,MATCH(A126,[1]GARANTIA!$C:$C,0))),"INSIRA DATA CHAMADO")),"INSIRA N° SERIE")</f>
        <v>161</v>
      </c>
      <c r="G126" s="35">
        <v>20210432</v>
      </c>
      <c r="H126" s="35" t="str">
        <f t="shared" si="5"/>
        <v>ABR</v>
      </c>
      <c r="I126" s="36">
        <v>44302</v>
      </c>
      <c r="J126" s="37">
        <v>44302</v>
      </c>
      <c r="K126" s="39">
        <v>44306</v>
      </c>
      <c r="L126" s="42" t="s">
        <v>23</v>
      </c>
      <c r="M126" s="42" t="s">
        <v>8</v>
      </c>
      <c r="N126" s="42" t="s">
        <v>27</v>
      </c>
      <c r="O126" s="42" t="str">
        <f>IFERROR(INDEX([1]GARANTIA!$E:$E,MATCH(A126,[1]GARANTIA!$C:$C,0)),"INSIRA N° SERIE")</f>
        <v>MTI - 2.500GTS</v>
      </c>
      <c r="P126" s="60" t="s">
        <v>183</v>
      </c>
      <c r="Q126" s="43" t="s">
        <v>335</v>
      </c>
      <c r="R126" s="60" t="s">
        <v>184</v>
      </c>
      <c r="S126" s="44" t="s">
        <v>102</v>
      </c>
      <c r="T126" s="44" t="s">
        <v>296</v>
      </c>
      <c r="U126" s="45"/>
      <c r="V126" s="41" t="str">
        <f>IFERROR(INDEX([1]GARANTIA!$G:$G,MATCH(A126,[1]GARANTIA!$C:$C,0)),"INSIRA N° SERIE")</f>
        <v>JANDIRA</v>
      </c>
      <c r="W126" s="41" t="str">
        <f>IFERROR(INDEX([1]GARANTIA!$H:$H,MATCH(A126,[1]GARANTIA!$C:$C,0)),"INSIRA N° SERIE")</f>
        <v xml:space="preserve">SP </v>
      </c>
      <c r="X126" s="41" t="str">
        <f>IFERROR(INDEX([1]GARANTIA!$F:$F,MATCH(A126,[1]GARANTIA!$C:$C,0)),"INSIRA N° SERIE")</f>
        <v>SUDESTE</v>
      </c>
      <c r="Y126" s="46">
        <f t="shared" si="10"/>
        <v>0</v>
      </c>
      <c r="Z126" s="47">
        <f t="shared" si="7"/>
        <v>4</v>
      </c>
      <c r="AA126" s="46">
        <f t="shared" si="11"/>
        <v>4</v>
      </c>
      <c r="AB126" s="46" t="str" cm="1">
        <f t="array" ref="AB126">IFERROR(_xlfn.IFS(L126="FINALIZADO PRESENCIAL",IF(AA126&gt;10,"FORA","DENTRO"),L126="FINALIZADO REMOTO",IF(AA126&gt;5,"FORA","DENTRO")),"-")</f>
        <v>DENTRO</v>
      </c>
      <c r="AC126" s="41" t="s">
        <v>1671</v>
      </c>
      <c r="AD126" s="41" t="s">
        <v>1671</v>
      </c>
      <c r="AE126" s="48" cm="1">
        <f t="array" ref="AE126">SUMPRODUCT(IFERROR(('[2]PEÇAS GARANTIA'!$A$3:$A$5993=G126)*('[2]PEÇAS GARANTIA'!$A$3:$A$5993&lt;&gt;"")*('[2]PEÇAS GARANTIA'!$R$3:$R$5993),0))</f>
        <v>0</v>
      </c>
      <c r="AF126" s="178">
        <v>0</v>
      </c>
    </row>
    <row r="127" spans="1:32" s="107" customFormat="1" ht="40.15" customHeight="1" x14ac:dyDescent="0.25">
      <c r="A127" s="82">
        <v>29209</v>
      </c>
      <c r="B127" s="41" t="str">
        <f>IFERROR(INDEX([1]GARANTIA!$B:$B,MATCH(A127,[1]GARANTIA!$C:$C,0)),"INSIRA N° SERIE")</f>
        <v>TESTE 193</v>
      </c>
      <c r="C127" s="33">
        <f>IFERROR(INDEX([1]GARANTIA!$J:$J,MATCH(A127,[1]GARANTIA!$C:$C,0)),"INSIRA N° SERIE")</f>
        <v>43861</v>
      </c>
      <c r="D127" s="33" t="str">
        <f>IFERROR(IF(INDEX([1]GARANTIA!$M:$M,MATCH(A127,[1]GARANTIA!$C:$C,0))&gt;=I127,"DENTRO DA GARANTIA","FORA DE GARANTIA"),"INSIRA N° SERIE")</f>
        <v>DENTRO DA GARANTIA</v>
      </c>
      <c r="E127" s="148"/>
      <c r="F127" s="109">
        <f>IFERROR(MAX(0,IF(I127-(INDEX([1]GARANTIA!$J:$J,MATCH(A127,[1]GARANTIA!$C:$C,0)))&gt;=0,I127-(INDEX([1]GARANTIA!$L:$L,MATCH(A127,[1]GARANTIA!$C:$C,0))),"INSIRA DATA CHAMADO")),"INSIRA N° SERIE")</f>
        <v>175</v>
      </c>
      <c r="G127" s="35">
        <v>20210433</v>
      </c>
      <c r="H127" s="35" t="str">
        <f t="shared" si="5"/>
        <v>ABR</v>
      </c>
      <c r="I127" s="36">
        <v>44305</v>
      </c>
      <c r="J127" s="37">
        <v>44305</v>
      </c>
      <c r="K127" s="39">
        <v>44307</v>
      </c>
      <c r="L127" s="42" t="s">
        <v>23</v>
      </c>
      <c r="M127" s="42" t="s">
        <v>8</v>
      </c>
      <c r="N127" s="42" t="s">
        <v>43</v>
      </c>
      <c r="O127" s="42" t="str">
        <f>IFERROR(INDEX([1]GARANTIA!$E:$E,MATCH(A127,[1]GARANTIA!$C:$C,0)),"INSIRA N° SERIE")</f>
        <v>MTI - 7.000GTS</v>
      </c>
      <c r="P127" s="60" t="s">
        <v>187</v>
      </c>
      <c r="Q127" s="43" t="s">
        <v>38</v>
      </c>
      <c r="R127" s="60" t="s">
        <v>186</v>
      </c>
      <c r="S127" s="44" t="s">
        <v>102</v>
      </c>
      <c r="T127" s="44" t="s">
        <v>296</v>
      </c>
      <c r="U127" s="45"/>
      <c r="V127" s="41" t="str">
        <f>IFERROR(INDEX([1]GARANTIA!$G:$G,MATCH(A127,[1]GARANTIA!$C:$C,0)),"INSIRA N° SERIE")</f>
        <v xml:space="preserve">LAGOA SANTA </v>
      </c>
      <c r="W127" s="41" t="str">
        <f>IFERROR(INDEX([1]GARANTIA!$H:$H,MATCH(A127,[1]GARANTIA!$C:$C,0)),"INSIRA N° SERIE")</f>
        <v xml:space="preserve">MG </v>
      </c>
      <c r="X127" s="41" t="str">
        <f>IFERROR(INDEX([1]GARANTIA!$F:$F,MATCH(A127,[1]GARANTIA!$C:$C,0)),"INSIRA N° SERIE")</f>
        <v>SUDESTE</v>
      </c>
      <c r="Y127" s="46">
        <f t="shared" si="10"/>
        <v>0</v>
      </c>
      <c r="Z127" s="47">
        <f t="shared" si="7"/>
        <v>2</v>
      </c>
      <c r="AA127" s="46">
        <f t="shared" si="11"/>
        <v>2</v>
      </c>
      <c r="AB127" s="46" t="str" cm="1">
        <f t="array" ref="AB127">IFERROR(_xlfn.IFS(L127="FINALIZADO PRESENCIAL",IF(AA127&gt;10,"FORA","DENTRO"),L127="FINALIZADO REMOTO",IF(AA127&gt;5,"FORA","DENTRO")),"-")</f>
        <v>DENTRO</v>
      </c>
      <c r="AC127" s="41" t="s">
        <v>1671</v>
      </c>
      <c r="AD127" s="41" t="s">
        <v>1671</v>
      </c>
      <c r="AE127" s="48" cm="1">
        <f t="array" ref="AE127">SUMPRODUCT(IFERROR(('[2]PEÇAS GARANTIA'!$A$3:$A$5993=G127)*('[2]PEÇAS GARANTIA'!$A$3:$A$5993&lt;&gt;"")*('[2]PEÇAS GARANTIA'!$R$3:$R$5993),0))</f>
        <v>0</v>
      </c>
      <c r="AF127" s="178">
        <v>0</v>
      </c>
    </row>
    <row r="128" spans="1:32" s="51" customFormat="1" ht="40.15" customHeight="1" x14ac:dyDescent="0.25">
      <c r="A128" s="82">
        <v>38373</v>
      </c>
      <c r="B128" s="41" t="str">
        <f>IFERROR(INDEX([1]GARANTIA!$B:$B,MATCH(A128,[1]GARANTIA!$C:$C,0)),"INSIRA N° SERIE")</f>
        <v>TESTE 40</v>
      </c>
      <c r="C128" s="33">
        <f>IFERROR(INDEX([1]GARANTIA!$J:$J,MATCH(A128,[1]GARANTIA!$C:$C,0)),"INSIRA N° SERIE")</f>
        <v>44165</v>
      </c>
      <c r="D128" s="33" t="str">
        <f>IFERROR(IF(INDEX([1]GARANTIA!$M:$M,MATCH(A128,[1]GARANTIA!$C:$C,0))&gt;=I128,"DENTRO DA GARANTIA","FORA DE GARANTIA"),"INSIRA N° SERIE")</f>
        <v>DENTRO DA GARANTIA</v>
      </c>
      <c r="E128" s="148"/>
      <c r="F128" s="109">
        <f>IFERROR(MAX(0,IF(I128-(INDEX([1]GARANTIA!$J:$J,MATCH(A128,[1]GARANTIA!$C:$C,0)))&gt;=0,I128-(INDEX([1]GARANTIA!$L:$L,MATCH(A128,[1]GARANTIA!$C:$C,0))),"INSIRA DATA CHAMADO")),"INSIRA N° SERIE")</f>
        <v>6</v>
      </c>
      <c r="G128" s="35">
        <v>20210434</v>
      </c>
      <c r="H128" s="35" t="str">
        <f t="shared" si="5"/>
        <v>ABR</v>
      </c>
      <c r="I128" s="36">
        <v>44305</v>
      </c>
      <c r="J128" s="37">
        <v>44305</v>
      </c>
      <c r="K128" s="39">
        <v>44307</v>
      </c>
      <c r="L128" s="42" t="s">
        <v>11</v>
      </c>
      <c r="M128" s="42" t="s">
        <v>8</v>
      </c>
      <c r="N128" s="42" t="s">
        <v>28</v>
      </c>
      <c r="O128" s="42" t="str">
        <f>IFERROR(INDEX([1]GARANTIA!$E:$E,MATCH(A128,[1]GARANTIA!$C:$C,0)),"INSIRA N° SERIE")</f>
        <v>MTI - 1.000GTS</v>
      </c>
      <c r="P128" s="60" t="s">
        <v>232</v>
      </c>
      <c r="Q128" s="43" t="s">
        <v>336</v>
      </c>
      <c r="R128" s="60" t="s">
        <v>471</v>
      </c>
      <c r="S128" s="44" t="s">
        <v>98</v>
      </c>
      <c r="T128" s="44" t="s">
        <v>297</v>
      </c>
      <c r="U128" s="45"/>
      <c r="V128" s="41" t="str">
        <f>IFERROR(INDEX([1]GARANTIA!$G:$G,MATCH(A128,[1]GARANTIA!$C:$C,0)),"INSIRA N° SERIE")</f>
        <v>ITABERAÍ</v>
      </c>
      <c r="W128" s="41" t="str">
        <f>IFERROR(INDEX([1]GARANTIA!$H:$H,MATCH(A128,[1]GARANTIA!$C:$C,0)),"INSIRA N° SERIE")</f>
        <v>GO</v>
      </c>
      <c r="X128" s="41" t="str">
        <f>IFERROR(INDEX([1]GARANTIA!$F:$F,MATCH(A128,[1]GARANTIA!$C:$C,0)),"INSIRA N° SERIE")</f>
        <v>CENTROESTE</v>
      </c>
      <c r="Y128" s="46">
        <f t="shared" si="10"/>
        <v>0</v>
      </c>
      <c r="Z128" s="47">
        <f t="shared" si="7"/>
        <v>2</v>
      </c>
      <c r="AA128" s="46">
        <f t="shared" si="11"/>
        <v>2</v>
      </c>
      <c r="AB128" s="46" t="str" cm="1">
        <f t="array" ref="AB128">IFERROR(_xlfn.IFS(L128="FINALIZADO PRESENCIAL",IF(AA128&gt;10,"FORA","DENTRO"),L128="FINALIZADO REMOTO",IF(AA128&gt;5,"FORA","DENTRO")),"-")</f>
        <v>DENTRO</v>
      </c>
      <c r="AC128" s="41" t="s">
        <v>1671</v>
      </c>
      <c r="AD128" s="41" t="s">
        <v>1671</v>
      </c>
      <c r="AE128" s="48" cm="1">
        <f t="array" ref="AE128">SUMPRODUCT(IFERROR(('[2]PEÇAS GARANTIA'!$A$3:$A$5993=G128)*('[2]PEÇAS GARANTIA'!$A$3:$A$5993&lt;&gt;"")*('[2]PEÇAS GARANTIA'!$R$3:$R$5993),0))</f>
        <v>0</v>
      </c>
      <c r="AF128" s="178">
        <v>0</v>
      </c>
    </row>
    <row r="129" spans="1:32" s="107" customFormat="1" ht="40.15" customHeight="1" x14ac:dyDescent="0.25">
      <c r="A129" s="82">
        <v>50875</v>
      </c>
      <c r="B129" s="41" t="str">
        <f>IFERROR(INDEX([1]GARANTIA!$B:$B,MATCH(A129,[1]GARANTIA!$C:$C,0)),"INSIRA N° SERIE")</f>
        <v>TESTE 186</v>
      </c>
      <c r="C129" s="33">
        <f>IFERROR(INDEX([1]GARANTIA!$J:$J,MATCH(A129,[1]GARANTIA!$C:$C,0)),"INSIRA N° SERIE")</f>
        <v>44075</v>
      </c>
      <c r="D129" s="33" t="str">
        <f>IFERROR(IF(INDEX([1]GARANTIA!$M:$M,MATCH(A129,[1]GARANTIA!$C:$C,0))&gt;=I129,"DENTRO DA GARANTIA","FORA DE GARANTIA"),"INSIRA N° SERIE")</f>
        <v>DENTRO DA GARANTIA</v>
      </c>
      <c r="E129" s="148"/>
      <c r="F129" s="109">
        <f>IFERROR(MAX(0,IF(I129-(INDEX([1]GARANTIA!$J:$J,MATCH(A129,[1]GARANTIA!$C:$C,0)))&gt;=0,I129-(INDEX([1]GARANTIA!$L:$L,MATCH(A129,[1]GARANTIA!$C:$C,0))),"INSIRA DATA CHAMADO")),"INSIRA N° SERIE")</f>
        <v>118</v>
      </c>
      <c r="G129" s="35">
        <v>20210437</v>
      </c>
      <c r="H129" s="35" t="str">
        <f t="shared" si="5"/>
        <v>ABR</v>
      </c>
      <c r="I129" s="36">
        <v>44306</v>
      </c>
      <c r="J129" s="37">
        <v>44306</v>
      </c>
      <c r="K129" s="39">
        <v>44312</v>
      </c>
      <c r="L129" s="42" t="s">
        <v>23</v>
      </c>
      <c r="M129" s="42" t="s">
        <v>8</v>
      </c>
      <c r="N129" s="42" t="s">
        <v>32</v>
      </c>
      <c r="O129" s="42" t="str">
        <f>IFERROR(INDEX([1]GARANTIA!$E:$E,MATCH(A129,[1]GARANTIA!$C:$C,0)),"INSIRA N° SERIE")</f>
        <v>MTI - 7.000GTS</v>
      </c>
      <c r="P129" s="60" t="s">
        <v>314</v>
      </c>
      <c r="Q129" s="43" t="s">
        <v>326</v>
      </c>
      <c r="R129" s="60" t="s">
        <v>313</v>
      </c>
      <c r="S129" s="44" t="s">
        <v>325</v>
      </c>
      <c r="T129" s="44" t="s">
        <v>640</v>
      </c>
      <c r="U129" s="45"/>
      <c r="V129" s="41" t="str">
        <f>IFERROR(INDEX([1]GARANTIA!$G:$G,MATCH(A129,[1]GARANTIA!$C:$C,0)),"INSIRA N° SERIE")</f>
        <v>NOVA SERRANA</v>
      </c>
      <c r="W129" s="41" t="str">
        <f>IFERROR(INDEX([1]GARANTIA!$H:$H,MATCH(A129,[1]GARANTIA!$C:$C,0)),"INSIRA N° SERIE")</f>
        <v>MG</v>
      </c>
      <c r="X129" s="41" t="str">
        <f>IFERROR(INDEX([1]GARANTIA!$F:$F,MATCH(A129,[1]GARANTIA!$C:$C,0)),"INSIRA N° SERIE")</f>
        <v>SUDESTE</v>
      </c>
      <c r="Y129" s="46">
        <f t="shared" si="10"/>
        <v>0</v>
      </c>
      <c r="Z129" s="47">
        <f t="shared" si="7"/>
        <v>6</v>
      </c>
      <c r="AA129" s="46">
        <f t="shared" si="11"/>
        <v>6</v>
      </c>
      <c r="AB129" s="46" t="str" cm="1">
        <f t="array" ref="AB129">IFERROR(_xlfn.IFS(L129="FINALIZADO PRESENCIAL",IF(AA129&gt;10,"FORA","DENTRO"),L129="FINALIZADO REMOTO",IF(AA129&gt;5,"FORA","DENTRO")),"-")</f>
        <v>FORA</v>
      </c>
      <c r="AC129" s="41" t="s">
        <v>1671</v>
      </c>
      <c r="AD129" s="41" t="s">
        <v>1671</v>
      </c>
      <c r="AE129" s="48" cm="1">
        <f t="array" ref="AE129">SUMPRODUCT(IFERROR(('[2]PEÇAS GARANTIA'!$A$3:$A$5993=G129)*('[2]PEÇAS GARANTIA'!$A$3:$A$5993&lt;&gt;"")*('[2]PEÇAS GARANTIA'!$R$3:$R$5993),0))</f>
        <v>0</v>
      </c>
      <c r="AF129" s="178">
        <v>0</v>
      </c>
    </row>
    <row r="130" spans="1:32" s="107" customFormat="1" ht="40.15" customHeight="1" x14ac:dyDescent="0.25">
      <c r="A130" s="82">
        <v>79737</v>
      </c>
      <c r="B130" s="41" t="str">
        <f>IFERROR(INDEX([1]GARANTIA!$B:$B,MATCH(A130,[1]GARANTIA!$C:$C,0)),"INSIRA N° SERIE")</f>
        <v>TESTE 208</v>
      </c>
      <c r="C130" s="33">
        <f>IFERROR(INDEX([1]GARANTIA!$J:$J,MATCH(A130,[1]GARANTIA!$C:$C,0)),"INSIRA N° SERIE")</f>
        <v>44183</v>
      </c>
      <c r="D130" s="33" t="str">
        <f>IFERROR(IF(INDEX([1]GARANTIA!$M:$M,MATCH(A130,[1]GARANTIA!$C:$C,0))&gt;=I130,"DENTRO DA GARANTIA","FORA DE GARANTIA"),"INSIRA N° SERIE")</f>
        <v>DENTRO DA GARANTIA</v>
      </c>
      <c r="E130" s="148"/>
      <c r="F130" s="109">
        <f>IFERROR(MAX(0,IF(I130-(INDEX([1]GARANTIA!$J:$J,MATCH(A130,[1]GARANTIA!$C:$C,0)))&gt;=0,I130-(INDEX([1]GARANTIA!$L:$L,MATCH(A130,[1]GARANTIA!$C:$C,0))),"INSIRA DATA CHAMADO")),"INSIRA N° SERIE")</f>
        <v>10</v>
      </c>
      <c r="G130" s="35">
        <v>20210451</v>
      </c>
      <c r="H130" s="35" t="str">
        <f t="shared" si="5"/>
        <v>ABR</v>
      </c>
      <c r="I130" s="36">
        <v>44308</v>
      </c>
      <c r="J130" s="37">
        <v>44308</v>
      </c>
      <c r="K130" s="39">
        <v>44309</v>
      </c>
      <c r="L130" s="42" t="s">
        <v>23</v>
      </c>
      <c r="M130" s="42" t="s">
        <v>8</v>
      </c>
      <c r="N130" s="42" t="s">
        <v>30</v>
      </c>
      <c r="O130" s="42" t="str">
        <f>IFERROR(INDEX([1]GARANTIA!$E:$E,MATCH(A130,[1]GARANTIA!$C:$C,0)),"INSIRA N° SERIE")</f>
        <v>MTI - 4.000GTS</v>
      </c>
      <c r="P130" s="60" t="s">
        <v>317</v>
      </c>
      <c r="Q130" s="43" t="s">
        <v>85</v>
      </c>
      <c r="R130" s="60" t="s">
        <v>108</v>
      </c>
      <c r="S130" s="44" t="s">
        <v>102</v>
      </c>
      <c r="T130" s="44" t="s">
        <v>141</v>
      </c>
      <c r="U130" s="45"/>
      <c r="V130" s="41" t="str">
        <f>IFERROR(INDEX([1]GARANTIA!$G:$G,MATCH(A130,[1]GARANTIA!$C:$C,0)),"INSIRA N° SERIE")</f>
        <v>SORRISO</v>
      </c>
      <c r="W130" s="41" t="str">
        <f>IFERROR(INDEX([1]GARANTIA!$H:$H,MATCH(A130,[1]GARANTIA!$C:$C,0)),"INSIRA N° SERIE")</f>
        <v>MT</v>
      </c>
      <c r="X130" s="41" t="str">
        <f>IFERROR(INDEX([1]GARANTIA!$F:$F,MATCH(A130,[1]GARANTIA!$C:$C,0)),"INSIRA N° SERIE")</f>
        <v>CENTROESTE</v>
      </c>
      <c r="Y130" s="46">
        <f t="shared" si="10"/>
        <v>0</v>
      </c>
      <c r="Z130" s="47">
        <f t="shared" si="7"/>
        <v>1</v>
      </c>
      <c r="AA130" s="46">
        <f t="shared" si="11"/>
        <v>1</v>
      </c>
      <c r="AB130" s="46" t="str" cm="1">
        <f t="array" ref="AB130">IFERROR(_xlfn.IFS(L130="FINALIZADO PRESENCIAL",IF(AA130&gt;10,"FORA","DENTRO"),L130="FINALIZADO REMOTO",IF(AA130&gt;5,"FORA","DENTRO")),"-")</f>
        <v>DENTRO</v>
      </c>
      <c r="AC130" s="41" t="s">
        <v>1671</v>
      </c>
      <c r="AD130" s="41" t="s">
        <v>1671</v>
      </c>
      <c r="AE130" s="48" cm="1">
        <f t="array" ref="AE130">SUMPRODUCT(IFERROR(('[2]PEÇAS GARANTIA'!$A$3:$A$5993=G130)*('[2]PEÇAS GARANTIA'!$A$3:$A$5993&lt;&gt;"")*('[2]PEÇAS GARANTIA'!$R$3:$R$5993),0))</f>
        <v>0</v>
      </c>
      <c r="AF130" s="178">
        <v>400</v>
      </c>
    </row>
    <row r="131" spans="1:32" s="107" customFormat="1" ht="40.15" customHeight="1" x14ac:dyDescent="0.25">
      <c r="A131" s="82">
        <v>35159</v>
      </c>
      <c r="B131" s="41" t="str">
        <f>IFERROR(INDEX([1]GARANTIA!$B:$B,MATCH(A131,[1]GARANTIA!$C:$C,0)),"INSIRA N° SERIE")</f>
        <v>TESTE 223</v>
      </c>
      <c r="C131" s="33">
        <f>IFERROR(INDEX([1]GARANTIA!$J:$J,MATCH(A131,[1]GARANTIA!$C:$C,0)),"INSIRA N° SERIE")</f>
        <v>43936</v>
      </c>
      <c r="D131" s="33" t="str">
        <f>IFERROR(IF(INDEX([1]GARANTIA!$M:$M,MATCH(A131,[1]GARANTIA!$C:$C,0))&gt;=I131,"DENTRO DA GARANTIA","FORA DE GARANTIA"),"INSIRA N° SERIE")</f>
        <v>DENTRO DA GARANTIA</v>
      </c>
      <c r="E131" s="148"/>
      <c r="F131" s="109">
        <f>IFERROR(MAX(0,IF(I131-(INDEX([1]GARANTIA!$J:$J,MATCH(A131,[1]GARANTIA!$C:$C,0)))&gt;=0,I131-(INDEX([1]GARANTIA!$L:$L,MATCH(A131,[1]GARANTIA!$C:$C,0))),"INSIRA DATA CHAMADO")),"INSIRA N° SERIE")</f>
        <v>196</v>
      </c>
      <c r="G131" s="35">
        <v>20210439</v>
      </c>
      <c r="H131" s="35" t="str">
        <f t="shared" ref="H131:H194" si="12">IF(YEAR(I131)=YEAR(I131),IF(I131&lt;&gt;"",UPPER(TEXT(I131,"MMM")),""),"")</f>
        <v>ABR</v>
      </c>
      <c r="I131" s="36">
        <v>44308</v>
      </c>
      <c r="J131" s="37">
        <v>44308</v>
      </c>
      <c r="K131" s="39">
        <v>44309</v>
      </c>
      <c r="L131" s="42" t="s">
        <v>23</v>
      </c>
      <c r="M131" s="42" t="s">
        <v>8</v>
      </c>
      <c r="N131" s="42" t="s">
        <v>31</v>
      </c>
      <c r="O131" s="42" t="str">
        <f>IFERROR(INDEX([1]GARANTIA!$E:$E,MATCH(A131,[1]GARANTIA!$C:$C,0)),"INSIRA N° SERIE")</f>
        <v>MTI - 1.000GTS</v>
      </c>
      <c r="P131" s="60" t="s">
        <v>294</v>
      </c>
      <c r="Q131" s="43" t="s">
        <v>329</v>
      </c>
      <c r="R131" s="60" t="s">
        <v>295</v>
      </c>
      <c r="S131" s="44" t="s">
        <v>638</v>
      </c>
      <c r="T131" s="44" t="s">
        <v>1671</v>
      </c>
      <c r="U131" s="45"/>
      <c r="V131" s="41" t="str">
        <f>IFERROR(INDEX([1]GARANTIA!$G:$G,MATCH(A131,[1]GARANTIA!$C:$C,0)),"INSIRA N° SERIE")</f>
        <v xml:space="preserve">ITAJAI </v>
      </c>
      <c r="W131" s="41" t="str">
        <f>IFERROR(INDEX([1]GARANTIA!$H:$H,MATCH(A131,[1]GARANTIA!$C:$C,0)),"INSIRA N° SERIE")</f>
        <v>SC</v>
      </c>
      <c r="X131" s="41" t="str">
        <f>IFERROR(INDEX([1]GARANTIA!$F:$F,MATCH(A131,[1]GARANTIA!$C:$C,0)),"INSIRA N° SERIE")</f>
        <v>SUL</v>
      </c>
      <c r="Y131" s="46">
        <f t="shared" si="10"/>
        <v>0</v>
      </c>
      <c r="Z131" s="47">
        <f t="shared" ref="Z131:Z194" si="13">IF(G131&lt;&gt;"",IF(OR(A131="",K131="",Q131="",P131="",R131=""),"NÃO FINALIZADO",K131-J131),"INSIRA N° OS")</f>
        <v>1</v>
      </c>
      <c r="AA131" s="46">
        <f t="shared" si="11"/>
        <v>1</v>
      </c>
      <c r="AB131" s="46" t="str" cm="1">
        <f t="array" ref="AB131">IFERROR(_xlfn.IFS(L131="FINALIZADO PRESENCIAL",IF(AA131&gt;10,"FORA","DENTRO"),L131="FINALIZADO REMOTO",IF(AA131&gt;5,"FORA","DENTRO")),"-")</f>
        <v>DENTRO</v>
      </c>
      <c r="AC131" s="41" t="s">
        <v>1671</v>
      </c>
      <c r="AD131" s="41" t="s">
        <v>1671</v>
      </c>
      <c r="AE131" s="48" cm="1">
        <f t="array" ref="AE131">SUMPRODUCT(IFERROR(('[2]PEÇAS GARANTIA'!$A$3:$A$5993=G131)*('[2]PEÇAS GARANTIA'!$A$3:$A$5993&lt;&gt;"")*('[2]PEÇAS GARANTIA'!$R$3:$R$5993),0))</f>
        <v>0</v>
      </c>
      <c r="AF131" s="178">
        <v>0</v>
      </c>
    </row>
    <row r="132" spans="1:32" s="107" customFormat="1" ht="40.15" customHeight="1" x14ac:dyDescent="0.25">
      <c r="A132" s="82">
        <v>91710</v>
      </c>
      <c r="B132" s="41" t="str">
        <f>IFERROR(INDEX([1]GARANTIA!$B:$B,MATCH(A132,[1]GARANTIA!$C:$C,0)),"INSIRA N° SERIE")</f>
        <v>TESTE 132</v>
      </c>
      <c r="C132" s="33">
        <f>IFERROR(INDEX([1]GARANTIA!$J:$J,MATCH(A132,[1]GARANTIA!$C:$C,0)),"INSIRA N° SERIE")</f>
        <v>44097</v>
      </c>
      <c r="D132" s="33" t="str">
        <f>IFERROR(IF(INDEX([1]GARANTIA!$M:$M,MATCH(A132,[1]GARANTIA!$C:$C,0))&gt;=I132,"DENTRO DA GARANTIA","FORA DE GARANTIA"),"INSIRA N° SERIE")</f>
        <v>DENTRO DA GARANTIA</v>
      </c>
      <c r="E132" s="148"/>
      <c r="F132" s="109">
        <f>IFERROR(MAX(0,IF(I132-(INDEX([1]GARANTIA!$J:$J,MATCH(A132,[1]GARANTIA!$C:$C,0)))&gt;=0,I132-(INDEX([1]GARANTIA!$L:$L,MATCH(A132,[1]GARANTIA!$C:$C,0))),"INSIRA DATA CHAMADO")),"INSIRA N° SERIE")</f>
        <v>35</v>
      </c>
      <c r="G132" s="35">
        <v>20210440</v>
      </c>
      <c r="H132" s="35" t="str">
        <f t="shared" si="12"/>
        <v>ABR</v>
      </c>
      <c r="I132" s="36">
        <v>44308</v>
      </c>
      <c r="J132" s="37">
        <v>44308</v>
      </c>
      <c r="K132" s="39">
        <v>44309</v>
      </c>
      <c r="L132" s="42" t="s">
        <v>23</v>
      </c>
      <c r="M132" s="42" t="s">
        <v>8</v>
      </c>
      <c r="N132" s="42" t="s">
        <v>41</v>
      </c>
      <c r="O132" s="42" t="str">
        <f>IFERROR(INDEX([1]GARANTIA!$E:$E,MATCH(A132,[1]GARANTIA!$C:$C,0)),"INSIRA N° SERIE")</f>
        <v>EMS - 1</v>
      </c>
      <c r="P132" s="60" t="s">
        <v>298</v>
      </c>
      <c r="Q132" s="43" t="s">
        <v>333</v>
      </c>
      <c r="R132" s="60" t="s">
        <v>299</v>
      </c>
      <c r="S132" s="44" t="s">
        <v>638</v>
      </c>
      <c r="T132" s="44" t="s">
        <v>142</v>
      </c>
      <c r="U132" s="45"/>
      <c r="V132" s="41" t="str">
        <f>IFERROR(INDEX([1]GARANTIA!$G:$G,MATCH(A132,[1]GARANTIA!$C:$C,0)),"INSIRA N° SERIE")</f>
        <v>CAJURU</v>
      </c>
      <c r="W132" s="41" t="str">
        <f>IFERROR(INDEX([1]GARANTIA!$H:$H,MATCH(A132,[1]GARANTIA!$C:$C,0)),"INSIRA N° SERIE")</f>
        <v>SP</v>
      </c>
      <c r="X132" s="41" t="str">
        <f>IFERROR(INDEX([1]GARANTIA!$F:$F,MATCH(A132,[1]GARANTIA!$C:$C,0)),"INSIRA N° SERIE")</f>
        <v>SUDESTE</v>
      </c>
      <c r="Y132" s="46">
        <f t="shared" si="10"/>
        <v>0</v>
      </c>
      <c r="Z132" s="47">
        <f t="shared" si="13"/>
        <v>1</v>
      </c>
      <c r="AA132" s="46">
        <f t="shared" si="11"/>
        <v>1</v>
      </c>
      <c r="AB132" s="46" t="str" cm="1">
        <f t="array" ref="AB132">IFERROR(_xlfn.IFS(L132="FINALIZADO PRESENCIAL",IF(AA132&gt;10,"FORA","DENTRO"),L132="FINALIZADO REMOTO",IF(AA132&gt;5,"FORA","DENTRO")),"-")</f>
        <v>DENTRO</v>
      </c>
      <c r="AC132" s="41" t="s">
        <v>1671</v>
      </c>
      <c r="AD132" s="41" t="s">
        <v>1671</v>
      </c>
      <c r="AE132" s="48" cm="1">
        <f t="array" ref="AE132">SUMPRODUCT(IFERROR(('[2]PEÇAS GARANTIA'!$A$3:$A$5993=G132)*('[2]PEÇAS GARANTIA'!$A$3:$A$5993&lt;&gt;"")*('[2]PEÇAS GARANTIA'!$R$3:$R$5993),0))</f>
        <v>0</v>
      </c>
      <c r="AF132" s="178">
        <v>0</v>
      </c>
    </row>
    <row r="133" spans="1:32" s="51" customFormat="1" ht="40.15" customHeight="1" x14ac:dyDescent="0.25">
      <c r="A133" s="82">
        <v>55872</v>
      </c>
      <c r="B133" s="41" t="str">
        <f>IFERROR(INDEX([1]GARANTIA!$B:$B,MATCH(A133,[1]GARANTIA!$C:$C,0)),"INSIRA N° SERIE")</f>
        <v>TESTE 118</v>
      </c>
      <c r="C133" s="33">
        <f>IFERROR(INDEX([1]GARANTIA!$J:$J,MATCH(A133,[1]GARANTIA!$C:$C,0)),"INSIRA N° SERIE")</f>
        <v>44097</v>
      </c>
      <c r="D133" s="33" t="str">
        <f>IFERROR(IF(INDEX([1]GARANTIA!$M:$M,MATCH(A133,[1]GARANTIA!$C:$C,0))&gt;=I133,"DENTRO DA GARANTIA","FORA DE GARANTIA"),"INSIRA N° SERIE")</f>
        <v>DENTRO DA GARANTIA</v>
      </c>
      <c r="E133" s="148"/>
      <c r="F133" s="109">
        <f>IFERROR(MAX(0,IF(I133-(INDEX([1]GARANTIA!$J:$J,MATCH(A133,[1]GARANTIA!$C:$C,0)))&gt;=0,I133-(INDEX([1]GARANTIA!$L:$L,MATCH(A133,[1]GARANTIA!$C:$C,0))),"INSIRA DATA CHAMADO")),"INSIRA N° SERIE")</f>
        <v>0</v>
      </c>
      <c r="G133" s="35">
        <v>20210441</v>
      </c>
      <c r="H133" s="35" t="str">
        <f t="shared" si="12"/>
        <v>ABR</v>
      </c>
      <c r="I133" s="36">
        <v>44311</v>
      </c>
      <c r="J133" s="37">
        <v>44311</v>
      </c>
      <c r="K133" s="39">
        <v>44311</v>
      </c>
      <c r="L133" s="42" t="s">
        <v>11</v>
      </c>
      <c r="M133" s="42" t="s">
        <v>164</v>
      </c>
      <c r="N133" s="42" t="s">
        <v>42</v>
      </c>
      <c r="O133" s="42" t="str">
        <f>IFERROR(INDEX([1]GARANTIA!$E:$E,MATCH(A133,[1]GARANTIA!$C:$C,0)),"INSIRA N° SERIE")</f>
        <v>MTI - 1.000GTS</v>
      </c>
      <c r="P133" s="60" t="s">
        <v>266</v>
      </c>
      <c r="Q133" s="43" t="s">
        <v>324</v>
      </c>
      <c r="R133" s="60" t="s">
        <v>267</v>
      </c>
      <c r="S133" s="44" t="s">
        <v>101</v>
      </c>
      <c r="T133" s="44" t="s">
        <v>306</v>
      </c>
      <c r="U133" s="45"/>
      <c r="V133" s="41" t="str">
        <f>IFERROR(INDEX([1]GARANTIA!$G:$G,MATCH(A133,[1]GARANTIA!$C:$C,0)),"INSIRA N° SERIE")</f>
        <v>JARU</v>
      </c>
      <c r="W133" s="41" t="str">
        <f>IFERROR(INDEX([1]GARANTIA!$H:$H,MATCH(A133,[1]GARANTIA!$C:$C,0)),"INSIRA N° SERIE")</f>
        <v>RO</v>
      </c>
      <c r="X133" s="41" t="str">
        <f>IFERROR(INDEX([1]GARANTIA!$F:$F,MATCH(A133,[1]GARANTIA!$C:$C,0)),"INSIRA N° SERIE")</f>
        <v>NORTE</v>
      </c>
      <c r="Y133" s="46">
        <f t="shared" si="10"/>
        <v>0</v>
      </c>
      <c r="Z133" s="47">
        <f t="shared" si="13"/>
        <v>0</v>
      </c>
      <c r="AA133" s="46">
        <f t="shared" si="11"/>
        <v>0</v>
      </c>
      <c r="AB133" s="46" t="str" cm="1">
        <f t="array" ref="AB133">IFERROR(_xlfn.IFS(L133="FINALIZADO PRESENCIAL",IF(AA133&gt;10,"FORA","DENTRO"),L133="FINALIZADO REMOTO",IF(AA133&gt;5,"FORA","DENTRO")),"-")</f>
        <v>DENTRO</v>
      </c>
      <c r="AC133" s="41" t="s">
        <v>1671</v>
      </c>
      <c r="AD133" s="41" t="s">
        <v>1671</v>
      </c>
      <c r="AE133" s="48" cm="1">
        <f t="array" ref="AE133">SUMPRODUCT(IFERROR(('[2]PEÇAS GARANTIA'!$A$3:$A$5993=G133)*('[2]PEÇAS GARANTIA'!$A$3:$A$5993&lt;&gt;"")*('[2]PEÇAS GARANTIA'!$R$3:$R$5993),0))</f>
        <v>7028.7</v>
      </c>
      <c r="AF133" s="178">
        <v>3538.96</v>
      </c>
    </row>
    <row r="134" spans="1:32" s="51" customFormat="1" ht="40.15" customHeight="1" x14ac:dyDescent="0.25">
      <c r="A134" s="82">
        <v>42353</v>
      </c>
      <c r="B134" s="41" t="str">
        <f>IFERROR(INDEX([1]GARANTIA!$B:$B,MATCH(A134,[1]GARANTIA!$C:$C,0)),"INSIRA N° SERIE")</f>
        <v>TESTE 272</v>
      </c>
      <c r="C134" s="33">
        <f>IFERROR(INDEX([1]GARANTIA!$J:$J,MATCH(A134,[1]GARANTIA!$C:$C,0)),"INSIRA N° SERIE")</f>
        <v>44078</v>
      </c>
      <c r="D134" s="33" t="str">
        <f>IFERROR(IF(INDEX([1]GARANTIA!$M:$M,MATCH(A134,[1]GARANTIA!$C:$C,0))&gt;=I134,"DENTRO DA GARANTIA","FORA DE GARANTIA"),"INSIRA N° SERIE")</f>
        <v>DENTRO DA GARANTIA</v>
      </c>
      <c r="E134" s="148"/>
      <c r="F134" s="109">
        <f>IFERROR(MAX(0,IF(I134-(INDEX([1]GARANTIA!$J:$J,MATCH(A134,[1]GARANTIA!$C:$C,0)))&gt;=0,I134-(INDEX([1]GARANTIA!$L:$L,MATCH(A134,[1]GARANTIA!$C:$C,0))),"INSIRA DATA CHAMADO")),"INSIRA N° SERIE")</f>
        <v>28</v>
      </c>
      <c r="G134" s="35">
        <v>20210443</v>
      </c>
      <c r="H134" s="35" t="str">
        <f t="shared" si="12"/>
        <v>ABR</v>
      </c>
      <c r="I134" s="36">
        <v>44309</v>
      </c>
      <c r="J134" s="37">
        <v>44309</v>
      </c>
      <c r="K134" s="39">
        <v>44344</v>
      </c>
      <c r="L134" s="42" t="s">
        <v>11</v>
      </c>
      <c r="M134" s="42" t="s">
        <v>8</v>
      </c>
      <c r="N134" s="42" t="s">
        <v>62</v>
      </c>
      <c r="O134" s="42" t="str">
        <f>IFERROR(INDEX([1]GARANTIA!$E:$E,MATCH(A134,[1]GARANTIA!$C:$C,0)),"INSIRA N° SERIE")</f>
        <v>MTI - 20.000GE</v>
      </c>
      <c r="P134" s="60" t="s">
        <v>303</v>
      </c>
      <c r="Q134" s="43" t="s">
        <v>54</v>
      </c>
      <c r="R134" s="60" t="s">
        <v>304</v>
      </c>
      <c r="S134" s="44" t="s">
        <v>638</v>
      </c>
      <c r="T134" s="44" t="s">
        <v>97</v>
      </c>
      <c r="U134" s="45"/>
      <c r="V134" s="41" t="str">
        <f>IFERROR(INDEX([1]GARANTIA!$G:$G,MATCH(A134,[1]GARANTIA!$C:$C,0)),"INSIRA N° SERIE")</f>
        <v>MAXARANGUAPE</v>
      </c>
      <c r="W134" s="41" t="str">
        <f>IFERROR(INDEX([1]GARANTIA!$H:$H,MATCH(A134,[1]GARANTIA!$C:$C,0)),"INSIRA N° SERIE")</f>
        <v>RN</v>
      </c>
      <c r="X134" s="41" t="str">
        <f>IFERROR(INDEX([1]GARANTIA!$F:$F,MATCH(A134,[1]GARANTIA!$C:$C,0)),"INSIRA N° SERIE")</f>
        <v>NORDESTE</v>
      </c>
      <c r="Y134" s="46">
        <f t="shared" si="10"/>
        <v>0</v>
      </c>
      <c r="Z134" s="47">
        <f t="shared" si="13"/>
        <v>35</v>
      </c>
      <c r="AA134" s="46">
        <f t="shared" si="11"/>
        <v>35</v>
      </c>
      <c r="AB134" s="46" t="str" cm="1">
        <f t="array" ref="AB134">IFERROR(_xlfn.IFS(L134="FINALIZADO PRESENCIAL",IF(AA134&gt;10,"FORA","DENTRO"),L134="FINALIZADO REMOTO",IF(AA134&gt;5,"FORA","DENTRO")),"-")</f>
        <v>FORA</v>
      </c>
      <c r="AC134" s="41" t="s">
        <v>1671</v>
      </c>
      <c r="AD134" s="41" t="s">
        <v>1671</v>
      </c>
      <c r="AE134" s="48" cm="1">
        <f t="array" ref="AE134">SUMPRODUCT(IFERROR(('[2]PEÇAS GARANTIA'!$A$3:$A$5993=G134)*('[2]PEÇAS GARANTIA'!$A$3:$A$5993&lt;&gt;"")*('[2]PEÇAS GARANTIA'!$R$3:$R$5993),0))</f>
        <v>23959.389999999996</v>
      </c>
      <c r="AF134" s="178">
        <v>0</v>
      </c>
    </row>
    <row r="135" spans="1:32" s="107" customFormat="1" ht="84" customHeight="1" x14ac:dyDescent="0.25">
      <c r="A135" s="82">
        <v>40476</v>
      </c>
      <c r="B135" s="41" t="str">
        <f>IFERROR(INDEX([1]GARANTIA!$B:$B,MATCH(A135,[1]GARANTIA!$C:$C,0)),"INSIRA N° SERIE")</f>
        <v>TESTE 199</v>
      </c>
      <c r="C135" s="33">
        <f>IFERROR(INDEX([1]GARANTIA!$J:$J,MATCH(A135,[1]GARANTIA!$C:$C,0)),"INSIRA N° SERIE")</f>
        <v>44074</v>
      </c>
      <c r="D135" s="33" t="str">
        <f>IFERROR(IF(INDEX([1]GARANTIA!$M:$M,MATCH(A135,[1]GARANTIA!$C:$C,0))&gt;=I135,"DENTRO DA GARANTIA","FORA DE GARANTIA"),"INSIRA N° SERIE")</f>
        <v>DENTRO DA GARANTIA</v>
      </c>
      <c r="E135" s="148"/>
      <c r="F135" s="109">
        <f>IFERROR(MAX(0,IF(I135-(INDEX([1]GARANTIA!$J:$J,MATCH(A135,[1]GARANTIA!$C:$C,0)))&gt;=0,I135-(INDEX([1]GARANTIA!$L:$L,MATCH(A135,[1]GARANTIA!$C:$C,0))),"INSIRA DATA CHAMADO")),"INSIRA N° SERIE")</f>
        <v>92</v>
      </c>
      <c r="G135" s="35">
        <v>20210444</v>
      </c>
      <c r="H135" s="35" t="str">
        <f t="shared" si="12"/>
        <v>ABR</v>
      </c>
      <c r="I135" s="36">
        <v>44309</v>
      </c>
      <c r="J135" s="37">
        <v>44309</v>
      </c>
      <c r="K135" s="39">
        <v>44312</v>
      </c>
      <c r="L135" s="42" t="s">
        <v>23</v>
      </c>
      <c r="M135" s="42" t="s">
        <v>8</v>
      </c>
      <c r="N135" s="42" t="s">
        <v>44</v>
      </c>
      <c r="O135" s="42" t="str">
        <f>IFERROR(INDEX([1]GARANTIA!$E:$E,MATCH(A135,[1]GARANTIA!$C:$C,0)),"INSIRA N° SERIE")</f>
        <v>MTI - 4.000GTS</v>
      </c>
      <c r="P135" s="60" t="s">
        <v>308</v>
      </c>
      <c r="Q135" s="43" t="s">
        <v>332</v>
      </c>
      <c r="R135" s="60" t="s">
        <v>307</v>
      </c>
      <c r="S135" s="44" t="s">
        <v>102</v>
      </c>
      <c r="T135" s="44" t="s">
        <v>296</v>
      </c>
      <c r="U135" s="45"/>
      <c r="V135" s="41" t="str">
        <f>IFERROR(INDEX([1]GARANTIA!$G:$G,MATCH(A135,[1]GARANTIA!$C:$C,0)),"INSIRA N° SERIE")</f>
        <v xml:space="preserve">SÃO CARLOS </v>
      </c>
      <c r="W135" s="41" t="str">
        <f>IFERROR(INDEX([1]GARANTIA!$H:$H,MATCH(A135,[1]GARANTIA!$C:$C,0)),"INSIRA N° SERIE")</f>
        <v>SP</v>
      </c>
      <c r="X135" s="41" t="str">
        <f>IFERROR(INDEX([1]GARANTIA!$F:$F,MATCH(A135,[1]GARANTIA!$C:$C,0)),"INSIRA N° SERIE")</f>
        <v>SUDESTE</v>
      </c>
      <c r="Y135" s="46">
        <f t="shared" si="10"/>
        <v>0</v>
      </c>
      <c r="Z135" s="47">
        <f t="shared" si="13"/>
        <v>3</v>
      </c>
      <c r="AA135" s="46">
        <f t="shared" si="11"/>
        <v>3</v>
      </c>
      <c r="AB135" s="46" t="str" cm="1">
        <f t="array" ref="AB135">IFERROR(_xlfn.IFS(L135="FINALIZADO PRESENCIAL",IF(AA135&gt;10,"FORA","DENTRO"),L135="FINALIZADO REMOTO",IF(AA135&gt;5,"FORA","DENTRO")),"-")</f>
        <v>DENTRO</v>
      </c>
      <c r="AC135" s="41" t="s">
        <v>1671</v>
      </c>
      <c r="AD135" s="41" t="s">
        <v>1671</v>
      </c>
      <c r="AE135" s="48" cm="1">
        <f t="array" ref="AE135">SUMPRODUCT(IFERROR(('[2]PEÇAS GARANTIA'!$A$3:$A$5993=G135)*('[2]PEÇAS GARANTIA'!$A$3:$A$5993&lt;&gt;"")*('[2]PEÇAS GARANTIA'!$R$3:$R$5993),0))</f>
        <v>0</v>
      </c>
      <c r="AF135" s="178">
        <v>0</v>
      </c>
    </row>
    <row r="136" spans="1:32" s="128" customFormat="1" ht="40.15" customHeight="1" x14ac:dyDescent="0.25">
      <c r="A136" s="117">
        <v>3002515</v>
      </c>
      <c r="B136" s="118" t="str">
        <f>IFERROR(INDEX([1]GARANTIA!$B:$B,MATCH(A136,[1]GARANTIA!$C:$C,0)),"INSIRA N° SERIE")</f>
        <v>TESTE 273</v>
      </c>
      <c r="C136" s="119">
        <f>IFERROR(INDEX([1]GARANTIA!$J:$J,MATCH(A136,[1]GARANTIA!$C:$C,0)),"INSIRA N° SERIE")</f>
        <v>43461</v>
      </c>
      <c r="D136" s="119" t="str">
        <f>IFERROR(IF(INDEX([1]GARANTIA!$M:$M,MATCH(A136,[1]GARANTIA!$C:$C,0))&gt;=I136,"DENTRO DA GARANTIA","FORA DE GARANTIA"),"INSIRA N° SERIE")</f>
        <v>FORA DE GARANTIA</v>
      </c>
      <c r="E136" s="121"/>
      <c r="F136" s="127">
        <f>IFERROR(MAX(0,IF(I136-(INDEX([1]GARANTIA!$J:$J,MATCH(A136,[1]GARANTIA!$C:$C,0)))&gt;=0,I136-(INDEX([1]GARANTIA!$L:$L,MATCH(A136,[1]GARANTIA!$C:$C,0))),"INSIRA DATA CHAMADO")),"INSIRA N° SERIE")</f>
        <v>435</v>
      </c>
      <c r="G136" s="121">
        <v>20210445</v>
      </c>
      <c r="H136" s="35" t="str">
        <f t="shared" si="12"/>
        <v>ABR</v>
      </c>
      <c r="I136" s="119">
        <v>44306</v>
      </c>
      <c r="J136" s="119">
        <v>44306</v>
      </c>
      <c r="K136" s="122">
        <v>44309</v>
      </c>
      <c r="L136" s="118" t="s">
        <v>23</v>
      </c>
      <c r="M136" s="118" t="s">
        <v>8</v>
      </c>
      <c r="N136" s="118" t="s">
        <v>43</v>
      </c>
      <c r="O136" s="118" t="str">
        <f>IFERROR(INDEX([1]GARANTIA!$E:$E,MATCH(A136,[1]GARANTIA!$C:$C,0)),"INSIRA N° SERIE")</f>
        <v>MTI - 60.000GE</v>
      </c>
      <c r="P136" s="123" t="s">
        <v>309</v>
      </c>
      <c r="Q136" s="118" t="s">
        <v>337</v>
      </c>
      <c r="R136" s="123" t="s">
        <v>310</v>
      </c>
      <c r="S136" s="118" t="s">
        <v>101</v>
      </c>
      <c r="T136" s="118" t="s">
        <v>144</v>
      </c>
      <c r="U136" s="124"/>
      <c r="V136" s="118" t="str">
        <f>IFERROR(INDEX([1]GARANTIA!$G:$G,MATCH(A136,[1]GARANTIA!$C:$C,0)),"INSIRA N° SERIE")</f>
        <v>MONTEVIDEO</v>
      </c>
      <c r="W136" s="118" t="str">
        <f>IFERROR(INDEX([1]GARANTIA!$H:$H,MATCH(A136,[1]GARANTIA!$C:$C,0)),"INSIRA N° SERIE")</f>
        <v>URY</v>
      </c>
      <c r="X136" s="118" t="str">
        <f>IFERROR(INDEX([1]GARANTIA!$F:$F,MATCH(A136,[1]GARANTIA!$C:$C,0)),"INSIRA N° SERIE")</f>
        <v xml:space="preserve">INTERNACIONAL </v>
      </c>
      <c r="Y136" s="118">
        <f t="shared" si="10"/>
        <v>0</v>
      </c>
      <c r="Z136" s="125">
        <f t="shared" si="13"/>
        <v>3</v>
      </c>
      <c r="AA136" s="118">
        <f t="shared" si="11"/>
        <v>3</v>
      </c>
      <c r="AB136" s="46" t="str" cm="1">
        <f t="array" ref="AB136">IFERROR(_xlfn.IFS(L136="FINALIZADO PRESENCIAL",IF(AA136&gt;10,"FORA","DENTRO"),L136="FINALIZADO REMOTO",IF(AA136&gt;5,"FORA","DENTRO")),"-")</f>
        <v>DENTRO</v>
      </c>
      <c r="AC136" s="41" t="s">
        <v>1671</v>
      </c>
      <c r="AD136" s="41" t="s">
        <v>1671</v>
      </c>
      <c r="AE136" s="48" cm="1">
        <f t="array" ref="AE136">SUMPRODUCT(IFERROR(('[2]PEÇAS GARANTIA'!$A$3:$A$5993=G136)*('[2]PEÇAS GARANTIA'!$A$3:$A$5993&lt;&gt;"")*('[2]PEÇAS GARANTIA'!$R$3:$R$5993),0))</f>
        <v>0</v>
      </c>
      <c r="AF136" s="178">
        <v>0</v>
      </c>
    </row>
    <row r="137" spans="1:32" s="107" customFormat="1" ht="40.15" customHeight="1" x14ac:dyDescent="0.25">
      <c r="A137" s="82">
        <v>47498</v>
      </c>
      <c r="B137" s="41" t="str">
        <f>IFERROR(INDEX([1]GARANTIA!$B:$B,MATCH(A137,[1]GARANTIA!$C:$C,0)),"INSIRA N° SERIE")</f>
        <v>TESTE 217</v>
      </c>
      <c r="C137" s="33">
        <f>IFERROR(INDEX([1]GARANTIA!$J:$J,MATCH(A137,[1]GARANTIA!$C:$C,0)),"INSIRA N° SERIE")</f>
        <v>43630</v>
      </c>
      <c r="D137" s="33" t="str">
        <f>IFERROR(IF(INDEX([1]GARANTIA!$M:$M,MATCH(A137,[1]GARANTIA!$C:$C,0))&gt;=I137,"DENTRO DA GARANTIA","FORA DE GARANTIA"),"INSIRA N° SERIE")</f>
        <v>DENTRO DA GARANTIA</v>
      </c>
      <c r="E137" s="148"/>
      <c r="F137" s="109">
        <f>IFERROR(MAX(0,IF(I137-(INDEX([1]GARANTIA!$J:$J,MATCH(A137,[1]GARANTIA!$C:$C,0)))&gt;=0,I137-(INDEX([1]GARANTIA!$L:$L,MATCH(A137,[1]GARANTIA!$C:$C,0))),"INSIRA DATA CHAMADO")),"INSIRA N° SERIE")</f>
        <v>363</v>
      </c>
      <c r="G137" s="35">
        <v>20210446</v>
      </c>
      <c r="H137" s="35" t="str">
        <f t="shared" si="12"/>
        <v>ABR</v>
      </c>
      <c r="I137" s="36">
        <v>44309</v>
      </c>
      <c r="J137" s="37">
        <v>44309</v>
      </c>
      <c r="K137" s="39">
        <v>44314</v>
      </c>
      <c r="L137" s="42" t="s">
        <v>23</v>
      </c>
      <c r="M137" s="42" t="s">
        <v>8</v>
      </c>
      <c r="N137" s="42" t="s">
        <v>42</v>
      </c>
      <c r="O137" s="42" t="str">
        <f>IFERROR(INDEX([1]GARANTIA!$E:$E,MATCH(A137,[1]GARANTIA!$C:$C,0)),"INSIRA N° SERIE")</f>
        <v>MTI - 4.000GTS</v>
      </c>
      <c r="P137" s="60" t="s">
        <v>311</v>
      </c>
      <c r="Q137" s="43" t="s">
        <v>326</v>
      </c>
      <c r="R137" s="60" t="s">
        <v>312</v>
      </c>
      <c r="S137" s="44" t="s">
        <v>325</v>
      </c>
      <c r="T137" s="44" t="s">
        <v>142</v>
      </c>
      <c r="U137" s="45"/>
      <c r="V137" s="41" t="str">
        <f>IFERROR(INDEX([1]GARANTIA!$G:$G,MATCH(A137,[1]GARANTIA!$C:$C,0)),"INSIRA N° SERIE")</f>
        <v xml:space="preserve">CAMAÇARI </v>
      </c>
      <c r="W137" s="41" t="str">
        <f>IFERROR(INDEX([1]GARANTIA!$H:$H,MATCH(A137,[1]GARANTIA!$C:$C,0)),"INSIRA N° SERIE")</f>
        <v>BA</v>
      </c>
      <c r="X137" s="41" t="str">
        <f>IFERROR(INDEX([1]GARANTIA!$F:$F,MATCH(A137,[1]GARANTIA!$C:$C,0)),"INSIRA N° SERIE")</f>
        <v>NORDESTE</v>
      </c>
      <c r="Y137" s="46">
        <f t="shared" si="10"/>
        <v>0</v>
      </c>
      <c r="Z137" s="47">
        <f t="shared" si="13"/>
        <v>5</v>
      </c>
      <c r="AA137" s="46">
        <f t="shared" si="11"/>
        <v>5</v>
      </c>
      <c r="AB137" s="46" t="str" cm="1">
        <f t="array" ref="AB137">IFERROR(_xlfn.IFS(L137="FINALIZADO PRESENCIAL",IF(AA137&gt;10,"FORA","DENTRO"),L137="FINALIZADO REMOTO",IF(AA137&gt;5,"FORA","DENTRO")),"-")</f>
        <v>DENTRO</v>
      </c>
      <c r="AC137" s="41" t="s">
        <v>1671</v>
      </c>
      <c r="AD137" s="41" t="s">
        <v>1671</v>
      </c>
      <c r="AE137" s="48" cm="1">
        <f t="array" ref="AE137">SUMPRODUCT(IFERROR(('[2]PEÇAS GARANTIA'!$A$3:$A$5993=G137)*('[2]PEÇAS GARANTIA'!$A$3:$A$5993&lt;&gt;"")*('[2]PEÇAS GARANTIA'!$R$3:$R$5993),0))</f>
        <v>0</v>
      </c>
      <c r="AF137" s="178">
        <v>0</v>
      </c>
    </row>
    <row r="138" spans="1:32" s="51" customFormat="1" ht="40.15" customHeight="1" x14ac:dyDescent="0.25">
      <c r="A138" s="82">
        <v>86086</v>
      </c>
      <c r="B138" s="41" t="str">
        <f>IFERROR(INDEX([1]GARANTIA!$B:$B,MATCH(A138,[1]GARANTIA!$C:$C,0)),"INSIRA N° SERIE")</f>
        <v>TESTE 76</v>
      </c>
      <c r="C138" s="33">
        <f>IFERROR(INDEX([1]GARANTIA!$J:$J,MATCH(A138,[1]GARANTIA!$C:$C,0)),"INSIRA N° SERIE")</f>
        <v>43982</v>
      </c>
      <c r="D138" s="33" t="str">
        <f>IFERROR(IF(INDEX([1]GARANTIA!$M:$M,MATCH(A138,[1]GARANTIA!$C:$C,0))&gt;=I138,"DENTRO DA GARANTIA","FORA DE GARANTIA"),"INSIRA N° SERIE")</f>
        <v>DENTRO DA GARANTIA</v>
      </c>
      <c r="E138" s="148"/>
      <c r="F138" s="109">
        <f>IFERROR(MAX(0,IF(I138-(INDEX([1]GARANTIA!$J:$J,MATCH(A138,[1]GARANTIA!$C:$C,0)))&gt;=0,I138-(INDEX([1]GARANTIA!$L:$L,MATCH(A138,[1]GARANTIA!$C:$C,0))),"INSIRA DATA CHAMADO")),"INSIRA N° SERIE")</f>
        <v>302</v>
      </c>
      <c r="G138" s="35">
        <v>20210447</v>
      </c>
      <c r="H138" s="35" t="str">
        <f t="shared" si="12"/>
        <v>ABR</v>
      </c>
      <c r="I138" s="36">
        <v>44309</v>
      </c>
      <c r="J138" s="37">
        <v>44309</v>
      </c>
      <c r="K138" s="39">
        <v>44310</v>
      </c>
      <c r="L138" s="42" t="s">
        <v>23</v>
      </c>
      <c r="M138" s="42" t="s">
        <v>8</v>
      </c>
      <c r="N138" s="42" t="s">
        <v>28</v>
      </c>
      <c r="O138" s="42" t="str">
        <f>IFERROR(INDEX([1]GARANTIA!$E:$E,MATCH(A138,[1]GARANTIA!$C:$C,0)),"INSIRA N° SERIE")</f>
        <v>MTI - 1.000GTS</v>
      </c>
      <c r="P138" s="60" t="s">
        <v>195</v>
      </c>
      <c r="Q138" s="43" t="s">
        <v>335</v>
      </c>
      <c r="R138" s="60" t="s">
        <v>233</v>
      </c>
      <c r="S138" s="44" t="s">
        <v>638</v>
      </c>
      <c r="T138" s="44" t="s">
        <v>143</v>
      </c>
      <c r="U138" s="45"/>
      <c r="V138" s="41" t="str">
        <f>IFERROR(INDEX([1]GARANTIA!$G:$G,MATCH(A138,[1]GARANTIA!$C:$C,0)),"INSIRA N° SERIE")</f>
        <v>LUZIANA</v>
      </c>
      <c r="W138" s="41" t="str">
        <f>IFERROR(INDEX([1]GARANTIA!$H:$H,MATCH(A138,[1]GARANTIA!$C:$C,0)),"INSIRA N° SERIE")</f>
        <v xml:space="preserve">GO </v>
      </c>
      <c r="X138" s="41" t="str">
        <f>IFERROR(INDEX([1]GARANTIA!$F:$F,MATCH(A138,[1]GARANTIA!$C:$C,0)),"INSIRA N° SERIE")</f>
        <v>CENTROESTE</v>
      </c>
      <c r="Y138" s="46">
        <f t="shared" si="10"/>
        <v>0</v>
      </c>
      <c r="Z138" s="47">
        <f t="shared" si="13"/>
        <v>1</v>
      </c>
      <c r="AA138" s="46">
        <f t="shared" si="11"/>
        <v>1</v>
      </c>
      <c r="AB138" s="46" t="str" cm="1">
        <f t="array" ref="AB138">IFERROR(_xlfn.IFS(L138="FINALIZADO PRESENCIAL",IF(AA138&gt;10,"FORA","DENTRO"),L138="FINALIZADO REMOTO",IF(AA138&gt;5,"FORA","DENTRO")),"-")</f>
        <v>DENTRO</v>
      </c>
      <c r="AC138" s="41" t="s">
        <v>1671</v>
      </c>
      <c r="AD138" s="41" t="s">
        <v>1671</v>
      </c>
      <c r="AE138" s="48" cm="1">
        <f t="array" ref="AE138">SUMPRODUCT(IFERROR(('[2]PEÇAS GARANTIA'!$A$3:$A$5993=G138)*('[2]PEÇAS GARANTIA'!$A$3:$A$5993&lt;&gt;"")*('[2]PEÇAS GARANTIA'!$R$3:$R$5993),0))</f>
        <v>0</v>
      </c>
      <c r="AF138" s="178">
        <v>0</v>
      </c>
    </row>
    <row r="139" spans="1:32" s="51" customFormat="1" ht="40.15" customHeight="1" x14ac:dyDescent="0.25">
      <c r="A139" s="82">
        <v>97866</v>
      </c>
      <c r="B139" s="41" t="str">
        <f>IFERROR(INDEX([1]GARANTIA!$B:$B,MATCH(A139,[1]GARANTIA!$C:$C,0)),"INSIRA N° SERIE")</f>
        <v>TESTE 78</v>
      </c>
      <c r="C139" s="33">
        <f>IFERROR(INDEX([1]GARANTIA!$J:$J,MATCH(A139,[1]GARANTIA!$C:$C,0)),"INSIRA N° SERIE")</f>
        <v>43364</v>
      </c>
      <c r="D139" s="33" t="str">
        <f>IFERROR(IF(INDEX([1]GARANTIA!$M:$M,MATCH(A139,[1]GARANTIA!$C:$C,0))&gt;=I139,"DENTRO DA GARANTIA","FORA DE GARANTIA"),"INSIRA N° SERIE")</f>
        <v>DENTRO DA GARANTIA</v>
      </c>
      <c r="E139" s="148"/>
      <c r="F139" s="109">
        <f>IFERROR(MAX(0,IF(I139-(INDEX([1]GARANTIA!$J:$J,MATCH(A139,[1]GARANTIA!$C:$C,0)))&gt;=0,I139-(INDEX([1]GARANTIA!$L:$L,MATCH(A139,[1]GARANTIA!$C:$C,0))),"INSIRA DATA CHAMADO")),"INSIRA N° SERIE")</f>
        <v>363</v>
      </c>
      <c r="G139" s="35">
        <v>20210448</v>
      </c>
      <c r="H139" s="35" t="str">
        <f t="shared" si="12"/>
        <v>ABR</v>
      </c>
      <c r="I139" s="36">
        <v>44309</v>
      </c>
      <c r="J139" s="37">
        <v>44309</v>
      </c>
      <c r="K139" s="39">
        <v>44309</v>
      </c>
      <c r="L139" s="42" t="s">
        <v>23</v>
      </c>
      <c r="M139" s="42" t="s">
        <v>8</v>
      </c>
      <c r="N139" s="42" t="s">
        <v>76</v>
      </c>
      <c r="O139" s="42" t="str">
        <f>IFERROR(INDEX([1]GARANTIA!$E:$E,MATCH(A139,[1]GARANTIA!$C:$C,0)),"INSIRA N° SERIE")</f>
        <v>MTI - 12.000GT</v>
      </c>
      <c r="P139" s="60" t="s">
        <v>167</v>
      </c>
      <c r="Q139" s="43" t="s">
        <v>38</v>
      </c>
      <c r="R139" s="60" t="s">
        <v>168</v>
      </c>
      <c r="S139" s="44" t="s">
        <v>101</v>
      </c>
      <c r="T139" s="44" t="s">
        <v>296</v>
      </c>
      <c r="U139" s="45"/>
      <c r="V139" s="41" t="str">
        <f>IFERROR(INDEX([1]GARANTIA!$G:$G,MATCH(A139,[1]GARANTIA!$C:$C,0)),"INSIRA N° SERIE")</f>
        <v>IPIAÇU</v>
      </c>
      <c r="W139" s="41" t="str">
        <f>IFERROR(INDEX([1]GARANTIA!$H:$H,MATCH(A139,[1]GARANTIA!$C:$C,0)),"INSIRA N° SERIE")</f>
        <v>MG</v>
      </c>
      <c r="X139" s="41" t="str">
        <f>IFERROR(INDEX([1]GARANTIA!$F:$F,MATCH(A139,[1]GARANTIA!$C:$C,0)),"INSIRA N° SERIE")</f>
        <v>SUDESTE</v>
      </c>
      <c r="Y139" s="46">
        <f t="shared" si="10"/>
        <v>0</v>
      </c>
      <c r="Z139" s="47">
        <f t="shared" si="13"/>
        <v>0</v>
      </c>
      <c r="AA139" s="46">
        <f t="shared" si="11"/>
        <v>0</v>
      </c>
      <c r="AB139" s="46" t="str" cm="1">
        <f t="array" ref="AB139">IFERROR(_xlfn.IFS(L139="FINALIZADO PRESENCIAL",IF(AA139&gt;10,"FORA","DENTRO"),L139="FINALIZADO REMOTO",IF(AA139&gt;5,"FORA","DENTRO")),"-")</f>
        <v>DENTRO</v>
      </c>
      <c r="AC139" s="41" t="s">
        <v>1671</v>
      </c>
      <c r="AD139" s="41" t="s">
        <v>1671</v>
      </c>
      <c r="AE139" s="48" cm="1">
        <f t="array" ref="AE139">SUMPRODUCT(IFERROR(('[2]PEÇAS GARANTIA'!$A$3:$A$5993=G139)*('[2]PEÇAS GARANTIA'!$A$3:$A$5993&lt;&gt;"")*('[2]PEÇAS GARANTIA'!$R$3:$R$5993),0))</f>
        <v>0</v>
      </c>
      <c r="AF139" s="178">
        <v>0</v>
      </c>
    </row>
    <row r="140" spans="1:32" s="51" customFormat="1" ht="51.75" customHeight="1" x14ac:dyDescent="0.25">
      <c r="A140" s="82">
        <v>74384</v>
      </c>
      <c r="B140" s="41" t="str">
        <f>IFERROR(INDEX([1]GARANTIA!$B:$B,MATCH(A140,[1]GARANTIA!$C:$C,0)),"INSIRA N° SERIE")</f>
        <v>TESTE 8</v>
      </c>
      <c r="C140" s="33">
        <f>IFERROR(INDEX([1]GARANTIA!$J:$J,MATCH(A140,[1]GARANTIA!$C:$C,0)),"INSIRA N° SERIE")</f>
        <v>44064</v>
      </c>
      <c r="D140" s="33" t="str">
        <f>IFERROR(IF(INDEX([1]GARANTIA!$M:$M,MATCH(A140,[1]GARANTIA!$C:$C,0))&gt;=I140,"DENTRO DA GARANTIA","FORA DE GARANTIA"),"INSIRA N° SERIE")</f>
        <v>DENTRO DA GARANTIA</v>
      </c>
      <c r="E140" s="148"/>
      <c r="F140" s="109">
        <f>IFERROR(MAX(0,IF(I140-(INDEX([1]GARANTIA!$J:$J,MATCH(A140,[1]GARANTIA!$C:$C,0)))&gt;=0,I140-(INDEX([1]GARANTIA!$L:$L,MATCH(A140,[1]GARANTIA!$C:$C,0))),"INSIRA DATA CHAMADO")),"INSIRA N° SERIE")</f>
        <v>23</v>
      </c>
      <c r="G140" s="35">
        <v>20210458</v>
      </c>
      <c r="H140" s="35" t="str">
        <f t="shared" si="12"/>
        <v>ABR</v>
      </c>
      <c r="I140" s="36">
        <v>44309</v>
      </c>
      <c r="J140" s="37">
        <v>44309</v>
      </c>
      <c r="K140" s="39">
        <v>44309</v>
      </c>
      <c r="L140" s="42" t="s">
        <v>23</v>
      </c>
      <c r="M140" s="42" t="s">
        <v>8</v>
      </c>
      <c r="N140" s="42" t="s">
        <v>44</v>
      </c>
      <c r="O140" s="42" t="str">
        <f>IFERROR(INDEX([1]GARANTIA!$E:$E,MATCH(A140,[1]GARANTIA!$C:$C,0)),"INSIRA N° SERIE")</f>
        <v>MTI - 10.000GE</v>
      </c>
      <c r="P140" s="60" t="s">
        <v>342</v>
      </c>
      <c r="Q140" s="43" t="s">
        <v>335</v>
      </c>
      <c r="R140" s="60" t="s">
        <v>341</v>
      </c>
      <c r="S140" s="44" t="s">
        <v>101</v>
      </c>
      <c r="T140" s="44" t="s">
        <v>296</v>
      </c>
      <c r="U140" s="45"/>
      <c r="V140" s="41" t="str">
        <f>IFERROR(INDEX([1]GARANTIA!$G:$G,MATCH(A140,[1]GARANTIA!$C:$C,0)),"INSIRA N° SERIE")</f>
        <v xml:space="preserve">SÃO PAULO </v>
      </c>
      <c r="W140" s="41" t="str">
        <f>IFERROR(INDEX([1]GARANTIA!$H:$H,MATCH(A140,[1]GARANTIA!$C:$C,0)),"INSIRA N° SERIE")</f>
        <v xml:space="preserve">SP </v>
      </c>
      <c r="X140" s="41" t="str">
        <f>IFERROR(INDEX([1]GARANTIA!$F:$F,MATCH(A140,[1]GARANTIA!$C:$C,0)),"INSIRA N° SERIE")</f>
        <v>SUDESTE</v>
      </c>
      <c r="Y140" s="46">
        <f t="shared" ref="Y140:Y171" si="14">IF(G140&lt;&gt;"",J140-I140,"INSIRA N° OS")</f>
        <v>0</v>
      </c>
      <c r="Z140" s="47">
        <f t="shared" si="13"/>
        <v>0</v>
      </c>
      <c r="AA140" s="46">
        <f t="shared" ref="AA140:AA171" si="15">IF(Z140="NÃO FINALIZADO","",Z140+Y140)</f>
        <v>0</v>
      </c>
      <c r="AB140" s="46" t="str" cm="1">
        <f t="array" ref="AB140">IFERROR(_xlfn.IFS(L140="FINALIZADO PRESENCIAL",IF(AA140&gt;10,"FORA","DENTRO"),L140="FINALIZADO REMOTO",IF(AA140&gt;5,"FORA","DENTRO")),"-")</f>
        <v>DENTRO</v>
      </c>
      <c r="AC140" s="41" t="s">
        <v>1671</v>
      </c>
      <c r="AD140" s="41" t="s">
        <v>1671</v>
      </c>
      <c r="AE140" s="48" cm="1">
        <f t="array" ref="AE140">SUMPRODUCT(IFERROR(('[2]PEÇAS GARANTIA'!$A$3:$A$5993=G140)*('[2]PEÇAS GARANTIA'!$A$3:$A$5993&lt;&gt;"")*('[2]PEÇAS GARANTIA'!$R$3:$R$5993),0))</f>
        <v>0</v>
      </c>
      <c r="AF140" s="178">
        <v>0</v>
      </c>
    </row>
    <row r="141" spans="1:32" s="107" customFormat="1" ht="24.75" customHeight="1" x14ac:dyDescent="0.25">
      <c r="A141" s="82">
        <v>79737</v>
      </c>
      <c r="B141" s="41" t="str">
        <f>IFERROR(INDEX([1]GARANTIA!$B:$B,MATCH(A141,[1]GARANTIA!$C:$C,0)),"INSIRA N° SERIE")</f>
        <v>TESTE 208</v>
      </c>
      <c r="C141" s="33">
        <f>IFERROR(INDEX([1]GARANTIA!$J:$J,MATCH(A141,[1]GARANTIA!$C:$C,0)),"INSIRA N° SERIE")</f>
        <v>44183</v>
      </c>
      <c r="D141" s="33" t="str">
        <f>IFERROR(IF(INDEX([1]GARANTIA!$M:$M,MATCH(A141,[1]GARANTIA!$C:$C,0))&gt;=I141,"DENTRO DA GARANTIA","FORA DE GARANTIA"),"INSIRA N° SERIE")</f>
        <v>DENTRO DA GARANTIA</v>
      </c>
      <c r="E141" s="148"/>
      <c r="F141" s="109">
        <f>IFERROR(MAX(0,IF(I141-(INDEX([1]GARANTIA!$J:$J,MATCH(A141,[1]GARANTIA!$C:$C,0)))&gt;=0,I141-(INDEX([1]GARANTIA!$L:$L,MATCH(A141,[1]GARANTIA!$C:$C,0))),"INSIRA DATA CHAMADO")),"INSIRA N° SERIE")</f>
        <v>12</v>
      </c>
      <c r="G141" s="35">
        <v>20210449</v>
      </c>
      <c r="H141" s="35" t="str">
        <f t="shared" si="12"/>
        <v>ABR</v>
      </c>
      <c r="I141" s="36">
        <v>44310</v>
      </c>
      <c r="J141" s="37">
        <v>44310</v>
      </c>
      <c r="K141" s="39">
        <v>44316</v>
      </c>
      <c r="L141" s="42" t="s">
        <v>23</v>
      </c>
      <c r="M141" s="42" t="s">
        <v>8</v>
      </c>
      <c r="N141" s="42" t="s">
        <v>43</v>
      </c>
      <c r="O141" s="42" t="str">
        <f>IFERROR(INDEX([1]GARANTIA!$E:$E,MATCH(A141,[1]GARANTIA!$C:$C,0)),"INSIRA N° SERIE")</f>
        <v>MTI - 4.000GTS</v>
      </c>
      <c r="P141" s="60" t="s">
        <v>343</v>
      </c>
      <c r="Q141" s="43" t="s">
        <v>305</v>
      </c>
      <c r="R141" s="60" t="s">
        <v>344</v>
      </c>
      <c r="S141" s="44" t="s">
        <v>638</v>
      </c>
      <c r="T141" s="44" t="s">
        <v>143</v>
      </c>
      <c r="U141" s="45"/>
      <c r="V141" s="41" t="str">
        <f>IFERROR(INDEX([1]GARANTIA!$G:$G,MATCH(A141,[1]GARANTIA!$C:$C,0)),"INSIRA N° SERIE")</f>
        <v>SORRISO</v>
      </c>
      <c r="W141" s="41" t="str">
        <f>IFERROR(INDEX([1]GARANTIA!$H:$H,MATCH(A141,[1]GARANTIA!$C:$C,0)),"INSIRA N° SERIE")</f>
        <v>MT</v>
      </c>
      <c r="X141" s="41" t="str">
        <f>IFERROR(INDEX([1]GARANTIA!$F:$F,MATCH(A141,[1]GARANTIA!$C:$C,0)),"INSIRA N° SERIE")</f>
        <v>CENTROESTE</v>
      </c>
      <c r="Y141" s="46">
        <f t="shared" si="14"/>
        <v>0</v>
      </c>
      <c r="Z141" s="47">
        <f t="shared" si="13"/>
        <v>6</v>
      </c>
      <c r="AA141" s="46">
        <f t="shared" si="15"/>
        <v>6</v>
      </c>
      <c r="AB141" s="46" t="str" cm="1">
        <f t="array" ref="AB141">IFERROR(_xlfn.IFS(L141="FINALIZADO PRESENCIAL",IF(AA141&gt;10,"FORA","DENTRO"),L141="FINALIZADO REMOTO",IF(AA141&gt;5,"FORA","DENTRO")),"-")</f>
        <v>FORA</v>
      </c>
      <c r="AC141" s="41" t="s">
        <v>1671</v>
      </c>
      <c r="AD141" s="41" t="s">
        <v>1671</v>
      </c>
      <c r="AE141" s="48" cm="1">
        <f t="array" ref="AE141">SUMPRODUCT(IFERROR(('[2]PEÇAS GARANTIA'!$A$3:$A$5993=G141)*('[2]PEÇAS GARANTIA'!$A$3:$A$5993&lt;&gt;"")*('[2]PEÇAS GARANTIA'!$R$3:$R$5993),0))</f>
        <v>0</v>
      </c>
      <c r="AF141" s="178">
        <v>0</v>
      </c>
    </row>
    <row r="142" spans="1:32" s="51" customFormat="1" ht="12.75" x14ac:dyDescent="0.25">
      <c r="A142" s="82">
        <v>3713</v>
      </c>
      <c r="B142" s="41" t="str">
        <f>IFERROR(INDEX([1]GARANTIA!$B:$B,MATCH(A142,[1]GARANTIA!$C:$C,0)),"INSIRA N° SERIE")</f>
        <v>TESTE 237</v>
      </c>
      <c r="C142" s="33">
        <f>IFERROR(INDEX([1]GARANTIA!$J:$J,MATCH(A142,[1]GARANTIA!$C:$C,0)),"INSIRA N° SERIE")</f>
        <v>43707</v>
      </c>
      <c r="D142" s="33" t="str">
        <f>IFERROR(IF(INDEX([1]GARANTIA!$M:$M,MATCH(A142,[1]GARANTIA!$C:$C,0))&gt;=I142,"DENTRO DA GARANTIA","FORA DE GARANTIA"),"INSIRA N° SERIE")</f>
        <v>DENTRO DA GARANTIA</v>
      </c>
      <c r="E142" s="148"/>
      <c r="F142" s="109">
        <f>IFERROR(MAX(0,IF(I142-(INDEX([1]GARANTIA!$J:$J,MATCH(A142,[1]GARANTIA!$C:$C,0)))&gt;=0,I142-(INDEX([1]GARANTIA!$L:$L,MATCH(A142,[1]GARANTIA!$C:$C,0))),"INSIRA DATA CHAMADO")),"INSIRA N° SERIE")</f>
        <v>141</v>
      </c>
      <c r="G142" s="35">
        <v>20210450</v>
      </c>
      <c r="H142" s="35" t="str">
        <f t="shared" si="12"/>
        <v>ABR</v>
      </c>
      <c r="I142" s="36">
        <v>44309</v>
      </c>
      <c r="J142" s="37">
        <v>44309</v>
      </c>
      <c r="K142" s="39">
        <v>44312</v>
      </c>
      <c r="L142" s="42" t="s">
        <v>23</v>
      </c>
      <c r="M142" s="42" t="s">
        <v>8</v>
      </c>
      <c r="N142" s="42" t="s">
        <v>43</v>
      </c>
      <c r="O142" s="42" t="str">
        <f>IFERROR(INDEX([1]GARANTIA!$E:$E,MATCH(A142,[1]GARANTIA!$C:$C,0)),"INSIRA N° SERIE")</f>
        <v>MTI - 7.000GTS</v>
      </c>
      <c r="P142" s="60" t="s">
        <v>315</v>
      </c>
      <c r="Q142" s="43" t="s">
        <v>144</v>
      </c>
      <c r="R142" s="60" t="s">
        <v>316</v>
      </c>
      <c r="S142" s="44" t="s">
        <v>101</v>
      </c>
      <c r="T142" s="44" t="s">
        <v>144</v>
      </c>
      <c r="U142" s="45"/>
      <c r="V142" s="41" t="str">
        <f>IFERROR(INDEX([1]GARANTIA!$G:$G,MATCH(A142,[1]GARANTIA!$C:$C,0)),"INSIRA N° SERIE")</f>
        <v xml:space="preserve">AGUA DE SANTA BARBARA </v>
      </c>
      <c r="W142" s="41" t="str">
        <f>IFERROR(INDEX([1]GARANTIA!$H:$H,MATCH(A142,[1]GARANTIA!$C:$C,0)),"INSIRA N° SERIE")</f>
        <v xml:space="preserve">SP </v>
      </c>
      <c r="X142" s="41" t="str">
        <f>IFERROR(INDEX([1]GARANTIA!$F:$F,MATCH(A142,[1]GARANTIA!$C:$C,0)),"INSIRA N° SERIE")</f>
        <v>SUDESTE</v>
      </c>
      <c r="Y142" s="46">
        <f t="shared" si="14"/>
        <v>0</v>
      </c>
      <c r="Z142" s="47">
        <f t="shared" si="13"/>
        <v>3</v>
      </c>
      <c r="AA142" s="46">
        <f t="shared" si="15"/>
        <v>3</v>
      </c>
      <c r="AB142" s="46" t="str" cm="1">
        <f t="array" ref="AB142">IFERROR(_xlfn.IFS(L142="FINALIZADO PRESENCIAL",IF(AA142&gt;10,"FORA","DENTRO"),L142="FINALIZADO REMOTO",IF(AA142&gt;5,"FORA","DENTRO")),"-")</f>
        <v>DENTRO</v>
      </c>
      <c r="AC142" s="41" t="s">
        <v>1671</v>
      </c>
      <c r="AD142" s="41" t="s">
        <v>1671</v>
      </c>
      <c r="AE142" s="48" cm="1">
        <f t="array" ref="AE142">SUMPRODUCT(IFERROR(('[2]PEÇAS GARANTIA'!$A$3:$A$5993=G142)*('[2]PEÇAS GARANTIA'!$A$3:$A$5993&lt;&gt;"")*('[2]PEÇAS GARANTIA'!$R$3:$R$5993),0))</f>
        <v>0</v>
      </c>
      <c r="AF142" s="178">
        <v>722.79</v>
      </c>
    </row>
    <row r="143" spans="1:32" s="106" customFormat="1" ht="12.75" x14ac:dyDescent="0.25">
      <c r="A143" s="82">
        <v>99915</v>
      </c>
      <c r="B143" s="41" t="str">
        <f>IFERROR(INDEX([1]GARANTIA!$B:$B,MATCH(A143,[1]GARANTIA!$C:$C,0)),"INSIRA N° SERIE")</f>
        <v>TESTE 151</v>
      </c>
      <c r="C143" s="33">
        <f>IFERROR(INDEX([1]GARANTIA!$J:$J,MATCH(A143,[1]GARANTIA!$C:$C,0)),"INSIRA N° SERIE")</f>
        <v>43586</v>
      </c>
      <c r="D143" s="33" t="str">
        <f>IFERROR(IF(INDEX([1]GARANTIA!$M:$M,MATCH(A143,[1]GARANTIA!$C:$C,0))&gt;=I143,"DENTRO DA GARANTIA","FORA DE GARANTIA"),"INSIRA N° SERIE")</f>
        <v>FORA DE GARANTIA</v>
      </c>
      <c r="E143" s="148"/>
      <c r="F143" s="109">
        <f>IFERROR(MAX(0,IF(I143-(INDEX([1]GARANTIA!$J:$J,MATCH(A143,[1]GARANTIA!$C:$C,0)))&gt;=0,I143-(INDEX([1]GARANTIA!$L:$L,MATCH(A143,[1]GARANTIA!$C:$C,0))),"INSIRA DATA CHAMADO")),"INSIRA N° SERIE")</f>
        <v>537</v>
      </c>
      <c r="G143" s="35">
        <v>20210452</v>
      </c>
      <c r="H143" s="35" t="str">
        <f t="shared" si="12"/>
        <v>ABR</v>
      </c>
      <c r="I143" s="36">
        <v>44312</v>
      </c>
      <c r="J143" s="37">
        <v>44312</v>
      </c>
      <c r="K143" s="39">
        <v>44313</v>
      </c>
      <c r="L143" s="42" t="s">
        <v>23</v>
      </c>
      <c r="M143" s="42" t="s">
        <v>8</v>
      </c>
      <c r="N143" s="42" t="s">
        <v>28</v>
      </c>
      <c r="O143" s="42" t="str">
        <f>IFERROR(INDEX([1]GARANTIA!$E:$E,MATCH(A143,[1]GARANTIA!$C:$C,0)),"INSIRA N° SERIE")</f>
        <v>MTI - 4.000GTS</v>
      </c>
      <c r="P143" s="60" t="s">
        <v>318</v>
      </c>
      <c r="Q143" s="43" t="s">
        <v>328</v>
      </c>
      <c r="R143" s="60" t="s">
        <v>319</v>
      </c>
      <c r="S143" s="44" t="s">
        <v>101</v>
      </c>
      <c r="T143" s="44" t="s">
        <v>142</v>
      </c>
      <c r="U143" s="45"/>
      <c r="V143" s="41" t="str">
        <f>IFERROR(INDEX([1]GARANTIA!$G:$G,MATCH(A143,[1]GARANTIA!$C:$C,0)),"INSIRA N° SERIE")</f>
        <v>FORTALEZA</v>
      </c>
      <c r="W143" s="41" t="str">
        <f>IFERROR(INDEX([1]GARANTIA!$H:$H,MATCH(A143,[1]GARANTIA!$C:$C,0)),"INSIRA N° SERIE")</f>
        <v>CE</v>
      </c>
      <c r="X143" s="41" t="str">
        <f>IFERROR(INDEX([1]GARANTIA!$F:$F,MATCH(A143,[1]GARANTIA!$C:$C,0)),"INSIRA N° SERIE")</f>
        <v>NORDESTE</v>
      </c>
      <c r="Y143" s="46">
        <f t="shared" si="14"/>
        <v>0</v>
      </c>
      <c r="Z143" s="47">
        <f t="shared" si="13"/>
        <v>1</v>
      </c>
      <c r="AA143" s="46">
        <f t="shared" si="15"/>
        <v>1</v>
      </c>
      <c r="AB143" s="46" t="str" cm="1">
        <f t="array" ref="AB143">IFERROR(_xlfn.IFS(L143="FINALIZADO PRESENCIAL",IF(AA143&gt;10,"FORA","DENTRO"),L143="FINALIZADO REMOTO",IF(AA143&gt;5,"FORA","DENTRO")),"-")</f>
        <v>DENTRO</v>
      </c>
      <c r="AC143" s="41" t="s">
        <v>1671</v>
      </c>
      <c r="AD143" s="41" t="s">
        <v>1671</v>
      </c>
      <c r="AE143" s="48" cm="1">
        <f t="array" ref="AE143">SUMPRODUCT(IFERROR(('[2]PEÇAS GARANTIA'!$A$3:$A$5993=G143)*('[2]PEÇAS GARANTIA'!$A$3:$A$5993&lt;&gt;"")*('[2]PEÇAS GARANTIA'!$R$3:$R$5993),0))</f>
        <v>0</v>
      </c>
      <c r="AF143" s="178">
        <v>0</v>
      </c>
    </row>
    <row r="144" spans="1:32" s="49" customFormat="1" ht="51.75" customHeight="1" x14ac:dyDescent="0.25">
      <c r="A144" s="83">
        <v>50354</v>
      </c>
      <c r="B144" s="41" t="str">
        <f>IFERROR(INDEX([1]GARANTIA!$B:$B,MATCH(A144,[1]GARANTIA!$C:$C,0)),"INSIRA N° SERIE")</f>
        <v>TESTE 10</v>
      </c>
      <c r="C144" s="33">
        <f>IFERROR(INDEX([1]GARANTIA!$J:$J,MATCH(A144,[1]GARANTIA!$C:$C,0)),"INSIRA N° SERIE")</f>
        <v>44074</v>
      </c>
      <c r="D144" s="33" t="str">
        <f>IFERROR(IF(INDEX([1]GARANTIA!$M:$M,MATCH(A144,[1]GARANTIA!$C:$C,0))&gt;=I144,"DENTRO DA GARANTIA","FORA DE GARANTIA"),"INSIRA N° SERIE")</f>
        <v>DENTRO DA GARANTIA</v>
      </c>
      <c r="E144" s="148"/>
      <c r="F144" s="109">
        <f>IFERROR(MAX(0,IF(I144-(INDEX([1]GARANTIA!$J:$J,MATCH(A144,[1]GARANTIA!$C:$C,0)))&gt;=0,I144-(INDEX([1]GARANTIA!$L:$L,MATCH(A144,[1]GARANTIA!$C:$C,0))),"INSIRA DATA CHAMADO")),"INSIRA N° SERIE")</f>
        <v>169</v>
      </c>
      <c r="G144" s="35">
        <v>20210453</v>
      </c>
      <c r="H144" s="35" t="str">
        <f t="shared" si="12"/>
        <v>ABR</v>
      </c>
      <c r="I144" s="36">
        <v>44312</v>
      </c>
      <c r="J144" s="37">
        <v>44312</v>
      </c>
      <c r="K144" s="39">
        <v>44331</v>
      </c>
      <c r="L144" s="42" t="s">
        <v>11</v>
      </c>
      <c r="M144" s="42" t="s">
        <v>8</v>
      </c>
      <c r="N144" s="42" t="s">
        <v>43</v>
      </c>
      <c r="O144" s="42" t="str">
        <f>IFERROR(INDEX([1]GARANTIA!$E:$E,MATCH(A144,[1]GARANTIA!$C:$C,0)),"INSIRA N° SERIE")</f>
        <v>MTI - 4.000GTS</v>
      </c>
      <c r="P144" s="60" t="s">
        <v>436</v>
      </c>
      <c r="Q144" s="43" t="s">
        <v>335</v>
      </c>
      <c r="R144" s="60" t="s">
        <v>401</v>
      </c>
      <c r="S144" s="44" t="s">
        <v>102</v>
      </c>
      <c r="T144" s="44" t="s">
        <v>296</v>
      </c>
      <c r="U144" s="45"/>
      <c r="V144" s="41" t="str">
        <f>IFERROR(INDEX([1]GARANTIA!$G:$G,MATCH(A144,[1]GARANTIA!$C:$C,0)),"INSIRA N° SERIE")</f>
        <v>CERQUILHO</v>
      </c>
      <c r="W144" s="41" t="str">
        <f>IFERROR(INDEX([1]GARANTIA!$H:$H,MATCH(A144,[1]GARANTIA!$C:$C,0)),"INSIRA N° SERIE")</f>
        <v>SP</v>
      </c>
      <c r="X144" s="41" t="str">
        <f>IFERROR(INDEX([1]GARANTIA!$F:$F,MATCH(A144,[1]GARANTIA!$C:$C,0)),"INSIRA N° SERIE")</f>
        <v>SUDESTE</v>
      </c>
      <c r="Y144" s="46">
        <f t="shared" si="14"/>
        <v>0</v>
      </c>
      <c r="Z144" s="47">
        <f t="shared" si="13"/>
        <v>19</v>
      </c>
      <c r="AA144" s="46">
        <f t="shared" si="15"/>
        <v>19</v>
      </c>
      <c r="AB144" s="46" t="str" cm="1">
        <f t="array" ref="AB144">IFERROR(_xlfn.IFS(L144="FINALIZADO PRESENCIAL",IF(AA144&gt;10,"FORA","DENTRO"),L144="FINALIZADO REMOTO",IF(AA144&gt;5,"FORA","DENTRO")),"-")</f>
        <v>FORA</v>
      </c>
      <c r="AC144" s="41" t="s">
        <v>1671</v>
      </c>
      <c r="AD144" s="41" t="s">
        <v>1671</v>
      </c>
      <c r="AE144" s="48" cm="1">
        <f t="array" ref="AE144">SUMPRODUCT(IFERROR(('[2]PEÇAS GARANTIA'!$A$3:$A$5993=G144)*('[2]PEÇAS GARANTIA'!$A$3:$A$5993&lt;&gt;"")*('[2]PEÇAS GARANTIA'!$R$3:$R$5993),0))</f>
        <v>0</v>
      </c>
      <c r="AF144" s="178">
        <v>423.2</v>
      </c>
    </row>
    <row r="145" spans="1:32" s="49" customFormat="1" ht="25.5" x14ac:dyDescent="0.25">
      <c r="A145" s="83">
        <v>47823</v>
      </c>
      <c r="B145" s="41" t="str">
        <f>IFERROR(INDEX([1]GARANTIA!$B:$B,MATCH(A145,[1]GARANTIA!$C:$C,0)),"INSIRA N° SERIE")</f>
        <v>TESTE 295</v>
      </c>
      <c r="C145" s="33">
        <f>IFERROR(INDEX([1]GARANTIA!$J:$J,MATCH(A145,[1]GARANTIA!$C:$C,0)),"INSIRA N° SERIE")</f>
        <v>43830</v>
      </c>
      <c r="D145" s="33" t="str">
        <f>IFERROR(IF(INDEX([1]GARANTIA!$M:$M,MATCH(A145,[1]GARANTIA!$C:$C,0))&gt;=I145,"DENTRO DA GARANTIA","FORA DE GARANTIA"),"INSIRA N° SERIE")</f>
        <v>DENTRO DA GARANTIA</v>
      </c>
      <c r="E145" s="148"/>
      <c r="F145" s="109">
        <f>IFERROR(MAX(0,IF(I145-(INDEX([1]GARANTIA!$J:$J,MATCH(A145,[1]GARANTIA!$C:$C,0)))&gt;=0,I145-(INDEX([1]GARANTIA!$L:$L,MATCH(A145,[1]GARANTIA!$C:$C,0))),"INSIRA DATA CHAMADO")),"INSIRA N° SERIE")</f>
        <v>200</v>
      </c>
      <c r="G145" s="35">
        <v>20210454</v>
      </c>
      <c r="H145" s="35" t="str">
        <f t="shared" si="12"/>
        <v>ABR</v>
      </c>
      <c r="I145" s="36">
        <v>44313</v>
      </c>
      <c r="J145" s="37">
        <v>44313</v>
      </c>
      <c r="K145" s="39">
        <v>44313</v>
      </c>
      <c r="L145" s="42" t="s">
        <v>23</v>
      </c>
      <c r="M145" s="42" t="s">
        <v>8</v>
      </c>
      <c r="N145" s="42" t="s">
        <v>28</v>
      </c>
      <c r="O145" s="42" t="str">
        <f>IFERROR(INDEX([1]GARANTIA!$E:$E,MATCH(A145,[1]GARANTIA!$C:$C,0)),"INSIRA N° SERIE")</f>
        <v>MTI - 12.000GTS</v>
      </c>
      <c r="P145" s="60" t="s">
        <v>349</v>
      </c>
      <c r="Q145" s="43" t="s">
        <v>38</v>
      </c>
      <c r="R145" s="60" t="s">
        <v>338</v>
      </c>
      <c r="S145" s="44" t="s">
        <v>101</v>
      </c>
      <c r="T145" s="44" t="s">
        <v>296</v>
      </c>
      <c r="U145" s="45"/>
      <c r="V145" s="41" t="str">
        <f>IFERROR(INDEX([1]GARANTIA!$G:$G,MATCH(A145,[1]GARANTIA!$C:$C,0)),"INSIRA N° SERIE")</f>
        <v xml:space="preserve">LUIS EDUARDO MAGALHAES </v>
      </c>
      <c r="W145" s="41" t="str">
        <f>IFERROR(INDEX([1]GARANTIA!$H:$H,MATCH(A145,[1]GARANTIA!$C:$C,0)),"INSIRA N° SERIE")</f>
        <v>BA</v>
      </c>
      <c r="X145" s="41" t="str">
        <f>IFERROR(INDEX([1]GARANTIA!$F:$F,MATCH(A145,[1]GARANTIA!$C:$C,0)),"INSIRA N° SERIE")</f>
        <v>NORDESTE</v>
      </c>
      <c r="Y145" s="46">
        <f t="shared" si="14"/>
        <v>0</v>
      </c>
      <c r="Z145" s="47">
        <f t="shared" si="13"/>
        <v>0</v>
      </c>
      <c r="AA145" s="46">
        <f t="shared" si="15"/>
        <v>0</v>
      </c>
      <c r="AB145" s="46" t="str" cm="1">
        <f t="array" ref="AB145">IFERROR(_xlfn.IFS(L145="FINALIZADO PRESENCIAL",IF(AA145&gt;10,"FORA","DENTRO"),L145="FINALIZADO REMOTO",IF(AA145&gt;5,"FORA","DENTRO")),"-")</f>
        <v>DENTRO</v>
      </c>
      <c r="AC145" s="41" t="s">
        <v>1671</v>
      </c>
      <c r="AD145" s="41" t="s">
        <v>1671</v>
      </c>
      <c r="AE145" s="48" cm="1">
        <f t="array" ref="AE145">SUMPRODUCT(IFERROR(('[2]PEÇAS GARANTIA'!$A$3:$A$5993=G145)*('[2]PEÇAS GARANTIA'!$A$3:$A$5993&lt;&gt;"")*('[2]PEÇAS GARANTIA'!$R$3:$R$5993),0))</f>
        <v>0</v>
      </c>
      <c r="AF145" s="178">
        <v>0</v>
      </c>
    </row>
    <row r="146" spans="1:32" s="49" customFormat="1" ht="59.25" customHeight="1" x14ac:dyDescent="0.25">
      <c r="A146" s="83">
        <v>82866</v>
      </c>
      <c r="B146" s="41" t="str">
        <f>IFERROR(INDEX([1]GARANTIA!$B:$B,MATCH(A146,[1]GARANTIA!$C:$C,0)),"INSIRA N° SERIE")</f>
        <v>TESTE 309</v>
      </c>
      <c r="C146" s="33">
        <f>IFERROR(INDEX([1]GARANTIA!$J:$J,MATCH(A146,[1]GARANTIA!$C:$C,0)),"INSIRA N° SERIE")</f>
        <v>44158</v>
      </c>
      <c r="D146" s="33" t="str">
        <f>IFERROR(IF(INDEX([1]GARANTIA!$M:$M,MATCH(A146,[1]GARANTIA!$C:$C,0))&gt;=I146,"DENTRO DA GARANTIA","FORA DE GARANTIA"),"INSIRA N° SERIE")</f>
        <v>DENTRO DA GARANTIA</v>
      </c>
      <c r="E146" s="148"/>
      <c r="F146" s="109">
        <f>IFERROR(MAX(0,IF(I146-(INDEX([1]GARANTIA!$J:$J,MATCH(A146,[1]GARANTIA!$C:$C,0)))&gt;=0,I146-(INDEX([1]GARANTIA!$L:$L,MATCH(A146,[1]GARANTIA!$C:$C,0))),"INSIRA DATA CHAMADO")),"INSIRA N° SERIE")</f>
        <v>53</v>
      </c>
      <c r="G146" s="35">
        <v>20210455</v>
      </c>
      <c r="H146" s="35" t="str">
        <f t="shared" si="12"/>
        <v>ABR</v>
      </c>
      <c r="I146" s="36">
        <v>44313</v>
      </c>
      <c r="J146" s="37">
        <v>44313</v>
      </c>
      <c r="K146" s="39">
        <v>44321</v>
      </c>
      <c r="L146" s="42" t="s">
        <v>11</v>
      </c>
      <c r="M146" s="42" t="s">
        <v>8</v>
      </c>
      <c r="N146" s="42" t="s">
        <v>44</v>
      </c>
      <c r="O146" s="42" t="str">
        <f>IFERROR(INDEX([1]GARANTIA!$E:$E,MATCH(A146,[1]GARANTIA!$C:$C,0)),"INSIRA N° SERIE")</f>
        <v>MTI - 1.000GTS</v>
      </c>
      <c r="P146" s="60" t="s">
        <v>365</v>
      </c>
      <c r="Q146" s="43" t="s">
        <v>333</v>
      </c>
      <c r="R146" s="60" t="s">
        <v>366</v>
      </c>
      <c r="S146" s="44" t="s">
        <v>638</v>
      </c>
      <c r="T146" s="44" t="s">
        <v>142</v>
      </c>
      <c r="U146" s="45"/>
      <c r="V146" s="41" t="str">
        <f>IFERROR(INDEX([1]GARANTIA!$G:$G,MATCH(A146,[1]GARANTIA!$C:$C,0)),"INSIRA N° SERIE")</f>
        <v>SÃO JOSE DEL REI</v>
      </c>
      <c r="W146" s="41" t="str">
        <f>IFERROR(INDEX([1]GARANTIA!$H:$H,MATCH(A146,[1]GARANTIA!$C:$C,0)),"INSIRA N° SERIE")</f>
        <v>MG</v>
      </c>
      <c r="X146" s="41" t="str">
        <f>IFERROR(INDEX([1]GARANTIA!$F:$F,MATCH(A146,[1]GARANTIA!$C:$C,0)),"INSIRA N° SERIE")</f>
        <v>SUDESTE</v>
      </c>
      <c r="Y146" s="46">
        <f t="shared" si="14"/>
        <v>0</v>
      </c>
      <c r="Z146" s="47">
        <f t="shared" si="13"/>
        <v>8</v>
      </c>
      <c r="AA146" s="46">
        <f t="shared" si="15"/>
        <v>8</v>
      </c>
      <c r="AB146" s="46" t="str" cm="1">
        <f t="array" ref="AB146">IFERROR(_xlfn.IFS(L146="FINALIZADO PRESENCIAL",IF(AA146&gt;10,"FORA","DENTRO"),L146="FINALIZADO REMOTO",IF(AA146&gt;5,"FORA","DENTRO")),"-")</f>
        <v>DENTRO</v>
      </c>
      <c r="AC146" s="41" t="s">
        <v>1671</v>
      </c>
      <c r="AD146" s="41" t="s">
        <v>1671</v>
      </c>
      <c r="AE146" s="48" cm="1">
        <f t="array" ref="AE146">SUMPRODUCT(IFERROR(('[2]PEÇAS GARANTIA'!$A$3:$A$5993=G146)*('[2]PEÇAS GARANTIA'!$A$3:$A$5993&lt;&gt;"")*('[2]PEÇAS GARANTIA'!$R$3:$R$5993),0))</f>
        <v>0</v>
      </c>
      <c r="AF146" s="178">
        <v>955.99</v>
      </c>
    </row>
    <row r="147" spans="1:32" s="49" customFormat="1" ht="54.75" customHeight="1" x14ac:dyDescent="0.25">
      <c r="A147" s="83">
        <v>97866</v>
      </c>
      <c r="B147" s="41" t="str">
        <f>IFERROR(INDEX([1]GARANTIA!$B:$B,MATCH(A147,[1]GARANTIA!$C:$C,0)),"INSIRA N° SERIE")</f>
        <v>TESTE 78</v>
      </c>
      <c r="C147" s="33">
        <f>IFERROR(INDEX([1]GARANTIA!$J:$J,MATCH(A147,[1]GARANTIA!$C:$C,0)),"INSIRA N° SERIE")</f>
        <v>43364</v>
      </c>
      <c r="D147" s="33" t="str">
        <f>IFERROR(IF(INDEX([1]GARANTIA!$M:$M,MATCH(A147,[1]GARANTIA!$C:$C,0))&gt;=I147,"DENTRO DA GARANTIA","FORA DE GARANTIA"),"INSIRA N° SERIE")</f>
        <v>FORA DE GARANTIA</v>
      </c>
      <c r="E147" s="148"/>
      <c r="F147" s="109">
        <f>IFERROR(MAX(0,IF(I147-(INDEX([1]GARANTIA!$J:$J,MATCH(A147,[1]GARANTIA!$C:$C,0)))&gt;=0,I147-(INDEX([1]GARANTIA!$L:$L,MATCH(A147,[1]GARANTIA!$C:$C,0))),"INSIRA DATA CHAMADO")),"INSIRA N° SERIE")</f>
        <v>368</v>
      </c>
      <c r="G147" s="35">
        <v>20210456</v>
      </c>
      <c r="H147" s="35" t="str">
        <f t="shared" si="12"/>
        <v>ABR</v>
      </c>
      <c r="I147" s="36">
        <v>44314</v>
      </c>
      <c r="J147" s="37">
        <v>44314</v>
      </c>
      <c r="K147" s="39">
        <v>44314</v>
      </c>
      <c r="L147" s="42" t="s">
        <v>23</v>
      </c>
      <c r="M147" s="42" t="s">
        <v>8</v>
      </c>
      <c r="N147" s="42" t="s">
        <v>41</v>
      </c>
      <c r="O147" s="42" t="str">
        <f>IFERROR(INDEX([1]GARANTIA!$E:$E,MATCH(A147,[1]GARANTIA!$C:$C,0)),"INSIRA N° SERIE")</f>
        <v>MTI - 12.000GT</v>
      </c>
      <c r="P147" s="60" t="s">
        <v>167</v>
      </c>
      <c r="Q147" s="43" t="s">
        <v>38</v>
      </c>
      <c r="R147" s="60" t="s">
        <v>339</v>
      </c>
      <c r="S147" s="44" t="s">
        <v>101</v>
      </c>
      <c r="T147" s="44" t="s">
        <v>296</v>
      </c>
      <c r="U147" s="45"/>
      <c r="V147" s="41" t="str">
        <f>IFERROR(INDEX([1]GARANTIA!$G:$G,MATCH(A147,[1]GARANTIA!$C:$C,0)),"INSIRA N° SERIE")</f>
        <v>IPIAÇU</v>
      </c>
      <c r="W147" s="41" t="str">
        <f>IFERROR(INDEX([1]GARANTIA!$H:$H,MATCH(A147,[1]GARANTIA!$C:$C,0)),"INSIRA N° SERIE")</f>
        <v>MG</v>
      </c>
      <c r="X147" s="41" t="str">
        <f>IFERROR(INDEX([1]GARANTIA!$F:$F,MATCH(A147,[1]GARANTIA!$C:$C,0)),"INSIRA N° SERIE")</f>
        <v>SUDESTE</v>
      </c>
      <c r="Y147" s="46">
        <f t="shared" si="14"/>
        <v>0</v>
      </c>
      <c r="Z147" s="47">
        <f t="shared" si="13"/>
        <v>0</v>
      </c>
      <c r="AA147" s="46">
        <f t="shared" si="15"/>
        <v>0</v>
      </c>
      <c r="AB147" s="46" t="str" cm="1">
        <f t="array" ref="AB147">IFERROR(_xlfn.IFS(L147="FINALIZADO PRESENCIAL",IF(AA147&gt;10,"FORA","DENTRO"),L147="FINALIZADO REMOTO",IF(AA147&gt;5,"FORA","DENTRO")),"-")</f>
        <v>DENTRO</v>
      </c>
      <c r="AC147" s="41" t="s">
        <v>1671</v>
      </c>
      <c r="AD147" s="41" t="s">
        <v>1671</v>
      </c>
      <c r="AE147" s="48" cm="1">
        <f t="array" ref="AE147">SUMPRODUCT(IFERROR(('[2]PEÇAS GARANTIA'!$A$3:$A$5993=G147)*('[2]PEÇAS GARANTIA'!$A$3:$A$5993&lt;&gt;"")*('[2]PEÇAS GARANTIA'!$R$3:$R$5993),0))</f>
        <v>0</v>
      </c>
      <c r="AF147" s="178">
        <v>0</v>
      </c>
    </row>
    <row r="148" spans="1:32" s="49" customFormat="1" ht="51" customHeight="1" x14ac:dyDescent="0.25">
      <c r="A148" s="82">
        <v>86086</v>
      </c>
      <c r="B148" s="41" t="str">
        <f>IFERROR(INDEX([1]GARANTIA!$B:$B,MATCH(A148,[1]GARANTIA!$C:$C,0)),"INSIRA N° SERIE")</f>
        <v>TESTE 76</v>
      </c>
      <c r="C148" s="33">
        <f>IFERROR(INDEX([1]GARANTIA!$J:$J,MATCH(A148,[1]GARANTIA!$C:$C,0)),"INSIRA N° SERIE")</f>
        <v>43982</v>
      </c>
      <c r="D148" s="33" t="str">
        <f>IFERROR(IF(INDEX([1]GARANTIA!$M:$M,MATCH(A148,[1]GARANTIA!$C:$C,0))&gt;=I148,"DENTRO DA GARANTIA","FORA DE GARANTIA"),"INSIRA N° SERIE")</f>
        <v>DENTRO DA GARANTIA</v>
      </c>
      <c r="E148" s="148"/>
      <c r="F148" s="109">
        <f>IFERROR(MAX(0,IF(I148-(INDEX([1]GARANTIA!$J:$J,MATCH(A148,[1]GARANTIA!$C:$C,0)))&gt;=0,I148-(INDEX([1]GARANTIA!$L:$L,MATCH(A148,[1]GARANTIA!$C:$C,0))),"INSIRA DATA CHAMADO")),"INSIRA N° SERIE")</f>
        <v>298</v>
      </c>
      <c r="G148" s="35">
        <v>20210457</v>
      </c>
      <c r="H148" s="35" t="str">
        <f t="shared" si="12"/>
        <v>ABR</v>
      </c>
      <c r="I148" s="36">
        <v>44305</v>
      </c>
      <c r="J148" s="37">
        <v>44305</v>
      </c>
      <c r="K148" s="39">
        <v>44312</v>
      </c>
      <c r="L148" s="42" t="s">
        <v>11</v>
      </c>
      <c r="M148" s="42" t="s">
        <v>8</v>
      </c>
      <c r="N148" s="42" t="s">
        <v>28</v>
      </c>
      <c r="O148" s="42" t="str">
        <f>IFERROR(INDEX([1]GARANTIA!$E:$E,MATCH(A148,[1]GARANTIA!$C:$C,0)),"INSIRA N° SERIE")</f>
        <v>MTI - 1.000GTS</v>
      </c>
      <c r="P148" s="60" t="s">
        <v>340</v>
      </c>
      <c r="Q148" s="43" t="s">
        <v>326</v>
      </c>
      <c r="R148" s="60" t="s">
        <v>346</v>
      </c>
      <c r="S148" s="44" t="s">
        <v>101</v>
      </c>
      <c r="T148" s="44" t="s">
        <v>142</v>
      </c>
      <c r="U148" s="45"/>
      <c r="V148" s="41" t="str">
        <f>IFERROR(INDEX([1]GARANTIA!$G:$G,MATCH(A148,[1]GARANTIA!$C:$C,0)),"INSIRA N° SERIE")</f>
        <v>LUZIANA</v>
      </c>
      <c r="W148" s="41" t="str">
        <f>IFERROR(INDEX([1]GARANTIA!$H:$H,MATCH(A148,[1]GARANTIA!$C:$C,0)),"INSIRA N° SERIE")</f>
        <v xml:space="preserve">GO </v>
      </c>
      <c r="X148" s="41" t="str">
        <f>IFERROR(INDEX([1]GARANTIA!$F:$F,MATCH(A148,[1]GARANTIA!$C:$C,0)),"INSIRA N° SERIE")</f>
        <v>CENTROESTE</v>
      </c>
      <c r="Y148" s="46">
        <f t="shared" si="14"/>
        <v>0</v>
      </c>
      <c r="Z148" s="47">
        <f t="shared" si="13"/>
        <v>7</v>
      </c>
      <c r="AA148" s="46">
        <f t="shared" si="15"/>
        <v>7</v>
      </c>
      <c r="AB148" s="46" t="str" cm="1">
        <f t="array" ref="AB148">IFERROR(_xlfn.IFS(L148="FINALIZADO PRESENCIAL",IF(AA148&gt;10,"FORA","DENTRO"),L148="FINALIZADO REMOTO",IF(AA148&gt;5,"FORA","DENTRO")),"-")</f>
        <v>DENTRO</v>
      </c>
      <c r="AC148" s="41" t="s">
        <v>1671</v>
      </c>
      <c r="AD148" s="41" t="s">
        <v>1671</v>
      </c>
      <c r="AE148" s="48" cm="1">
        <f t="array" ref="AE148">SUMPRODUCT(IFERROR(('[2]PEÇAS GARANTIA'!$A$3:$A$5993=G148)*('[2]PEÇAS GARANTIA'!$A$3:$A$5993&lt;&gt;"")*('[2]PEÇAS GARANTIA'!$R$3:$R$5993),0))</f>
        <v>934</v>
      </c>
      <c r="AF148" s="178">
        <v>7981.4699999999993</v>
      </c>
    </row>
    <row r="149" spans="1:32" s="49" customFormat="1" ht="49.5" customHeight="1" x14ac:dyDescent="0.25">
      <c r="A149" s="83">
        <v>47823</v>
      </c>
      <c r="B149" s="41" t="str">
        <f>IFERROR(INDEX([1]GARANTIA!$B:$B,MATCH(A149,[1]GARANTIA!$C:$C,0)),"INSIRA N° SERIE")</f>
        <v>TESTE 295</v>
      </c>
      <c r="C149" s="33">
        <f>IFERROR(INDEX([1]GARANTIA!$J:$J,MATCH(A149,[1]GARANTIA!$C:$C,0)),"INSIRA N° SERIE")</f>
        <v>43830</v>
      </c>
      <c r="D149" s="33" t="str">
        <f>IFERROR(IF(INDEX([1]GARANTIA!$M:$M,MATCH(A149,[1]GARANTIA!$C:$C,0))&gt;=I149,"DENTRO DA GARANTIA","FORA DE GARANTIA"),"INSIRA N° SERIE")</f>
        <v>DENTRO DA GARANTIA</v>
      </c>
      <c r="E149" s="148"/>
      <c r="F149" s="109">
        <f>IFERROR(MAX(0,IF(I149-(INDEX([1]GARANTIA!$J:$J,MATCH(A149,[1]GARANTIA!$C:$C,0)))&gt;=0,I149-(INDEX([1]GARANTIA!$L:$L,MATCH(A149,[1]GARANTIA!$C:$C,0))),"INSIRA DATA CHAMADO")),"INSIRA N° SERIE")</f>
        <v>202</v>
      </c>
      <c r="G149" s="35">
        <v>20210459</v>
      </c>
      <c r="H149" s="35" t="str">
        <f t="shared" si="12"/>
        <v>ABR</v>
      </c>
      <c r="I149" s="36">
        <v>44315</v>
      </c>
      <c r="J149" s="37">
        <v>44315</v>
      </c>
      <c r="K149" s="39">
        <v>44321</v>
      </c>
      <c r="L149" s="42" t="s">
        <v>11</v>
      </c>
      <c r="M149" s="42" t="s">
        <v>8</v>
      </c>
      <c r="N149" s="42" t="s">
        <v>40</v>
      </c>
      <c r="O149" s="42" t="str">
        <f>IFERROR(INDEX([1]GARANTIA!$E:$E,MATCH(A149,[1]GARANTIA!$C:$C,0)),"INSIRA N° SERIE")</f>
        <v>MTI - 12.000GTS</v>
      </c>
      <c r="P149" s="60" t="s">
        <v>345</v>
      </c>
      <c r="Q149" s="43" t="s">
        <v>144</v>
      </c>
      <c r="R149" s="60" t="s">
        <v>364</v>
      </c>
      <c r="S149" s="44" t="s">
        <v>638</v>
      </c>
      <c r="T149" s="44" t="s">
        <v>144</v>
      </c>
      <c r="U149" s="45"/>
      <c r="V149" s="41" t="str">
        <f>IFERROR(INDEX([1]GARANTIA!$G:$G,MATCH(A149,[1]GARANTIA!$C:$C,0)),"INSIRA N° SERIE")</f>
        <v xml:space="preserve">LUIS EDUARDO MAGALHAES </v>
      </c>
      <c r="W149" s="41" t="str">
        <f>IFERROR(INDEX([1]GARANTIA!$H:$H,MATCH(A149,[1]GARANTIA!$C:$C,0)),"INSIRA N° SERIE")</f>
        <v>BA</v>
      </c>
      <c r="X149" s="41" t="str">
        <f>IFERROR(INDEX([1]GARANTIA!$F:$F,MATCH(A149,[1]GARANTIA!$C:$C,0)),"INSIRA N° SERIE")</f>
        <v>NORDESTE</v>
      </c>
      <c r="Y149" s="46">
        <f t="shared" si="14"/>
        <v>0</v>
      </c>
      <c r="Z149" s="47">
        <f t="shared" si="13"/>
        <v>6</v>
      </c>
      <c r="AA149" s="46">
        <f t="shared" si="15"/>
        <v>6</v>
      </c>
      <c r="AB149" s="46" t="str" cm="1">
        <f t="array" ref="AB149">IFERROR(_xlfn.IFS(L149="FINALIZADO PRESENCIAL",IF(AA149&gt;10,"FORA","DENTRO"),L149="FINALIZADO REMOTO",IF(AA149&gt;5,"FORA","DENTRO")),"-")</f>
        <v>DENTRO</v>
      </c>
      <c r="AC149" s="41" t="s">
        <v>1671</v>
      </c>
      <c r="AD149" s="41" t="s">
        <v>1671</v>
      </c>
      <c r="AE149" s="48" cm="1">
        <f t="array" ref="AE149">SUMPRODUCT(IFERROR(('[2]PEÇAS GARANTIA'!$A$3:$A$5993=G149)*('[2]PEÇAS GARANTIA'!$A$3:$A$5993&lt;&gt;"")*('[2]PEÇAS GARANTIA'!$R$3:$R$5993),0))</f>
        <v>0</v>
      </c>
      <c r="AF149" s="178">
        <v>2650</v>
      </c>
    </row>
    <row r="150" spans="1:32" s="49" customFormat="1" ht="49.5" customHeight="1" x14ac:dyDescent="0.25">
      <c r="A150" s="83">
        <v>50875</v>
      </c>
      <c r="B150" s="41" t="str">
        <f>IFERROR(INDEX([1]GARANTIA!$B:$B,MATCH(A150,[1]GARANTIA!$C:$C,0)),"INSIRA N° SERIE")</f>
        <v>TESTE 186</v>
      </c>
      <c r="C150" s="33">
        <f>IFERROR(INDEX([1]GARANTIA!$J:$J,MATCH(A150,[1]GARANTIA!$C:$C,0)),"INSIRA N° SERIE")</f>
        <v>44075</v>
      </c>
      <c r="D150" s="33" t="str">
        <f>IFERROR(IF(INDEX([1]GARANTIA!$M:$M,MATCH(A150,[1]GARANTIA!$C:$C,0))&gt;=I150,"DENTRO DA GARANTIA","FORA DE GARANTIA"),"INSIRA N° SERIE")</f>
        <v>DENTRO DA GARANTIA</v>
      </c>
      <c r="E150" s="148"/>
      <c r="F150" s="109">
        <f>IFERROR(MAX(0,IF(I150-(INDEX([1]GARANTIA!$J:$J,MATCH(A150,[1]GARANTIA!$C:$C,0)))&gt;=0,I150-(INDEX([1]GARANTIA!$L:$L,MATCH(A150,[1]GARANTIA!$C:$C,0))),"INSIRA DATA CHAMADO")),"INSIRA N° SERIE")</f>
        <v>127</v>
      </c>
      <c r="G150" s="35">
        <v>20210460</v>
      </c>
      <c r="H150" s="35" t="str">
        <f t="shared" si="12"/>
        <v>ABR</v>
      </c>
      <c r="I150" s="36">
        <v>44315</v>
      </c>
      <c r="J150" s="37">
        <v>44315</v>
      </c>
      <c r="K150" s="39">
        <v>44315</v>
      </c>
      <c r="L150" s="42" t="s">
        <v>23</v>
      </c>
      <c r="M150" s="42" t="s">
        <v>8</v>
      </c>
      <c r="N150" s="42" t="s">
        <v>41</v>
      </c>
      <c r="O150" s="42" t="str">
        <f>IFERROR(INDEX([1]GARANTIA!$E:$E,MATCH(A150,[1]GARANTIA!$C:$C,0)),"INSIRA N° SERIE")</f>
        <v>MTI - 7.000GTS</v>
      </c>
      <c r="P150" s="60" t="s">
        <v>167</v>
      </c>
      <c r="Q150" s="43" t="s">
        <v>38</v>
      </c>
      <c r="R150" s="60" t="s">
        <v>168</v>
      </c>
      <c r="S150" s="44" t="s">
        <v>101</v>
      </c>
      <c r="T150" s="44" t="s">
        <v>296</v>
      </c>
      <c r="U150" s="45"/>
      <c r="V150" s="41" t="str">
        <f>IFERROR(INDEX([1]GARANTIA!$G:$G,MATCH(A150,[1]GARANTIA!$C:$C,0)),"INSIRA N° SERIE")</f>
        <v>NOVA SERRANA</v>
      </c>
      <c r="W150" s="41" t="str">
        <f>IFERROR(INDEX([1]GARANTIA!$H:$H,MATCH(A150,[1]GARANTIA!$C:$C,0)),"INSIRA N° SERIE")</f>
        <v>MG</v>
      </c>
      <c r="X150" s="41" t="str">
        <f>IFERROR(INDEX([1]GARANTIA!$F:$F,MATCH(A150,[1]GARANTIA!$C:$C,0)),"INSIRA N° SERIE")</f>
        <v>SUDESTE</v>
      </c>
      <c r="Y150" s="46">
        <f t="shared" si="14"/>
        <v>0</v>
      </c>
      <c r="Z150" s="47">
        <f t="shared" si="13"/>
        <v>0</v>
      </c>
      <c r="AA150" s="46">
        <f t="shared" si="15"/>
        <v>0</v>
      </c>
      <c r="AB150" s="46" t="str" cm="1">
        <f t="array" ref="AB150">IFERROR(_xlfn.IFS(L150="FINALIZADO PRESENCIAL",IF(AA150&gt;10,"FORA","DENTRO"),L150="FINALIZADO REMOTO",IF(AA150&gt;5,"FORA","DENTRO")),"-")</f>
        <v>DENTRO</v>
      </c>
      <c r="AC150" s="41" t="s">
        <v>1671</v>
      </c>
      <c r="AD150" s="41" t="s">
        <v>1671</v>
      </c>
      <c r="AE150" s="48" cm="1">
        <f t="array" ref="AE150">SUMPRODUCT(IFERROR(('[2]PEÇAS GARANTIA'!$A$3:$A$5993=G150)*('[2]PEÇAS GARANTIA'!$A$3:$A$5993&lt;&gt;"")*('[2]PEÇAS GARANTIA'!$R$3:$R$5993),0))</f>
        <v>0</v>
      </c>
      <c r="AF150" s="178">
        <v>0</v>
      </c>
    </row>
    <row r="151" spans="1:32" s="49" customFormat="1" ht="49.5" customHeight="1" x14ac:dyDescent="0.25">
      <c r="A151" s="83">
        <v>30372</v>
      </c>
      <c r="B151" s="41" t="str">
        <f>IFERROR(INDEX([1]GARANTIA!$B:$B,MATCH(A151,[1]GARANTIA!$C:$C,0)),"INSIRA N° SERIE")</f>
        <v>TESTE 215</v>
      </c>
      <c r="C151" s="33">
        <f>IFERROR(INDEX([1]GARANTIA!$J:$J,MATCH(A151,[1]GARANTIA!$C:$C,0)),"INSIRA N° SERIE")</f>
        <v>44012</v>
      </c>
      <c r="D151" s="33" t="str">
        <f>IFERROR(IF(INDEX([1]GARANTIA!$M:$M,MATCH(A151,[1]GARANTIA!$C:$C,0))&gt;=I151,"DENTRO DA GARANTIA","FORA DE GARANTIA"),"INSIRA N° SERIE")</f>
        <v>DENTRO DA GARANTIA</v>
      </c>
      <c r="E151" s="148"/>
      <c r="F151" s="109">
        <f>IFERROR(MAX(0,IF(I151-(INDEX([1]GARANTIA!$J:$J,MATCH(A151,[1]GARANTIA!$C:$C,0)))&gt;=0,I151-(INDEX([1]GARANTIA!$L:$L,MATCH(A151,[1]GARANTIA!$C:$C,0))),"INSIRA DATA CHAMADO")),"INSIRA N° SERIE")</f>
        <v>192</v>
      </c>
      <c r="G151" s="35">
        <v>20210461</v>
      </c>
      <c r="H151" s="35" t="str">
        <f t="shared" si="12"/>
        <v>ABR</v>
      </c>
      <c r="I151" s="36">
        <v>44315</v>
      </c>
      <c r="J151" s="37">
        <v>44315</v>
      </c>
      <c r="K151" s="39">
        <v>44315</v>
      </c>
      <c r="L151" s="42" t="s">
        <v>23</v>
      </c>
      <c r="M151" s="42" t="s">
        <v>8</v>
      </c>
      <c r="N151" s="42" t="s">
        <v>50</v>
      </c>
      <c r="O151" s="42" t="str">
        <f>IFERROR(INDEX([1]GARANTIA!$E:$E,MATCH(A151,[1]GARANTIA!$C:$C,0)),"INSIRA N° SERIE")</f>
        <v>EMS - 1</v>
      </c>
      <c r="P151" s="60" t="s">
        <v>347</v>
      </c>
      <c r="Q151" s="43" t="s">
        <v>326</v>
      </c>
      <c r="R151" s="60" t="s">
        <v>348</v>
      </c>
      <c r="S151" s="44" t="s">
        <v>325</v>
      </c>
      <c r="T151" s="44" t="s">
        <v>640</v>
      </c>
      <c r="U151" s="45"/>
      <c r="V151" s="41" t="str">
        <f>IFERROR(INDEX([1]GARANTIA!$G:$G,MATCH(A151,[1]GARANTIA!$C:$C,0)),"INSIRA N° SERIE")</f>
        <v xml:space="preserve">VILHENA </v>
      </c>
      <c r="W151" s="41" t="str">
        <f>IFERROR(INDEX([1]GARANTIA!$H:$H,MATCH(A151,[1]GARANTIA!$C:$C,0)),"INSIRA N° SERIE")</f>
        <v>RO</v>
      </c>
      <c r="X151" s="41" t="str">
        <f>IFERROR(INDEX([1]GARANTIA!$F:$F,MATCH(A151,[1]GARANTIA!$C:$C,0)),"INSIRA N° SERIE")</f>
        <v>NORTE</v>
      </c>
      <c r="Y151" s="46">
        <f t="shared" si="14"/>
        <v>0</v>
      </c>
      <c r="Z151" s="47">
        <f t="shared" si="13"/>
        <v>0</v>
      </c>
      <c r="AA151" s="46">
        <f t="shared" si="15"/>
        <v>0</v>
      </c>
      <c r="AB151" s="46" t="str" cm="1">
        <f t="array" ref="AB151">IFERROR(_xlfn.IFS(L151="FINALIZADO PRESENCIAL",IF(AA151&gt;10,"FORA","DENTRO"),L151="FINALIZADO REMOTO",IF(AA151&gt;5,"FORA","DENTRO")),"-")</f>
        <v>DENTRO</v>
      </c>
      <c r="AC151" s="41" t="s">
        <v>1671</v>
      </c>
      <c r="AD151" s="41" t="s">
        <v>1671</v>
      </c>
      <c r="AE151" s="48" cm="1">
        <f t="array" ref="AE151">SUMPRODUCT(IFERROR(('[2]PEÇAS GARANTIA'!$A$3:$A$5993=G151)*('[2]PEÇAS GARANTIA'!$A$3:$A$5993&lt;&gt;"")*('[2]PEÇAS GARANTIA'!$R$3:$R$5993),0))</f>
        <v>175.3</v>
      </c>
      <c r="AF151" s="178">
        <v>0</v>
      </c>
    </row>
    <row r="152" spans="1:32" s="49" customFormat="1" ht="49.5" customHeight="1" x14ac:dyDescent="0.25">
      <c r="A152" s="83">
        <v>56629</v>
      </c>
      <c r="B152" s="41" t="str">
        <f>IFERROR(INDEX([1]GARANTIA!$B:$B,MATCH(A152,[1]GARANTIA!$C:$C,0)),"INSIRA N° SERIE")</f>
        <v>TESTE 330</v>
      </c>
      <c r="C152" s="33">
        <f>IFERROR(INDEX([1]GARANTIA!$J:$J,MATCH(A152,[1]GARANTIA!$C:$C,0)),"INSIRA N° SERIE")</f>
        <v>44090</v>
      </c>
      <c r="D152" s="33" t="str">
        <f>IFERROR(IF(INDEX([1]GARANTIA!$M:$M,MATCH(A152,[1]GARANTIA!$C:$C,0))&gt;=I152,"DENTRO DA GARANTIA","FORA DE GARANTIA"),"INSIRA N° SERIE")</f>
        <v>DENTRO DA GARANTIA</v>
      </c>
      <c r="E152" s="148"/>
      <c r="F152" s="109">
        <f>IFERROR(MAX(0,IF(I152-(INDEX([1]GARANTIA!$J:$J,MATCH(A152,[1]GARANTIA!$C:$C,0)))&gt;=0,I152-(INDEX([1]GARANTIA!$L:$L,MATCH(A152,[1]GARANTIA!$C:$C,0))),"INSIRA DATA CHAMADO")),"INSIRA N° SERIE")</f>
        <v>133</v>
      </c>
      <c r="G152" s="35">
        <v>20210462</v>
      </c>
      <c r="H152" s="35" t="str">
        <f t="shared" si="12"/>
        <v>ABR</v>
      </c>
      <c r="I152" s="36">
        <v>44316</v>
      </c>
      <c r="J152" s="37">
        <v>44316</v>
      </c>
      <c r="K152" s="39">
        <v>44316</v>
      </c>
      <c r="L152" s="42" t="s">
        <v>23</v>
      </c>
      <c r="M152" s="42" t="s">
        <v>8</v>
      </c>
      <c r="N152" s="42" t="s">
        <v>50</v>
      </c>
      <c r="O152" s="42" t="str">
        <f>IFERROR(INDEX([1]GARANTIA!$E:$E,MATCH(A152,[1]GARANTIA!$C:$C,0)),"INSIRA N° SERIE")</f>
        <v>EMS - 0</v>
      </c>
      <c r="P152" s="60" t="s">
        <v>353</v>
      </c>
      <c r="Q152" s="43" t="s">
        <v>335</v>
      </c>
      <c r="R152" s="60" t="s">
        <v>350</v>
      </c>
      <c r="S152" s="44" t="s">
        <v>102</v>
      </c>
      <c r="T152" s="44" t="s">
        <v>296</v>
      </c>
      <c r="U152" s="45"/>
      <c r="V152" s="41" t="str">
        <f>IFERROR(INDEX([1]GARANTIA!$G:$G,MATCH(A152,[1]GARANTIA!$C:$C,0)),"INSIRA N° SERIE")</f>
        <v>QUIRINOPOLIS</v>
      </c>
      <c r="W152" s="41" t="str">
        <f>IFERROR(INDEX([1]GARANTIA!$H:$H,MATCH(A152,[1]GARANTIA!$C:$C,0)),"INSIRA N° SERIE")</f>
        <v xml:space="preserve">GO </v>
      </c>
      <c r="X152" s="41" t="str">
        <f>IFERROR(INDEX([1]GARANTIA!$F:$F,MATCH(A152,[1]GARANTIA!$C:$C,0)),"INSIRA N° SERIE")</f>
        <v>CENTROESTE</v>
      </c>
      <c r="Y152" s="46">
        <f t="shared" si="14"/>
        <v>0</v>
      </c>
      <c r="Z152" s="47">
        <f t="shared" si="13"/>
        <v>0</v>
      </c>
      <c r="AA152" s="46">
        <f t="shared" si="15"/>
        <v>0</v>
      </c>
      <c r="AB152" s="46" t="str" cm="1">
        <f t="array" ref="AB152">IFERROR(_xlfn.IFS(L152="FINALIZADO PRESENCIAL",IF(AA152&gt;10,"FORA","DENTRO"),L152="FINALIZADO REMOTO",IF(AA152&gt;5,"FORA","DENTRO")),"-")</f>
        <v>DENTRO</v>
      </c>
      <c r="AC152" s="41" t="s">
        <v>1671</v>
      </c>
      <c r="AD152" s="41" t="s">
        <v>1671</v>
      </c>
      <c r="AE152" s="48" cm="1">
        <f t="array" ref="AE152">SUMPRODUCT(IFERROR(('[2]PEÇAS GARANTIA'!$A$3:$A$5993=G152)*('[2]PEÇAS GARANTIA'!$A$3:$A$5993&lt;&gt;"")*('[2]PEÇAS GARANTIA'!$R$3:$R$5993),0))</f>
        <v>0</v>
      </c>
      <c r="AF152" s="178">
        <v>0</v>
      </c>
    </row>
    <row r="153" spans="1:32" ht="46.5" customHeight="1" x14ac:dyDescent="0.25">
      <c r="A153" s="84">
        <v>74384</v>
      </c>
      <c r="B153" s="41" t="str">
        <f>IFERROR(INDEX([1]GARANTIA!$B:$B,MATCH(A153,[1]GARANTIA!$C:$C,0)),"INSIRA N° SERIE")</f>
        <v>TESTE 8</v>
      </c>
      <c r="C153" s="33">
        <f>IFERROR(INDEX([1]GARANTIA!$J:$J,MATCH(A153,[1]GARANTIA!$C:$C,0)),"INSIRA N° SERIE")</f>
        <v>44064</v>
      </c>
      <c r="D153" s="33" t="str">
        <f>IFERROR(IF(INDEX([1]GARANTIA!$M:$M,MATCH(A153,[1]GARANTIA!$C:$C,0))&gt;=I153,"DENTRO DA GARANTIA","FORA DE GARANTIA"),"INSIRA N° SERIE")</f>
        <v>DENTRO DA GARANTIA</v>
      </c>
      <c r="E153" s="148"/>
      <c r="F153" s="109">
        <f>IFERROR(MAX(0,IF(I153-(INDEX([1]GARANTIA!$J:$J,MATCH(A153,[1]GARANTIA!$C:$C,0)))&gt;=0,I153-(INDEX([1]GARANTIA!$L:$L,MATCH(A153,[1]GARANTIA!$C:$C,0))),"INSIRA DATA CHAMADO")),"INSIRA N° SERIE")</f>
        <v>30</v>
      </c>
      <c r="G153" s="35">
        <v>20210463</v>
      </c>
      <c r="H153" s="35" t="str">
        <f t="shared" si="12"/>
        <v>ABR</v>
      </c>
      <c r="I153" s="36">
        <v>44316</v>
      </c>
      <c r="J153" s="37">
        <v>44316</v>
      </c>
      <c r="K153" s="39">
        <v>44316</v>
      </c>
      <c r="L153" s="42" t="s">
        <v>23</v>
      </c>
      <c r="M153" s="42" t="s">
        <v>8</v>
      </c>
      <c r="N153" s="42" t="s">
        <v>44</v>
      </c>
      <c r="O153" s="42" t="str">
        <f>IFERROR(INDEX([1]GARANTIA!$E:$E,MATCH(A153,[1]GARANTIA!$C:$C,0)),"INSIRA N° SERIE")</f>
        <v>MTI - 10.000GE</v>
      </c>
      <c r="P153" s="60" t="s">
        <v>351</v>
      </c>
      <c r="Q153" s="43" t="s">
        <v>305</v>
      </c>
      <c r="R153" s="60" t="s">
        <v>355</v>
      </c>
      <c r="S153" s="44" t="s">
        <v>102</v>
      </c>
      <c r="T153" s="44" t="s">
        <v>296</v>
      </c>
      <c r="U153" s="45"/>
      <c r="V153" s="41" t="str">
        <f>IFERROR(INDEX([1]GARANTIA!$G:$G,MATCH(A153,[1]GARANTIA!$C:$C,0)),"INSIRA N° SERIE")</f>
        <v xml:space="preserve">SÃO PAULO </v>
      </c>
      <c r="W153" s="41" t="str">
        <f>IFERROR(INDEX([1]GARANTIA!$H:$H,MATCH(A153,[1]GARANTIA!$C:$C,0)),"INSIRA N° SERIE")</f>
        <v xml:space="preserve">SP </v>
      </c>
      <c r="X153" s="41" t="str">
        <f>IFERROR(INDEX([1]GARANTIA!$F:$F,MATCH(A153,[1]GARANTIA!$C:$C,0)),"INSIRA N° SERIE")</f>
        <v>SUDESTE</v>
      </c>
      <c r="Y153" s="46">
        <f t="shared" si="14"/>
        <v>0</v>
      </c>
      <c r="Z153" s="47">
        <f t="shared" si="13"/>
        <v>0</v>
      </c>
      <c r="AA153" s="46">
        <f t="shared" si="15"/>
        <v>0</v>
      </c>
      <c r="AB153" s="46" t="str" cm="1">
        <f t="array" ref="AB153">IFERROR(_xlfn.IFS(L153="FINALIZADO PRESENCIAL",IF(AA153&gt;10,"FORA","DENTRO"),L153="FINALIZADO REMOTO",IF(AA153&gt;5,"FORA","DENTRO")),"-")</f>
        <v>DENTRO</v>
      </c>
      <c r="AC153" s="41" t="s">
        <v>1671</v>
      </c>
      <c r="AD153" s="41" t="s">
        <v>1671</v>
      </c>
      <c r="AE153" s="48" cm="1">
        <f t="array" ref="AE153">SUMPRODUCT(IFERROR(('[2]PEÇAS GARANTIA'!$A$3:$A$5993=G153)*('[2]PEÇAS GARANTIA'!$A$3:$A$5993&lt;&gt;"")*('[2]PEÇAS GARANTIA'!$R$3:$R$5993),0))</f>
        <v>0</v>
      </c>
      <c r="AF153" s="178">
        <v>0</v>
      </c>
    </row>
    <row r="154" spans="1:32" ht="34.5" customHeight="1" x14ac:dyDescent="0.25">
      <c r="A154" s="85">
        <v>96117</v>
      </c>
      <c r="B154" s="41" t="str">
        <f>IFERROR(INDEX([1]GARANTIA!$B:$B,MATCH(A154,[1]GARANTIA!$C:$C,0)),"INSIRA N° SERIE")</f>
        <v>TESTE 125</v>
      </c>
      <c r="C154" s="33">
        <f>IFERROR(INDEX([1]GARANTIA!$J:$J,MATCH(A154,[1]GARANTIA!$C:$C,0)),"INSIRA N° SERIE")</f>
        <v>44134</v>
      </c>
      <c r="D154" s="33" t="str">
        <f>IFERROR(IF(INDEX([1]GARANTIA!$M:$M,MATCH(A154,[1]GARANTIA!$C:$C,0))&gt;=I154,"DENTRO DA GARANTIA","FORA DE GARANTIA"),"INSIRA N° SERIE")</f>
        <v>DENTRO DA GARANTIA</v>
      </c>
      <c r="E154" s="148"/>
      <c r="F154" s="109">
        <f>IFERROR(MAX(0,IF(I154-(INDEX([1]GARANTIA!$J:$J,MATCH(A154,[1]GARANTIA!$C:$C,0)))&gt;=0,I154-(INDEX([1]GARANTIA!$L:$L,MATCH(A154,[1]GARANTIA!$C:$C,0))),"INSIRA DATA CHAMADO")),"INSIRA N° SERIE")</f>
        <v>0</v>
      </c>
      <c r="G154" s="35">
        <v>20210474</v>
      </c>
      <c r="H154" s="35" t="str">
        <f t="shared" si="12"/>
        <v>ABR</v>
      </c>
      <c r="I154" s="36">
        <v>44308</v>
      </c>
      <c r="J154" s="37">
        <v>44308</v>
      </c>
      <c r="K154" s="39">
        <v>44308</v>
      </c>
      <c r="L154" s="42" t="s">
        <v>11</v>
      </c>
      <c r="M154" s="42" t="s">
        <v>164</v>
      </c>
      <c r="N154" s="42" t="s">
        <v>42</v>
      </c>
      <c r="O154" s="42" t="str">
        <f>IFERROR(INDEX([1]GARANTIA!$E:$E,MATCH(A154,[1]GARANTIA!$C:$C,0)),"INSIRA N° SERIE")</f>
        <v>MTI - 7.000GES</v>
      </c>
      <c r="P154" s="60" t="s">
        <v>371</v>
      </c>
      <c r="Q154" s="43" t="s">
        <v>324</v>
      </c>
      <c r="R154" s="60" t="s">
        <v>372</v>
      </c>
      <c r="S154" s="44" t="s">
        <v>101</v>
      </c>
      <c r="T154" s="44" t="s">
        <v>306</v>
      </c>
      <c r="U154" s="45"/>
      <c r="V154" s="41" t="str">
        <f>IFERROR(INDEX([1]GARANTIA!$G:$G,MATCH(A154,[1]GARANTIA!$C:$C,0)),"INSIRA N° SERIE")</f>
        <v>MARECHAL DEODORO</v>
      </c>
      <c r="W154" s="41" t="str">
        <f>IFERROR(INDEX([1]GARANTIA!$H:$H,MATCH(A154,[1]GARANTIA!$C:$C,0)),"INSIRA N° SERIE")</f>
        <v xml:space="preserve">AL </v>
      </c>
      <c r="X154" s="41" t="str">
        <f>IFERROR(INDEX([1]GARANTIA!$F:$F,MATCH(A154,[1]GARANTIA!$C:$C,0)),"INSIRA N° SERIE")</f>
        <v>NORDESTE</v>
      </c>
      <c r="Y154" s="46">
        <f t="shared" si="14"/>
        <v>0</v>
      </c>
      <c r="Z154" s="47">
        <f t="shared" si="13"/>
        <v>0</v>
      </c>
      <c r="AA154" s="46">
        <f t="shared" si="15"/>
        <v>0</v>
      </c>
      <c r="AB154" s="46" t="str" cm="1">
        <f t="array" ref="AB154">IFERROR(_xlfn.IFS(L154="FINALIZADO PRESENCIAL",IF(AA154&gt;10,"FORA","DENTRO"),L154="FINALIZADO REMOTO",IF(AA154&gt;5,"FORA","DENTRO")),"-")</f>
        <v>DENTRO</v>
      </c>
      <c r="AC154" s="41" t="s">
        <v>1671</v>
      </c>
      <c r="AD154" s="41" t="s">
        <v>1671</v>
      </c>
      <c r="AE154" s="48" cm="1">
        <f t="array" ref="AE154">SUMPRODUCT(IFERROR(('[2]PEÇAS GARANTIA'!$A$3:$A$5993=G154)*('[2]PEÇAS GARANTIA'!$A$3:$A$5993&lt;&gt;"")*('[2]PEÇAS GARANTIA'!$R$3:$R$5993),0))</f>
        <v>440</v>
      </c>
      <c r="AF154" s="178">
        <v>0</v>
      </c>
    </row>
    <row r="155" spans="1:32" ht="40.15" customHeight="1" x14ac:dyDescent="0.25">
      <c r="A155" s="86">
        <v>25628</v>
      </c>
      <c r="B155" s="41" t="str">
        <f>IFERROR(INDEX([1]GARANTIA!$B:$B,MATCH(A155,[1]GARANTIA!$C:$C,0)),"INSIRA N° SERIE")</f>
        <v>TESTE 70</v>
      </c>
      <c r="C155" s="33">
        <f>IFERROR(INDEX([1]GARANTIA!$J:$J,MATCH(A155,[1]GARANTIA!$C:$C,0)),"INSIRA N° SERIE")</f>
        <v>44043</v>
      </c>
      <c r="D155" s="33" t="str">
        <f>IFERROR(IF(INDEX([1]GARANTIA!$M:$M,MATCH(A155,[1]GARANTIA!$C:$C,0))&gt;=I155,"DENTRO DA GARANTIA","FORA DE GARANTIA"),"INSIRA N° SERIE")</f>
        <v>DENTRO DA GARANTIA</v>
      </c>
      <c r="E155" s="148"/>
      <c r="F155" s="109">
        <f>IFERROR(MAX(0,IF(I155-(INDEX([1]GARANTIA!$J:$J,MATCH(A155,[1]GARANTIA!$C:$C,0)))&gt;=0,I155-(INDEX([1]GARANTIA!$L:$L,MATCH(A155,[1]GARANTIA!$C:$C,0))),"INSIRA DATA CHAMADO")),"INSIRA N° SERIE")</f>
        <v>140</v>
      </c>
      <c r="G155" s="35">
        <v>20210464</v>
      </c>
      <c r="H155" s="35" t="str">
        <f t="shared" si="12"/>
        <v>ABR</v>
      </c>
      <c r="I155" s="36">
        <v>44316</v>
      </c>
      <c r="J155" s="37">
        <v>44316</v>
      </c>
      <c r="K155" s="39">
        <v>44316</v>
      </c>
      <c r="L155" s="42" t="s">
        <v>23</v>
      </c>
      <c r="M155" s="42" t="s">
        <v>8</v>
      </c>
      <c r="N155" s="42" t="s">
        <v>76</v>
      </c>
      <c r="O155" s="42" t="str">
        <f>IFERROR(INDEX([1]GARANTIA!$E:$E,MATCH(A155,[1]GARANTIA!$C:$C,0)),"INSIRA N° SERIE")</f>
        <v>MTI - 1.000GTS</v>
      </c>
      <c r="P155" s="60" t="s">
        <v>352</v>
      </c>
      <c r="Q155" s="43" t="s">
        <v>38</v>
      </c>
      <c r="R155" s="60" t="s">
        <v>354</v>
      </c>
      <c r="S155" s="44" t="s">
        <v>101</v>
      </c>
      <c r="T155" s="44" t="s">
        <v>296</v>
      </c>
      <c r="U155" s="45"/>
      <c r="V155" s="41" t="str">
        <f>IFERROR(INDEX([1]GARANTIA!$G:$G,MATCH(A155,[1]GARANTIA!$C:$C,0)),"INSIRA N° SERIE")</f>
        <v>ARAPUTANGA</v>
      </c>
      <c r="W155" s="41" t="str">
        <f>IFERROR(INDEX([1]GARANTIA!$H:$H,MATCH(A155,[1]GARANTIA!$C:$C,0)),"INSIRA N° SERIE")</f>
        <v>MT</v>
      </c>
      <c r="X155" s="41" t="str">
        <f>IFERROR(INDEX([1]GARANTIA!$F:$F,MATCH(A155,[1]GARANTIA!$C:$C,0)),"INSIRA N° SERIE")</f>
        <v>CENTROESTE</v>
      </c>
      <c r="Y155" s="46">
        <f t="shared" si="14"/>
        <v>0</v>
      </c>
      <c r="Z155" s="47">
        <f t="shared" si="13"/>
        <v>0</v>
      </c>
      <c r="AA155" s="46">
        <f t="shared" si="15"/>
        <v>0</v>
      </c>
      <c r="AB155" s="46" t="str" cm="1">
        <f t="array" ref="AB155">IFERROR(_xlfn.IFS(L155="FINALIZADO PRESENCIAL",IF(AA155&gt;10,"FORA","DENTRO"),L155="FINALIZADO REMOTO",IF(AA155&gt;5,"FORA","DENTRO")),"-")</f>
        <v>DENTRO</v>
      </c>
      <c r="AC155" s="41" t="s">
        <v>1671</v>
      </c>
      <c r="AD155" s="41" t="s">
        <v>1671</v>
      </c>
      <c r="AE155" s="48" cm="1">
        <f t="array" ref="AE155">SUMPRODUCT(IFERROR(('[2]PEÇAS GARANTIA'!$A$3:$A$5993=G155)*('[2]PEÇAS GARANTIA'!$A$3:$A$5993&lt;&gt;"")*('[2]PEÇAS GARANTIA'!$R$3:$R$5993),0))</f>
        <v>0</v>
      </c>
      <c r="AF155" s="178">
        <v>0</v>
      </c>
    </row>
    <row r="156" spans="1:32" ht="40.15" customHeight="1" x14ac:dyDescent="0.25">
      <c r="A156" s="83">
        <v>74384</v>
      </c>
      <c r="B156" s="41" t="str">
        <f>IFERROR(INDEX([1]GARANTIA!$B:$B,MATCH(A156,[1]GARANTIA!$C:$C,0)),"INSIRA N° SERIE")</f>
        <v>TESTE 8</v>
      </c>
      <c r="C156" s="33">
        <f>IFERROR(INDEX([1]GARANTIA!$J:$J,MATCH(A156,[1]GARANTIA!$C:$C,0)),"INSIRA N° SERIE")</f>
        <v>44064</v>
      </c>
      <c r="D156" s="33" t="str">
        <f>IFERROR(IF(INDEX([1]GARANTIA!$M:$M,MATCH(A156,[1]GARANTIA!$C:$C,0))&gt;=I156,"DENTRO DA GARANTIA","FORA DE GARANTIA"),"INSIRA N° SERIE")</f>
        <v>DENTRO DA GARANTIA</v>
      </c>
      <c r="E156" s="148"/>
      <c r="F156" s="109">
        <f>IFERROR(MAX(0,IF(I156-(INDEX([1]GARANTIA!$J:$J,MATCH(A156,[1]GARANTIA!$C:$C,0)))&gt;=0,I156-(INDEX([1]GARANTIA!$L:$L,MATCH(A156,[1]GARANTIA!$C:$C,0))),"INSIRA DATA CHAMADO")),"INSIRA N° SERIE")</f>
        <v>31</v>
      </c>
      <c r="G156" s="17">
        <v>20210465</v>
      </c>
      <c r="H156" s="35" t="str">
        <f t="shared" si="12"/>
        <v>MAI</v>
      </c>
      <c r="I156" s="18">
        <v>44317</v>
      </c>
      <c r="J156" s="19">
        <v>44317</v>
      </c>
      <c r="K156" s="20">
        <v>44319</v>
      </c>
      <c r="L156" s="54" t="s">
        <v>11</v>
      </c>
      <c r="M156" s="54" t="s">
        <v>8</v>
      </c>
      <c r="N156" s="54" t="s">
        <v>37</v>
      </c>
      <c r="O156" s="42" t="str">
        <f>IFERROR(INDEX([1]GARANTIA!$E:$E,MATCH(A156,[1]GARANTIA!$C:$C,0)),"INSIRA N° SERIE")</f>
        <v>MTI - 10.000GE</v>
      </c>
      <c r="P156" s="63" t="s">
        <v>356</v>
      </c>
      <c r="Q156" s="55" t="s">
        <v>85</v>
      </c>
      <c r="R156" s="57" t="s">
        <v>357</v>
      </c>
      <c r="S156" s="56" t="s">
        <v>102</v>
      </c>
      <c r="T156" s="56" t="s">
        <v>141</v>
      </c>
      <c r="U156" s="58"/>
      <c r="V156" s="41" t="str">
        <f>IFERROR(INDEX([1]GARANTIA!$G:$G,MATCH(A156,[1]GARANTIA!$C:$C,0)),"INSIRA N° SERIE")</f>
        <v xml:space="preserve">SÃO PAULO </v>
      </c>
      <c r="W156" s="41" t="str">
        <f>IFERROR(INDEX([1]GARANTIA!$H:$H,MATCH(A156,[1]GARANTIA!$C:$C,0)),"INSIRA N° SERIE")</f>
        <v xml:space="preserve">SP </v>
      </c>
      <c r="X156" s="41" t="str">
        <f>IFERROR(INDEX([1]GARANTIA!$F:$F,MATCH(A156,[1]GARANTIA!$C:$C,0)),"INSIRA N° SERIE")</f>
        <v>SUDESTE</v>
      </c>
      <c r="Y156" s="46">
        <f t="shared" si="14"/>
        <v>0</v>
      </c>
      <c r="Z156" s="47">
        <f t="shared" si="13"/>
        <v>2</v>
      </c>
      <c r="AA156" s="46">
        <f t="shared" si="15"/>
        <v>2</v>
      </c>
      <c r="AB156" s="46" t="str" cm="1">
        <f t="array" ref="AB156">IFERROR(_xlfn.IFS(L156="FINALIZADO PRESENCIAL",IF(AA156&gt;10,"FORA","DENTRO"),L156="FINALIZADO REMOTO",IF(AA156&gt;5,"FORA","DENTRO")),"-")</f>
        <v>DENTRO</v>
      </c>
      <c r="AC156" s="41" t="s">
        <v>1671</v>
      </c>
      <c r="AD156" s="41" t="s">
        <v>1671</v>
      </c>
      <c r="AE156" s="48" cm="1">
        <f t="array" ref="AE156">SUMPRODUCT(IFERROR(('[2]PEÇAS GARANTIA'!$A$3:$A$5993=G156)*('[2]PEÇAS GARANTIA'!$A$3:$A$5993&lt;&gt;"")*('[2]PEÇAS GARANTIA'!$R$3:$R$5993),0))</f>
        <v>0</v>
      </c>
      <c r="AF156" s="178">
        <v>0</v>
      </c>
    </row>
    <row r="157" spans="1:32" ht="65.25" customHeight="1" x14ac:dyDescent="0.25">
      <c r="A157" s="83">
        <v>86746</v>
      </c>
      <c r="B157" s="41" t="str">
        <f>IFERROR(INDEX([1]GARANTIA!$B:$B,MATCH(A157,[1]GARANTIA!$C:$C,0)),"INSIRA N° SERIE")</f>
        <v>TESTE 320</v>
      </c>
      <c r="C157" s="33">
        <f>IFERROR(INDEX([1]GARANTIA!$J:$J,MATCH(A157,[1]GARANTIA!$C:$C,0)),"INSIRA N° SERIE")</f>
        <v>44104</v>
      </c>
      <c r="D157" s="33" t="str">
        <f>IFERROR(IF(INDEX([1]GARANTIA!$M:$M,MATCH(A157,[1]GARANTIA!$C:$C,0))&gt;=I157,"DENTRO DA GARANTIA","FORA DE GARANTIA"),"INSIRA N° SERIE")</f>
        <v>DENTRO DA GARANTIA</v>
      </c>
      <c r="E157" s="148"/>
      <c r="F157" s="109">
        <f>IFERROR(MAX(0,IF(I157-(INDEX([1]GARANTIA!$J:$J,MATCH(A157,[1]GARANTIA!$C:$C,0)))&gt;=0,I157-(INDEX([1]GARANTIA!$L:$L,MATCH(A157,[1]GARANTIA!$C:$C,0))),"INSIRA DATA CHAMADO")),"INSIRA N° SERIE")</f>
        <v>65</v>
      </c>
      <c r="G157" s="17">
        <v>20210466</v>
      </c>
      <c r="H157" s="35" t="str">
        <f t="shared" si="12"/>
        <v>MAI</v>
      </c>
      <c r="I157" s="18">
        <v>44318</v>
      </c>
      <c r="J157" s="19">
        <v>44318</v>
      </c>
      <c r="K157" s="20">
        <v>44328</v>
      </c>
      <c r="L157" s="54" t="s">
        <v>11</v>
      </c>
      <c r="M157" s="54" t="s">
        <v>8</v>
      </c>
      <c r="N157" s="54" t="s">
        <v>57</v>
      </c>
      <c r="O157" s="42" t="str">
        <f>IFERROR(INDEX([1]GARANTIA!$E:$E,MATCH(A157,[1]GARANTIA!$C:$C,0)),"INSIRA N° SERIE")</f>
        <v>MTI - 1.000GTS</v>
      </c>
      <c r="P157" s="63" t="s">
        <v>452</v>
      </c>
      <c r="Q157" s="55" t="s">
        <v>321</v>
      </c>
      <c r="R157" s="57" t="s">
        <v>389</v>
      </c>
      <c r="S157" s="56" t="s">
        <v>638</v>
      </c>
      <c r="T157" s="56" t="s">
        <v>97</v>
      </c>
      <c r="U157" s="58"/>
      <c r="V157" s="41" t="str">
        <f>IFERROR(INDEX([1]GARANTIA!$G:$G,MATCH(A157,[1]GARANTIA!$C:$C,0)),"INSIRA N° SERIE")</f>
        <v>CORRENTE</v>
      </c>
      <c r="W157" s="41" t="str">
        <f>IFERROR(INDEX([1]GARANTIA!$H:$H,MATCH(A157,[1]GARANTIA!$C:$C,0)),"INSIRA N° SERIE")</f>
        <v>PI</v>
      </c>
      <c r="X157" s="41" t="str">
        <f>IFERROR(INDEX([1]GARANTIA!$F:$F,MATCH(A157,[1]GARANTIA!$C:$C,0)),"INSIRA N° SERIE")</f>
        <v>NORDESTE</v>
      </c>
      <c r="Y157" s="46">
        <f t="shared" si="14"/>
        <v>0</v>
      </c>
      <c r="Z157" s="47">
        <f t="shared" si="13"/>
        <v>10</v>
      </c>
      <c r="AA157" s="46">
        <f t="shared" si="15"/>
        <v>10</v>
      </c>
      <c r="AB157" s="46" t="str" cm="1">
        <f t="array" ref="AB157">IFERROR(_xlfn.IFS(L157="FINALIZADO PRESENCIAL",IF(AA157&gt;10,"FORA","DENTRO"),L157="FINALIZADO REMOTO",IF(AA157&gt;5,"FORA","DENTRO")),"-")</f>
        <v>DENTRO</v>
      </c>
      <c r="AC157" s="41" t="s">
        <v>1671</v>
      </c>
      <c r="AD157" s="41" t="s">
        <v>1671</v>
      </c>
      <c r="AE157" s="48" cm="1">
        <f t="array" ref="AE157">SUMPRODUCT(IFERROR(('[2]PEÇAS GARANTIA'!$A$3:$A$5993=G157)*('[2]PEÇAS GARANTIA'!$A$3:$A$5993&lt;&gt;"")*('[2]PEÇAS GARANTIA'!$R$3:$R$5993),0))</f>
        <v>2168.23</v>
      </c>
      <c r="AF157" s="178">
        <v>6253.3499999999995</v>
      </c>
    </row>
    <row r="158" spans="1:32" ht="25.5" x14ac:dyDescent="0.25">
      <c r="A158" s="83">
        <v>23329</v>
      </c>
      <c r="B158" s="41" t="str">
        <f>IFERROR(INDEX([1]GARANTIA!$B:$B,MATCH(A158,[1]GARANTIA!$C:$C,0)),"INSIRA N° SERIE")</f>
        <v>TESTE 131</v>
      </c>
      <c r="C158" s="33">
        <f>IFERROR(INDEX([1]GARANTIA!$J:$J,MATCH(A158,[1]GARANTIA!$C:$C,0)),"INSIRA N° SERIE")</f>
        <v>44097</v>
      </c>
      <c r="D158" s="33" t="str">
        <f>IFERROR(IF(INDEX([1]GARANTIA!$M:$M,MATCH(A158,[1]GARANTIA!$C:$C,0))&gt;=I158,"DENTRO DA GARANTIA","FORA DE GARANTIA"),"INSIRA N° SERIE")</f>
        <v>DENTRO DA GARANTIA</v>
      </c>
      <c r="E158" s="148"/>
      <c r="F158" s="109">
        <f>IFERROR(MAX(0,IF(I158-(INDEX([1]GARANTIA!$J:$J,MATCH(A158,[1]GARANTIA!$C:$C,0)))&gt;=0,I158-(INDEX([1]GARANTIA!$L:$L,MATCH(A158,[1]GARANTIA!$C:$C,0))),"INSIRA DATA CHAMADO")),"INSIRA N° SERIE")</f>
        <v>46</v>
      </c>
      <c r="G158" s="17">
        <v>20210467</v>
      </c>
      <c r="H158" s="35" t="str">
        <f t="shared" si="12"/>
        <v>MAI</v>
      </c>
      <c r="I158" s="18">
        <v>44319</v>
      </c>
      <c r="J158" s="19">
        <v>44319</v>
      </c>
      <c r="K158" s="20">
        <v>44319</v>
      </c>
      <c r="L158" s="54" t="s">
        <v>23</v>
      </c>
      <c r="M158" s="54" t="s">
        <v>8</v>
      </c>
      <c r="N158" s="42" t="s">
        <v>28</v>
      </c>
      <c r="O158" s="42" t="str">
        <f>IFERROR(INDEX([1]GARANTIA!$E:$E,MATCH(A158,[1]GARANTIA!$C:$C,0)),"INSIRA N° SERIE")</f>
        <v>MTI - 4.000GTS</v>
      </c>
      <c r="P158" s="63" t="s">
        <v>358</v>
      </c>
      <c r="Q158" s="43" t="s">
        <v>328</v>
      </c>
      <c r="R158" s="63" t="s">
        <v>390</v>
      </c>
      <c r="S158" s="56" t="s">
        <v>101</v>
      </c>
      <c r="T158" s="56" t="s">
        <v>142</v>
      </c>
      <c r="U158" s="58"/>
      <c r="V158" s="41" t="str">
        <f>IFERROR(INDEX([1]GARANTIA!$G:$G,MATCH(A158,[1]GARANTIA!$C:$C,0)),"INSIRA N° SERIE")</f>
        <v>CAJURU</v>
      </c>
      <c r="W158" s="41" t="str">
        <f>IFERROR(INDEX([1]GARANTIA!$H:$H,MATCH(A158,[1]GARANTIA!$C:$C,0)),"INSIRA N° SERIE")</f>
        <v>SP</v>
      </c>
      <c r="X158" s="41" t="str">
        <f>IFERROR(INDEX([1]GARANTIA!$F:$F,MATCH(A158,[1]GARANTIA!$C:$C,0)),"INSIRA N° SERIE")</f>
        <v>SUDESTE</v>
      </c>
      <c r="Y158" s="46">
        <f t="shared" si="14"/>
        <v>0</v>
      </c>
      <c r="Z158" s="47">
        <f t="shared" si="13"/>
        <v>0</v>
      </c>
      <c r="AA158" s="46">
        <f t="shared" si="15"/>
        <v>0</v>
      </c>
      <c r="AB158" s="46" t="str" cm="1">
        <f t="array" ref="AB158">IFERROR(_xlfn.IFS(L158="FINALIZADO PRESENCIAL",IF(AA158&gt;10,"FORA","DENTRO"),L158="FINALIZADO REMOTO",IF(AA158&gt;5,"FORA","DENTRO")),"-")</f>
        <v>DENTRO</v>
      </c>
      <c r="AC158" s="41" t="s">
        <v>1671</v>
      </c>
      <c r="AD158" s="41" t="s">
        <v>1671</v>
      </c>
      <c r="AE158" s="48" cm="1">
        <f t="array" ref="AE158">SUMPRODUCT(IFERROR(('[2]PEÇAS GARANTIA'!$A$3:$A$5993=G158)*('[2]PEÇAS GARANTIA'!$A$3:$A$5993&lt;&gt;"")*('[2]PEÇAS GARANTIA'!$R$3:$R$5993),0))</f>
        <v>0</v>
      </c>
      <c r="AF158" s="178">
        <v>0</v>
      </c>
    </row>
    <row r="159" spans="1:32" ht="15" x14ac:dyDescent="0.25">
      <c r="A159" s="83">
        <v>74629</v>
      </c>
      <c r="B159" s="41" t="str">
        <f>IFERROR(INDEX([1]GARANTIA!$B:$B,MATCH(A159,[1]GARANTIA!$C:$C,0)),"INSIRA N° SERIE")</f>
        <v>TESTE 329</v>
      </c>
      <c r="C159" s="33">
        <f>IFERROR(INDEX([1]GARANTIA!$J:$J,MATCH(A159,[1]GARANTIA!$C:$C,0)),"INSIRA N° SERIE")</f>
        <v>44090</v>
      </c>
      <c r="D159" s="33" t="str">
        <f>IFERROR(IF(INDEX([1]GARANTIA!$M:$M,MATCH(A159,[1]GARANTIA!$C:$C,0))&gt;=I159,"DENTRO DA GARANTIA","FORA DE GARANTIA"),"INSIRA N° SERIE")</f>
        <v>DENTRO DA GARANTIA</v>
      </c>
      <c r="E159" s="148"/>
      <c r="F159" s="109">
        <f>IFERROR(MAX(0,IF(I159-(INDEX([1]GARANTIA!$J:$J,MATCH(A159,[1]GARANTIA!$C:$C,0)))&gt;=0,I159-(INDEX([1]GARANTIA!$L:$L,MATCH(A159,[1]GARANTIA!$C:$C,0))),"INSIRA DATA CHAMADO")),"INSIRA N° SERIE")</f>
        <v>137</v>
      </c>
      <c r="G159" s="17">
        <v>20210468</v>
      </c>
      <c r="H159" s="35" t="str">
        <f t="shared" si="12"/>
        <v>MAI</v>
      </c>
      <c r="I159" s="18">
        <v>44320</v>
      </c>
      <c r="J159" s="19">
        <v>44320</v>
      </c>
      <c r="K159" s="20">
        <v>44320</v>
      </c>
      <c r="L159" s="54" t="s">
        <v>23</v>
      </c>
      <c r="M159" s="54" t="s">
        <v>8</v>
      </c>
      <c r="N159" s="54" t="s">
        <v>41</v>
      </c>
      <c r="O159" s="42" t="str">
        <f>IFERROR(INDEX([1]GARANTIA!$E:$E,MATCH(A159,[1]GARANTIA!$C:$C,0)),"INSIRA N° SERIE")</f>
        <v>MTI - 1.000GTS</v>
      </c>
      <c r="P159" s="63" t="s">
        <v>391</v>
      </c>
      <c r="Q159" s="55" t="s">
        <v>38</v>
      </c>
      <c r="R159" s="57" t="s">
        <v>168</v>
      </c>
      <c r="S159" s="56" t="s">
        <v>101</v>
      </c>
      <c r="T159" s="56" t="s">
        <v>296</v>
      </c>
      <c r="U159" s="58"/>
      <c r="V159" s="41" t="str">
        <f>IFERROR(INDEX([1]GARANTIA!$G:$G,MATCH(A159,[1]GARANTIA!$C:$C,0)),"INSIRA N° SERIE")</f>
        <v>QUIRINOPOLIS</v>
      </c>
      <c r="W159" s="41" t="str">
        <f>IFERROR(INDEX([1]GARANTIA!$H:$H,MATCH(A159,[1]GARANTIA!$C:$C,0)),"INSIRA N° SERIE")</f>
        <v xml:space="preserve">GO </v>
      </c>
      <c r="X159" s="41" t="str">
        <f>IFERROR(INDEX([1]GARANTIA!$F:$F,MATCH(A159,[1]GARANTIA!$C:$C,0)),"INSIRA N° SERIE")</f>
        <v>CENTROESTE</v>
      </c>
      <c r="Y159" s="46">
        <f t="shared" si="14"/>
        <v>0</v>
      </c>
      <c r="Z159" s="47">
        <f t="shared" si="13"/>
        <v>0</v>
      </c>
      <c r="AA159" s="46">
        <f t="shared" si="15"/>
        <v>0</v>
      </c>
      <c r="AB159" s="46" t="str" cm="1">
        <f t="array" ref="AB159">IFERROR(_xlfn.IFS(L159="FINALIZADO PRESENCIAL",IF(AA159&gt;10,"FORA","DENTRO"),L159="FINALIZADO REMOTO",IF(AA159&gt;5,"FORA","DENTRO")),"-")</f>
        <v>DENTRO</v>
      </c>
      <c r="AC159" s="41" t="s">
        <v>1671</v>
      </c>
      <c r="AD159" s="41" t="s">
        <v>1671</v>
      </c>
      <c r="AE159" s="48" cm="1">
        <f t="array" ref="AE159">SUMPRODUCT(IFERROR(('[2]PEÇAS GARANTIA'!$A$3:$A$5993=G159)*('[2]PEÇAS GARANTIA'!$A$3:$A$5993&lt;&gt;"")*('[2]PEÇAS GARANTIA'!$R$3:$R$5993),0))</f>
        <v>0</v>
      </c>
      <c r="AF159" s="178">
        <v>0</v>
      </c>
    </row>
    <row r="160" spans="1:32" ht="35.25" customHeight="1" x14ac:dyDescent="0.25">
      <c r="A160" s="82">
        <v>48063</v>
      </c>
      <c r="B160" s="41" t="str">
        <f>IFERROR(INDEX([1]GARANTIA!$B:$B,MATCH(A160,[1]GARANTIA!$C:$C,0)),"INSIRA N° SERIE")</f>
        <v>TESTE 26</v>
      </c>
      <c r="C160" s="33">
        <f>IFERROR(INDEX([1]GARANTIA!$J:$J,MATCH(A160,[1]GARANTIA!$C:$C,0)),"INSIRA N° SERIE")</f>
        <v>44012</v>
      </c>
      <c r="D160" s="33" t="str">
        <f>IFERROR(IF(INDEX([1]GARANTIA!$M:$M,MATCH(A160,[1]GARANTIA!$C:$C,0))&gt;=I160,"DENTRO DA GARANTIA","FORA DE GARANTIA"),"INSIRA N° SERIE")</f>
        <v>DENTRO DA GARANTIA</v>
      </c>
      <c r="E160" s="148"/>
      <c r="F160" s="109">
        <f>IFERROR(MAX(0,IF(I160-(INDEX([1]GARANTIA!$J:$J,MATCH(A160,[1]GARANTIA!$C:$C,0)))&gt;=0,I160-(INDEX([1]GARANTIA!$L:$L,MATCH(A160,[1]GARANTIA!$C:$C,0))),"INSIRA DATA CHAMADO")),"INSIRA N° SERIE")</f>
        <v>110</v>
      </c>
      <c r="G160" s="17">
        <v>20210469</v>
      </c>
      <c r="H160" s="35" t="str">
        <f t="shared" si="12"/>
        <v>MAI</v>
      </c>
      <c r="I160" s="18">
        <v>44320</v>
      </c>
      <c r="J160" s="19">
        <v>44320</v>
      </c>
      <c r="K160" s="20">
        <v>44320</v>
      </c>
      <c r="L160" s="54" t="s">
        <v>23</v>
      </c>
      <c r="M160" s="54" t="s">
        <v>8</v>
      </c>
      <c r="N160" s="54" t="s">
        <v>76</v>
      </c>
      <c r="O160" s="42" t="str">
        <f>IFERROR(INDEX([1]GARANTIA!$E:$E,MATCH(A160,[1]GARANTIA!$C:$C,0)),"INSIRA N° SERIE")</f>
        <v>MTI - 4.000GTS</v>
      </c>
      <c r="P160" s="63" t="s">
        <v>359</v>
      </c>
      <c r="Q160" s="55" t="s">
        <v>38</v>
      </c>
      <c r="R160" s="57" t="s">
        <v>168</v>
      </c>
      <c r="S160" s="56" t="s">
        <v>101</v>
      </c>
      <c r="T160" s="56" t="s">
        <v>296</v>
      </c>
      <c r="U160" s="58"/>
      <c r="V160" s="41" t="str">
        <f>IFERROR(INDEX([1]GARANTIA!$G:$G,MATCH(A160,[1]GARANTIA!$C:$C,0)),"INSIRA N° SERIE")</f>
        <v>CERES</v>
      </c>
      <c r="W160" s="41" t="str">
        <f>IFERROR(INDEX([1]GARANTIA!$H:$H,MATCH(A160,[1]GARANTIA!$C:$C,0)),"INSIRA N° SERIE")</f>
        <v xml:space="preserve">GO </v>
      </c>
      <c r="X160" s="41" t="str">
        <f>IFERROR(INDEX([1]GARANTIA!$F:$F,MATCH(A160,[1]GARANTIA!$C:$C,0)),"INSIRA N° SERIE")</f>
        <v>CENTROESTE</v>
      </c>
      <c r="Y160" s="46">
        <f t="shared" si="14"/>
        <v>0</v>
      </c>
      <c r="Z160" s="47">
        <f t="shared" si="13"/>
        <v>0</v>
      </c>
      <c r="AA160" s="46">
        <f t="shared" si="15"/>
        <v>0</v>
      </c>
      <c r="AB160" s="46" t="str" cm="1">
        <f t="array" ref="AB160">IFERROR(_xlfn.IFS(L160="FINALIZADO PRESENCIAL",IF(AA160&gt;10,"FORA","DENTRO"),L160="FINALIZADO REMOTO",IF(AA160&gt;5,"FORA","DENTRO")),"-")</f>
        <v>DENTRO</v>
      </c>
      <c r="AC160" s="41" t="s">
        <v>1671</v>
      </c>
      <c r="AD160" s="41" t="s">
        <v>1671</v>
      </c>
      <c r="AE160" s="48" cm="1">
        <f t="array" ref="AE160">SUMPRODUCT(IFERROR(('[2]PEÇAS GARANTIA'!$A$3:$A$5993=G160)*('[2]PEÇAS GARANTIA'!$A$3:$A$5993&lt;&gt;"")*('[2]PEÇAS GARANTIA'!$R$3:$R$5993),0))</f>
        <v>0</v>
      </c>
      <c r="AF160" s="178">
        <v>0</v>
      </c>
    </row>
    <row r="161" spans="1:32" ht="38.25" customHeight="1" x14ac:dyDescent="0.25">
      <c r="A161" s="83">
        <v>50875</v>
      </c>
      <c r="B161" s="41" t="str">
        <f>IFERROR(INDEX([1]GARANTIA!$B:$B,MATCH(A161,[1]GARANTIA!$C:$C,0)),"INSIRA N° SERIE")</f>
        <v>TESTE 186</v>
      </c>
      <c r="C161" s="33">
        <f>IFERROR(INDEX([1]GARANTIA!$J:$J,MATCH(A161,[1]GARANTIA!$C:$C,0)),"INSIRA N° SERIE")</f>
        <v>44075</v>
      </c>
      <c r="D161" s="33" t="str">
        <f>IFERROR(IF(INDEX([1]GARANTIA!$M:$M,MATCH(A161,[1]GARANTIA!$C:$C,0))&gt;=I161,"DENTRO DA GARANTIA","FORA DE GARANTIA"),"INSIRA N° SERIE")</f>
        <v>DENTRO DA GARANTIA</v>
      </c>
      <c r="E161" s="148"/>
      <c r="F161" s="109">
        <f>IFERROR(MAX(0,IF(I161-(INDEX([1]GARANTIA!$J:$J,MATCH(A161,[1]GARANTIA!$C:$C,0)))&gt;=0,I161-(INDEX([1]GARANTIA!$L:$L,MATCH(A161,[1]GARANTIA!$C:$C,0))),"INSIRA DATA CHAMADO")),"INSIRA N° SERIE")</f>
        <v>134</v>
      </c>
      <c r="G161" s="17">
        <v>20210470</v>
      </c>
      <c r="H161" s="35" t="str">
        <f t="shared" si="12"/>
        <v>MAI</v>
      </c>
      <c r="I161" s="18">
        <v>44322</v>
      </c>
      <c r="J161" s="19">
        <v>44322</v>
      </c>
      <c r="K161" s="20">
        <v>44322</v>
      </c>
      <c r="L161" s="54" t="s">
        <v>11</v>
      </c>
      <c r="M161" s="54" t="s">
        <v>8</v>
      </c>
      <c r="N161" s="54" t="s">
        <v>32</v>
      </c>
      <c r="O161" s="42" t="str">
        <f>IFERROR(INDEX([1]GARANTIA!$E:$E,MATCH(A161,[1]GARANTIA!$C:$C,0)),"INSIRA N° SERIE")</f>
        <v>MTI - 7.000GTS</v>
      </c>
      <c r="P161" s="63" t="s">
        <v>361</v>
      </c>
      <c r="Q161" s="55" t="s">
        <v>328</v>
      </c>
      <c r="R161" s="57" t="s">
        <v>362</v>
      </c>
      <c r="S161" s="44" t="s">
        <v>638</v>
      </c>
      <c r="T161" s="56" t="s">
        <v>141</v>
      </c>
      <c r="U161" s="58"/>
      <c r="V161" s="41" t="str">
        <f>IFERROR(INDEX([1]GARANTIA!$G:$G,MATCH(A161,[1]GARANTIA!$C:$C,0)),"INSIRA N° SERIE")</f>
        <v>NOVA SERRANA</v>
      </c>
      <c r="W161" s="41" t="str">
        <f>IFERROR(INDEX([1]GARANTIA!$H:$H,MATCH(A161,[1]GARANTIA!$C:$C,0)),"INSIRA N° SERIE")</f>
        <v>MG</v>
      </c>
      <c r="X161" s="41" t="str">
        <f>IFERROR(INDEX([1]GARANTIA!$F:$F,MATCH(A161,[1]GARANTIA!$C:$C,0)),"INSIRA N° SERIE")</f>
        <v>SUDESTE</v>
      </c>
      <c r="Y161" s="46">
        <f t="shared" si="14"/>
        <v>0</v>
      </c>
      <c r="Z161" s="47">
        <f t="shared" si="13"/>
        <v>0</v>
      </c>
      <c r="AA161" s="46">
        <f t="shared" si="15"/>
        <v>0</v>
      </c>
      <c r="AB161" s="46" t="str" cm="1">
        <f t="array" ref="AB161">IFERROR(_xlfn.IFS(L161="FINALIZADO PRESENCIAL",IF(AA161&gt;10,"FORA","DENTRO"),L161="FINALIZADO REMOTO",IF(AA161&gt;5,"FORA","DENTRO")),"-")</f>
        <v>DENTRO</v>
      </c>
      <c r="AC161" s="41" t="s">
        <v>1671</v>
      </c>
      <c r="AD161" s="41" t="s">
        <v>1671</v>
      </c>
      <c r="AE161" s="48" cm="1">
        <f t="array" ref="AE161">SUMPRODUCT(IFERROR(('[2]PEÇAS GARANTIA'!$A$3:$A$5993=G161)*('[2]PEÇAS GARANTIA'!$A$3:$A$5993&lt;&gt;"")*('[2]PEÇAS GARANTIA'!$R$3:$R$5993),0))</f>
        <v>263.85000000000002</v>
      </c>
      <c r="AF161" s="178">
        <v>950.19</v>
      </c>
    </row>
    <row r="162" spans="1:32" ht="34.5" customHeight="1" x14ac:dyDescent="0.25">
      <c r="A162" s="83">
        <v>57951</v>
      </c>
      <c r="B162" s="41" t="str">
        <f>IFERROR(INDEX([1]GARANTIA!$B:$B,MATCH(A162,[1]GARANTIA!$C:$C,0)),"INSIRA N° SERIE")</f>
        <v>TESTE 202</v>
      </c>
      <c r="C162" s="33">
        <f>IFERROR(INDEX([1]GARANTIA!$J:$J,MATCH(A162,[1]GARANTIA!$C:$C,0)),"INSIRA N° SERIE")</f>
        <v>44134</v>
      </c>
      <c r="D162" s="33" t="str">
        <f>IFERROR(IF(INDEX([1]GARANTIA!$M:$M,MATCH(A162,[1]GARANTIA!$C:$C,0))&gt;=I162,"DENTRO DA GARANTIA","FORA DE GARANTIA"),"INSIRA N° SERIE")</f>
        <v>DENTRO DA GARANTIA</v>
      </c>
      <c r="E162" s="148"/>
      <c r="F162" s="109">
        <f>IFERROR(MAX(0,IF(I162-(INDEX([1]GARANTIA!$J:$J,MATCH(A162,[1]GARANTIA!$C:$C,0)))&gt;=0,I162-(INDEX([1]GARANTIA!$L:$L,MATCH(A162,[1]GARANTIA!$C:$C,0))),"INSIRA DATA CHAMADO")),"INSIRA N° SERIE")</f>
        <v>181</v>
      </c>
      <c r="G162" s="17">
        <v>20210471</v>
      </c>
      <c r="H162" s="35" t="str">
        <f t="shared" si="12"/>
        <v>MAI</v>
      </c>
      <c r="I162" s="18">
        <v>44322</v>
      </c>
      <c r="J162" s="19">
        <v>44322</v>
      </c>
      <c r="K162" s="20">
        <v>44322</v>
      </c>
      <c r="L162" s="54" t="s">
        <v>23</v>
      </c>
      <c r="M162" s="54" t="s">
        <v>8</v>
      </c>
      <c r="N162" s="54" t="s">
        <v>28</v>
      </c>
      <c r="O162" s="42" t="str">
        <f>IFERROR(INDEX([1]GARANTIA!$E:$E,MATCH(A162,[1]GARANTIA!$C:$C,0)),"INSIRA N° SERIE")</f>
        <v>MTI - 2.500GTS</v>
      </c>
      <c r="P162" s="63" t="s">
        <v>363</v>
      </c>
      <c r="Q162" s="55" t="s">
        <v>328</v>
      </c>
      <c r="R162" s="57" t="s">
        <v>131</v>
      </c>
      <c r="S162" s="56" t="s">
        <v>101</v>
      </c>
      <c r="T162" s="56" t="s">
        <v>142</v>
      </c>
      <c r="U162" s="58"/>
      <c r="V162" s="41" t="str">
        <f>IFERROR(INDEX([1]GARANTIA!$G:$G,MATCH(A162,[1]GARANTIA!$C:$C,0)),"INSIRA N° SERIE")</f>
        <v>JANDIRA</v>
      </c>
      <c r="W162" s="41" t="str">
        <f>IFERROR(INDEX([1]GARANTIA!$H:$H,MATCH(A162,[1]GARANTIA!$C:$C,0)),"INSIRA N° SERIE")</f>
        <v xml:space="preserve">SP </v>
      </c>
      <c r="X162" s="41" t="str">
        <f>IFERROR(INDEX([1]GARANTIA!$F:$F,MATCH(A162,[1]GARANTIA!$C:$C,0)),"INSIRA N° SERIE")</f>
        <v>SUDESTE</v>
      </c>
      <c r="Y162" s="46">
        <f t="shared" si="14"/>
        <v>0</v>
      </c>
      <c r="Z162" s="47">
        <f t="shared" si="13"/>
        <v>0</v>
      </c>
      <c r="AA162" s="46">
        <f t="shared" si="15"/>
        <v>0</v>
      </c>
      <c r="AB162" s="46" t="str" cm="1">
        <f t="array" ref="AB162">IFERROR(_xlfn.IFS(L162="FINALIZADO PRESENCIAL",IF(AA162&gt;10,"FORA","DENTRO"),L162="FINALIZADO REMOTO",IF(AA162&gt;5,"FORA","DENTRO")),"-")</f>
        <v>DENTRO</v>
      </c>
      <c r="AC162" s="41" t="s">
        <v>1671</v>
      </c>
      <c r="AD162" s="41" t="s">
        <v>1671</v>
      </c>
      <c r="AE162" s="48" cm="1">
        <f t="array" ref="AE162">SUMPRODUCT(IFERROR(('[2]PEÇAS GARANTIA'!$A$3:$A$5993=G162)*('[2]PEÇAS GARANTIA'!$A$3:$A$5993&lt;&gt;"")*('[2]PEÇAS GARANTIA'!$R$3:$R$5993),0))</f>
        <v>0</v>
      </c>
      <c r="AF162" s="178">
        <v>0</v>
      </c>
    </row>
    <row r="163" spans="1:32" ht="15" x14ac:dyDescent="0.25">
      <c r="A163" s="83">
        <v>72824</v>
      </c>
      <c r="B163" s="41" t="str">
        <f>IFERROR(INDEX([1]GARANTIA!$B:$B,MATCH(A163,[1]GARANTIA!$C:$C,0)),"INSIRA N° SERIE")</f>
        <v>TESTE 231</v>
      </c>
      <c r="C163" s="33">
        <f>IFERROR(INDEX([1]GARANTIA!$J:$J,MATCH(A163,[1]GARANTIA!$C:$C,0)),"INSIRA N° SERIE")</f>
        <v>44074</v>
      </c>
      <c r="D163" s="33" t="str">
        <f>IFERROR(IF(INDEX([1]GARANTIA!$M:$M,MATCH(A163,[1]GARANTIA!$C:$C,0))&gt;=I163,"DENTRO DA GARANTIA","FORA DE GARANTIA"),"INSIRA N° SERIE")</f>
        <v>DENTRO DA GARANTIA</v>
      </c>
      <c r="E163" s="148"/>
      <c r="F163" s="109">
        <f>IFERROR(MAX(0,IF(I163-(INDEX([1]GARANTIA!$J:$J,MATCH(A163,[1]GARANTIA!$C:$C,0)))&gt;=0,I163-(INDEX([1]GARANTIA!$L:$L,MATCH(A163,[1]GARANTIA!$C:$C,0))),"INSIRA DATA CHAMADO")),"INSIRA N° SERIE")</f>
        <v>7</v>
      </c>
      <c r="G163" s="17">
        <v>20210472</v>
      </c>
      <c r="H163" s="35" t="str">
        <f t="shared" si="12"/>
        <v>MAI</v>
      </c>
      <c r="I163" s="18">
        <v>44323</v>
      </c>
      <c r="J163" s="19">
        <v>44323</v>
      </c>
      <c r="K163" s="20">
        <v>44323</v>
      </c>
      <c r="L163" s="54" t="s">
        <v>23</v>
      </c>
      <c r="M163" s="54" t="s">
        <v>8</v>
      </c>
      <c r="N163" s="54" t="s">
        <v>28</v>
      </c>
      <c r="O163" s="42" t="str">
        <f>IFERROR(INDEX([1]GARANTIA!$E:$E,MATCH(A163,[1]GARANTIA!$C:$C,0)),"INSIRA N° SERIE")</f>
        <v>MTI - 1.000GTS</v>
      </c>
      <c r="P163" s="63" t="s">
        <v>367</v>
      </c>
      <c r="Q163" s="55" t="s">
        <v>336</v>
      </c>
      <c r="R163" s="57" t="s">
        <v>368</v>
      </c>
      <c r="S163" s="56" t="s">
        <v>101</v>
      </c>
      <c r="T163" s="56" t="s">
        <v>142</v>
      </c>
      <c r="U163" s="58"/>
      <c r="V163" s="41" t="str">
        <f>IFERROR(INDEX([1]GARANTIA!$G:$G,MATCH(A163,[1]GARANTIA!$C:$C,0)),"INSIRA N° SERIE")</f>
        <v>AIMORÉS</v>
      </c>
      <c r="W163" s="41" t="str">
        <f>IFERROR(INDEX([1]GARANTIA!$H:$H,MATCH(A163,[1]GARANTIA!$C:$C,0)),"INSIRA N° SERIE")</f>
        <v>MG</v>
      </c>
      <c r="X163" s="41" t="str">
        <f>IFERROR(INDEX([1]GARANTIA!$F:$F,MATCH(A163,[1]GARANTIA!$C:$C,0)),"INSIRA N° SERIE")</f>
        <v>SUDESTE</v>
      </c>
      <c r="Y163" s="46">
        <f t="shared" si="14"/>
        <v>0</v>
      </c>
      <c r="Z163" s="47">
        <f t="shared" si="13"/>
        <v>0</v>
      </c>
      <c r="AA163" s="46">
        <f t="shared" si="15"/>
        <v>0</v>
      </c>
      <c r="AB163" s="46" t="str" cm="1">
        <f t="array" ref="AB163">IFERROR(_xlfn.IFS(L163="FINALIZADO PRESENCIAL",IF(AA163&gt;10,"FORA","DENTRO"),L163="FINALIZADO REMOTO",IF(AA163&gt;5,"FORA","DENTRO")),"-")</f>
        <v>DENTRO</v>
      </c>
      <c r="AC163" s="41" t="s">
        <v>1671</v>
      </c>
      <c r="AD163" s="41" t="s">
        <v>1671</v>
      </c>
      <c r="AE163" s="48" cm="1">
        <f t="array" ref="AE163">SUMPRODUCT(IFERROR(('[2]PEÇAS GARANTIA'!$A$3:$A$5993=G163)*('[2]PEÇAS GARANTIA'!$A$3:$A$5993&lt;&gt;"")*('[2]PEÇAS GARANTIA'!$R$3:$R$5993),0))</f>
        <v>0</v>
      </c>
      <c r="AF163" s="178">
        <v>0</v>
      </c>
    </row>
    <row r="164" spans="1:32" ht="15" x14ac:dyDescent="0.25">
      <c r="A164" s="83">
        <v>47823</v>
      </c>
      <c r="B164" s="41" t="str">
        <f>IFERROR(INDEX([1]GARANTIA!$B:$B,MATCH(A164,[1]GARANTIA!$C:$C,0)),"INSIRA N° SERIE")</f>
        <v>TESTE 295</v>
      </c>
      <c r="C164" s="33">
        <f>IFERROR(INDEX([1]GARANTIA!$J:$J,MATCH(A164,[1]GARANTIA!$C:$C,0)),"INSIRA N° SERIE")</f>
        <v>43830</v>
      </c>
      <c r="D164" s="33" t="str">
        <f>IFERROR(IF(INDEX([1]GARANTIA!$M:$M,MATCH(A164,[1]GARANTIA!$C:$C,0))&gt;=I164,"DENTRO DA GARANTIA","FORA DE GARANTIA"),"INSIRA N° SERIE")</f>
        <v>DENTRO DA GARANTIA</v>
      </c>
      <c r="E164" s="148"/>
      <c r="F164" s="109">
        <f>IFERROR(MAX(0,IF(I164-(INDEX([1]GARANTIA!$J:$J,MATCH(A164,[1]GARANTIA!$C:$C,0)))&gt;=0,I164-(INDEX([1]GARANTIA!$L:$L,MATCH(A164,[1]GARANTIA!$C:$C,0))),"INSIRA DATA CHAMADO")),"INSIRA N° SERIE")</f>
        <v>209</v>
      </c>
      <c r="G164" s="17">
        <v>20210473</v>
      </c>
      <c r="H164" s="35" t="str">
        <f t="shared" si="12"/>
        <v>MAI</v>
      </c>
      <c r="I164" s="18">
        <v>44322</v>
      </c>
      <c r="J164" s="19">
        <v>44322</v>
      </c>
      <c r="K164" s="20">
        <v>44323</v>
      </c>
      <c r="L164" s="54" t="s">
        <v>23</v>
      </c>
      <c r="M164" s="54" t="s">
        <v>8</v>
      </c>
      <c r="N164" s="54" t="s">
        <v>38</v>
      </c>
      <c r="O164" s="42" t="str">
        <f>IFERROR(INDEX([1]GARANTIA!$E:$E,MATCH(A164,[1]GARANTIA!$C:$C,0)),"INSIRA N° SERIE")</f>
        <v>MTI - 12.000GTS</v>
      </c>
      <c r="P164" s="63" t="s">
        <v>369</v>
      </c>
      <c r="Q164" s="55" t="s">
        <v>144</v>
      </c>
      <c r="R164" s="57" t="s">
        <v>370</v>
      </c>
      <c r="S164" s="44" t="s">
        <v>638</v>
      </c>
      <c r="T164" s="56" t="s">
        <v>144</v>
      </c>
      <c r="U164" s="58"/>
      <c r="V164" s="41" t="str">
        <f>IFERROR(INDEX([1]GARANTIA!$G:$G,MATCH(A164,[1]GARANTIA!$C:$C,0)),"INSIRA N° SERIE")</f>
        <v xml:space="preserve">LUIS EDUARDO MAGALHAES </v>
      </c>
      <c r="W164" s="41" t="str">
        <f>IFERROR(INDEX([1]GARANTIA!$H:$H,MATCH(A164,[1]GARANTIA!$C:$C,0)),"INSIRA N° SERIE")</f>
        <v>BA</v>
      </c>
      <c r="X164" s="41" t="str">
        <f>IFERROR(INDEX([1]GARANTIA!$F:$F,MATCH(A164,[1]GARANTIA!$C:$C,0)),"INSIRA N° SERIE")</f>
        <v>NORDESTE</v>
      </c>
      <c r="Y164" s="46">
        <f t="shared" si="14"/>
        <v>0</v>
      </c>
      <c r="Z164" s="47">
        <f t="shared" si="13"/>
        <v>1</v>
      </c>
      <c r="AA164" s="46">
        <f t="shared" si="15"/>
        <v>1</v>
      </c>
      <c r="AB164" s="46" t="str" cm="1">
        <f t="array" ref="AB164">IFERROR(_xlfn.IFS(L164="FINALIZADO PRESENCIAL",IF(AA164&gt;10,"FORA","DENTRO"),L164="FINALIZADO REMOTO",IF(AA164&gt;5,"FORA","DENTRO")),"-")</f>
        <v>DENTRO</v>
      </c>
      <c r="AC164" s="41" t="s">
        <v>1671</v>
      </c>
      <c r="AD164" s="41" t="s">
        <v>1671</v>
      </c>
      <c r="AE164" s="48" cm="1">
        <f t="array" ref="AE164">SUMPRODUCT(IFERROR(('[2]PEÇAS GARANTIA'!$A$3:$A$5993=G164)*('[2]PEÇAS GARANTIA'!$A$3:$A$5993&lt;&gt;"")*('[2]PEÇAS GARANTIA'!$R$3:$R$5993),0))</f>
        <v>0</v>
      </c>
      <c r="AF164" s="178">
        <v>0</v>
      </c>
    </row>
    <row r="165" spans="1:32" ht="33.75" customHeight="1" x14ac:dyDescent="0.25">
      <c r="A165" s="83">
        <v>24353</v>
      </c>
      <c r="B165" s="41" t="str">
        <f>IFERROR(INDEX([1]GARANTIA!$B:$B,MATCH(A165,[1]GARANTIA!$C:$C,0)),"INSIRA N° SERIE")</f>
        <v>TESTE 37</v>
      </c>
      <c r="C165" s="33">
        <f>IFERROR(INDEX([1]GARANTIA!$J:$J,MATCH(A165,[1]GARANTIA!$C:$C,0)),"INSIRA N° SERIE")</f>
        <v>44196</v>
      </c>
      <c r="D165" s="33" t="str">
        <f>IFERROR(IF(INDEX([1]GARANTIA!$M:$M,MATCH(A165,[1]GARANTIA!$C:$C,0))&gt;=I165,"DENTRO DA GARANTIA","FORA DE GARANTIA"),"INSIRA N° SERIE")</f>
        <v>DENTRO DA GARANTIA</v>
      </c>
      <c r="E165" s="148"/>
      <c r="F165" s="109">
        <f>IFERROR(MAX(0,IF(I165-(INDEX([1]GARANTIA!$J:$J,MATCH(A165,[1]GARANTIA!$C:$C,0)))&gt;=0,I165-(INDEX([1]GARANTIA!$L:$L,MATCH(A165,[1]GARANTIA!$C:$C,0))),"INSIRA DATA CHAMADO")),"INSIRA N° SERIE")</f>
        <v>29</v>
      </c>
      <c r="G165" s="17">
        <v>20210475</v>
      </c>
      <c r="H165" s="35" t="str">
        <f t="shared" si="12"/>
        <v>MAI</v>
      </c>
      <c r="I165" s="18">
        <v>44324</v>
      </c>
      <c r="J165" s="19">
        <v>44324</v>
      </c>
      <c r="K165" s="20">
        <v>44327</v>
      </c>
      <c r="L165" s="54" t="s">
        <v>11</v>
      </c>
      <c r="M165" s="54" t="s">
        <v>8</v>
      </c>
      <c r="N165" s="54" t="s">
        <v>28</v>
      </c>
      <c r="O165" s="42" t="str">
        <f>IFERROR(INDEX([1]GARANTIA!$E:$E,MATCH(A165,[1]GARANTIA!$C:$C,0)),"INSIRA N° SERIE")</f>
        <v>MTI - 7.000GTS</v>
      </c>
      <c r="P165" s="63" t="s">
        <v>373</v>
      </c>
      <c r="Q165" s="55" t="s">
        <v>333</v>
      </c>
      <c r="R165" s="57" t="s">
        <v>377</v>
      </c>
      <c r="S165" s="44" t="s">
        <v>638</v>
      </c>
      <c r="T165" s="56" t="s">
        <v>142</v>
      </c>
      <c r="U165" s="58"/>
      <c r="V165" s="41" t="str">
        <f>IFERROR(INDEX([1]GARANTIA!$G:$G,MATCH(A165,[1]GARANTIA!$C:$C,0)),"INSIRA N° SERIE")</f>
        <v xml:space="preserve">GOIANIA </v>
      </c>
      <c r="W165" s="41" t="str">
        <f>IFERROR(INDEX([1]GARANTIA!$H:$H,MATCH(A165,[1]GARANTIA!$C:$C,0)),"INSIRA N° SERIE")</f>
        <v xml:space="preserve">GO </v>
      </c>
      <c r="X165" s="41" t="str">
        <f>IFERROR(INDEX([1]GARANTIA!$F:$F,MATCH(A165,[1]GARANTIA!$C:$C,0)),"INSIRA N° SERIE")</f>
        <v>CENTROESTE</v>
      </c>
      <c r="Y165" s="46">
        <f t="shared" si="14"/>
        <v>0</v>
      </c>
      <c r="Z165" s="47">
        <f t="shared" si="13"/>
        <v>3</v>
      </c>
      <c r="AA165" s="46">
        <f t="shared" si="15"/>
        <v>3</v>
      </c>
      <c r="AB165" s="46" t="str" cm="1">
        <f t="array" ref="AB165">IFERROR(_xlfn.IFS(L165="FINALIZADO PRESENCIAL",IF(AA165&gt;10,"FORA","DENTRO"),L165="FINALIZADO REMOTO",IF(AA165&gt;5,"FORA","DENTRO")),"-")</f>
        <v>DENTRO</v>
      </c>
      <c r="AC165" s="41" t="s">
        <v>1671</v>
      </c>
      <c r="AD165" s="41" t="s">
        <v>1671</v>
      </c>
      <c r="AE165" s="48" cm="1">
        <f t="array" ref="AE165">SUMPRODUCT(IFERROR(('[2]PEÇAS GARANTIA'!$A$3:$A$5993=G165)*('[2]PEÇAS GARANTIA'!$A$3:$A$5993&lt;&gt;"")*('[2]PEÇAS GARANTIA'!$R$3:$R$5993),0))</f>
        <v>0</v>
      </c>
      <c r="AF165" s="178">
        <v>0</v>
      </c>
    </row>
    <row r="166" spans="1:32" ht="46.5" customHeight="1" x14ac:dyDescent="0.25">
      <c r="A166" s="83">
        <v>50875</v>
      </c>
      <c r="B166" s="41" t="str">
        <f>IFERROR(INDEX([1]GARANTIA!$B:$B,MATCH(A166,[1]GARANTIA!$C:$C,0)),"INSIRA N° SERIE")</f>
        <v>TESTE 186</v>
      </c>
      <c r="C166" s="33">
        <f>IFERROR(INDEX([1]GARANTIA!$J:$J,MATCH(A166,[1]GARANTIA!$C:$C,0)),"INSIRA N° SERIE")</f>
        <v>44075</v>
      </c>
      <c r="D166" s="33" t="str">
        <f>IFERROR(IF(INDEX([1]GARANTIA!$M:$M,MATCH(A166,[1]GARANTIA!$C:$C,0))&gt;=I166,"DENTRO DA GARANTIA","FORA DE GARANTIA"),"INSIRA N° SERIE")</f>
        <v>DENTRO DA GARANTIA</v>
      </c>
      <c r="E166" s="148"/>
      <c r="F166" s="109">
        <f>IFERROR(MAX(0,IF(I166-(INDEX([1]GARANTIA!$J:$J,MATCH(A166,[1]GARANTIA!$C:$C,0)))&gt;=0,I166-(INDEX([1]GARANTIA!$L:$L,MATCH(A166,[1]GARANTIA!$C:$C,0))),"INSIRA DATA CHAMADO")),"INSIRA N° SERIE")</f>
        <v>138</v>
      </c>
      <c r="G166" s="17">
        <v>20210476</v>
      </c>
      <c r="H166" s="35" t="str">
        <f t="shared" si="12"/>
        <v>MAI</v>
      </c>
      <c r="I166" s="18">
        <v>44326</v>
      </c>
      <c r="J166" s="19">
        <v>44326</v>
      </c>
      <c r="K166" s="20">
        <v>44327</v>
      </c>
      <c r="L166" s="54" t="s">
        <v>23</v>
      </c>
      <c r="M166" s="54" t="s">
        <v>8</v>
      </c>
      <c r="N166" s="54" t="s">
        <v>26</v>
      </c>
      <c r="O166" s="42" t="str">
        <f>IFERROR(INDEX([1]GARANTIA!$E:$E,MATCH(A166,[1]GARANTIA!$C:$C,0)),"INSIRA N° SERIE")</f>
        <v>MTI - 7.000GTS</v>
      </c>
      <c r="P166" s="63" t="s">
        <v>374</v>
      </c>
      <c r="Q166" s="55" t="s">
        <v>38</v>
      </c>
      <c r="R166" s="57" t="s">
        <v>168</v>
      </c>
      <c r="S166" s="56" t="s">
        <v>101</v>
      </c>
      <c r="T166" s="56" t="s">
        <v>296</v>
      </c>
      <c r="U166" s="58"/>
      <c r="V166" s="41" t="str">
        <f>IFERROR(INDEX([1]GARANTIA!$G:$G,MATCH(A166,[1]GARANTIA!$C:$C,0)),"INSIRA N° SERIE")</f>
        <v>NOVA SERRANA</v>
      </c>
      <c r="W166" s="41" t="str">
        <f>IFERROR(INDEX([1]GARANTIA!$H:$H,MATCH(A166,[1]GARANTIA!$C:$C,0)),"INSIRA N° SERIE")</f>
        <v>MG</v>
      </c>
      <c r="X166" s="41" t="str">
        <f>IFERROR(INDEX([1]GARANTIA!$F:$F,MATCH(A166,[1]GARANTIA!$C:$C,0)),"INSIRA N° SERIE")</f>
        <v>SUDESTE</v>
      </c>
      <c r="Y166" s="46">
        <f t="shared" si="14"/>
        <v>0</v>
      </c>
      <c r="Z166" s="47">
        <f t="shared" si="13"/>
        <v>1</v>
      </c>
      <c r="AA166" s="46">
        <f t="shared" si="15"/>
        <v>1</v>
      </c>
      <c r="AB166" s="46" t="str" cm="1">
        <f t="array" ref="AB166">IFERROR(_xlfn.IFS(L166="FINALIZADO PRESENCIAL",IF(AA166&gt;10,"FORA","DENTRO"),L166="FINALIZADO REMOTO",IF(AA166&gt;5,"FORA","DENTRO")),"-")</f>
        <v>DENTRO</v>
      </c>
      <c r="AC166" s="41" t="s">
        <v>1671</v>
      </c>
      <c r="AD166" s="41" t="s">
        <v>1671</v>
      </c>
      <c r="AE166" s="48" cm="1">
        <f t="array" ref="AE166">SUMPRODUCT(IFERROR(('[2]PEÇAS GARANTIA'!$A$3:$A$5993=G166)*('[2]PEÇAS GARANTIA'!$A$3:$A$5993&lt;&gt;"")*('[2]PEÇAS GARANTIA'!$R$3:$R$5993),0))</f>
        <v>0</v>
      </c>
      <c r="AF166" s="178">
        <v>0</v>
      </c>
    </row>
    <row r="167" spans="1:32" ht="63" customHeight="1" x14ac:dyDescent="0.25">
      <c r="A167" s="83">
        <v>35159</v>
      </c>
      <c r="B167" s="41" t="str">
        <f>IFERROR(INDEX([1]GARANTIA!$B:$B,MATCH(A167,[1]GARANTIA!$C:$C,0)),"INSIRA N° SERIE")</f>
        <v>TESTE 223</v>
      </c>
      <c r="C167" s="33">
        <f>IFERROR(INDEX([1]GARANTIA!$J:$J,MATCH(A167,[1]GARANTIA!$C:$C,0)),"INSIRA N° SERIE")</f>
        <v>43936</v>
      </c>
      <c r="D167" s="33" t="str">
        <f>IFERROR(IF(INDEX([1]GARANTIA!$M:$M,MATCH(A167,[1]GARANTIA!$C:$C,0))&gt;=I167,"DENTRO DA GARANTIA","FORA DE GARANTIA"),"INSIRA N° SERIE")</f>
        <v>DENTRO DA GARANTIA</v>
      </c>
      <c r="E167" s="148"/>
      <c r="F167" s="109">
        <f>IFERROR(MAX(0,IF(I167-(INDEX([1]GARANTIA!$J:$J,MATCH(A167,[1]GARANTIA!$C:$C,0)))&gt;=0,I167-(INDEX([1]GARANTIA!$L:$L,MATCH(A167,[1]GARANTIA!$C:$C,0))),"INSIRA DATA CHAMADO")),"INSIRA N° SERIE")</f>
        <v>214</v>
      </c>
      <c r="G167" s="17">
        <v>20210477</v>
      </c>
      <c r="H167" s="35" t="str">
        <f t="shared" si="12"/>
        <v>MAI</v>
      </c>
      <c r="I167" s="18">
        <v>44326</v>
      </c>
      <c r="J167" s="19">
        <v>44326</v>
      </c>
      <c r="K167" s="20">
        <v>44328</v>
      </c>
      <c r="L167" s="54" t="s">
        <v>11</v>
      </c>
      <c r="M167" s="54" t="s">
        <v>8</v>
      </c>
      <c r="N167" s="54" t="s">
        <v>31</v>
      </c>
      <c r="O167" s="42" t="str">
        <f>IFERROR(INDEX([1]GARANTIA!$E:$E,MATCH(A167,[1]GARANTIA!$C:$C,0)),"INSIRA N° SERIE")</f>
        <v>MTI - 1.000GTS</v>
      </c>
      <c r="P167" s="63" t="s">
        <v>375</v>
      </c>
      <c r="Q167" s="55" t="s">
        <v>327</v>
      </c>
      <c r="R167" s="57" t="s">
        <v>376</v>
      </c>
      <c r="S167" s="56" t="s">
        <v>325</v>
      </c>
      <c r="T167" s="56" t="s">
        <v>640</v>
      </c>
      <c r="U167" s="58"/>
      <c r="V167" s="41" t="str">
        <f>IFERROR(INDEX([1]GARANTIA!$G:$G,MATCH(A167,[1]GARANTIA!$C:$C,0)),"INSIRA N° SERIE")</f>
        <v xml:space="preserve">ITAJAI </v>
      </c>
      <c r="W167" s="41" t="str">
        <f>IFERROR(INDEX([1]GARANTIA!$H:$H,MATCH(A167,[1]GARANTIA!$C:$C,0)),"INSIRA N° SERIE")</f>
        <v>SC</v>
      </c>
      <c r="X167" s="41" t="str">
        <f>IFERROR(INDEX([1]GARANTIA!$F:$F,MATCH(A167,[1]GARANTIA!$C:$C,0)),"INSIRA N° SERIE")</f>
        <v>SUL</v>
      </c>
      <c r="Y167" s="46">
        <f t="shared" si="14"/>
        <v>0</v>
      </c>
      <c r="Z167" s="47">
        <f t="shared" si="13"/>
        <v>2</v>
      </c>
      <c r="AA167" s="46">
        <f t="shared" si="15"/>
        <v>2</v>
      </c>
      <c r="AB167" s="46" t="str" cm="1">
        <f t="array" ref="AB167">IFERROR(_xlfn.IFS(L167="FINALIZADO PRESENCIAL",IF(AA167&gt;10,"FORA","DENTRO"),L167="FINALIZADO REMOTO",IF(AA167&gt;5,"FORA","DENTRO")),"-")</f>
        <v>DENTRO</v>
      </c>
      <c r="AC167" s="41" t="s">
        <v>1671</v>
      </c>
      <c r="AD167" s="41" t="s">
        <v>1671</v>
      </c>
      <c r="AE167" s="48" cm="1">
        <f t="array" ref="AE167">SUMPRODUCT(IFERROR(('[2]PEÇAS GARANTIA'!$A$3:$A$5993=G167)*('[2]PEÇAS GARANTIA'!$A$3:$A$5993&lt;&gt;"")*('[2]PEÇAS GARANTIA'!$R$3:$R$5993),0))</f>
        <v>500</v>
      </c>
      <c r="AF167" s="178">
        <v>0</v>
      </c>
    </row>
    <row r="168" spans="1:32" ht="52.5" customHeight="1" x14ac:dyDescent="0.25">
      <c r="A168" s="83">
        <v>29209</v>
      </c>
      <c r="B168" s="41" t="str">
        <f>IFERROR(INDEX([1]GARANTIA!$B:$B,MATCH(A168,[1]GARANTIA!$C:$C,0)),"INSIRA N° SERIE")</f>
        <v>TESTE 193</v>
      </c>
      <c r="C168" s="33">
        <f>IFERROR(INDEX([1]GARANTIA!$J:$J,MATCH(A168,[1]GARANTIA!$C:$C,0)),"INSIRA N° SERIE")</f>
        <v>43861</v>
      </c>
      <c r="D168" s="33" t="str">
        <f>IFERROR(IF(INDEX([1]GARANTIA!$M:$M,MATCH(A168,[1]GARANTIA!$C:$C,0))&gt;=I168,"DENTRO DA GARANTIA","FORA DE GARANTIA"),"INSIRA N° SERIE")</f>
        <v>DENTRO DA GARANTIA</v>
      </c>
      <c r="E168" s="148"/>
      <c r="F168" s="109">
        <f>IFERROR(MAX(0,IF(I168-(INDEX([1]GARANTIA!$J:$J,MATCH(A168,[1]GARANTIA!$C:$C,0)))&gt;=0,I168-(INDEX([1]GARANTIA!$L:$L,MATCH(A168,[1]GARANTIA!$C:$C,0))),"INSIRA DATA CHAMADO")),"INSIRA N° SERIE")</f>
        <v>196</v>
      </c>
      <c r="G168" s="17">
        <v>20210478</v>
      </c>
      <c r="H168" s="35" t="str">
        <f t="shared" si="12"/>
        <v>MAI</v>
      </c>
      <c r="I168" s="18">
        <v>44326</v>
      </c>
      <c r="J168" s="19">
        <v>44326</v>
      </c>
      <c r="K168" s="20">
        <v>44327</v>
      </c>
      <c r="L168" s="54" t="s">
        <v>23</v>
      </c>
      <c r="M168" s="54" t="s">
        <v>8</v>
      </c>
      <c r="N168" s="54" t="s">
        <v>41</v>
      </c>
      <c r="O168" s="42" t="str">
        <f>IFERROR(INDEX([1]GARANTIA!$E:$E,MATCH(A168,[1]GARANTIA!$C:$C,0)),"INSIRA N° SERIE")</f>
        <v>MTI - 7.000GTS</v>
      </c>
      <c r="P168" s="63" t="s">
        <v>374</v>
      </c>
      <c r="Q168" s="55" t="s">
        <v>38</v>
      </c>
      <c r="R168" s="57" t="s">
        <v>168</v>
      </c>
      <c r="S168" s="56" t="s">
        <v>101</v>
      </c>
      <c r="T168" s="56" t="s">
        <v>296</v>
      </c>
      <c r="U168" s="58"/>
      <c r="V168" s="41" t="str">
        <f>IFERROR(INDEX([1]GARANTIA!$G:$G,MATCH(A168,[1]GARANTIA!$C:$C,0)),"INSIRA N° SERIE")</f>
        <v xml:space="preserve">LAGOA SANTA </v>
      </c>
      <c r="W168" s="41" t="str">
        <f>IFERROR(INDEX([1]GARANTIA!$H:$H,MATCH(A168,[1]GARANTIA!$C:$C,0)),"INSIRA N° SERIE")</f>
        <v xml:space="preserve">MG </v>
      </c>
      <c r="X168" s="41" t="str">
        <f>IFERROR(INDEX([1]GARANTIA!$F:$F,MATCH(A168,[1]GARANTIA!$C:$C,0)),"INSIRA N° SERIE")</f>
        <v>SUDESTE</v>
      </c>
      <c r="Y168" s="46">
        <f t="shared" si="14"/>
        <v>0</v>
      </c>
      <c r="Z168" s="47">
        <f t="shared" si="13"/>
        <v>1</v>
      </c>
      <c r="AA168" s="46">
        <f t="shared" si="15"/>
        <v>1</v>
      </c>
      <c r="AB168" s="46" t="str" cm="1">
        <f t="array" ref="AB168">IFERROR(_xlfn.IFS(L168="FINALIZADO PRESENCIAL",IF(AA168&gt;10,"FORA","DENTRO"),L168="FINALIZADO REMOTO",IF(AA168&gt;5,"FORA","DENTRO")),"-")</f>
        <v>DENTRO</v>
      </c>
      <c r="AC168" s="41" t="s">
        <v>1671</v>
      </c>
      <c r="AD168" s="41" t="s">
        <v>1671</v>
      </c>
      <c r="AE168" s="48" cm="1">
        <f t="array" ref="AE168">SUMPRODUCT(IFERROR(('[2]PEÇAS GARANTIA'!$A$3:$A$5993=G168)*('[2]PEÇAS GARANTIA'!$A$3:$A$5993&lt;&gt;"")*('[2]PEÇAS GARANTIA'!$R$3:$R$5993),0))</f>
        <v>0</v>
      </c>
      <c r="AF168" s="178">
        <v>0</v>
      </c>
    </row>
    <row r="169" spans="1:32" ht="38.25" customHeight="1" x14ac:dyDescent="0.25">
      <c r="A169" s="83">
        <v>14599</v>
      </c>
      <c r="B169" s="41" t="str">
        <f>IFERROR(INDEX([1]GARANTIA!$B:$B,MATCH(A169,[1]GARANTIA!$C:$C,0)),"INSIRA N° SERIE")</f>
        <v>TESTE 183</v>
      </c>
      <c r="C169" s="33">
        <f>IFERROR(INDEX([1]GARANTIA!$J:$J,MATCH(A169,[1]GARANTIA!$C:$C,0)),"INSIRA N° SERIE")</f>
        <v>44073</v>
      </c>
      <c r="D169" s="33" t="str">
        <f>IFERROR(IF(INDEX([1]GARANTIA!$M:$M,MATCH(A169,[1]GARANTIA!$C:$C,0))&gt;=I169,"DENTRO DA GARANTIA","FORA DE GARANTIA"),"INSIRA N° SERIE")</f>
        <v>DENTRO DA GARANTIA</v>
      </c>
      <c r="E169" s="148"/>
      <c r="F169" s="109">
        <f>IFERROR(MAX(0,IF(I169-(INDEX([1]GARANTIA!$J:$J,MATCH(A169,[1]GARANTIA!$C:$C,0)))&gt;=0,I169-(INDEX([1]GARANTIA!$L:$L,MATCH(A169,[1]GARANTIA!$C:$C,0))),"INSIRA DATA CHAMADO")),"INSIRA N° SERIE")</f>
        <v>234</v>
      </c>
      <c r="G169" s="17">
        <v>20210479</v>
      </c>
      <c r="H169" s="35" t="str">
        <f t="shared" si="12"/>
        <v>MAI</v>
      </c>
      <c r="I169" s="18">
        <v>44329</v>
      </c>
      <c r="J169" s="19">
        <v>44329</v>
      </c>
      <c r="K169" s="20">
        <v>44330</v>
      </c>
      <c r="L169" s="54" t="s">
        <v>23</v>
      </c>
      <c r="M169" s="54" t="s">
        <v>8</v>
      </c>
      <c r="N169" s="54" t="s">
        <v>50</v>
      </c>
      <c r="O169" s="42" t="str">
        <f>IFERROR(INDEX([1]GARANTIA!$E:$E,MATCH(A169,[1]GARANTIA!$C:$C,0)),"INSIRA N° SERIE")</f>
        <v>EMS - 1</v>
      </c>
      <c r="P169" s="63" t="s">
        <v>203</v>
      </c>
      <c r="Q169" s="55" t="s">
        <v>326</v>
      </c>
      <c r="R169" s="57" t="s">
        <v>107</v>
      </c>
      <c r="S169" s="56" t="s">
        <v>325</v>
      </c>
      <c r="T169" s="56" t="s">
        <v>640</v>
      </c>
      <c r="U169" s="58"/>
      <c r="V169" s="41" t="str">
        <f>IFERROR(INDEX([1]GARANTIA!$G:$G,MATCH(A169,[1]GARANTIA!$C:$C,0)),"INSIRA N° SERIE")</f>
        <v xml:space="preserve">IRAJA </v>
      </c>
      <c r="W169" s="41" t="str">
        <f>IFERROR(INDEX([1]GARANTIA!$H:$H,MATCH(A169,[1]GARANTIA!$C:$C,0)),"INSIRA N° SERIE")</f>
        <v xml:space="preserve">RJ </v>
      </c>
      <c r="X169" s="41" t="str">
        <f>IFERROR(INDEX([1]GARANTIA!$F:$F,MATCH(A169,[1]GARANTIA!$C:$C,0)),"INSIRA N° SERIE")</f>
        <v>SUDESTE</v>
      </c>
      <c r="Y169" s="46">
        <f t="shared" si="14"/>
        <v>0</v>
      </c>
      <c r="Z169" s="47">
        <f t="shared" si="13"/>
        <v>1</v>
      </c>
      <c r="AA169" s="46">
        <f t="shared" si="15"/>
        <v>1</v>
      </c>
      <c r="AB169" s="46" t="str" cm="1">
        <f t="array" ref="AB169">IFERROR(_xlfn.IFS(L169="FINALIZADO PRESENCIAL",IF(AA169&gt;10,"FORA","DENTRO"),L169="FINALIZADO REMOTO",IF(AA169&gt;5,"FORA","DENTRO")),"-")</f>
        <v>DENTRO</v>
      </c>
      <c r="AC169" s="41" t="s">
        <v>1671</v>
      </c>
      <c r="AD169" s="41" t="s">
        <v>1671</v>
      </c>
      <c r="AE169" s="48" cm="1">
        <f t="array" ref="AE169">SUMPRODUCT(IFERROR(('[2]PEÇAS GARANTIA'!$A$3:$A$5993=G169)*('[2]PEÇAS GARANTIA'!$A$3:$A$5993&lt;&gt;"")*('[2]PEÇAS GARANTIA'!$R$3:$R$5993),0))</f>
        <v>213</v>
      </c>
      <c r="AF169" s="178">
        <v>0</v>
      </c>
    </row>
    <row r="170" spans="1:32" ht="48" customHeight="1" x14ac:dyDescent="0.25">
      <c r="A170" s="83">
        <v>72824</v>
      </c>
      <c r="B170" s="41" t="str">
        <f>IFERROR(INDEX([1]GARANTIA!$B:$B,MATCH(A170,[1]GARANTIA!$C:$C,0)),"INSIRA N° SERIE")</f>
        <v>TESTE 231</v>
      </c>
      <c r="C170" s="33">
        <f>IFERROR(INDEX([1]GARANTIA!$J:$J,MATCH(A170,[1]GARANTIA!$C:$C,0)),"INSIRA N° SERIE")</f>
        <v>44074</v>
      </c>
      <c r="D170" s="33" t="str">
        <f>IFERROR(IF(INDEX([1]GARANTIA!$M:$M,MATCH(A170,[1]GARANTIA!$C:$C,0))&gt;=I170,"DENTRO DA GARANTIA","FORA DE GARANTIA"),"INSIRA N° SERIE")</f>
        <v>DENTRO DA GARANTIA</v>
      </c>
      <c r="E170" s="148"/>
      <c r="F170" s="109">
        <f>IFERROR(MAX(0,IF(I170-(INDEX([1]GARANTIA!$J:$J,MATCH(A170,[1]GARANTIA!$C:$C,0)))&gt;=0,I170-(INDEX([1]GARANTIA!$L:$L,MATCH(A170,[1]GARANTIA!$C:$C,0))),"INSIRA DATA CHAMADO")),"INSIRA N° SERIE")</f>
        <v>14</v>
      </c>
      <c r="G170" s="17">
        <v>20210480</v>
      </c>
      <c r="H170" s="35" t="str">
        <f t="shared" si="12"/>
        <v>MAI</v>
      </c>
      <c r="I170" s="18">
        <v>44330</v>
      </c>
      <c r="J170" s="19">
        <v>44330</v>
      </c>
      <c r="K170" s="20">
        <v>44330</v>
      </c>
      <c r="L170" s="54" t="s">
        <v>23</v>
      </c>
      <c r="M170" s="54" t="s">
        <v>8</v>
      </c>
      <c r="N170" s="54" t="s">
        <v>28</v>
      </c>
      <c r="O170" s="42" t="str">
        <f>IFERROR(INDEX([1]GARANTIA!$E:$E,MATCH(A170,[1]GARANTIA!$C:$C,0)),"INSIRA N° SERIE")</f>
        <v>MTI - 1.000GTS</v>
      </c>
      <c r="P170" s="63" t="s">
        <v>378</v>
      </c>
      <c r="Q170" s="55" t="s">
        <v>328</v>
      </c>
      <c r="R170" s="57" t="s">
        <v>379</v>
      </c>
      <c r="S170" s="56" t="s">
        <v>101</v>
      </c>
      <c r="T170" s="56" t="s">
        <v>142</v>
      </c>
      <c r="U170" s="58"/>
      <c r="V170" s="41" t="str">
        <f>IFERROR(INDEX([1]GARANTIA!$G:$G,MATCH(A170,[1]GARANTIA!$C:$C,0)),"INSIRA N° SERIE")</f>
        <v>AIMORÉS</v>
      </c>
      <c r="W170" s="41" t="str">
        <f>IFERROR(INDEX([1]GARANTIA!$H:$H,MATCH(A170,[1]GARANTIA!$C:$C,0)),"INSIRA N° SERIE")</f>
        <v>MG</v>
      </c>
      <c r="X170" s="41" t="str">
        <f>IFERROR(INDEX([1]GARANTIA!$F:$F,MATCH(A170,[1]GARANTIA!$C:$C,0)),"INSIRA N° SERIE")</f>
        <v>SUDESTE</v>
      </c>
      <c r="Y170" s="46">
        <f t="shared" si="14"/>
        <v>0</v>
      </c>
      <c r="Z170" s="47">
        <f t="shared" si="13"/>
        <v>0</v>
      </c>
      <c r="AA170" s="46">
        <f t="shared" si="15"/>
        <v>0</v>
      </c>
      <c r="AB170" s="46" t="str" cm="1">
        <f t="array" ref="AB170">IFERROR(_xlfn.IFS(L170="FINALIZADO PRESENCIAL",IF(AA170&gt;10,"FORA","DENTRO"),L170="FINALIZADO REMOTO",IF(AA170&gt;5,"FORA","DENTRO")),"-")</f>
        <v>DENTRO</v>
      </c>
      <c r="AC170" s="41" t="s">
        <v>1671</v>
      </c>
      <c r="AD170" s="41" t="s">
        <v>1671</v>
      </c>
      <c r="AE170" s="48" cm="1">
        <f t="array" ref="AE170">SUMPRODUCT(IFERROR(('[2]PEÇAS GARANTIA'!$A$3:$A$5993=G170)*('[2]PEÇAS GARANTIA'!$A$3:$A$5993&lt;&gt;"")*('[2]PEÇAS GARANTIA'!$R$3:$R$5993),0))</f>
        <v>0</v>
      </c>
      <c r="AF170" s="178">
        <v>0</v>
      </c>
    </row>
    <row r="171" spans="1:32" ht="39" customHeight="1" x14ac:dyDescent="0.25">
      <c r="A171" s="83">
        <v>9998</v>
      </c>
      <c r="B171" s="41" t="str">
        <f>IFERROR(INDEX([1]GARANTIA!$B:$B,MATCH(A171,[1]GARANTIA!$C:$C,0)),"INSIRA N° SERIE")</f>
        <v>TESTE 115</v>
      </c>
      <c r="C171" s="33">
        <f>IFERROR(INDEX([1]GARANTIA!$J:$J,MATCH(A171,[1]GARANTIA!$C:$C,0)),"INSIRA N° SERIE")</f>
        <v>43738</v>
      </c>
      <c r="D171" s="33" t="str">
        <f>IFERROR(IF(INDEX([1]GARANTIA!$M:$M,MATCH(A171,[1]GARANTIA!$C:$C,0))&gt;=I171,"DENTRO DA GARANTIA","FORA DE GARANTIA"),"INSIRA N° SERIE")</f>
        <v>DENTRO DA GARANTIA</v>
      </c>
      <c r="E171" s="148"/>
      <c r="F171" s="109">
        <f>IFERROR(MAX(0,IF(I171-(INDEX([1]GARANTIA!$J:$J,MATCH(A171,[1]GARANTIA!$C:$C,0)))&gt;=0,I171-(INDEX([1]GARANTIA!$L:$L,MATCH(A171,[1]GARANTIA!$C:$C,0))),"INSIRA DATA CHAMADO")),"INSIRA N° SERIE")</f>
        <v>358</v>
      </c>
      <c r="G171" s="17">
        <v>20210481</v>
      </c>
      <c r="H171" s="35" t="str">
        <f t="shared" si="12"/>
        <v>MAI</v>
      </c>
      <c r="I171" s="18">
        <v>44330</v>
      </c>
      <c r="J171" s="19">
        <v>44330</v>
      </c>
      <c r="K171" s="20">
        <v>44330</v>
      </c>
      <c r="L171" s="54" t="s">
        <v>23</v>
      </c>
      <c r="M171" s="54" t="s">
        <v>8</v>
      </c>
      <c r="N171" s="54" t="s">
        <v>26</v>
      </c>
      <c r="O171" s="42" t="str">
        <f>IFERROR(INDEX([1]GARANTIA!$E:$E,MATCH(A171,[1]GARANTIA!$C:$C,0)),"INSIRA N° SERIE")</f>
        <v>MTI - 2.500GTS</v>
      </c>
      <c r="P171" s="63" t="s">
        <v>374</v>
      </c>
      <c r="Q171" s="55" t="s">
        <v>38</v>
      </c>
      <c r="R171" s="57" t="s">
        <v>392</v>
      </c>
      <c r="S171" s="56" t="s">
        <v>101</v>
      </c>
      <c r="T171" s="56" t="s">
        <v>296</v>
      </c>
      <c r="U171" s="58"/>
      <c r="V171" s="41" t="str">
        <f>IFERROR(INDEX([1]GARANTIA!$G:$G,MATCH(A171,[1]GARANTIA!$C:$C,0)),"INSIRA N° SERIE")</f>
        <v xml:space="preserve">DOURADOS </v>
      </c>
      <c r="W171" s="41" t="str">
        <f>IFERROR(INDEX([1]GARANTIA!$H:$H,MATCH(A171,[1]GARANTIA!$C:$C,0)),"INSIRA N° SERIE")</f>
        <v>MS</v>
      </c>
      <c r="X171" s="41" t="str">
        <f>IFERROR(INDEX([1]GARANTIA!$F:$F,MATCH(A171,[1]GARANTIA!$C:$C,0)),"INSIRA N° SERIE")</f>
        <v>CENTROESTE</v>
      </c>
      <c r="Y171" s="46">
        <f t="shared" si="14"/>
        <v>0</v>
      </c>
      <c r="Z171" s="47">
        <f t="shared" si="13"/>
        <v>0</v>
      </c>
      <c r="AA171" s="46">
        <f t="shared" si="15"/>
        <v>0</v>
      </c>
      <c r="AB171" s="46" t="str" cm="1">
        <f t="array" ref="AB171">IFERROR(_xlfn.IFS(L171="FINALIZADO PRESENCIAL",IF(AA171&gt;10,"FORA","DENTRO"),L171="FINALIZADO REMOTO",IF(AA171&gt;5,"FORA","DENTRO")),"-")</f>
        <v>DENTRO</v>
      </c>
      <c r="AC171" s="41" t="s">
        <v>1671</v>
      </c>
      <c r="AD171" s="41" t="s">
        <v>1671</v>
      </c>
      <c r="AE171" s="48" cm="1">
        <f t="array" ref="AE171">SUMPRODUCT(IFERROR(('[2]PEÇAS GARANTIA'!$A$3:$A$5993=G171)*('[2]PEÇAS GARANTIA'!$A$3:$A$5993&lt;&gt;"")*('[2]PEÇAS GARANTIA'!$R$3:$R$5993),0))</f>
        <v>0</v>
      </c>
      <c r="AF171" s="178">
        <v>0</v>
      </c>
    </row>
    <row r="172" spans="1:32" ht="15" x14ac:dyDescent="0.25">
      <c r="A172" s="83">
        <v>37350</v>
      </c>
      <c r="B172" s="41" t="str">
        <f>IFERROR(INDEX([1]GARANTIA!$B:$B,MATCH(A172,[1]GARANTIA!$C:$C,0)),"INSIRA N° SERIE")</f>
        <v>TESTE 56</v>
      </c>
      <c r="C172" s="33">
        <f>IFERROR(INDEX([1]GARANTIA!$J:$J,MATCH(A172,[1]GARANTIA!$C:$C,0)),"INSIRA N° SERIE")</f>
        <v>43738</v>
      </c>
      <c r="D172" s="33" t="str">
        <f>IFERROR(IF(INDEX([1]GARANTIA!$M:$M,MATCH(A172,[1]GARANTIA!$C:$C,0))&gt;=I172,"DENTRO DA GARANTIA","FORA DE GARANTIA"),"INSIRA N° SERIE")</f>
        <v>DENTRO DA GARANTIA</v>
      </c>
      <c r="E172" s="148"/>
      <c r="F172" s="109">
        <f>IFERROR(MAX(0,IF(I172-(INDEX([1]GARANTIA!$J:$J,MATCH(A172,[1]GARANTIA!$C:$C,0)))&gt;=0,I172-(INDEX([1]GARANTIA!$L:$L,MATCH(A172,[1]GARANTIA!$C:$C,0))),"INSIRA DATA CHAMADO")),"INSIRA N° SERIE")</f>
        <v>349</v>
      </c>
      <c r="G172" s="17">
        <v>20210482</v>
      </c>
      <c r="H172" s="35" t="str">
        <f t="shared" si="12"/>
        <v>MAI</v>
      </c>
      <c r="I172" s="18">
        <v>44328</v>
      </c>
      <c r="J172" s="19">
        <v>44328</v>
      </c>
      <c r="K172" s="20">
        <v>44330</v>
      </c>
      <c r="L172" s="54" t="s">
        <v>11</v>
      </c>
      <c r="M172" s="54" t="s">
        <v>8</v>
      </c>
      <c r="N172" s="54" t="s">
        <v>42</v>
      </c>
      <c r="O172" s="42" t="str">
        <f>IFERROR(INDEX([1]GARANTIA!$E:$E,MATCH(A172,[1]GARANTIA!$C:$C,0)),"INSIRA N° SERIE")</f>
        <v>MTI - 7.000GTS</v>
      </c>
      <c r="P172" s="63" t="s">
        <v>380</v>
      </c>
      <c r="Q172" s="55" t="s">
        <v>54</v>
      </c>
      <c r="R172" s="57" t="s">
        <v>381</v>
      </c>
      <c r="S172" s="44" t="s">
        <v>638</v>
      </c>
      <c r="T172" s="56" t="s">
        <v>142</v>
      </c>
      <c r="U172" s="58"/>
      <c r="V172" s="41" t="str">
        <f>IFERROR(INDEX([1]GARANTIA!$G:$G,MATCH(A172,[1]GARANTIA!$C:$C,0)),"INSIRA N° SERIE")</f>
        <v>VINHEDO</v>
      </c>
      <c r="W172" s="41" t="str">
        <f>IFERROR(INDEX([1]GARANTIA!$H:$H,MATCH(A172,[1]GARANTIA!$C:$C,0)),"INSIRA N° SERIE")</f>
        <v>SP</v>
      </c>
      <c r="X172" s="41" t="str">
        <f>IFERROR(INDEX([1]GARANTIA!$F:$F,MATCH(A172,[1]GARANTIA!$C:$C,0)),"INSIRA N° SERIE")</f>
        <v>SUDESTE</v>
      </c>
      <c r="Y172" s="46">
        <f t="shared" ref="Y172:Y203" si="16">IF(G172&lt;&gt;"",J172-I172,"INSIRA N° OS")</f>
        <v>0</v>
      </c>
      <c r="Z172" s="47">
        <f t="shared" si="13"/>
        <v>2</v>
      </c>
      <c r="AA172" s="46">
        <f t="shared" ref="AA172:AA203" si="17">IF(Z172="NÃO FINALIZADO","",Z172+Y172)</f>
        <v>2</v>
      </c>
      <c r="AB172" s="46" t="str" cm="1">
        <f t="array" ref="AB172">IFERROR(_xlfn.IFS(L172="FINALIZADO PRESENCIAL",IF(AA172&gt;10,"FORA","DENTRO"),L172="FINALIZADO REMOTO",IF(AA172&gt;5,"FORA","DENTRO")),"-")</f>
        <v>DENTRO</v>
      </c>
      <c r="AC172" s="41" t="s">
        <v>1671</v>
      </c>
      <c r="AD172" s="41" t="s">
        <v>1671</v>
      </c>
      <c r="AE172" s="48" cm="1">
        <f t="array" ref="AE172">SUMPRODUCT(IFERROR(('[2]PEÇAS GARANTIA'!$A$3:$A$5993=G172)*('[2]PEÇAS GARANTIA'!$A$3:$A$5993&lt;&gt;"")*('[2]PEÇAS GARANTIA'!$R$3:$R$5993),0))</f>
        <v>0</v>
      </c>
      <c r="AF172" s="178">
        <v>3218.56</v>
      </c>
    </row>
    <row r="173" spans="1:32" ht="15" x14ac:dyDescent="0.25">
      <c r="A173" s="83">
        <v>38373</v>
      </c>
      <c r="B173" s="41" t="str">
        <f>IFERROR(INDEX([1]GARANTIA!$B:$B,MATCH(A173,[1]GARANTIA!$C:$C,0)),"INSIRA N° SERIE")</f>
        <v>TESTE 40</v>
      </c>
      <c r="C173" s="33">
        <f>IFERROR(INDEX([1]GARANTIA!$J:$J,MATCH(A173,[1]GARANTIA!$C:$C,0)),"INSIRA N° SERIE")</f>
        <v>44165</v>
      </c>
      <c r="D173" s="33" t="str">
        <f>IFERROR(IF(INDEX([1]GARANTIA!$M:$M,MATCH(A173,[1]GARANTIA!$C:$C,0))&gt;=I173,"DENTRO DA GARANTIA","FORA DE GARANTIA"),"INSIRA N° SERIE")</f>
        <v>DENTRO DA GARANTIA</v>
      </c>
      <c r="E173" s="148"/>
      <c r="F173" s="109">
        <f>IFERROR(MAX(0,IF(I173-(INDEX([1]GARANTIA!$J:$J,MATCH(A173,[1]GARANTIA!$C:$C,0)))&gt;=0,I173-(INDEX([1]GARANTIA!$L:$L,MATCH(A173,[1]GARANTIA!$C:$C,0))),"INSIRA DATA CHAMADO")),"INSIRA N° SERIE")</f>
        <v>32</v>
      </c>
      <c r="G173" s="17">
        <v>20210483</v>
      </c>
      <c r="H173" s="35" t="str">
        <f t="shared" si="12"/>
        <v>MAI</v>
      </c>
      <c r="I173" s="18">
        <v>44331</v>
      </c>
      <c r="J173" s="19">
        <v>44331</v>
      </c>
      <c r="K173" s="20">
        <v>44332</v>
      </c>
      <c r="L173" s="54" t="s">
        <v>23</v>
      </c>
      <c r="M173" s="54" t="s">
        <v>8</v>
      </c>
      <c r="N173" s="54" t="s">
        <v>41</v>
      </c>
      <c r="O173" s="42" t="str">
        <f>IFERROR(INDEX([1]GARANTIA!$E:$E,MATCH(A173,[1]GARANTIA!$C:$C,0)),"INSIRA N° SERIE")</f>
        <v>MTI - 1.000GTS</v>
      </c>
      <c r="P173" s="63" t="s">
        <v>374</v>
      </c>
      <c r="Q173" s="55" t="s">
        <v>38</v>
      </c>
      <c r="R173" s="57" t="s">
        <v>382</v>
      </c>
      <c r="S173" s="56" t="s">
        <v>101</v>
      </c>
      <c r="T173" s="56" t="s">
        <v>296</v>
      </c>
      <c r="U173" s="58"/>
      <c r="V173" s="41" t="str">
        <f>IFERROR(INDEX([1]GARANTIA!$G:$G,MATCH(A173,[1]GARANTIA!$C:$C,0)),"INSIRA N° SERIE")</f>
        <v>ITABERAÍ</v>
      </c>
      <c r="W173" s="41" t="str">
        <f>IFERROR(INDEX([1]GARANTIA!$H:$H,MATCH(A173,[1]GARANTIA!$C:$C,0)),"INSIRA N° SERIE")</f>
        <v>GO</v>
      </c>
      <c r="X173" s="41" t="str">
        <f>IFERROR(INDEX([1]GARANTIA!$F:$F,MATCH(A173,[1]GARANTIA!$C:$C,0)),"INSIRA N° SERIE")</f>
        <v>CENTROESTE</v>
      </c>
      <c r="Y173" s="46">
        <f t="shared" si="16"/>
        <v>0</v>
      </c>
      <c r="Z173" s="47">
        <f t="shared" si="13"/>
        <v>1</v>
      </c>
      <c r="AA173" s="46">
        <f t="shared" si="17"/>
        <v>1</v>
      </c>
      <c r="AB173" s="46" t="str" cm="1">
        <f t="array" ref="AB173">IFERROR(_xlfn.IFS(L173="FINALIZADO PRESENCIAL",IF(AA173&gt;10,"FORA","DENTRO"),L173="FINALIZADO REMOTO",IF(AA173&gt;5,"FORA","DENTRO")),"-")</f>
        <v>DENTRO</v>
      </c>
      <c r="AC173" s="41" t="s">
        <v>1671</v>
      </c>
      <c r="AD173" s="41" t="s">
        <v>1671</v>
      </c>
      <c r="AE173" s="48" cm="1">
        <f t="array" ref="AE173">SUMPRODUCT(IFERROR(('[2]PEÇAS GARANTIA'!$A$3:$A$5993=G173)*('[2]PEÇAS GARANTIA'!$A$3:$A$5993&lt;&gt;"")*('[2]PEÇAS GARANTIA'!$R$3:$R$5993),0))</f>
        <v>0</v>
      </c>
      <c r="AF173" s="178">
        <v>0</v>
      </c>
    </row>
    <row r="174" spans="1:32" ht="29.25" customHeight="1" x14ac:dyDescent="0.25">
      <c r="A174" s="83">
        <v>47823</v>
      </c>
      <c r="B174" s="41" t="str">
        <f>IFERROR(INDEX([1]GARANTIA!$B:$B,MATCH(A174,[1]GARANTIA!$C:$C,0)),"INSIRA N° SERIE")</f>
        <v>TESTE 295</v>
      </c>
      <c r="C174" s="33">
        <f>IFERROR(INDEX([1]GARANTIA!$J:$J,MATCH(A174,[1]GARANTIA!$C:$C,0)),"INSIRA N° SERIE")</f>
        <v>43830</v>
      </c>
      <c r="D174" s="33" t="str">
        <f>IFERROR(IF(INDEX([1]GARANTIA!$M:$M,MATCH(A174,[1]GARANTIA!$C:$C,0))&gt;=I174,"DENTRO DA GARANTIA","FORA DE GARANTIA"),"INSIRA N° SERIE")</f>
        <v>DENTRO DA GARANTIA</v>
      </c>
      <c r="E174" s="148"/>
      <c r="F174" s="109">
        <f>IFERROR(MAX(0,IF(I174-(INDEX([1]GARANTIA!$J:$J,MATCH(A174,[1]GARANTIA!$C:$C,0)))&gt;=0,I174-(INDEX([1]GARANTIA!$L:$L,MATCH(A174,[1]GARANTIA!$C:$C,0))),"INSIRA DATA CHAMADO")),"INSIRA N° SERIE")</f>
        <v>220</v>
      </c>
      <c r="G174" s="17">
        <v>20210484</v>
      </c>
      <c r="H174" s="35" t="str">
        <f t="shared" si="12"/>
        <v>MAI</v>
      </c>
      <c r="I174" s="18">
        <v>44333</v>
      </c>
      <c r="J174" s="19">
        <v>44333</v>
      </c>
      <c r="K174" s="20">
        <v>44336</v>
      </c>
      <c r="L174" s="54" t="s">
        <v>23</v>
      </c>
      <c r="M174" s="54" t="s">
        <v>8</v>
      </c>
      <c r="N174" s="54" t="s">
        <v>40</v>
      </c>
      <c r="O174" s="42" t="str">
        <f>IFERROR(INDEX([1]GARANTIA!$E:$E,MATCH(A174,[1]GARANTIA!$C:$C,0)),"INSIRA N° SERIE")</f>
        <v>MTI - 12.000GTS</v>
      </c>
      <c r="P174" s="63" t="s">
        <v>383</v>
      </c>
      <c r="Q174" s="55" t="s">
        <v>326</v>
      </c>
      <c r="R174" s="57" t="s">
        <v>384</v>
      </c>
      <c r="S174" s="56" t="s">
        <v>325</v>
      </c>
      <c r="T174" s="56" t="s">
        <v>142</v>
      </c>
      <c r="U174" s="58"/>
      <c r="V174" s="41" t="str">
        <f>IFERROR(INDEX([1]GARANTIA!$G:$G,MATCH(A174,[1]GARANTIA!$C:$C,0)),"INSIRA N° SERIE")</f>
        <v xml:space="preserve">LUIS EDUARDO MAGALHAES </v>
      </c>
      <c r="W174" s="41" t="str">
        <f>IFERROR(INDEX([1]GARANTIA!$H:$H,MATCH(A174,[1]GARANTIA!$C:$C,0)),"INSIRA N° SERIE")</f>
        <v>BA</v>
      </c>
      <c r="X174" s="41" t="str">
        <f>IFERROR(INDEX([1]GARANTIA!$F:$F,MATCH(A174,[1]GARANTIA!$C:$C,0)),"INSIRA N° SERIE")</f>
        <v>NORDESTE</v>
      </c>
      <c r="Y174" s="46">
        <f t="shared" si="16"/>
        <v>0</v>
      </c>
      <c r="Z174" s="47">
        <f t="shared" si="13"/>
        <v>3</v>
      </c>
      <c r="AA174" s="46">
        <f t="shared" si="17"/>
        <v>3</v>
      </c>
      <c r="AB174" s="46" t="str" cm="1">
        <f t="array" ref="AB174">IFERROR(_xlfn.IFS(L174="FINALIZADO PRESENCIAL",IF(AA174&gt;10,"FORA","DENTRO"),L174="FINALIZADO REMOTO",IF(AA174&gt;5,"FORA","DENTRO")),"-")</f>
        <v>DENTRO</v>
      </c>
      <c r="AC174" s="41" t="s">
        <v>1671</v>
      </c>
      <c r="AD174" s="41" t="s">
        <v>1671</v>
      </c>
      <c r="AE174" s="48" cm="1">
        <f t="array" ref="AE174">SUMPRODUCT(IFERROR(('[2]PEÇAS GARANTIA'!$A$3:$A$5993=G174)*('[2]PEÇAS GARANTIA'!$A$3:$A$5993&lt;&gt;"")*('[2]PEÇAS GARANTIA'!$R$3:$R$5993),0))</f>
        <v>8679</v>
      </c>
      <c r="AF174" s="178">
        <v>0</v>
      </c>
    </row>
    <row r="175" spans="1:32" ht="37.5" customHeight="1" x14ac:dyDescent="0.25">
      <c r="A175" s="83">
        <v>24353</v>
      </c>
      <c r="B175" s="41" t="str">
        <f>IFERROR(INDEX([1]GARANTIA!$B:$B,MATCH(A175,[1]GARANTIA!$C:$C,0)),"INSIRA N° SERIE")</f>
        <v>TESTE 37</v>
      </c>
      <c r="C175" s="33">
        <f>IFERROR(INDEX([1]GARANTIA!$J:$J,MATCH(A175,[1]GARANTIA!$C:$C,0)),"INSIRA N° SERIE")</f>
        <v>44196</v>
      </c>
      <c r="D175" s="33" t="str">
        <f>IFERROR(IF(INDEX([1]GARANTIA!$M:$M,MATCH(A175,[1]GARANTIA!$C:$C,0))&gt;=I175,"DENTRO DA GARANTIA","FORA DE GARANTIA"),"INSIRA N° SERIE")</f>
        <v>DENTRO DA GARANTIA</v>
      </c>
      <c r="E175" s="148"/>
      <c r="F175" s="109">
        <f>IFERROR(MAX(0,IF(I175-(INDEX([1]GARANTIA!$J:$J,MATCH(A175,[1]GARANTIA!$C:$C,0)))&gt;=0,I175-(INDEX([1]GARANTIA!$L:$L,MATCH(A175,[1]GARANTIA!$C:$C,0))),"INSIRA DATA CHAMADO")),"INSIRA N° SERIE")</f>
        <v>41</v>
      </c>
      <c r="G175" s="17">
        <v>20210485</v>
      </c>
      <c r="H175" s="35" t="str">
        <f t="shared" si="12"/>
        <v>MAI</v>
      </c>
      <c r="I175" s="18">
        <v>44336</v>
      </c>
      <c r="J175" s="19">
        <v>44336</v>
      </c>
      <c r="K175" s="20">
        <v>44341</v>
      </c>
      <c r="L175" s="54" t="s">
        <v>11</v>
      </c>
      <c r="M175" s="54" t="s">
        <v>8</v>
      </c>
      <c r="N175" s="54" t="s">
        <v>28</v>
      </c>
      <c r="O175" s="42" t="str">
        <f>IFERROR(INDEX([1]GARANTIA!$E:$E,MATCH(A175,[1]GARANTIA!$C:$C,0)),"INSIRA N° SERIE")</f>
        <v>MTI - 7.000GTS</v>
      </c>
      <c r="P175" s="63" t="s">
        <v>408</v>
      </c>
      <c r="Q175" s="55" t="s">
        <v>321</v>
      </c>
      <c r="R175" s="57" t="s">
        <v>409</v>
      </c>
      <c r="S175" s="56" t="s">
        <v>101</v>
      </c>
      <c r="T175" s="56" t="s">
        <v>142</v>
      </c>
      <c r="U175" s="58"/>
      <c r="V175" s="41" t="str">
        <f>IFERROR(INDEX([1]GARANTIA!$G:$G,MATCH(A175,[1]GARANTIA!$C:$C,0)),"INSIRA N° SERIE")</f>
        <v xml:space="preserve">GOIANIA </v>
      </c>
      <c r="W175" s="41" t="str">
        <f>IFERROR(INDEX([1]GARANTIA!$H:$H,MATCH(A175,[1]GARANTIA!$C:$C,0)),"INSIRA N° SERIE")</f>
        <v xml:space="preserve">GO </v>
      </c>
      <c r="X175" s="41" t="str">
        <f>IFERROR(INDEX([1]GARANTIA!$F:$F,MATCH(A175,[1]GARANTIA!$C:$C,0)),"INSIRA N° SERIE")</f>
        <v>CENTROESTE</v>
      </c>
      <c r="Y175" s="46">
        <f t="shared" si="16"/>
        <v>0</v>
      </c>
      <c r="Z175" s="47">
        <f t="shared" si="13"/>
        <v>5</v>
      </c>
      <c r="AA175" s="46">
        <f t="shared" si="17"/>
        <v>5</v>
      </c>
      <c r="AB175" s="46" t="str" cm="1">
        <f t="array" ref="AB175">IFERROR(_xlfn.IFS(L175="FINALIZADO PRESENCIAL",IF(AA175&gt;10,"FORA","DENTRO"),L175="FINALIZADO REMOTO",IF(AA175&gt;5,"FORA","DENTRO")),"-")</f>
        <v>DENTRO</v>
      </c>
      <c r="AC175" s="41" t="s">
        <v>1671</v>
      </c>
      <c r="AD175" s="41" t="s">
        <v>1671</v>
      </c>
      <c r="AE175" s="48" cm="1">
        <f t="array" ref="AE175">SUMPRODUCT(IFERROR(('[2]PEÇAS GARANTIA'!$A$3:$A$5993=G175)*('[2]PEÇAS GARANTIA'!$A$3:$A$5993&lt;&gt;"")*('[2]PEÇAS GARANTIA'!$R$3:$R$5993),0))</f>
        <v>0</v>
      </c>
      <c r="AF175" s="178">
        <v>596</v>
      </c>
    </row>
    <row r="176" spans="1:32" ht="48.75" customHeight="1" x14ac:dyDescent="0.25">
      <c r="A176" s="83">
        <v>73508</v>
      </c>
      <c r="B176" s="41" t="str">
        <f>IFERROR(INDEX([1]GARANTIA!$B:$B,MATCH(A176,[1]GARANTIA!$C:$C,0)),"INSIRA N° SERIE")</f>
        <v>TESTE 327</v>
      </c>
      <c r="C176" s="33">
        <f>IFERROR(INDEX([1]GARANTIA!$J:$J,MATCH(A176,[1]GARANTIA!$C:$C,0)),"INSIRA N° SERIE")</f>
        <v>44104</v>
      </c>
      <c r="D176" s="33" t="str">
        <f>IFERROR(IF(INDEX([1]GARANTIA!$M:$M,MATCH(A176,[1]GARANTIA!$C:$C,0))&gt;=I176,"DENTRO DA GARANTIA","FORA DE GARANTIA"),"INSIRA N° SERIE")</f>
        <v>DENTRO DA GARANTIA</v>
      </c>
      <c r="E176" s="148"/>
      <c r="F176" s="109">
        <f>IFERROR(MAX(0,IF(I176-(INDEX([1]GARANTIA!$J:$J,MATCH(A176,[1]GARANTIA!$C:$C,0)))&gt;=0,I176-(INDEX([1]GARANTIA!$L:$L,MATCH(A176,[1]GARANTIA!$C:$C,0))),"INSIRA DATA CHAMADO")),"INSIRA N° SERIE")</f>
        <v>131</v>
      </c>
      <c r="G176" s="17">
        <v>20210486</v>
      </c>
      <c r="H176" s="35" t="str">
        <f t="shared" si="12"/>
        <v>MAI</v>
      </c>
      <c r="I176" s="18">
        <v>44336</v>
      </c>
      <c r="J176" s="19">
        <v>44336</v>
      </c>
      <c r="K176" s="20">
        <v>44337</v>
      </c>
      <c r="L176" s="54" t="s">
        <v>23</v>
      </c>
      <c r="M176" s="54" t="s">
        <v>8</v>
      </c>
      <c r="N176" s="54" t="s">
        <v>43</v>
      </c>
      <c r="O176" s="42" t="str">
        <f>IFERROR(INDEX([1]GARANTIA!$E:$E,MATCH(A176,[1]GARANTIA!$C:$C,0)),"INSIRA N° SERIE")</f>
        <v>MTI - 4.000GES</v>
      </c>
      <c r="P176" s="63" t="s">
        <v>393</v>
      </c>
      <c r="Q176" s="55" t="s">
        <v>410</v>
      </c>
      <c r="R176" s="57" t="s">
        <v>385</v>
      </c>
      <c r="S176" s="56" t="s">
        <v>639</v>
      </c>
      <c r="T176" s="56" t="s">
        <v>297</v>
      </c>
      <c r="U176" s="58"/>
      <c r="V176" s="41" t="str">
        <f>IFERROR(INDEX([1]GARANTIA!$G:$G,MATCH(A176,[1]GARANTIA!$C:$C,0)),"INSIRA N° SERIE")</f>
        <v>JARU</v>
      </c>
      <c r="W176" s="41" t="str">
        <f>IFERROR(INDEX([1]GARANTIA!$H:$H,MATCH(A176,[1]GARANTIA!$C:$C,0)),"INSIRA N° SERIE")</f>
        <v>RO</v>
      </c>
      <c r="X176" s="41" t="str">
        <f>IFERROR(INDEX([1]GARANTIA!$F:$F,MATCH(A176,[1]GARANTIA!$C:$C,0)),"INSIRA N° SERIE")</f>
        <v>NORTE</v>
      </c>
      <c r="Y176" s="46">
        <f t="shared" si="16"/>
        <v>0</v>
      </c>
      <c r="Z176" s="47">
        <f t="shared" si="13"/>
        <v>1</v>
      </c>
      <c r="AA176" s="46">
        <f t="shared" si="17"/>
        <v>1</v>
      </c>
      <c r="AB176" s="46" t="str" cm="1">
        <f t="array" ref="AB176">IFERROR(_xlfn.IFS(L176="FINALIZADO PRESENCIAL",IF(AA176&gt;10,"FORA","DENTRO"),L176="FINALIZADO REMOTO",IF(AA176&gt;5,"FORA","DENTRO")),"-")</f>
        <v>DENTRO</v>
      </c>
      <c r="AC176" s="41" t="s">
        <v>1671</v>
      </c>
      <c r="AD176" s="41" t="s">
        <v>1671</v>
      </c>
      <c r="AE176" s="48" cm="1">
        <f t="array" ref="AE176">SUMPRODUCT(IFERROR(('[2]PEÇAS GARANTIA'!$A$3:$A$5993=G176)*('[2]PEÇAS GARANTIA'!$A$3:$A$5993&lt;&gt;"")*('[2]PEÇAS GARANTIA'!$R$3:$R$5993),0))</f>
        <v>0</v>
      </c>
      <c r="AF176" s="178">
        <v>0</v>
      </c>
    </row>
    <row r="177" spans="1:32" ht="36.75" customHeight="1" x14ac:dyDescent="0.25">
      <c r="A177" s="83">
        <v>17344</v>
      </c>
      <c r="B177" s="41" t="str">
        <f>IFERROR(INDEX([1]GARANTIA!$B:$B,MATCH(A177,[1]GARANTIA!$C:$C,0)),"INSIRA N° SERIE")</f>
        <v>TESTE 1</v>
      </c>
      <c r="C177" s="33">
        <f>IFERROR(INDEX([1]GARANTIA!$J:$J,MATCH(A177,[1]GARANTIA!$C:$C,0)),"INSIRA N° SERIE")</f>
        <v>43769</v>
      </c>
      <c r="D177" s="33" t="str">
        <f>IFERROR(IF(INDEX([1]GARANTIA!$M:$M,MATCH(A177,[1]GARANTIA!$C:$C,0))&gt;=I177,"DENTRO DA GARANTIA","FORA DE GARANTIA"),"INSIRA N° SERIE")</f>
        <v>DENTRO DA GARANTIA</v>
      </c>
      <c r="E177" s="148"/>
      <c r="F177" s="109">
        <f>IFERROR(MAX(0,IF(I177-(INDEX([1]GARANTIA!$J:$J,MATCH(A177,[1]GARANTIA!$C:$C,0)))&gt;=0,I177-(INDEX([1]GARANTIA!$L:$L,MATCH(A177,[1]GARANTIA!$C:$C,0))),"INSIRA DATA CHAMADO")),"INSIRA N° SERIE")</f>
        <v>267</v>
      </c>
      <c r="G177" s="17">
        <v>20210487</v>
      </c>
      <c r="H177" s="35" t="str">
        <f t="shared" si="12"/>
        <v>MAI</v>
      </c>
      <c r="I177" s="18">
        <v>44331</v>
      </c>
      <c r="J177" s="19">
        <v>44331</v>
      </c>
      <c r="K177" s="20">
        <v>44335</v>
      </c>
      <c r="L177" s="54" t="s">
        <v>11</v>
      </c>
      <c r="M177" s="54" t="s">
        <v>8</v>
      </c>
      <c r="N177" s="54" t="s">
        <v>42</v>
      </c>
      <c r="O177" s="42" t="str">
        <f>IFERROR(INDEX([1]GARANTIA!$E:$E,MATCH(A177,[1]GARANTIA!$C:$C,0)),"INSIRA N° SERIE")</f>
        <v>MTI - 12.000GTS</v>
      </c>
      <c r="P177" s="63" t="s">
        <v>386</v>
      </c>
      <c r="Q177" s="55" t="s">
        <v>333</v>
      </c>
      <c r="R177" s="57" t="s">
        <v>387</v>
      </c>
      <c r="S177" s="44" t="s">
        <v>638</v>
      </c>
      <c r="T177" s="56" t="s">
        <v>142</v>
      </c>
      <c r="U177" s="58"/>
      <c r="V177" s="41" t="str">
        <f>IFERROR(INDEX([1]GARANTIA!$G:$G,MATCH(A177,[1]GARANTIA!$C:$C,0)),"INSIRA N° SERIE")</f>
        <v xml:space="preserve">GUARULHOS </v>
      </c>
      <c r="W177" s="41" t="str">
        <f>IFERROR(INDEX([1]GARANTIA!$H:$H,MATCH(A177,[1]GARANTIA!$C:$C,0)),"INSIRA N° SERIE")</f>
        <v xml:space="preserve">SP </v>
      </c>
      <c r="X177" s="41" t="str">
        <f>IFERROR(INDEX([1]GARANTIA!$F:$F,MATCH(A177,[1]GARANTIA!$C:$C,0)),"INSIRA N° SERIE")</f>
        <v>SUDESTE</v>
      </c>
      <c r="Y177" s="46">
        <f t="shared" si="16"/>
        <v>0</v>
      </c>
      <c r="Z177" s="47">
        <f t="shared" si="13"/>
        <v>4</v>
      </c>
      <c r="AA177" s="46">
        <f t="shared" si="17"/>
        <v>4</v>
      </c>
      <c r="AB177" s="46" t="str" cm="1">
        <f t="array" ref="AB177">IFERROR(_xlfn.IFS(L177="FINALIZADO PRESENCIAL",IF(AA177&gt;10,"FORA","DENTRO"),L177="FINALIZADO REMOTO",IF(AA177&gt;5,"FORA","DENTRO")),"-")</f>
        <v>DENTRO</v>
      </c>
      <c r="AC177" s="41" t="s">
        <v>1671</v>
      </c>
      <c r="AD177" s="41" t="s">
        <v>1671</v>
      </c>
      <c r="AE177" s="48" cm="1">
        <f t="array" ref="AE177">SUMPRODUCT(IFERROR(('[2]PEÇAS GARANTIA'!$A$3:$A$5993=G177)*('[2]PEÇAS GARANTIA'!$A$3:$A$5993&lt;&gt;"")*('[2]PEÇAS GARANTIA'!$R$3:$R$5993),0))</f>
        <v>0</v>
      </c>
      <c r="AF177" s="178">
        <v>92.5</v>
      </c>
    </row>
    <row r="178" spans="1:32" s="135" customFormat="1" ht="43.5" customHeight="1" x14ac:dyDescent="0.25">
      <c r="A178" s="129">
        <v>9993</v>
      </c>
      <c r="B178" s="118" t="str">
        <f>IFERROR(INDEX([1]GARANTIA!$B:$B,MATCH(A178,[1]GARANTIA!$C:$C,0)),"INSIRA N° SERIE")</f>
        <v>TESTE 121</v>
      </c>
      <c r="C178" s="119">
        <f>IFERROR(INDEX([1]GARANTIA!$J:$J,MATCH(A178,[1]GARANTIA!$C:$C,0)),"INSIRA N° SERIE")</f>
        <v>42979</v>
      </c>
      <c r="D178" s="119" t="str">
        <f>IFERROR(IF(INDEX([1]GARANTIA!$M:$M,MATCH(A178,[1]GARANTIA!$C:$C,0))&gt;=I178,"DENTRO DA GARANTIA","FORA DE GARANTIA"),"INSIRA N° SERIE")</f>
        <v>DENTRO DA GARANTIA</v>
      </c>
      <c r="E178" s="121"/>
      <c r="F178" s="127">
        <f>IFERROR(MAX(0,IF(I178-(INDEX([1]GARANTIA!$J:$J,MATCH(A178,[1]GARANTIA!$C:$C,0)))&gt;=0,I178-(INDEX([1]GARANTIA!$L:$L,MATCH(A178,[1]GARANTIA!$C:$C,0))),"INSIRA DATA CHAMADO")),"INSIRA N° SERIE")</f>
        <v>262</v>
      </c>
      <c r="G178" s="130">
        <v>20210488</v>
      </c>
      <c r="H178" s="35" t="str">
        <f t="shared" si="12"/>
        <v>MAI</v>
      </c>
      <c r="I178" s="131">
        <v>44336</v>
      </c>
      <c r="J178" s="131">
        <v>44336</v>
      </c>
      <c r="K178" s="131">
        <v>44337</v>
      </c>
      <c r="L178" s="132" t="s">
        <v>11</v>
      </c>
      <c r="M178" s="132" t="s">
        <v>8</v>
      </c>
      <c r="N178" s="132" t="s">
        <v>42</v>
      </c>
      <c r="O178" s="118" t="str">
        <f>IFERROR(INDEX([1]GARANTIA!$E:$E,MATCH(A178,[1]GARANTIA!$C:$C,0)),"INSIRA N° SERIE")</f>
        <v>MAC 32.000 GT</v>
      </c>
      <c r="P178" s="133" t="s">
        <v>394</v>
      </c>
      <c r="Q178" s="132" t="s">
        <v>326</v>
      </c>
      <c r="R178" s="134" t="s">
        <v>395</v>
      </c>
      <c r="S178" s="132" t="s">
        <v>99</v>
      </c>
      <c r="T178" s="132" t="s">
        <v>360</v>
      </c>
      <c r="U178" s="126"/>
      <c r="V178" s="118" t="str">
        <f>IFERROR(INDEX([1]GARANTIA!$G:$G,MATCH(A178,[1]GARANTIA!$C:$C,0)),"INSIRA N° SERIE")</f>
        <v>SÃO PAULO</v>
      </c>
      <c r="W178" s="118" t="str">
        <f>IFERROR(INDEX([1]GARANTIA!$H:$H,MATCH(A178,[1]GARANTIA!$C:$C,0)),"INSIRA N° SERIE")</f>
        <v>SP</v>
      </c>
      <c r="X178" s="118" t="str">
        <f>IFERROR(INDEX([1]GARANTIA!$F:$F,MATCH(A178,[1]GARANTIA!$C:$C,0)),"INSIRA N° SERIE")</f>
        <v>SUDESTE</v>
      </c>
      <c r="Y178" s="118">
        <f t="shared" si="16"/>
        <v>0</v>
      </c>
      <c r="Z178" s="125">
        <f t="shared" si="13"/>
        <v>1</v>
      </c>
      <c r="AA178" s="118">
        <f t="shared" si="17"/>
        <v>1</v>
      </c>
      <c r="AB178" s="46" t="str" cm="1">
        <f t="array" ref="AB178">IFERROR(_xlfn.IFS(L178="FINALIZADO PRESENCIAL",IF(AA178&gt;10,"FORA","DENTRO"),L178="FINALIZADO REMOTO",IF(AA178&gt;5,"FORA","DENTRO")),"-")</f>
        <v>DENTRO</v>
      </c>
      <c r="AC178" s="41" t="s">
        <v>1671</v>
      </c>
      <c r="AD178" s="41" t="s">
        <v>1671</v>
      </c>
      <c r="AE178" s="48" cm="1">
        <f t="array" ref="AE178">SUMPRODUCT(IFERROR(('[2]PEÇAS GARANTIA'!$A$3:$A$5993=G178)*('[2]PEÇAS GARANTIA'!$A$3:$A$5993&lt;&gt;"")*('[2]PEÇAS GARANTIA'!$R$3:$R$5993),0))</f>
        <v>0</v>
      </c>
      <c r="AF178" s="178">
        <v>0</v>
      </c>
    </row>
    <row r="179" spans="1:32" ht="32.25" customHeight="1" x14ac:dyDescent="0.25">
      <c r="A179" s="83">
        <v>72824</v>
      </c>
      <c r="B179" s="41" t="str">
        <f>IFERROR(INDEX([1]GARANTIA!$B:$B,MATCH(A179,[1]GARANTIA!$C:$C,0)),"INSIRA N° SERIE")</f>
        <v>TESTE 231</v>
      </c>
      <c r="C179" s="33">
        <f>IFERROR(INDEX([1]GARANTIA!$J:$J,MATCH(A179,[1]GARANTIA!$C:$C,0)),"INSIRA N° SERIE")</f>
        <v>44074</v>
      </c>
      <c r="D179" s="33" t="str">
        <f>IFERROR(IF(INDEX([1]GARANTIA!$M:$M,MATCH(A179,[1]GARANTIA!$C:$C,0))&gt;=I179,"DENTRO DA GARANTIA","FORA DE GARANTIA"),"INSIRA N° SERIE")</f>
        <v>DENTRO DA GARANTIA</v>
      </c>
      <c r="E179" s="148"/>
      <c r="F179" s="109">
        <f>IFERROR(MAX(0,IF(I179-(INDEX([1]GARANTIA!$J:$J,MATCH(A179,[1]GARANTIA!$C:$C,0)))&gt;=0,I179-(INDEX([1]GARANTIA!$L:$L,MATCH(A179,[1]GARANTIA!$C:$C,0))),"INSIRA DATA CHAMADO")),"INSIRA N° SERIE")</f>
        <v>21</v>
      </c>
      <c r="G179" s="17">
        <v>20210489</v>
      </c>
      <c r="H179" s="35" t="str">
        <f t="shared" si="12"/>
        <v>MAI</v>
      </c>
      <c r="I179" s="18">
        <v>44337</v>
      </c>
      <c r="J179" s="19">
        <v>44337</v>
      </c>
      <c r="K179" s="20">
        <v>44337</v>
      </c>
      <c r="L179" s="54" t="s">
        <v>23</v>
      </c>
      <c r="M179" s="54" t="s">
        <v>8</v>
      </c>
      <c r="N179" s="54" t="s">
        <v>76</v>
      </c>
      <c r="O179" s="42" t="str">
        <f>IFERROR(INDEX([1]GARANTIA!$E:$E,MATCH(A179,[1]GARANTIA!$C:$C,0)),"INSIRA N° SERIE")</f>
        <v>MTI - 1.000GTS</v>
      </c>
      <c r="P179" s="63" t="s">
        <v>374</v>
      </c>
      <c r="Q179" s="55" t="s">
        <v>328</v>
      </c>
      <c r="R179" s="57" t="s">
        <v>388</v>
      </c>
      <c r="S179" s="56" t="s">
        <v>101</v>
      </c>
      <c r="T179" s="56" t="s">
        <v>296</v>
      </c>
      <c r="U179" s="58"/>
      <c r="V179" s="41" t="str">
        <f>IFERROR(INDEX([1]GARANTIA!$G:$G,MATCH(A179,[1]GARANTIA!$C:$C,0)),"INSIRA N° SERIE")</f>
        <v>AIMORÉS</v>
      </c>
      <c r="W179" s="41" t="str">
        <f>IFERROR(INDEX([1]GARANTIA!$H:$H,MATCH(A179,[1]GARANTIA!$C:$C,0)),"INSIRA N° SERIE")</f>
        <v>MG</v>
      </c>
      <c r="X179" s="41" t="str">
        <f>IFERROR(INDEX([1]GARANTIA!$F:$F,MATCH(A179,[1]GARANTIA!$C:$C,0)),"INSIRA N° SERIE")</f>
        <v>SUDESTE</v>
      </c>
      <c r="Y179" s="46">
        <f t="shared" si="16"/>
        <v>0</v>
      </c>
      <c r="Z179" s="47">
        <f t="shared" si="13"/>
        <v>0</v>
      </c>
      <c r="AA179" s="46">
        <f t="shared" si="17"/>
        <v>0</v>
      </c>
      <c r="AB179" s="46" t="str" cm="1">
        <f t="array" ref="AB179">IFERROR(_xlfn.IFS(L179="FINALIZADO PRESENCIAL",IF(AA179&gt;10,"FORA","DENTRO"),L179="FINALIZADO REMOTO",IF(AA179&gt;5,"FORA","DENTRO")),"-")</f>
        <v>DENTRO</v>
      </c>
      <c r="AC179" s="41" t="s">
        <v>1671</v>
      </c>
      <c r="AD179" s="41" t="s">
        <v>1671</v>
      </c>
      <c r="AE179" s="48" cm="1">
        <f t="array" ref="AE179">SUMPRODUCT(IFERROR(('[2]PEÇAS GARANTIA'!$A$3:$A$5993=G179)*('[2]PEÇAS GARANTIA'!$A$3:$A$5993&lt;&gt;"")*('[2]PEÇAS GARANTIA'!$R$3:$R$5993),0))</f>
        <v>0</v>
      </c>
      <c r="AF179" s="178">
        <v>0</v>
      </c>
    </row>
    <row r="180" spans="1:32" ht="15" x14ac:dyDescent="0.25">
      <c r="A180" s="83">
        <v>38373</v>
      </c>
      <c r="B180" s="41" t="str">
        <f>IFERROR(INDEX([1]GARANTIA!$B:$B,MATCH(A180,[1]GARANTIA!$C:$C,0)),"INSIRA N° SERIE")</f>
        <v>TESTE 40</v>
      </c>
      <c r="C180" s="33">
        <f>IFERROR(INDEX([1]GARANTIA!$J:$J,MATCH(A180,[1]GARANTIA!$C:$C,0)),"INSIRA N° SERIE")</f>
        <v>44165</v>
      </c>
      <c r="D180" s="33" t="str">
        <f>IFERROR(IF(INDEX([1]GARANTIA!$M:$M,MATCH(A180,[1]GARANTIA!$C:$C,0))&gt;=I180,"DENTRO DA GARANTIA","FORA DE GARANTIA"),"INSIRA N° SERIE")</f>
        <v>DENTRO DA GARANTIA</v>
      </c>
      <c r="E180" s="148"/>
      <c r="F180" s="109">
        <f>IFERROR(MAX(0,IF(I180-(INDEX([1]GARANTIA!$J:$J,MATCH(A180,[1]GARANTIA!$C:$C,0)))&gt;=0,I180-(INDEX([1]GARANTIA!$L:$L,MATCH(A180,[1]GARANTIA!$C:$C,0))),"INSIRA DATA CHAMADO")),"INSIRA N° SERIE")</f>
        <v>39</v>
      </c>
      <c r="G180" s="17">
        <v>20210491</v>
      </c>
      <c r="H180" s="35" t="str">
        <f t="shared" si="12"/>
        <v>MAI</v>
      </c>
      <c r="I180" s="18">
        <v>44338</v>
      </c>
      <c r="J180" s="19">
        <v>44338</v>
      </c>
      <c r="K180" s="20">
        <v>44340</v>
      </c>
      <c r="L180" s="54" t="s">
        <v>11</v>
      </c>
      <c r="M180" s="54" t="s">
        <v>8</v>
      </c>
      <c r="N180" s="54" t="s">
        <v>28</v>
      </c>
      <c r="O180" s="42" t="str">
        <f>IFERROR(INDEX([1]GARANTIA!$E:$E,MATCH(A180,[1]GARANTIA!$C:$C,0)),"INSIRA N° SERIE")</f>
        <v>MTI - 1.000GTS</v>
      </c>
      <c r="P180" s="63" t="s">
        <v>396</v>
      </c>
      <c r="Q180" s="55" t="s">
        <v>333</v>
      </c>
      <c r="R180" s="57" t="s">
        <v>404</v>
      </c>
      <c r="S180" s="56" t="s">
        <v>101</v>
      </c>
      <c r="T180" s="56" t="s">
        <v>142</v>
      </c>
      <c r="U180" s="58"/>
      <c r="V180" s="41" t="str">
        <f>IFERROR(INDEX([1]GARANTIA!$G:$G,MATCH(A180,[1]GARANTIA!$C:$C,0)),"INSIRA N° SERIE")</f>
        <v>ITABERAÍ</v>
      </c>
      <c r="W180" s="41" t="str">
        <f>IFERROR(INDEX([1]GARANTIA!$H:$H,MATCH(A180,[1]GARANTIA!$C:$C,0)),"INSIRA N° SERIE")</f>
        <v>GO</v>
      </c>
      <c r="X180" s="41" t="str">
        <f>IFERROR(INDEX([1]GARANTIA!$F:$F,MATCH(A180,[1]GARANTIA!$C:$C,0)),"INSIRA N° SERIE")</f>
        <v>CENTROESTE</v>
      </c>
      <c r="Y180" s="46">
        <f t="shared" si="16"/>
        <v>0</v>
      </c>
      <c r="Z180" s="47">
        <f t="shared" si="13"/>
        <v>2</v>
      </c>
      <c r="AA180" s="46">
        <f t="shared" si="17"/>
        <v>2</v>
      </c>
      <c r="AB180" s="46" t="str" cm="1">
        <f t="array" ref="AB180">IFERROR(_xlfn.IFS(L180="FINALIZADO PRESENCIAL",IF(AA180&gt;10,"FORA","DENTRO"),L180="FINALIZADO REMOTO",IF(AA180&gt;5,"FORA","DENTRO")),"-")</f>
        <v>DENTRO</v>
      </c>
      <c r="AC180" s="41" t="s">
        <v>1671</v>
      </c>
      <c r="AD180" s="41" t="s">
        <v>1671</v>
      </c>
      <c r="AE180" s="48" cm="1">
        <f t="array" ref="AE180">SUMPRODUCT(IFERROR(('[2]PEÇAS GARANTIA'!$A$3:$A$5993=G180)*('[2]PEÇAS GARANTIA'!$A$3:$A$5993&lt;&gt;"")*('[2]PEÇAS GARANTIA'!$R$3:$R$5993),0))</f>
        <v>0</v>
      </c>
      <c r="AF180" s="178">
        <v>615</v>
      </c>
    </row>
    <row r="181" spans="1:32" ht="40.15" customHeight="1" x14ac:dyDescent="0.25">
      <c r="A181" s="83">
        <v>86746</v>
      </c>
      <c r="B181" s="41" t="str">
        <f>IFERROR(INDEX([1]GARANTIA!$B:$B,MATCH(A181,[1]GARANTIA!$C:$C,0)),"INSIRA N° SERIE")</f>
        <v>TESTE 320</v>
      </c>
      <c r="C181" s="33">
        <f>IFERROR(INDEX([1]GARANTIA!$J:$J,MATCH(A181,[1]GARANTIA!$C:$C,0)),"INSIRA N° SERIE")</f>
        <v>44104</v>
      </c>
      <c r="D181" s="33" t="str">
        <f>IFERROR(IF(INDEX([1]GARANTIA!$M:$M,MATCH(A181,[1]GARANTIA!$C:$C,0))&gt;=I181,"DENTRO DA GARANTIA","FORA DE GARANTIA"),"INSIRA N° SERIE")</f>
        <v>DENTRO DA GARANTIA</v>
      </c>
      <c r="E181" s="148"/>
      <c r="F181" s="109">
        <f>IFERROR(MAX(0,IF(I181-(INDEX([1]GARANTIA!$J:$J,MATCH(A181,[1]GARANTIA!$C:$C,0)))&gt;=0,I181-(INDEX([1]GARANTIA!$L:$L,MATCH(A181,[1]GARANTIA!$C:$C,0))),"INSIRA DATA CHAMADO")),"INSIRA N° SERIE")</f>
        <v>86</v>
      </c>
      <c r="G181" s="17">
        <v>20210492</v>
      </c>
      <c r="H181" s="35" t="str">
        <f t="shared" si="12"/>
        <v>MAI</v>
      </c>
      <c r="I181" s="18">
        <v>44339</v>
      </c>
      <c r="J181" s="19">
        <v>44339</v>
      </c>
      <c r="K181" s="20">
        <v>44339</v>
      </c>
      <c r="L181" s="54" t="s">
        <v>23</v>
      </c>
      <c r="M181" s="54" t="s">
        <v>8</v>
      </c>
      <c r="N181" s="54" t="s">
        <v>27</v>
      </c>
      <c r="O181" s="42" t="str">
        <f>IFERROR(INDEX([1]GARANTIA!$E:$E,MATCH(A181,[1]GARANTIA!$C:$C,0)),"INSIRA N° SERIE")</f>
        <v>MTI - 1.000GTS</v>
      </c>
      <c r="P181" s="63" t="s">
        <v>411</v>
      </c>
      <c r="Q181" s="55" t="s">
        <v>335</v>
      </c>
      <c r="R181" s="57" t="s">
        <v>397</v>
      </c>
      <c r="S181" s="56" t="s">
        <v>101</v>
      </c>
      <c r="T181" s="56" t="s">
        <v>296</v>
      </c>
      <c r="U181" s="58"/>
      <c r="V181" s="41" t="str">
        <f>IFERROR(INDEX([1]GARANTIA!$G:$G,MATCH(A181,[1]GARANTIA!$C:$C,0)),"INSIRA N° SERIE")</f>
        <v>CORRENTE</v>
      </c>
      <c r="W181" s="41" t="str">
        <f>IFERROR(INDEX([1]GARANTIA!$H:$H,MATCH(A181,[1]GARANTIA!$C:$C,0)),"INSIRA N° SERIE")</f>
        <v>PI</v>
      </c>
      <c r="X181" s="41" t="str">
        <f>IFERROR(INDEX([1]GARANTIA!$F:$F,MATCH(A181,[1]GARANTIA!$C:$C,0)),"INSIRA N° SERIE")</f>
        <v>NORDESTE</v>
      </c>
      <c r="Y181" s="46">
        <f t="shared" si="16"/>
        <v>0</v>
      </c>
      <c r="Z181" s="47">
        <f t="shared" si="13"/>
        <v>0</v>
      </c>
      <c r="AA181" s="46">
        <f t="shared" si="17"/>
        <v>0</v>
      </c>
      <c r="AB181" s="46" t="str" cm="1">
        <f t="array" ref="AB181">IFERROR(_xlfn.IFS(L181="FINALIZADO PRESENCIAL",IF(AA181&gt;10,"FORA","DENTRO"),L181="FINALIZADO REMOTO",IF(AA181&gt;5,"FORA","DENTRO")),"-")</f>
        <v>DENTRO</v>
      </c>
      <c r="AC181" s="41" t="s">
        <v>1671</v>
      </c>
      <c r="AD181" s="41" t="s">
        <v>1671</v>
      </c>
      <c r="AE181" s="48" cm="1">
        <f t="array" ref="AE181">SUMPRODUCT(IFERROR(('[2]PEÇAS GARANTIA'!$A$3:$A$5993=G181)*('[2]PEÇAS GARANTIA'!$A$3:$A$5993&lt;&gt;"")*('[2]PEÇAS GARANTIA'!$R$3:$R$5993),0))</f>
        <v>0</v>
      </c>
      <c r="AF181" s="178">
        <v>0</v>
      </c>
    </row>
    <row r="182" spans="1:32" ht="22.9" customHeight="1" x14ac:dyDescent="0.25">
      <c r="A182" s="83">
        <v>60261</v>
      </c>
      <c r="B182" s="41" t="str">
        <f>IFERROR(INDEX([1]GARANTIA!$B:$B,MATCH(A182,[1]GARANTIA!$C:$C,0)),"INSIRA N° SERIE")</f>
        <v>TESTE 282</v>
      </c>
      <c r="C182" s="33">
        <f>IFERROR(INDEX([1]GARANTIA!$J:$J,MATCH(A182,[1]GARANTIA!$C:$C,0)),"INSIRA N° SERIE")</f>
        <v>43738</v>
      </c>
      <c r="D182" s="33" t="str">
        <f>IFERROR(IF(INDEX([1]GARANTIA!$M:$M,MATCH(A182,[1]GARANTIA!$C:$C,0))&gt;=I182,"DENTRO DA GARANTIA","FORA DE GARANTIA"),"INSIRA N° SERIE")</f>
        <v>DENTRO DA GARANTIA</v>
      </c>
      <c r="E182" s="148"/>
      <c r="F182" s="109">
        <f>IFERROR(MAX(0,IF(I182-(INDEX([1]GARANTIA!$J:$J,MATCH(A182,[1]GARANTIA!$C:$C,0)))&gt;=0,I182-(INDEX([1]GARANTIA!$L:$L,MATCH(A182,[1]GARANTIA!$C:$C,0))),"INSIRA DATA CHAMADO")),"INSIRA N° SERIE")</f>
        <v>332</v>
      </c>
      <c r="G182" s="17">
        <v>20210493</v>
      </c>
      <c r="H182" s="35" t="str">
        <f t="shared" si="12"/>
        <v>MAI</v>
      </c>
      <c r="I182" s="18">
        <v>44340</v>
      </c>
      <c r="J182" s="19">
        <v>44340</v>
      </c>
      <c r="K182" s="20">
        <v>44340</v>
      </c>
      <c r="L182" s="54" t="s">
        <v>23</v>
      </c>
      <c r="M182" s="54" t="s">
        <v>8</v>
      </c>
      <c r="N182" s="54" t="s">
        <v>31</v>
      </c>
      <c r="O182" s="42" t="str">
        <f>IFERROR(INDEX([1]GARANTIA!$E:$E,MATCH(A182,[1]GARANTIA!$C:$C,0)),"INSIRA N° SERIE")</f>
        <v>MTI - 4.000GTS</v>
      </c>
      <c r="P182" s="63" t="s">
        <v>398</v>
      </c>
      <c r="Q182" s="55" t="s">
        <v>85</v>
      </c>
      <c r="R182" s="57" t="s">
        <v>399</v>
      </c>
      <c r="S182" s="56" t="s">
        <v>102</v>
      </c>
      <c r="T182" s="56" t="s">
        <v>296</v>
      </c>
      <c r="U182" s="58"/>
      <c r="V182" s="41" t="str">
        <f>IFERROR(INDEX([1]GARANTIA!$G:$G,MATCH(A182,[1]GARANTIA!$C:$C,0)),"INSIRA N° SERIE")</f>
        <v>CARUARU</v>
      </c>
      <c r="W182" s="41" t="str">
        <f>IFERROR(INDEX([1]GARANTIA!$H:$H,MATCH(A182,[1]GARANTIA!$C:$C,0)),"INSIRA N° SERIE")</f>
        <v>PB</v>
      </c>
      <c r="X182" s="41" t="str">
        <f>IFERROR(INDEX([1]GARANTIA!$F:$F,MATCH(A182,[1]GARANTIA!$C:$C,0)),"INSIRA N° SERIE")</f>
        <v>NORDESTE</v>
      </c>
      <c r="Y182" s="46">
        <f t="shared" si="16"/>
        <v>0</v>
      </c>
      <c r="Z182" s="47">
        <f t="shared" si="13"/>
        <v>0</v>
      </c>
      <c r="AA182" s="46">
        <f t="shared" si="17"/>
        <v>0</v>
      </c>
      <c r="AB182" s="46" t="str" cm="1">
        <f t="array" ref="AB182">IFERROR(_xlfn.IFS(L182="FINALIZADO PRESENCIAL",IF(AA182&gt;10,"FORA","DENTRO"),L182="FINALIZADO REMOTO",IF(AA182&gt;5,"FORA","DENTRO")),"-")</f>
        <v>DENTRO</v>
      </c>
      <c r="AC182" s="41" t="s">
        <v>1671</v>
      </c>
      <c r="AD182" s="41" t="s">
        <v>1671</v>
      </c>
      <c r="AE182" s="48" cm="1">
        <f t="array" ref="AE182">SUMPRODUCT(IFERROR(('[2]PEÇAS GARANTIA'!$A$3:$A$5993=G182)*('[2]PEÇAS GARANTIA'!$A$3:$A$5993&lt;&gt;"")*('[2]PEÇAS GARANTIA'!$R$3:$R$5993),0))</f>
        <v>0</v>
      </c>
      <c r="AF182" s="178">
        <v>0</v>
      </c>
    </row>
    <row r="183" spans="1:32" ht="47.25" customHeight="1" x14ac:dyDescent="0.25">
      <c r="A183" s="83">
        <v>76725</v>
      </c>
      <c r="B183" s="41" t="str">
        <f>IFERROR(INDEX([1]GARANTIA!$B:$B,MATCH(A183,[1]GARANTIA!$C:$C,0)),"INSIRA N° SERIE")</f>
        <v>TESTE 65</v>
      </c>
      <c r="C183" s="33">
        <f>IFERROR(INDEX([1]GARANTIA!$J:$J,MATCH(A183,[1]GARANTIA!$C:$C,0)),"INSIRA N° SERIE")</f>
        <v>43882</v>
      </c>
      <c r="D183" s="33" t="str">
        <f>IFERROR(IF(INDEX([1]GARANTIA!$M:$M,MATCH(A183,[1]GARANTIA!$C:$C,0))&gt;=I183,"DENTRO DA GARANTIA","FORA DE GARANTIA"),"INSIRA N° SERIE")</f>
        <v>DENTRO DA GARANTIA</v>
      </c>
      <c r="E183" s="148"/>
      <c r="F183" s="109">
        <f>IFERROR(MAX(0,IF(I183-(INDEX([1]GARANTIA!$J:$J,MATCH(A183,[1]GARANTIA!$C:$C,0)))&gt;=0,I183-(INDEX([1]GARANTIA!$L:$L,MATCH(A183,[1]GARANTIA!$C:$C,0))),"INSIRA DATA CHAMADO")),"INSIRA N° SERIE")</f>
        <v>0</v>
      </c>
      <c r="G183" s="17">
        <v>20210494</v>
      </c>
      <c r="H183" s="35" t="str">
        <f t="shared" si="12"/>
        <v>MAI</v>
      </c>
      <c r="I183" s="18">
        <v>44334</v>
      </c>
      <c r="J183" s="19">
        <v>44334</v>
      </c>
      <c r="K183" s="20">
        <v>44336</v>
      </c>
      <c r="L183" s="54" t="s">
        <v>11</v>
      </c>
      <c r="M183" s="54" t="s">
        <v>164</v>
      </c>
      <c r="N183" s="54" t="s">
        <v>42</v>
      </c>
      <c r="O183" s="42" t="str">
        <f>IFERROR(INDEX([1]GARANTIA!$E:$E,MATCH(A183,[1]GARANTIA!$C:$C,0)),"INSIRA N° SERIE")</f>
        <v>MTI - 12.000GTS</v>
      </c>
      <c r="P183" s="63" t="s">
        <v>422</v>
      </c>
      <c r="Q183" s="55" t="s">
        <v>324</v>
      </c>
      <c r="R183" s="57" t="s">
        <v>400</v>
      </c>
      <c r="S183" s="56" t="s">
        <v>101</v>
      </c>
      <c r="T183" s="56" t="s">
        <v>306</v>
      </c>
      <c r="U183" s="58"/>
      <c r="V183" s="41" t="str">
        <f>IFERROR(INDEX([1]GARANTIA!$G:$G,MATCH(A183,[1]GARANTIA!$C:$C,0)),"INSIRA N° SERIE")</f>
        <v xml:space="preserve">ITAIPU </v>
      </c>
      <c r="W183" s="41" t="str">
        <f>IFERROR(INDEX([1]GARANTIA!$H:$H,MATCH(A183,[1]GARANTIA!$C:$C,0)),"INSIRA N° SERIE")</f>
        <v xml:space="preserve">SP </v>
      </c>
      <c r="X183" s="41" t="str">
        <f>IFERROR(INDEX([1]GARANTIA!$F:$F,MATCH(A183,[1]GARANTIA!$C:$C,0)),"INSIRA N° SERIE")</f>
        <v>SUDESTE</v>
      </c>
      <c r="Y183" s="46">
        <f t="shared" si="16"/>
        <v>0</v>
      </c>
      <c r="Z183" s="47">
        <f t="shared" si="13"/>
        <v>2</v>
      </c>
      <c r="AA183" s="46">
        <f t="shared" si="17"/>
        <v>2</v>
      </c>
      <c r="AB183" s="46" t="str" cm="1">
        <f t="array" ref="AB183">IFERROR(_xlfn.IFS(L183="FINALIZADO PRESENCIAL",IF(AA183&gt;10,"FORA","DENTRO"),L183="FINALIZADO REMOTO",IF(AA183&gt;5,"FORA","DENTRO")),"-")</f>
        <v>DENTRO</v>
      </c>
      <c r="AC183" s="41" t="s">
        <v>1671</v>
      </c>
      <c r="AD183" s="41" t="s">
        <v>1671</v>
      </c>
      <c r="AE183" s="48" cm="1">
        <f t="array" ref="AE183">SUMPRODUCT(IFERROR(('[2]PEÇAS GARANTIA'!$A$3:$A$5993=G183)*('[2]PEÇAS GARANTIA'!$A$3:$A$5993&lt;&gt;"")*('[2]PEÇAS GARANTIA'!$R$3:$R$5993),0))</f>
        <v>1880</v>
      </c>
      <c r="AF183" s="178">
        <v>533.54636363639997</v>
      </c>
    </row>
    <row r="184" spans="1:32" ht="32.25" customHeight="1" x14ac:dyDescent="0.2">
      <c r="A184" s="83">
        <v>86086</v>
      </c>
      <c r="B184" s="41" t="str">
        <f>IFERROR(INDEX([1]GARANTIA!$B:$B,MATCH(A184,[1]GARANTIA!$C:$C,0)),"INSIRA N° SERIE")</f>
        <v>TESTE 76</v>
      </c>
      <c r="C184" s="33">
        <f>IFERROR(INDEX([1]GARANTIA!$J:$J,MATCH(A184,[1]GARANTIA!$C:$C,0)),"INSIRA N° SERIE")</f>
        <v>43982</v>
      </c>
      <c r="D184" s="33" t="str">
        <f>IFERROR(IF(INDEX([1]GARANTIA!$M:$M,MATCH(A184,[1]GARANTIA!$C:$C,0))&gt;=I184,"DENTRO DA GARANTIA","FORA DE GARANTIA"),"INSIRA N° SERIE")</f>
        <v>DENTRO DA GARANTIA</v>
      </c>
      <c r="E184" s="148"/>
      <c r="F184" s="109">
        <f>IFERROR(MAX(0,IF(I184-(INDEX([1]GARANTIA!$J:$J,MATCH(A184,[1]GARANTIA!$C:$C,0)))&gt;=0,I184-(INDEX([1]GARANTIA!$L:$L,MATCH(A184,[1]GARANTIA!$C:$C,0))),"INSIRA DATA CHAMADO")),"INSIRA N° SERIE")</f>
        <v>307</v>
      </c>
      <c r="G184" s="99">
        <v>20210496</v>
      </c>
      <c r="H184" s="35" t="str">
        <f t="shared" si="12"/>
        <v>ABR</v>
      </c>
      <c r="I184" s="18">
        <v>44314</v>
      </c>
      <c r="J184" s="19">
        <v>44314</v>
      </c>
      <c r="K184" s="20">
        <v>44323</v>
      </c>
      <c r="L184" s="54" t="s">
        <v>11</v>
      </c>
      <c r="M184" s="54" t="s">
        <v>8</v>
      </c>
      <c r="N184" s="54" t="s">
        <v>43</v>
      </c>
      <c r="O184" s="42" t="str">
        <f>IFERROR(INDEX([1]GARANTIA!$E:$E,MATCH(A184,[1]GARANTIA!$C:$C,0)),"INSIRA N° SERIE")</f>
        <v>MTI - 1.000GTS</v>
      </c>
      <c r="P184" s="64" t="s">
        <v>402</v>
      </c>
      <c r="Q184" s="55" t="s">
        <v>328</v>
      </c>
      <c r="R184" s="57" t="s">
        <v>403</v>
      </c>
      <c r="S184" s="102" t="s">
        <v>101</v>
      </c>
      <c r="T184" s="102" t="s">
        <v>142</v>
      </c>
      <c r="U184" s="58"/>
      <c r="V184" s="41" t="str">
        <f>IFERROR(INDEX([1]GARANTIA!$G:$G,MATCH(A184,[1]GARANTIA!$C:$C,0)),"INSIRA N° SERIE")</f>
        <v>LUZIANA</v>
      </c>
      <c r="W184" s="41" t="str">
        <f>IFERROR(INDEX([1]GARANTIA!$H:$H,MATCH(A184,[1]GARANTIA!$C:$C,0)),"INSIRA N° SERIE")</f>
        <v xml:space="preserve">GO </v>
      </c>
      <c r="X184" s="41" t="str">
        <f>IFERROR(INDEX([1]GARANTIA!$F:$F,MATCH(A184,[1]GARANTIA!$C:$C,0)),"INSIRA N° SERIE")</f>
        <v>CENTROESTE</v>
      </c>
      <c r="Y184" s="46">
        <f t="shared" si="16"/>
        <v>0</v>
      </c>
      <c r="Z184" s="47">
        <f t="shared" si="13"/>
        <v>9</v>
      </c>
      <c r="AA184" s="46">
        <f t="shared" si="17"/>
        <v>9</v>
      </c>
      <c r="AB184" s="46" t="str" cm="1">
        <f t="array" ref="AB184">IFERROR(_xlfn.IFS(L184="FINALIZADO PRESENCIAL",IF(AA184&gt;10,"FORA","DENTRO"),L184="FINALIZADO REMOTO",IF(AA184&gt;5,"FORA","DENTRO")),"-")</f>
        <v>DENTRO</v>
      </c>
      <c r="AC184" s="41" t="s">
        <v>1671</v>
      </c>
      <c r="AD184" s="41" t="s">
        <v>1671</v>
      </c>
      <c r="AE184" s="48" cm="1">
        <f t="array" ref="AE184">SUMPRODUCT(IFERROR(('[2]PEÇAS GARANTIA'!$A$3:$A$5993=G184)*('[2]PEÇAS GARANTIA'!$A$3:$A$5993&lt;&gt;"")*('[2]PEÇAS GARANTIA'!$R$3:$R$5993),0))</f>
        <v>0</v>
      </c>
      <c r="AF184" s="178">
        <v>0</v>
      </c>
    </row>
    <row r="185" spans="1:32" s="49" customFormat="1" ht="12.75" x14ac:dyDescent="0.2">
      <c r="A185" s="88">
        <v>40046</v>
      </c>
      <c r="B185" s="41" t="str">
        <f>IFERROR(INDEX([1]GARANTIA!$B:$B,MATCH(A185,[1]GARANTIA!$C:$C,0)),"INSIRA N° SERIE")</f>
        <v>TESTE 248</v>
      </c>
      <c r="C185" s="33">
        <f>IFERROR(INDEX([1]GARANTIA!$J:$J,MATCH(A185,[1]GARANTIA!$C:$C,0)),"INSIRA N° SERIE")</f>
        <v>44078</v>
      </c>
      <c r="D185" s="33" t="str">
        <f>IFERROR(IF(INDEX([1]GARANTIA!$M:$M,MATCH(A185,[1]GARANTIA!$C:$C,0))&gt;=I185,"DENTRO DA GARANTIA","FORA DE GARANTIA"),"INSIRA N° SERIE")</f>
        <v>DENTRO DA GARANTIA</v>
      </c>
      <c r="E185" s="148"/>
      <c r="F185" s="109">
        <f>IFERROR(MAX(0,IF(I185-(INDEX([1]GARANTIA!$J:$J,MATCH(A185,[1]GARANTIA!$C:$C,0)))&gt;=0,I185-(INDEX([1]GARANTIA!$L:$L,MATCH(A185,[1]GARANTIA!$C:$C,0))),"INSIRA DATA CHAMADO")),"INSIRA N° SERIE")</f>
        <v>178</v>
      </c>
      <c r="G185" s="98">
        <v>20210497</v>
      </c>
      <c r="H185" s="35" t="str">
        <f t="shared" si="12"/>
        <v>MAI</v>
      </c>
      <c r="I185" s="89">
        <v>44326</v>
      </c>
      <c r="J185" s="90">
        <v>44326</v>
      </c>
      <c r="K185" s="91">
        <v>44326</v>
      </c>
      <c r="L185" s="92" t="s">
        <v>11</v>
      </c>
      <c r="M185" s="92" t="s">
        <v>8</v>
      </c>
      <c r="N185" s="92" t="s">
        <v>93</v>
      </c>
      <c r="O185" s="42" t="s">
        <v>759</v>
      </c>
      <c r="P185" s="100" t="s">
        <v>227</v>
      </c>
      <c r="Q185" s="94" t="s">
        <v>93</v>
      </c>
      <c r="R185" s="93" t="s">
        <v>116</v>
      </c>
      <c r="S185" s="95" t="s">
        <v>101</v>
      </c>
      <c r="T185" s="95" t="s">
        <v>141</v>
      </c>
      <c r="U185" s="96"/>
      <c r="V185" s="41" t="str">
        <f>IFERROR(INDEX([1]GARANTIA!$G:$G,MATCH(A185,[1]GARANTIA!$C:$C,0)),"INSIRA N° SERIE")</f>
        <v>PORANGATU</v>
      </c>
      <c r="W185" s="41" t="str">
        <f>IFERROR(INDEX([1]GARANTIA!$H:$H,MATCH(A185,[1]GARANTIA!$C:$C,0)),"INSIRA N° SERIE")</f>
        <v xml:space="preserve">GO </v>
      </c>
      <c r="X185" s="41" t="str">
        <f>IFERROR(INDEX([1]GARANTIA!$F:$F,MATCH(A185,[1]GARANTIA!$C:$C,0)),"INSIRA N° SERIE")</f>
        <v>CENTROESTE</v>
      </c>
      <c r="Y185" s="46">
        <f t="shared" si="16"/>
        <v>0</v>
      </c>
      <c r="Z185" s="47">
        <f t="shared" si="13"/>
        <v>0</v>
      </c>
      <c r="AA185" s="46">
        <f t="shared" si="17"/>
        <v>0</v>
      </c>
      <c r="AB185" s="46" t="str" cm="1">
        <f t="array" ref="AB185">IFERROR(_xlfn.IFS(L185="FINALIZADO PRESENCIAL",IF(AA185&gt;10,"FORA","DENTRO"),L185="FINALIZADO REMOTO",IF(AA185&gt;5,"FORA","DENTRO")),"-")</f>
        <v>DENTRO</v>
      </c>
      <c r="AC185" s="41" t="s">
        <v>1671</v>
      </c>
      <c r="AD185" s="41" t="s">
        <v>1671</v>
      </c>
      <c r="AE185" s="48" cm="1">
        <f t="array" ref="AE185">SUMPRODUCT(IFERROR(('[2]PEÇAS GARANTIA'!$A$3:$A$5993=G185)*('[2]PEÇAS GARANTIA'!$A$3:$A$5993&lt;&gt;"")*('[2]PEÇAS GARANTIA'!$R$3:$R$5993),0))</f>
        <v>0</v>
      </c>
      <c r="AF185" s="178">
        <v>0</v>
      </c>
    </row>
    <row r="186" spans="1:32" ht="15" x14ac:dyDescent="0.25">
      <c r="A186" s="88">
        <v>96117</v>
      </c>
      <c r="B186" s="41" t="str">
        <f>IFERROR(INDEX([1]GARANTIA!$B:$B,MATCH(A186,[1]GARANTIA!$C:$C,0)),"INSIRA N° SERIE")</f>
        <v>TESTE 125</v>
      </c>
      <c r="C186" s="33">
        <f>IFERROR(INDEX([1]GARANTIA!$J:$J,MATCH(A186,[1]GARANTIA!$C:$C,0)),"INSIRA N° SERIE")</f>
        <v>44134</v>
      </c>
      <c r="D186" s="33" t="str">
        <f>IFERROR(IF(INDEX([1]GARANTIA!$M:$M,MATCH(A186,[1]GARANTIA!$C:$C,0))&gt;=I186,"DENTRO DA GARANTIA","FORA DE GARANTIA"),"INSIRA N° SERIE")</f>
        <v>DENTRO DA GARANTIA</v>
      </c>
      <c r="E186" s="148"/>
      <c r="F186" s="109">
        <f>IFERROR(MAX(0,IF(I186-(INDEX([1]GARANTIA!$J:$J,MATCH(A186,[1]GARANTIA!$C:$C,0)))&gt;=0,I186-(INDEX([1]GARANTIA!$L:$L,MATCH(A186,[1]GARANTIA!$C:$C,0))),"INSIRA DATA CHAMADO")),"INSIRA N° SERIE")</f>
        <v>21</v>
      </c>
      <c r="G186" s="98">
        <v>20210498</v>
      </c>
      <c r="H186" s="35" t="str">
        <f t="shared" si="12"/>
        <v>MAI</v>
      </c>
      <c r="I186" s="89">
        <v>44337</v>
      </c>
      <c r="J186" s="90">
        <v>44337</v>
      </c>
      <c r="K186" s="91">
        <v>44344</v>
      </c>
      <c r="L186" s="92" t="s">
        <v>23</v>
      </c>
      <c r="M186" s="92" t="s">
        <v>8</v>
      </c>
      <c r="N186" s="92" t="s">
        <v>26</v>
      </c>
      <c r="O186" s="42" t="str">
        <f>IFERROR(INDEX([1]GARANTIA!$E:$E,MATCH(A186,[1]GARANTIA!$C:$C,0)),"INSIRA N° SERIE")</f>
        <v>MTI - 7.000GES</v>
      </c>
      <c r="P186" s="101" t="s">
        <v>427</v>
      </c>
      <c r="Q186" s="94" t="s">
        <v>326</v>
      </c>
      <c r="R186" s="93" t="s">
        <v>423</v>
      </c>
      <c r="S186" s="56" t="s">
        <v>325</v>
      </c>
      <c r="T186" s="56" t="s">
        <v>640</v>
      </c>
      <c r="U186" s="96"/>
      <c r="V186" s="41" t="str">
        <f>IFERROR(INDEX([1]GARANTIA!$G:$G,MATCH(A186,[1]GARANTIA!$C:$C,0)),"INSIRA N° SERIE")</f>
        <v>MARECHAL DEODORO</v>
      </c>
      <c r="W186" s="41" t="str">
        <f>IFERROR(INDEX([1]GARANTIA!$H:$H,MATCH(A186,[1]GARANTIA!$C:$C,0)),"INSIRA N° SERIE")</f>
        <v xml:space="preserve">AL </v>
      </c>
      <c r="X186" s="41" t="str">
        <f>IFERROR(INDEX([1]GARANTIA!$F:$F,MATCH(A186,[1]GARANTIA!$C:$C,0)),"INSIRA N° SERIE")</f>
        <v>NORDESTE</v>
      </c>
      <c r="Y186" s="46">
        <f t="shared" si="16"/>
        <v>0</v>
      </c>
      <c r="Z186" s="47">
        <f t="shared" si="13"/>
        <v>7</v>
      </c>
      <c r="AA186" s="46">
        <f t="shared" si="17"/>
        <v>7</v>
      </c>
      <c r="AB186" s="46" t="str" cm="1">
        <f t="array" ref="AB186">IFERROR(_xlfn.IFS(L186="FINALIZADO PRESENCIAL",IF(AA186&gt;10,"FORA","DENTRO"),L186="FINALIZADO REMOTO",IF(AA186&gt;5,"FORA","DENTRO")),"-")</f>
        <v>FORA</v>
      </c>
      <c r="AC186" s="41" t="s">
        <v>1671</v>
      </c>
      <c r="AD186" s="41" t="s">
        <v>1671</v>
      </c>
      <c r="AE186" s="48" cm="1">
        <f t="array" ref="AE186">SUMPRODUCT(IFERROR(('[2]PEÇAS GARANTIA'!$A$3:$A$5993=G186)*('[2]PEÇAS GARANTIA'!$A$3:$A$5993&lt;&gt;"")*('[2]PEÇAS GARANTIA'!$R$3:$R$5993),0))</f>
        <v>220.7</v>
      </c>
      <c r="AF186" s="178">
        <v>0</v>
      </c>
    </row>
    <row r="187" spans="1:32" ht="22.5" customHeight="1" x14ac:dyDescent="0.25">
      <c r="A187" s="88">
        <v>57409</v>
      </c>
      <c r="B187" s="41" t="str">
        <f>IFERROR(INDEX([1]GARANTIA!$B:$B,MATCH(A187,[1]GARANTIA!$C:$C,0)),"INSIRA N° SERIE")</f>
        <v>TESTE 205</v>
      </c>
      <c r="C187" s="33">
        <f>IFERROR(INDEX([1]GARANTIA!$J:$J,MATCH(A187,[1]GARANTIA!$C:$C,0)),"INSIRA N° SERIE")</f>
        <v>43951</v>
      </c>
      <c r="D187" s="33" t="str">
        <f>IFERROR(IF(INDEX([1]GARANTIA!$M:$M,MATCH(A187,[1]GARANTIA!$C:$C,0))&gt;=I187,"DENTRO DA GARANTIA","FORA DE GARANTIA"),"INSIRA N° SERIE")</f>
        <v>DENTRO DA GARANTIA</v>
      </c>
      <c r="E187" s="148"/>
      <c r="F187" s="109">
        <f>IFERROR(MAX(0,IF(I187-(INDEX([1]GARANTIA!$J:$J,MATCH(A187,[1]GARANTIA!$C:$C,0)))&gt;=0,I187-(INDEX([1]GARANTIA!$L:$L,MATCH(A187,[1]GARANTIA!$C:$C,0))),"INSIRA DATA CHAMADO")),"INSIRA N° SERIE")</f>
        <v>318</v>
      </c>
      <c r="G187" s="98">
        <v>20210499</v>
      </c>
      <c r="H187" s="35" t="str">
        <f t="shared" si="12"/>
        <v>MAI</v>
      </c>
      <c r="I187" s="89">
        <v>44342</v>
      </c>
      <c r="J187" s="90">
        <v>44342</v>
      </c>
      <c r="K187" s="91">
        <v>44342</v>
      </c>
      <c r="L187" s="92" t="s">
        <v>23</v>
      </c>
      <c r="M187" s="92" t="s">
        <v>8</v>
      </c>
      <c r="N187" s="92" t="s">
        <v>26</v>
      </c>
      <c r="O187" s="42" t="str">
        <f>IFERROR(INDEX([1]GARANTIA!$E:$E,MATCH(A187,[1]GARANTIA!$C:$C,0)),"INSIRA N° SERIE")</f>
        <v>MTI - 4.000GTS</v>
      </c>
      <c r="P187" s="101" t="s">
        <v>374</v>
      </c>
      <c r="Q187" s="94" t="s">
        <v>38</v>
      </c>
      <c r="R187" s="93" t="s">
        <v>168</v>
      </c>
      <c r="S187" s="95" t="s">
        <v>101</v>
      </c>
      <c r="T187" s="95" t="s">
        <v>296</v>
      </c>
      <c r="U187" s="96"/>
      <c r="V187" s="41" t="str">
        <f>IFERROR(INDEX([1]GARANTIA!$G:$G,MATCH(A187,[1]GARANTIA!$C:$C,0)),"INSIRA N° SERIE")</f>
        <v>GURUPI</v>
      </c>
      <c r="W187" s="41" t="str">
        <f>IFERROR(INDEX([1]GARANTIA!$H:$H,MATCH(A187,[1]GARANTIA!$C:$C,0)),"INSIRA N° SERIE")</f>
        <v xml:space="preserve">TO </v>
      </c>
      <c r="X187" s="41" t="str">
        <f>IFERROR(INDEX([1]GARANTIA!$F:$F,MATCH(A187,[1]GARANTIA!$C:$C,0)),"INSIRA N° SERIE")</f>
        <v>CENTROESTE</v>
      </c>
      <c r="Y187" s="46">
        <f t="shared" si="16"/>
        <v>0</v>
      </c>
      <c r="Z187" s="47">
        <f t="shared" si="13"/>
        <v>0</v>
      </c>
      <c r="AA187" s="46">
        <f t="shared" si="17"/>
        <v>0</v>
      </c>
      <c r="AB187" s="46" t="str" cm="1">
        <f t="array" ref="AB187">IFERROR(_xlfn.IFS(L187="FINALIZADO PRESENCIAL",IF(AA187&gt;10,"FORA","DENTRO"),L187="FINALIZADO REMOTO",IF(AA187&gt;5,"FORA","DENTRO")),"-")</f>
        <v>DENTRO</v>
      </c>
      <c r="AC187" s="41" t="s">
        <v>1671</v>
      </c>
      <c r="AD187" s="41" t="s">
        <v>1671</v>
      </c>
      <c r="AE187" s="48" cm="1">
        <f t="array" ref="AE187">SUMPRODUCT(IFERROR(('[2]PEÇAS GARANTIA'!$A$3:$A$5993=G187)*('[2]PEÇAS GARANTIA'!$A$3:$A$5993&lt;&gt;"")*('[2]PEÇAS GARANTIA'!$R$3:$R$5993),0))</f>
        <v>0</v>
      </c>
      <c r="AF187" s="178">
        <v>0</v>
      </c>
    </row>
    <row r="188" spans="1:32" ht="32.25" customHeight="1" x14ac:dyDescent="0.25">
      <c r="A188" s="88">
        <v>40476</v>
      </c>
      <c r="B188" s="41" t="str">
        <f>IFERROR(INDEX([1]GARANTIA!$B:$B,MATCH(A188,[1]GARANTIA!$C:$C,0)),"INSIRA N° SERIE")</f>
        <v>TESTE 199</v>
      </c>
      <c r="C188" s="33">
        <f>IFERROR(INDEX([1]GARANTIA!$J:$J,MATCH(A188,[1]GARANTIA!$C:$C,0)),"INSIRA N° SERIE")</f>
        <v>44074</v>
      </c>
      <c r="D188" s="33" t="str">
        <f>IFERROR(IF(INDEX([1]GARANTIA!$M:$M,MATCH(A188,[1]GARANTIA!$C:$C,0))&gt;=I188,"DENTRO DA GARANTIA","FORA DE GARANTIA"),"INSIRA N° SERIE")</f>
        <v>DENTRO DA GARANTIA</v>
      </c>
      <c r="E188" s="148"/>
      <c r="F188" s="109">
        <f>IFERROR(MAX(0,IF(I188-(INDEX([1]GARANTIA!$J:$J,MATCH(A188,[1]GARANTIA!$C:$C,0)))&gt;=0,I188-(INDEX([1]GARANTIA!$L:$L,MATCH(A188,[1]GARANTIA!$C:$C,0))),"INSIRA DATA CHAMADO")),"INSIRA N° SERIE")</f>
        <v>126</v>
      </c>
      <c r="G188" s="98">
        <v>20210501</v>
      </c>
      <c r="H188" s="35" t="str">
        <f t="shared" si="12"/>
        <v>MAI</v>
      </c>
      <c r="I188" s="89">
        <v>44343</v>
      </c>
      <c r="J188" s="90">
        <v>44343</v>
      </c>
      <c r="K188" s="91">
        <v>44344</v>
      </c>
      <c r="L188" s="92" t="s">
        <v>23</v>
      </c>
      <c r="M188" s="92" t="s">
        <v>8</v>
      </c>
      <c r="N188" s="92" t="s">
        <v>44</v>
      </c>
      <c r="O188" s="42" t="str">
        <f>IFERROR(INDEX([1]GARANTIA!$E:$E,MATCH(A188,[1]GARANTIA!$C:$C,0)),"INSIRA N° SERIE")</f>
        <v>MTI - 4.000GTS</v>
      </c>
      <c r="P188" s="101" t="s">
        <v>407</v>
      </c>
      <c r="Q188" s="94" t="s">
        <v>327</v>
      </c>
      <c r="R188" s="93" t="s">
        <v>178</v>
      </c>
      <c r="S188" s="95" t="s">
        <v>101</v>
      </c>
      <c r="T188" s="95" t="s">
        <v>142</v>
      </c>
      <c r="U188" s="96"/>
      <c r="V188" s="41" t="str">
        <f>IFERROR(INDEX([1]GARANTIA!$G:$G,MATCH(A188,[1]GARANTIA!$C:$C,0)),"INSIRA N° SERIE")</f>
        <v xml:space="preserve">SÃO CARLOS </v>
      </c>
      <c r="W188" s="41" t="str">
        <f>IFERROR(INDEX([1]GARANTIA!$H:$H,MATCH(A188,[1]GARANTIA!$C:$C,0)),"INSIRA N° SERIE")</f>
        <v>SP</v>
      </c>
      <c r="X188" s="41" t="str">
        <f>IFERROR(INDEX([1]GARANTIA!$F:$F,MATCH(A188,[1]GARANTIA!$C:$C,0)),"INSIRA N° SERIE")</f>
        <v>SUDESTE</v>
      </c>
      <c r="Y188" s="46">
        <f t="shared" si="16"/>
        <v>0</v>
      </c>
      <c r="Z188" s="47">
        <f t="shared" si="13"/>
        <v>1</v>
      </c>
      <c r="AA188" s="46">
        <f t="shared" si="17"/>
        <v>1</v>
      </c>
      <c r="AB188" s="46" t="str" cm="1">
        <f t="array" ref="AB188">IFERROR(_xlfn.IFS(L188="FINALIZADO PRESENCIAL",IF(AA188&gt;10,"FORA","DENTRO"),L188="FINALIZADO REMOTO",IF(AA188&gt;5,"FORA","DENTRO")),"-")</f>
        <v>DENTRO</v>
      </c>
      <c r="AC188" s="41" t="s">
        <v>1671</v>
      </c>
      <c r="AD188" s="41" t="s">
        <v>1671</v>
      </c>
      <c r="AE188" s="48" cm="1">
        <f t="array" ref="AE188">SUMPRODUCT(IFERROR(('[2]PEÇAS GARANTIA'!$A$3:$A$5993=G188)*('[2]PEÇAS GARANTIA'!$A$3:$A$5993&lt;&gt;"")*('[2]PEÇAS GARANTIA'!$R$3:$R$5993),0))</f>
        <v>2110</v>
      </c>
      <c r="AF188" s="178">
        <v>0</v>
      </c>
    </row>
    <row r="189" spans="1:32" ht="64.5" customHeight="1" x14ac:dyDescent="0.25">
      <c r="A189" s="88">
        <v>55872</v>
      </c>
      <c r="B189" s="41" t="str">
        <f>IFERROR(INDEX([1]GARANTIA!$B:$B,MATCH(A189,[1]GARANTIA!$C:$C,0)),"INSIRA N° SERIE")</f>
        <v>TESTE 118</v>
      </c>
      <c r="C189" s="33">
        <f>IFERROR(INDEX([1]GARANTIA!$J:$J,MATCH(A189,[1]GARANTIA!$C:$C,0)),"INSIRA N° SERIE")</f>
        <v>44097</v>
      </c>
      <c r="D189" s="33" t="str">
        <f>IFERROR(IF(INDEX([1]GARANTIA!$M:$M,MATCH(A189,[1]GARANTIA!$C:$C,0))&gt;=I189,"DENTRO DA GARANTIA","FORA DE GARANTIA"),"INSIRA N° SERIE")</f>
        <v>DENTRO DA GARANTIA</v>
      </c>
      <c r="E189" s="148"/>
      <c r="F189" s="109">
        <f>IFERROR(MAX(0,IF(I189-(INDEX([1]GARANTIA!$J:$J,MATCH(A189,[1]GARANTIA!$C:$C,0)))&gt;=0,I189-(INDEX([1]GARANTIA!$L:$L,MATCH(A189,[1]GARANTIA!$C:$C,0))),"INSIRA DATA CHAMADO")),"INSIRA N° SERIE")</f>
        <v>36</v>
      </c>
      <c r="G189" s="98">
        <v>20210502</v>
      </c>
      <c r="H189" s="35" t="str">
        <f t="shared" si="12"/>
        <v>MAI</v>
      </c>
      <c r="I189" s="89">
        <v>44347</v>
      </c>
      <c r="J189" s="90">
        <v>44347</v>
      </c>
      <c r="K189" s="91">
        <v>44355</v>
      </c>
      <c r="L189" s="92" t="s">
        <v>11</v>
      </c>
      <c r="M189" s="92" t="s">
        <v>8</v>
      </c>
      <c r="N189" s="92" t="s">
        <v>43</v>
      </c>
      <c r="O189" s="42" t="str">
        <f>IFERROR(INDEX([1]GARANTIA!$E:$E,MATCH(A189,[1]GARANTIA!$C:$C,0)),"INSIRA N° SERIE")</f>
        <v>MTI - 1.000GTS</v>
      </c>
      <c r="P189" s="101" t="s">
        <v>418</v>
      </c>
      <c r="Q189" s="94" t="s">
        <v>336</v>
      </c>
      <c r="R189" s="93" t="s">
        <v>419</v>
      </c>
      <c r="S189" s="95" t="s">
        <v>639</v>
      </c>
      <c r="T189" s="95" t="s">
        <v>297</v>
      </c>
      <c r="U189" s="96"/>
      <c r="V189" s="41" t="str">
        <f>IFERROR(INDEX([1]GARANTIA!$G:$G,MATCH(A189,[1]GARANTIA!$C:$C,0)),"INSIRA N° SERIE")</f>
        <v>JARU</v>
      </c>
      <c r="W189" s="41" t="str">
        <f>IFERROR(INDEX([1]GARANTIA!$H:$H,MATCH(A189,[1]GARANTIA!$C:$C,0)),"INSIRA N° SERIE")</f>
        <v>RO</v>
      </c>
      <c r="X189" s="41" t="str">
        <f>IFERROR(INDEX([1]GARANTIA!$F:$F,MATCH(A189,[1]GARANTIA!$C:$C,0)),"INSIRA N° SERIE")</f>
        <v>NORTE</v>
      </c>
      <c r="Y189" s="46">
        <f t="shared" si="16"/>
        <v>0</v>
      </c>
      <c r="Z189" s="47">
        <f t="shared" si="13"/>
        <v>8</v>
      </c>
      <c r="AA189" s="46">
        <f t="shared" si="17"/>
        <v>8</v>
      </c>
      <c r="AB189" s="46" t="str" cm="1">
        <f t="array" ref="AB189">IFERROR(_xlfn.IFS(L189="FINALIZADO PRESENCIAL",IF(AA189&gt;10,"FORA","DENTRO"),L189="FINALIZADO REMOTO",IF(AA189&gt;5,"FORA","DENTRO")),"-")</f>
        <v>DENTRO</v>
      </c>
      <c r="AC189" s="41" t="s">
        <v>1671</v>
      </c>
      <c r="AD189" s="41" t="s">
        <v>1671</v>
      </c>
      <c r="AE189" s="48" cm="1">
        <f t="array" ref="AE189">SUMPRODUCT(IFERROR(('[2]PEÇAS GARANTIA'!$A$3:$A$5993=G189)*('[2]PEÇAS GARANTIA'!$A$3:$A$5993&lt;&gt;"")*('[2]PEÇAS GARANTIA'!$R$3:$R$5993),0))</f>
        <v>4581.9400000000005</v>
      </c>
      <c r="AF189" s="178">
        <v>8632.4863636364007</v>
      </c>
    </row>
    <row r="190" spans="1:32" ht="34.5" customHeight="1" x14ac:dyDescent="0.25">
      <c r="A190" s="88">
        <v>79251</v>
      </c>
      <c r="B190" s="41" t="str">
        <f>IFERROR(INDEX([1]GARANTIA!$B:$B,MATCH(A190,[1]GARANTIA!$C:$C,0)),"INSIRA N° SERIE")</f>
        <v>TESTE 333</v>
      </c>
      <c r="C190" s="33">
        <f>IFERROR(INDEX([1]GARANTIA!$J:$J,MATCH(A190,[1]GARANTIA!$C:$C,0)),"INSIRA N° SERIE")</f>
        <v>44134</v>
      </c>
      <c r="D190" s="33" t="str">
        <f>IFERROR(IF(INDEX([1]GARANTIA!$M:$M,MATCH(A190,[1]GARANTIA!$C:$C,0))&gt;=I190,"DENTRO DA GARANTIA","FORA DE GARANTIA"),"INSIRA N° SERIE")</f>
        <v>DENTRO DA GARANTIA</v>
      </c>
      <c r="E190" s="148"/>
      <c r="F190" s="109">
        <f>IFERROR(MAX(0,IF(I190-(INDEX([1]GARANTIA!$J:$J,MATCH(A190,[1]GARANTIA!$C:$C,0)))&gt;=0,I190-(INDEX([1]GARANTIA!$L:$L,MATCH(A190,[1]GARANTIA!$C:$C,0))),"INSIRA DATA CHAMADO")),"INSIRA N° SERIE")</f>
        <v>0</v>
      </c>
      <c r="G190" s="98">
        <v>20210503</v>
      </c>
      <c r="H190" s="35" t="str">
        <f t="shared" si="12"/>
        <v>MAI</v>
      </c>
      <c r="I190" s="89">
        <v>44340</v>
      </c>
      <c r="J190" s="90">
        <v>44340</v>
      </c>
      <c r="K190" s="91">
        <v>44340</v>
      </c>
      <c r="L190" s="92" t="s">
        <v>11</v>
      </c>
      <c r="M190" s="92" t="s">
        <v>164</v>
      </c>
      <c r="N190" s="92" t="s">
        <v>43</v>
      </c>
      <c r="O190" s="42" t="str">
        <f>IFERROR(INDEX([1]GARANTIA!$E:$E,MATCH(A190,[1]GARANTIA!$C:$C,0)),"INSIRA N° SERIE")</f>
        <v>MTI - 12.000GTS</v>
      </c>
      <c r="P190" s="101" t="s">
        <v>405</v>
      </c>
      <c r="Q190" s="94" t="s">
        <v>333</v>
      </c>
      <c r="R190" s="93" t="s">
        <v>406</v>
      </c>
      <c r="S190" s="44" t="s">
        <v>638</v>
      </c>
      <c r="T190" s="95" t="s">
        <v>142</v>
      </c>
      <c r="U190" s="96"/>
      <c r="V190" s="41" t="str">
        <f>IFERROR(INDEX([1]GARANTIA!$G:$G,MATCH(A190,[1]GARANTIA!$C:$C,0)),"INSIRA N° SERIE")</f>
        <v xml:space="preserve">TRES LAGOAS </v>
      </c>
      <c r="W190" s="41" t="str">
        <f>IFERROR(INDEX([1]GARANTIA!$H:$H,MATCH(A190,[1]GARANTIA!$C:$C,0)),"INSIRA N° SERIE")</f>
        <v xml:space="preserve">MS </v>
      </c>
      <c r="X190" s="41" t="str">
        <f>IFERROR(INDEX([1]GARANTIA!$F:$F,MATCH(A190,[1]GARANTIA!$C:$C,0)),"INSIRA N° SERIE")</f>
        <v>CENTROESTE</v>
      </c>
      <c r="Y190" s="46">
        <f t="shared" si="16"/>
        <v>0</v>
      </c>
      <c r="Z190" s="47">
        <f t="shared" si="13"/>
        <v>0</v>
      </c>
      <c r="AA190" s="46">
        <f t="shared" si="17"/>
        <v>0</v>
      </c>
      <c r="AB190" s="46" t="str" cm="1">
        <f t="array" ref="AB190">IFERROR(_xlfn.IFS(L190="FINALIZADO PRESENCIAL",IF(AA190&gt;10,"FORA","DENTRO"),L190="FINALIZADO REMOTO",IF(AA190&gt;5,"FORA","DENTRO")),"-")</f>
        <v>DENTRO</v>
      </c>
      <c r="AC190" s="41" t="s">
        <v>1671</v>
      </c>
      <c r="AD190" s="41" t="s">
        <v>1671</v>
      </c>
      <c r="AE190" s="48" cm="1">
        <f t="array" ref="AE190">SUMPRODUCT(IFERROR(('[2]PEÇAS GARANTIA'!$A$3:$A$5993=G190)*('[2]PEÇAS GARANTIA'!$A$3:$A$5993&lt;&gt;"")*('[2]PEÇAS GARANTIA'!$R$3:$R$5993),0))</f>
        <v>0</v>
      </c>
      <c r="AF190" s="178">
        <v>0</v>
      </c>
    </row>
    <row r="191" spans="1:32" ht="34.5" customHeight="1" x14ac:dyDescent="0.25">
      <c r="A191" s="88">
        <v>41240</v>
      </c>
      <c r="B191" s="41" t="str">
        <f>IFERROR(INDEX([1]GARANTIA!$B:$B,MATCH(A191,[1]GARANTIA!$C:$C,0)),"INSIRA N° SERIE")</f>
        <v>TESTE 122</v>
      </c>
      <c r="C191" s="33">
        <f>IFERROR(INDEX([1]GARANTIA!$J:$J,MATCH(A191,[1]GARANTIA!$C:$C,0)),"INSIRA N° SERIE")</f>
        <v>44176</v>
      </c>
      <c r="D191" s="33" t="str">
        <f>IFERROR(IF(INDEX([1]GARANTIA!$M:$M,MATCH(A191,[1]GARANTIA!$C:$C,0))&gt;=I191,"DENTRO DA GARANTIA","FORA DE GARANTIA"),"INSIRA N° SERIE")</f>
        <v>DENTRO DA GARANTIA</v>
      </c>
      <c r="E191" s="148"/>
      <c r="F191" s="109">
        <f>IFERROR(MAX(0,IF(I191-(INDEX([1]GARANTIA!$J:$J,MATCH(A191,[1]GARANTIA!$C:$C,0)))&gt;=0,I191-(INDEX([1]GARANTIA!$L:$L,MATCH(A191,[1]GARANTIA!$C:$C,0))),"INSIRA DATA CHAMADO")),"INSIRA N° SERIE")</f>
        <v>0</v>
      </c>
      <c r="G191" s="98">
        <v>20210504</v>
      </c>
      <c r="H191" s="35" t="str">
        <f t="shared" si="12"/>
        <v>MAI</v>
      </c>
      <c r="I191" s="89">
        <v>44344</v>
      </c>
      <c r="J191" s="90">
        <v>44344</v>
      </c>
      <c r="K191" s="91">
        <v>44344</v>
      </c>
      <c r="L191" s="92" t="s">
        <v>11</v>
      </c>
      <c r="M191" s="92" t="s">
        <v>164</v>
      </c>
      <c r="N191" s="92" t="s">
        <v>43</v>
      </c>
      <c r="O191" s="42" t="str">
        <f>IFERROR(INDEX([1]GARANTIA!$E:$E,MATCH(A191,[1]GARANTIA!$C:$C,0)),"INSIRA N° SERIE")</f>
        <v>MTI - 4.000GTS</v>
      </c>
      <c r="P191" s="101" t="s">
        <v>414</v>
      </c>
      <c r="Q191" s="94" t="s">
        <v>324</v>
      </c>
      <c r="R191" s="93" t="s">
        <v>415</v>
      </c>
      <c r="S191" s="95" t="s">
        <v>101</v>
      </c>
      <c r="T191" s="95" t="s">
        <v>306</v>
      </c>
      <c r="U191" s="96"/>
      <c r="V191" s="41" t="str">
        <f>IFERROR(INDEX([1]GARANTIA!$G:$G,MATCH(A191,[1]GARANTIA!$C:$C,0)),"INSIRA N° SERIE")</f>
        <v xml:space="preserve">SÃO LUIS </v>
      </c>
      <c r="W191" s="41" t="str">
        <f>IFERROR(INDEX([1]GARANTIA!$H:$H,MATCH(A191,[1]GARANTIA!$C:$C,0)),"INSIRA N° SERIE")</f>
        <v xml:space="preserve">MA </v>
      </c>
      <c r="X191" s="41" t="str">
        <f>IFERROR(INDEX([1]GARANTIA!$F:$F,MATCH(A191,[1]GARANTIA!$C:$C,0)),"INSIRA N° SERIE")</f>
        <v>NORDESTE</v>
      </c>
      <c r="Y191" s="46">
        <f t="shared" si="16"/>
        <v>0</v>
      </c>
      <c r="Z191" s="47">
        <f t="shared" si="13"/>
        <v>0</v>
      </c>
      <c r="AA191" s="46">
        <f t="shared" si="17"/>
        <v>0</v>
      </c>
      <c r="AB191" s="46" t="str" cm="1">
        <f t="array" ref="AB191">IFERROR(_xlfn.IFS(L191="FINALIZADO PRESENCIAL",IF(AA191&gt;10,"FORA","DENTRO"),L191="FINALIZADO REMOTO",IF(AA191&gt;5,"FORA","DENTRO")),"-")</f>
        <v>DENTRO</v>
      </c>
      <c r="AC191" s="41" t="s">
        <v>1671</v>
      </c>
      <c r="AD191" s="41" t="s">
        <v>1671</v>
      </c>
      <c r="AE191" s="48" cm="1">
        <f t="array" ref="AE191">SUMPRODUCT(IFERROR(('[2]PEÇAS GARANTIA'!$A$3:$A$5993=G191)*('[2]PEÇAS GARANTIA'!$A$3:$A$5993&lt;&gt;"")*('[2]PEÇAS GARANTIA'!$R$3:$R$5993),0))</f>
        <v>1021.42</v>
      </c>
      <c r="AF191" s="178">
        <v>2752.52</v>
      </c>
    </row>
    <row r="192" spans="1:32" s="135" customFormat="1" ht="47.25" customHeight="1" x14ac:dyDescent="0.25">
      <c r="A192" s="136">
        <v>9993</v>
      </c>
      <c r="B192" s="118" t="str">
        <f>IFERROR(INDEX([1]GARANTIA!$B:$B,MATCH(A192,[1]GARANTIA!$C:$C,0)),"INSIRA N° SERIE")</f>
        <v>TESTE 121</v>
      </c>
      <c r="C192" s="119">
        <f>IFERROR(INDEX([1]GARANTIA!$J:$J,MATCH(A192,[1]GARANTIA!$C:$C,0)),"INSIRA N° SERIE")</f>
        <v>42979</v>
      </c>
      <c r="D192" s="119" t="str">
        <f>IFERROR(IF(INDEX([1]GARANTIA!$M:$M,MATCH(A192,[1]GARANTIA!$C:$C,0))&gt;=I192,"DENTRO DA GARANTIA","FORA DE GARANTIA"),"INSIRA N° SERIE")</f>
        <v>DENTRO DA GARANTIA</v>
      </c>
      <c r="E192" s="121"/>
      <c r="F192" s="127">
        <f>IFERROR(MAX(0,IF(I192-(INDEX([1]GARANTIA!$J:$J,MATCH(A192,[1]GARANTIA!$C:$C,0)))&gt;=0,I192-(INDEX([1]GARANTIA!$L:$L,MATCH(A192,[1]GARANTIA!$C:$C,0))),"INSIRA DATA CHAMADO")),"INSIRA N° SERIE")</f>
        <v>270</v>
      </c>
      <c r="G192" s="137">
        <v>20210505</v>
      </c>
      <c r="H192" s="35" t="str">
        <f t="shared" si="12"/>
        <v>MAI</v>
      </c>
      <c r="I192" s="138">
        <v>44344</v>
      </c>
      <c r="J192" s="138">
        <v>44344</v>
      </c>
      <c r="K192" s="138">
        <v>44354</v>
      </c>
      <c r="L192" s="103" t="s">
        <v>23</v>
      </c>
      <c r="M192" s="103" t="s">
        <v>8</v>
      </c>
      <c r="N192" s="103" t="s">
        <v>37</v>
      </c>
      <c r="O192" s="118" t="str">
        <f>IFERROR(INDEX([1]GARANTIA!$E:$E,MATCH(A192,[1]GARANTIA!$C:$C,0)),"INSIRA N° SERIE")</f>
        <v>MAC 32.000 GT</v>
      </c>
      <c r="P192" s="139" t="s">
        <v>412</v>
      </c>
      <c r="Q192" s="103" t="s">
        <v>332</v>
      </c>
      <c r="R192" s="140" t="s">
        <v>413</v>
      </c>
      <c r="S192" s="103" t="s">
        <v>99</v>
      </c>
      <c r="T192" s="103" t="s">
        <v>360</v>
      </c>
      <c r="U192" s="141"/>
      <c r="V192" s="118" t="str">
        <f>IFERROR(INDEX([1]GARANTIA!$G:$G,MATCH(A192,[1]GARANTIA!$C:$C,0)),"INSIRA N° SERIE")</f>
        <v>SÃO PAULO</v>
      </c>
      <c r="W192" s="118" t="str">
        <f>IFERROR(INDEX([1]GARANTIA!$H:$H,MATCH(A192,[1]GARANTIA!$C:$C,0)),"INSIRA N° SERIE")</f>
        <v>SP</v>
      </c>
      <c r="X192" s="118" t="str">
        <f>IFERROR(INDEX([1]GARANTIA!$F:$F,MATCH(A192,[1]GARANTIA!$C:$C,0)),"INSIRA N° SERIE")</f>
        <v>SUDESTE</v>
      </c>
      <c r="Y192" s="118">
        <f t="shared" si="16"/>
        <v>0</v>
      </c>
      <c r="Z192" s="125">
        <f t="shared" si="13"/>
        <v>10</v>
      </c>
      <c r="AA192" s="118">
        <f t="shared" si="17"/>
        <v>10</v>
      </c>
      <c r="AB192" s="46" t="str" cm="1">
        <f t="array" ref="AB192">IFERROR(_xlfn.IFS(L192="FINALIZADO PRESENCIAL",IF(AA192&gt;10,"FORA","DENTRO"),L192="FINALIZADO REMOTO",IF(AA192&gt;5,"FORA","DENTRO")),"-")</f>
        <v>FORA</v>
      </c>
      <c r="AC192" s="41" t="s">
        <v>1671</v>
      </c>
      <c r="AD192" s="41" t="s">
        <v>1671</v>
      </c>
      <c r="AE192" s="48" cm="1">
        <f t="array" ref="AE192">SUMPRODUCT(IFERROR(('[2]PEÇAS GARANTIA'!$A$3:$A$5993=G192)*('[2]PEÇAS GARANTIA'!$A$3:$A$5993&lt;&gt;"")*('[2]PEÇAS GARANTIA'!$R$3:$R$5993),0))</f>
        <v>150.65</v>
      </c>
      <c r="AF192" s="178">
        <v>0</v>
      </c>
    </row>
    <row r="193" spans="1:32" ht="60.75" customHeight="1" x14ac:dyDescent="0.25">
      <c r="A193" s="83">
        <v>73508</v>
      </c>
      <c r="B193" s="41" t="str">
        <f>IFERROR(INDEX([1]GARANTIA!$B:$B,MATCH(A193,[1]GARANTIA!$C:$C,0)),"INSIRA N° SERIE")</f>
        <v>TESTE 327</v>
      </c>
      <c r="C193" s="33">
        <f>IFERROR(INDEX([1]GARANTIA!$J:$J,MATCH(A193,[1]GARANTIA!$C:$C,0)),"INSIRA N° SERIE")</f>
        <v>44104</v>
      </c>
      <c r="D193" s="33" t="str">
        <f>IFERROR(IF(INDEX([1]GARANTIA!$M:$M,MATCH(A193,[1]GARANTIA!$C:$C,0))&gt;=I193,"DENTRO DA GARANTIA","FORA DE GARANTIA"),"INSIRA N° SERIE")</f>
        <v>DENTRO DA GARANTIA</v>
      </c>
      <c r="E193" s="148"/>
      <c r="F193" s="109">
        <f>IFERROR(MAX(0,IF(I193-(INDEX([1]GARANTIA!$J:$J,MATCH(A193,[1]GARANTIA!$C:$C,0)))&gt;=0,I193-(INDEX([1]GARANTIA!$L:$L,MATCH(A193,[1]GARANTIA!$C:$C,0))),"INSIRA DATA CHAMADO")),"INSIRA N° SERIE")</f>
        <v>143</v>
      </c>
      <c r="G193" s="98">
        <v>20210601</v>
      </c>
      <c r="H193" s="35" t="str">
        <f t="shared" si="12"/>
        <v>JUN</v>
      </c>
      <c r="I193" s="89">
        <v>44348</v>
      </c>
      <c r="J193" s="90">
        <v>44348</v>
      </c>
      <c r="K193" s="91">
        <v>44354</v>
      </c>
      <c r="L193" s="92" t="s">
        <v>11</v>
      </c>
      <c r="M193" s="92" t="s">
        <v>8</v>
      </c>
      <c r="N193" s="92" t="s">
        <v>42</v>
      </c>
      <c r="O193" s="42" t="str">
        <f>IFERROR(INDEX([1]GARANTIA!$E:$E,MATCH(A193,[1]GARANTIA!$C:$C,0)),"INSIRA N° SERIE")</f>
        <v>MTI - 4.000GES</v>
      </c>
      <c r="P193" s="101" t="s">
        <v>420</v>
      </c>
      <c r="Q193" s="94" t="s">
        <v>410</v>
      </c>
      <c r="R193" s="93" t="s">
        <v>421</v>
      </c>
      <c r="S193" s="95" t="s">
        <v>639</v>
      </c>
      <c r="T193" s="95" t="s">
        <v>297</v>
      </c>
      <c r="U193" s="96"/>
      <c r="V193" s="41" t="str">
        <f>IFERROR(INDEX([1]GARANTIA!$G:$G,MATCH(A193,[1]GARANTIA!$C:$C,0)),"INSIRA N° SERIE")</f>
        <v>JARU</v>
      </c>
      <c r="W193" s="41" t="str">
        <f>IFERROR(INDEX([1]GARANTIA!$H:$H,MATCH(A193,[1]GARANTIA!$C:$C,0)),"INSIRA N° SERIE")</f>
        <v>RO</v>
      </c>
      <c r="X193" s="41" t="str">
        <f>IFERROR(INDEX([1]GARANTIA!$F:$F,MATCH(A193,[1]GARANTIA!$C:$C,0)),"INSIRA N° SERIE")</f>
        <v>NORTE</v>
      </c>
      <c r="Y193" s="46">
        <f t="shared" si="16"/>
        <v>0</v>
      </c>
      <c r="Z193" s="47">
        <f t="shared" si="13"/>
        <v>6</v>
      </c>
      <c r="AA193" s="46">
        <f t="shared" si="17"/>
        <v>6</v>
      </c>
      <c r="AB193" s="46" t="str" cm="1">
        <f t="array" ref="AB193">IFERROR(_xlfn.IFS(L193="FINALIZADO PRESENCIAL",IF(AA193&gt;10,"FORA","DENTRO"),L193="FINALIZADO REMOTO",IF(AA193&gt;5,"FORA","DENTRO")),"-")</f>
        <v>DENTRO</v>
      </c>
      <c r="AC193" s="41" t="s">
        <v>1671</v>
      </c>
      <c r="AD193" s="41" t="s">
        <v>1671</v>
      </c>
      <c r="AE193" s="48" cm="1">
        <f t="array" ref="AE193">SUMPRODUCT(IFERROR(('[2]PEÇAS GARANTIA'!$A$3:$A$5993=G193)*('[2]PEÇAS GARANTIA'!$A$3:$A$5993&lt;&gt;"")*('[2]PEÇAS GARANTIA'!$R$3:$R$5993),0))</f>
        <v>3571.1652000000004</v>
      </c>
      <c r="AF193" s="178">
        <v>951.82636363639995</v>
      </c>
    </row>
    <row r="194" spans="1:32" ht="99" customHeight="1" x14ac:dyDescent="0.25">
      <c r="A194" s="88">
        <v>25541</v>
      </c>
      <c r="B194" s="41" t="str">
        <f>IFERROR(INDEX([1]GARANTIA!$B:$B,MATCH(A194,[1]GARANTIA!$C:$C,0)),"INSIRA N° SERIE")</f>
        <v>TESTE 221</v>
      </c>
      <c r="C194" s="33">
        <f>IFERROR(INDEX([1]GARANTIA!$J:$J,MATCH(A194,[1]GARANTIA!$C:$C,0)),"INSIRA N° SERIE")</f>
        <v>44306</v>
      </c>
      <c r="D194" s="33" t="str">
        <f>IFERROR(IF(INDEX([1]GARANTIA!$M:$M,MATCH(A194,[1]GARANTIA!$C:$C,0))&gt;=I194,"DENTRO DA GARANTIA","FORA DE GARANTIA"),"INSIRA N° SERIE")</f>
        <v>DENTRO DA GARANTIA</v>
      </c>
      <c r="E194" s="148"/>
      <c r="F194" s="109">
        <f>IFERROR(MAX(0,IF(I194-(INDEX([1]GARANTIA!$J:$J,MATCH(A194,[1]GARANTIA!$C:$C,0)))&gt;=0,I194-(INDEX([1]GARANTIA!$L:$L,MATCH(A194,[1]GARANTIA!$C:$C,0))),"INSIRA DATA CHAMADO")),"INSIRA N° SERIE")</f>
        <v>9</v>
      </c>
      <c r="G194" s="98">
        <v>20210602</v>
      </c>
      <c r="H194" s="35" t="str">
        <f t="shared" si="12"/>
        <v>JUN</v>
      </c>
      <c r="I194" s="89">
        <v>44348</v>
      </c>
      <c r="J194" s="90">
        <v>44348</v>
      </c>
      <c r="K194" s="91">
        <v>44348</v>
      </c>
      <c r="L194" s="92" t="s">
        <v>23</v>
      </c>
      <c r="M194" s="92" t="s">
        <v>8</v>
      </c>
      <c r="N194" s="92" t="s">
        <v>31</v>
      </c>
      <c r="O194" s="42" t="str">
        <f>IFERROR(INDEX([1]GARANTIA!$E:$E,MATCH(A194,[1]GARANTIA!$C:$C,0)),"INSIRA N° SERIE")</f>
        <v>MTI - 4.000GTS</v>
      </c>
      <c r="P194" s="101" t="s">
        <v>417</v>
      </c>
      <c r="Q194" s="94" t="s">
        <v>335</v>
      </c>
      <c r="R194" s="93" t="s">
        <v>416</v>
      </c>
      <c r="S194" s="95" t="s">
        <v>101</v>
      </c>
      <c r="T194" s="95" t="s">
        <v>296</v>
      </c>
      <c r="U194" s="96"/>
      <c r="V194" s="41" t="str">
        <f>IFERROR(INDEX([1]GARANTIA!$G:$G,MATCH(A194,[1]GARANTIA!$C:$C,0)),"INSIRA N° SERIE")</f>
        <v>COROMANDEL</v>
      </c>
      <c r="W194" s="41" t="str">
        <f>IFERROR(INDEX([1]GARANTIA!$H:$H,MATCH(A194,[1]GARANTIA!$C:$C,0)),"INSIRA N° SERIE")</f>
        <v>MG</v>
      </c>
      <c r="X194" s="41" t="str">
        <f>IFERROR(INDEX([1]GARANTIA!$F:$F,MATCH(A194,[1]GARANTIA!$C:$C,0)),"INSIRA N° SERIE")</f>
        <v>SUDESTE</v>
      </c>
      <c r="Y194" s="46">
        <f t="shared" si="16"/>
        <v>0</v>
      </c>
      <c r="Z194" s="47">
        <f t="shared" si="13"/>
        <v>0</v>
      </c>
      <c r="AA194" s="46">
        <f t="shared" si="17"/>
        <v>0</v>
      </c>
      <c r="AB194" s="46" t="str" cm="1">
        <f t="array" ref="AB194">IFERROR(_xlfn.IFS(L194="FINALIZADO PRESENCIAL",IF(AA194&gt;10,"FORA","DENTRO"),L194="FINALIZADO REMOTO",IF(AA194&gt;5,"FORA","DENTRO")),"-")</f>
        <v>DENTRO</v>
      </c>
      <c r="AC194" s="41" t="s">
        <v>1671</v>
      </c>
      <c r="AD194" s="41" t="s">
        <v>1671</v>
      </c>
      <c r="AE194" s="48" cm="1">
        <f t="array" ref="AE194">SUMPRODUCT(IFERROR(('[2]PEÇAS GARANTIA'!$A$3:$A$5993=G194)*('[2]PEÇAS GARANTIA'!$A$3:$A$5993&lt;&gt;"")*('[2]PEÇAS GARANTIA'!$R$3:$R$5993),0))</f>
        <v>0</v>
      </c>
      <c r="AF194" s="178">
        <v>0</v>
      </c>
    </row>
    <row r="195" spans="1:32" ht="91.5" customHeight="1" x14ac:dyDescent="0.25">
      <c r="A195" s="88">
        <v>25541</v>
      </c>
      <c r="B195" s="41" t="str">
        <f>IFERROR(INDEX([1]GARANTIA!$B:$B,MATCH(A195,[1]GARANTIA!$C:$C,0)),"INSIRA N° SERIE")</f>
        <v>TESTE 221</v>
      </c>
      <c r="C195" s="33">
        <f>IFERROR(INDEX([1]GARANTIA!$J:$J,MATCH(A195,[1]GARANTIA!$C:$C,0)),"INSIRA N° SERIE")</f>
        <v>44306</v>
      </c>
      <c r="D195" s="33" t="str">
        <f>IFERROR(IF(INDEX([1]GARANTIA!$M:$M,MATCH(A195,[1]GARANTIA!$C:$C,0))&gt;=I195,"DENTRO DA GARANTIA","FORA DE GARANTIA"),"INSIRA N° SERIE")</f>
        <v>DENTRO DA GARANTIA</v>
      </c>
      <c r="E195" s="148"/>
      <c r="F195" s="109">
        <f>IFERROR(MAX(0,IF(I195-(INDEX([1]GARANTIA!$J:$J,MATCH(A195,[1]GARANTIA!$C:$C,0)))&gt;=0,I195-(INDEX([1]GARANTIA!$L:$L,MATCH(A195,[1]GARANTIA!$C:$C,0))),"INSIRA DATA CHAMADO")),"INSIRA N° SERIE")</f>
        <v>10</v>
      </c>
      <c r="G195" s="98">
        <v>20210603</v>
      </c>
      <c r="H195" s="35" t="str">
        <f t="shared" ref="H195:H258" si="18">IF(YEAR(I195)=YEAR(I195),IF(I195&lt;&gt;"",UPPER(TEXT(I195,"MMM")),""),"")</f>
        <v>JUN</v>
      </c>
      <c r="I195" s="89">
        <v>44349</v>
      </c>
      <c r="J195" s="90">
        <v>44349</v>
      </c>
      <c r="K195" s="91">
        <v>44351</v>
      </c>
      <c r="L195" s="92" t="s">
        <v>23</v>
      </c>
      <c r="M195" s="92" t="s">
        <v>8</v>
      </c>
      <c r="N195" s="92" t="s">
        <v>31</v>
      </c>
      <c r="O195" s="42" t="str">
        <f>IFERROR(INDEX([1]GARANTIA!$E:$E,MATCH(A195,[1]GARANTIA!$C:$C,0)),"INSIRA N° SERIE")</f>
        <v>MTI - 4.000GTS</v>
      </c>
      <c r="P195" s="101" t="s">
        <v>433</v>
      </c>
      <c r="Q195" s="94" t="s">
        <v>85</v>
      </c>
      <c r="R195" s="93" t="s">
        <v>432</v>
      </c>
      <c r="S195" s="95" t="s">
        <v>102</v>
      </c>
      <c r="T195" s="95" t="s">
        <v>296</v>
      </c>
      <c r="U195" s="96"/>
      <c r="V195" s="41" t="str">
        <f>IFERROR(INDEX([1]GARANTIA!$G:$G,MATCH(A195,[1]GARANTIA!$C:$C,0)),"INSIRA N° SERIE")</f>
        <v>COROMANDEL</v>
      </c>
      <c r="W195" s="41" t="str">
        <f>IFERROR(INDEX([1]GARANTIA!$H:$H,MATCH(A195,[1]GARANTIA!$C:$C,0)),"INSIRA N° SERIE")</f>
        <v>MG</v>
      </c>
      <c r="X195" s="41" t="str">
        <f>IFERROR(INDEX([1]GARANTIA!$F:$F,MATCH(A195,[1]GARANTIA!$C:$C,0)),"INSIRA N° SERIE")</f>
        <v>SUDESTE</v>
      </c>
      <c r="Y195" s="46">
        <f t="shared" si="16"/>
        <v>0</v>
      </c>
      <c r="Z195" s="47">
        <f t="shared" ref="Z195:Z258" si="19">IF(G195&lt;&gt;"",IF(OR(A195="",K195="",Q195="",P195="",R195=""),"NÃO FINALIZADO",K195-J195),"INSIRA N° OS")</f>
        <v>2</v>
      </c>
      <c r="AA195" s="46">
        <f t="shared" si="17"/>
        <v>2</v>
      </c>
      <c r="AB195" s="46" t="str" cm="1">
        <f t="array" ref="AB195">IFERROR(_xlfn.IFS(L195="FINALIZADO PRESENCIAL",IF(AA195&gt;10,"FORA","DENTRO"),L195="FINALIZADO REMOTO",IF(AA195&gt;5,"FORA","DENTRO")),"-")</f>
        <v>DENTRO</v>
      </c>
      <c r="AC195" s="41" t="s">
        <v>1671</v>
      </c>
      <c r="AD195" s="41" t="s">
        <v>1671</v>
      </c>
      <c r="AE195" s="48" cm="1">
        <f t="array" ref="AE195">SUMPRODUCT(IFERROR(('[2]PEÇAS GARANTIA'!$A$3:$A$5993=G195)*('[2]PEÇAS GARANTIA'!$A$3:$A$5993&lt;&gt;"")*('[2]PEÇAS GARANTIA'!$R$3:$R$5993),0))</f>
        <v>0</v>
      </c>
      <c r="AF195" s="178">
        <v>0</v>
      </c>
    </row>
    <row r="196" spans="1:32" ht="69" customHeight="1" x14ac:dyDescent="0.25">
      <c r="A196" s="88">
        <v>41240</v>
      </c>
      <c r="B196" s="41" t="str">
        <f>IFERROR(INDEX([1]GARANTIA!$B:$B,MATCH(A196,[1]GARANTIA!$C:$C,0)),"INSIRA N° SERIE")</f>
        <v>TESTE 122</v>
      </c>
      <c r="C196" s="33">
        <f>IFERROR(INDEX([1]GARANTIA!$J:$J,MATCH(A196,[1]GARANTIA!$C:$C,0)),"INSIRA N° SERIE")</f>
        <v>44176</v>
      </c>
      <c r="D196" s="33" t="str">
        <f>IFERROR(IF(INDEX([1]GARANTIA!$M:$M,MATCH(A196,[1]GARANTIA!$C:$C,0))&gt;=I196,"DENTRO DA GARANTIA","FORA DE GARANTIA"),"INSIRA N° SERIE")</f>
        <v>DENTRO DA GARANTIA</v>
      </c>
      <c r="E196" s="148"/>
      <c r="F196" s="109">
        <f>IFERROR(MAX(0,IF(I196-(INDEX([1]GARANTIA!$J:$J,MATCH(A196,[1]GARANTIA!$C:$C,0)))&gt;=0,I196-(INDEX([1]GARANTIA!$L:$L,MATCH(A196,[1]GARANTIA!$C:$C,0))),"INSIRA DATA CHAMADO")),"INSIRA N° SERIE")</f>
        <v>2</v>
      </c>
      <c r="G196" s="98">
        <v>20210604</v>
      </c>
      <c r="H196" s="35" t="str">
        <f t="shared" si="18"/>
        <v>JUN</v>
      </c>
      <c r="I196" s="89">
        <v>44349</v>
      </c>
      <c r="J196" s="90">
        <v>44349</v>
      </c>
      <c r="K196" s="91">
        <v>44351</v>
      </c>
      <c r="L196" s="92" t="s">
        <v>23</v>
      </c>
      <c r="M196" s="92" t="s">
        <v>8</v>
      </c>
      <c r="N196" s="92" t="s">
        <v>42</v>
      </c>
      <c r="O196" s="42" t="str">
        <f>IFERROR(INDEX([1]GARANTIA!$E:$E,MATCH(A196,[1]GARANTIA!$C:$C,0)),"INSIRA N° SERIE")</f>
        <v>MTI - 4.000GTS</v>
      </c>
      <c r="P196" s="101" t="s">
        <v>430</v>
      </c>
      <c r="Q196" s="94" t="s">
        <v>324</v>
      </c>
      <c r="R196" s="93" t="s">
        <v>431</v>
      </c>
      <c r="S196" s="95" t="s">
        <v>101</v>
      </c>
      <c r="T196" s="95" t="s">
        <v>306</v>
      </c>
      <c r="U196" s="96"/>
      <c r="V196" s="41" t="str">
        <f>IFERROR(INDEX([1]GARANTIA!$G:$G,MATCH(A196,[1]GARANTIA!$C:$C,0)),"INSIRA N° SERIE")</f>
        <v xml:space="preserve">SÃO LUIS </v>
      </c>
      <c r="W196" s="41" t="str">
        <f>IFERROR(INDEX([1]GARANTIA!$H:$H,MATCH(A196,[1]GARANTIA!$C:$C,0)),"INSIRA N° SERIE")</f>
        <v xml:space="preserve">MA </v>
      </c>
      <c r="X196" s="41" t="str">
        <f>IFERROR(INDEX([1]GARANTIA!$F:$F,MATCH(A196,[1]GARANTIA!$C:$C,0)),"INSIRA N° SERIE")</f>
        <v>NORDESTE</v>
      </c>
      <c r="Y196" s="46">
        <f t="shared" si="16"/>
        <v>0</v>
      </c>
      <c r="Z196" s="47">
        <f t="shared" si="19"/>
        <v>2</v>
      </c>
      <c r="AA196" s="46">
        <f t="shared" si="17"/>
        <v>2</v>
      </c>
      <c r="AB196" s="46" t="str" cm="1">
        <f t="array" ref="AB196">IFERROR(_xlfn.IFS(L196="FINALIZADO PRESENCIAL",IF(AA196&gt;10,"FORA","DENTRO"),L196="FINALIZADO REMOTO",IF(AA196&gt;5,"FORA","DENTRO")),"-")</f>
        <v>DENTRO</v>
      </c>
      <c r="AC196" s="41" t="s">
        <v>1671</v>
      </c>
      <c r="AD196" s="41" t="s">
        <v>1671</v>
      </c>
      <c r="AE196" s="48" cm="1">
        <f t="array" ref="AE196">SUMPRODUCT(IFERROR(('[2]PEÇAS GARANTIA'!$A$3:$A$5993=G196)*('[2]PEÇAS GARANTIA'!$A$3:$A$5993&lt;&gt;"")*('[2]PEÇAS GARANTIA'!$R$3:$R$5993),0))</f>
        <v>0</v>
      </c>
      <c r="AF196" s="178">
        <v>0</v>
      </c>
    </row>
    <row r="197" spans="1:32" ht="43.5" customHeight="1" x14ac:dyDescent="0.25">
      <c r="A197" s="82">
        <v>3002319</v>
      </c>
      <c r="B197" s="41" t="str">
        <f>IFERROR(INDEX([1]GARANTIA!$B:$B,MATCH(A197,[1]GARANTIA!$C:$C,0)),"INSIRA N° SERIE")</f>
        <v>TESTE 31</v>
      </c>
      <c r="C197" s="33">
        <f>IFERROR(INDEX([1]GARANTIA!$J:$J,MATCH(A197,[1]GARANTIA!$C:$C,0)),"INSIRA N° SERIE")</f>
        <v>43355</v>
      </c>
      <c r="D197" s="33" t="str">
        <f>IFERROR(IF(INDEX([1]GARANTIA!$M:$M,MATCH(A197,[1]GARANTIA!$C:$C,0))&gt;=I197,"DENTRO DA GARANTIA","FORA DE GARANTIA"),"INSIRA N° SERIE")</f>
        <v>DENTRO DA GARANTIA</v>
      </c>
      <c r="E197" s="148"/>
      <c r="F197" s="109">
        <f>IFERROR(MAX(0,IF(I197-(INDEX([1]GARANTIA!$J:$J,MATCH(A197,[1]GARANTIA!$C:$C,0)))&gt;=0,I197-(INDEX([1]GARANTIA!$L:$L,MATCH(A197,[1]GARANTIA!$C:$C,0))),"INSIRA DATA CHAMADO")),"INSIRA N° SERIE")</f>
        <v>176</v>
      </c>
      <c r="G197" s="98">
        <v>20210606</v>
      </c>
      <c r="H197" s="35" t="str">
        <f t="shared" si="18"/>
        <v>MAI</v>
      </c>
      <c r="I197" s="89">
        <v>44344</v>
      </c>
      <c r="J197" s="90">
        <v>44344</v>
      </c>
      <c r="K197" s="91">
        <v>44414</v>
      </c>
      <c r="L197" s="92" t="s">
        <v>11</v>
      </c>
      <c r="M197" s="92" t="s">
        <v>8</v>
      </c>
      <c r="N197" s="92" t="s">
        <v>53</v>
      </c>
      <c r="O197" s="42" t="str">
        <f>IFERROR(INDEX([1]GARANTIA!$E:$E,MATCH(A197,[1]GARANTIA!$C:$C,0)),"INSIRA N° SERIE")</f>
        <v>MTI - 24.000GE</v>
      </c>
      <c r="P197" s="101" t="s">
        <v>426</v>
      </c>
      <c r="Q197" s="94" t="s">
        <v>332</v>
      </c>
      <c r="R197" s="93" t="s">
        <v>561</v>
      </c>
      <c r="S197" s="95" t="s">
        <v>325</v>
      </c>
      <c r="T197" s="95" t="s">
        <v>640</v>
      </c>
      <c r="U197" s="96"/>
      <c r="V197" s="41" t="str">
        <f>IFERROR(INDEX([1]GARANTIA!$G:$G,MATCH(A197,[1]GARANTIA!$C:$C,0)),"INSIRA N° SERIE")</f>
        <v>NOVA VIÇOSA</v>
      </c>
      <c r="W197" s="41" t="str">
        <f>IFERROR(INDEX([1]GARANTIA!$H:$H,MATCH(A197,[1]GARANTIA!$C:$C,0)),"INSIRA N° SERIE")</f>
        <v>BA</v>
      </c>
      <c r="X197" s="41" t="str">
        <f>IFERROR(INDEX([1]GARANTIA!$F:$F,MATCH(A197,[1]GARANTIA!$C:$C,0)),"INSIRA N° SERIE")</f>
        <v>NORDESTE</v>
      </c>
      <c r="Y197" s="46">
        <f t="shared" si="16"/>
        <v>0</v>
      </c>
      <c r="Z197" s="47">
        <f t="shared" si="19"/>
        <v>70</v>
      </c>
      <c r="AA197" s="46">
        <f t="shared" si="17"/>
        <v>70</v>
      </c>
      <c r="AB197" s="46" t="str" cm="1">
        <f t="array" ref="AB197">IFERROR(_xlfn.IFS(L197="FINALIZADO PRESENCIAL",IF(AA197&gt;10,"FORA","DENTRO"),L197="FINALIZADO REMOTO",IF(AA197&gt;5,"FORA","DENTRO")),"-")</f>
        <v>FORA</v>
      </c>
      <c r="AC197" s="41" t="s">
        <v>1671</v>
      </c>
      <c r="AD197" s="41" t="s">
        <v>1671</v>
      </c>
      <c r="AE197" s="48" cm="1">
        <f t="array" ref="AE197">SUMPRODUCT(IFERROR(('[2]PEÇAS GARANTIA'!$A$3:$A$5993=G197)*('[2]PEÇAS GARANTIA'!$A$3:$A$5993&lt;&gt;"")*('[2]PEÇAS GARANTIA'!$R$3:$R$5993),0))</f>
        <v>3000</v>
      </c>
      <c r="AF197" s="178">
        <v>0</v>
      </c>
    </row>
    <row r="198" spans="1:32" ht="43.5" customHeight="1" x14ac:dyDescent="0.25">
      <c r="A198" s="82">
        <v>59635</v>
      </c>
      <c r="B198" s="41" t="str">
        <f>IFERROR(INDEX([1]GARANTIA!$B:$B,MATCH(A198,[1]GARANTIA!$C:$C,0)),"INSIRA N° SERIE")</f>
        <v>TESTE 182</v>
      </c>
      <c r="C198" s="33">
        <f>IFERROR(INDEX([1]GARANTIA!$J:$J,MATCH(A198,[1]GARANTIA!$C:$C,0)),"INSIRA N° SERIE")</f>
        <v>44073</v>
      </c>
      <c r="D198" s="33" t="str">
        <f>IFERROR(IF(INDEX([1]GARANTIA!$M:$M,MATCH(A198,[1]GARANTIA!$C:$C,0))&gt;=I198,"DENTRO DA GARANTIA","FORA DE GARANTIA"),"INSIRA N° SERIE")</f>
        <v>DENTRO DA GARANTIA</v>
      </c>
      <c r="E198" s="148"/>
      <c r="F198" s="109">
        <f>IFERROR(MAX(0,IF(I198-(INDEX([1]GARANTIA!$J:$J,MATCH(A198,[1]GARANTIA!$C:$C,0)))&gt;=0,I198-(INDEX([1]GARANTIA!$L:$L,MATCH(A198,[1]GARANTIA!$C:$C,0))),"INSIRA DATA CHAMADO")),"INSIRA N° SERIE")</f>
        <v>254</v>
      </c>
      <c r="G198" s="98">
        <v>20210607</v>
      </c>
      <c r="H198" s="35" t="str">
        <f t="shared" si="18"/>
        <v>JUN</v>
      </c>
      <c r="I198" s="89">
        <v>44349</v>
      </c>
      <c r="J198" s="90">
        <v>44349</v>
      </c>
      <c r="K198" s="91">
        <v>44354</v>
      </c>
      <c r="L198" s="92" t="s">
        <v>23</v>
      </c>
      <c r="M198" s="92" t="s">
        <v>8</v>
      </c>
      <c r="N198" s="92" t="s">
        <v>38</v>
      </c>
      <c r="O198" s="42" t="str">
        <f>IFERROR(INDEX([1]GARANTIA!$E:$E,MATCH(A198,[1]GARANTIA!$C:$C,0)),"INSIRA N° SERIE")</f>
        <v>MTI - 12.000GTS</v>
      </c>
      <c r="P198" s="101" t="s">
        <v>428</v>
      </c>
      <c r="Q198" s="94" t="s">
        <v>38</v>
      </c>
      <c r="R198" s="93" t="s">
        <v>429</v>
      </c>
      <c r="S198" s="95" t="s">
        <v>101</v>
      </c>
      <c r="T198" s="95" t="s">
        <v>296</v>
      </c>
      <c r="U198" s="96"/>
      <c r="V198" s="41" t="str">
        <f>IFERROR(INDEX([1]GARANTIA!$G:$G,MATCH(A198,[1]GARANTIA!$C:$C,0)),"INSIRA N° SERIE")</f>
        <v xml:space="preserve">IRAJA </v>
      </c>
      <c r="W198" s="41" t="str">
        <f>IFERROR(INDEX([1]GARANTIA!$H:$H,MATCH(A198,[1]GARANTIA!$C:$C,0)),"INSIRA N° SERIE")</f>
        <v xml:space="preserve">RJ </v>
      </c>
      <c r="X198" s="41" t="str">
        <f>IFERROR(INDEX([1]GARANTIA!$F:$F,MATCH(A198,[1]GARANTIA!$C:$C,0)),"INSIRA N° SERIE")</f>
        <v>SUDESTE</v>
      </c>
      <c r="Y198" s="46">
        <f t="shared" si="16"/>
        <v>0</v>
      </c>
      <c r="Z198" s="47">
        <f t="shared" si="19"/>
        <v>5</v>
      </c>
      <c r="AA198" s="46">
        <f t="shared" si="17"/>
        <v>5</v>
      </c>
      <c r="AB198" s="46" t="str" cm="1">
        <f t="array" ref="AB198">IFERROR(_xlfn.IFS(L198="FINALIZADO PRESENCIAL",IF(AA198&gt;10,"FORA","DENTRO"),L198="FINALIZADO REMOTO",IF(AA198&gt;5,"FORA","DENTRO")),"-")</f>
        <v>DENTRO</v>
      </c>
      <c r="AC198" s="41" t="s">
        <v>1671</v>
      </c>
      <c r="AD198" s="41" t="s">
        <v>1671</v>
      </c>
      <c r="AE198" s="48" cm="1">
        <f t="array" ref="AE198">SUMPRODUCT(IFERROR(('[2]PEÇAS GARANTIA'!$A$3:$A$5993=G198)*('[2]PEÇAS GARANTIA'!$A$3:$A$5993&lt;&gt;"")*('[2]PEÇAS GARANTIA'!$R$3:$R$5993),0))</f>
        <v>0</v>
      </c>
      <c r="AF198" s="178">
        <v>0</v>
      </c>
    </row>
    <row r="199" spans="1:32" ht="44.25" customHeight="1" x14ac:dyDescent="0.25">
      <c r="A199" s="82">
        <v>74384</v>
      </c>
      <c r="B199" s="41" t="str">
        <f>IFERROR(INDEX([1]GARANTIA!$B:$B,MATCH(A199,[1]GARANTIA!$C:$C,0)),"INSIRA N° SERIE")</f>
        <v>TESTE 8</v>
      </c>
      <c r="C199" s="33">
        <f>IFERROR(INDEX([1]GARANTIA!$J:$J,MATCH(A199,[1]GARANTIA!$C:$C,0)),"INSIRA N° SERIE")</f>
        <v>44064</v>
      </c>
      <c r="D199" s="33" t="str">
        <f>IFERROR(IF(INDEX([1]GARANTIA!$M:$M,MATCH(A199,[1]GARANTIA!$C:$C,0))&gt;=I199,"DENTRO DA GARANTIA","FORA DE GARANTIA"),"INSIRA N° SERIE")</f>
        <v>DENTRO DA GARANTIA</v>
      </c>
      <c r="E199" s="148"/>
      <c r="F199" s="109">
        <f>IFERROR(MAX(0,IF(I199-(INDEX([1]GARANTIA!$J:$J,MATCH(A199,[1]GARANTIA!$C:$C,0)))&gt;=0,I199-(INDEX([1]GARANTIA!$L:$L,MATCH(A199,[1]GARANTIA!$C:$C,0))),"INSIRA DATA CHAMADO")),"INSIRA N° SERIE")</f>
        <v>63</v>
      </c>
      <c r="G199" s="98">
        <v>20210608</v>
      </c>
      <c r="H199" s="35" t="str">
        <f t="shared" si="18"/>
        <v>JUN</v>
      </c>
      <c r="I199" s="89">
        <v>44349</v>
      </c>
      <c r="J199" s="90">
        <v>44349</v>
      </c>
      <c r="K199" s="91">
        <v>44351</v>
      </c>
      <c r="L199" s="92" t="s">
        <v>11</v>
      </c>
      <c r="M199" s="92" t="s">
        <v>8</v>
      </c>
      <c r="N199" s="92" t="s">
        <v>76</v>
      </c>
      <c r="O199" s="42" t="str">
        <f>IFERROR(INDEX([1]GARANTIA!$E:$E,MATCH(A199,[1]GARANTIA!$C:$C,0)),"INSIRA N° SERIE")</f>
        <v>MTI - 10.000GE</v>
      </c>
      <c r="P199" s="101" t="s">
        <v>434</v>
      </c>
      <c r="Q199" s="94" t="s">
        <v>305</v>
      </c>
      <c r="R199" s="93" t="s">
        <v>435</v>
      </c>
      <c r="S199" s="44" t="s">
        <v>638</v>
      </c>
      <c r="T199" s="95" t="s">
        <v>143</v>
      </c>
      <c r="U199" s="96"/>
      <c r="V199" s="41" t="str">
        <f>IFERROR(INDEX([1]GARANTIA!$G:$G,MATCH(A199,[1]GARANTIA!$C:$C,0)),"INSIRA N° SERIE")</f>
        <v xml:space="preserve">SÃO PAULO </v>
      </c>
      <c r="W199" s="41" t="str">
        <f>IFERROR(INDEX([1]GARANTIA!$H:$H,MATCH(A199,[1]GARANTIA!$C:$C,0)),"INSIRA N° SERIE")</f>
        <v xml:space="preserve">SP </v>
      </c>
      <c r="X199" s="41" t="str">
        <f>IFERROR(INDEX([1]GARANTIA!$F:$F,MATCH(A199,[1]GARANTIA!$C:$C,0)),"INSIRA N° SERIE")</f>
        <v>SUDESTE</v>
      </c>
      <c r="Y199" s="46">
        <f t="shared" si="16"/>
        <v>0</v>
      </c>
      <c r="Z199" s="47">
        <f t="shared" si="19"/>
        <v>2</v>
      </c>
      <c r="AA199" s="46">
        <f t="shared" si="17"/>
        <v>2</v>
      </c>
      <c r="AB199" s="46" t="str" cm="1">
        <f t="array" ref="AB199">IFERROR(_xlfn.IFS(L199="FINALIZADO PRESENCIAL",IF(AA199&gt;10,"FORA","DENTRO"),L199="FINALIZADO REMOTO",IF(AA199&gt;5,"FORA","DENTRO")),"-")</f>
        <v>DENTRO</v>
      </c>
      <c r="AC199" s="41" t="s">
        <v>1671</v>
      </c>
      <c r="AD199" s="41" t="s">
        <v>1671</v>
      </c>
      <c r="AE199" s="48" cm="1">
        <f t="array" ref="AE199">SUMPRODUCT(IFERROR(('[2]PEÇAS GARANTIA'!$A$3:$A$5993=G199)*('[2]PEÇAS GARANTIA'!$A$3:$A$5993&lt;&gt;"")*('[2]PEÇAS GARANTIA'!$R$3:$R$5993),0))</f>
        <v>0</v>
      </c>
      <c r="AF199" s="178">
        <v>1292.8163636364</v>
      </c>
    </row>
    <row r="200" spans="1:32" ht="54" customHeight="1" x14ac:dyDescent="0.25">
      <c r="A200" s="82">
        <v>25541</v>
      </c>
      <c r="B200" s="41" t="str">
        <f>IFERROR(INDEX([1]GARANTIA!$B:$B,MATCH(A200,[1]GARANTIA!$C:$C,0)),"INSIRA N° SERIE")</f>
        <v>TESTE 221</v>
      </c>
      <c r="C200" s="33">
        <f>IFERROR(INDEX([1]GARANTIA!$J:$J,MATCH(A200,[1]GARANTIA!$C:$C,0)),"INSIRA N° SERIE")</f>
        <v>44306</v>
      </c>
      <c r="D200" s="33" t="str">
        <f>IFERROR(IF(INDEX([1]GARANTIA!$M:$M,MATCH(A200,[1]GARANTIA!$C:$C,0))&gt;=I200,"DENTRO DA GARANTIA","FORA DE GARANTIA"),"INSIRA N° SERIE")</f>
        <v>DENTRO DA GARANTIA</v>
      </c>
      <c r="E200" s="148"/>
      <c r="F200" s="109">
        <f>IFERROR(MAX(0,IF(I200-(INDEX([1]GARANTIA!$J:$J,MATCH(A200,[1]GARANTIA!$C:$C,0)))&gt;=0,I200-(INDEX([1]GARANTIA!$L:$L,MATCH(A200,[1]GARANTIA!$C:$C,0))),"INSIRA DATA CHAMADO")),"INSIRA N° SERIE")</f>
        <v>12</v>
      </c>
      <c r="G200" s="98">
        <v>20210609</v>
      </c>
      <c r="H200" s="35" t="str">
        <f t="shared" si="18"/>
        <v>JUN</v>
      </c>
      <c r="I200" s="89">
        <v>44351</v>
      </c>
      <c r="J200" s="90">
        <v>44351</v>
      </c>
      <c r="K200" s="91">
        <v>44351</v>
      </c>
      <c r="L200" s="92" t="s">
        <v>23</v>
      </c>
      <c r="M200" s="92" t="s">
        <v>8</v>
      </c>
      <c r="N200" s="92" t="s">
        <v>28</v>
      </c>
      <c r="O200" s="42" t="str">
        <f>IFERROR(INDEX([1]GARANTIA!$E:$E,MATCH(A200,[1]GARANTIA!$C:$C,0)),"INSIRA N° SERIE")</f>
        <v>MTI - 4.000GTS</v>
      </c>
      <c r="P200" s="101" t="s">
        <v>448</v>
      </c>
      <c r="Q200" s="94" t="s">
        <v>305</v>
      </c>
      <c r="R200" s="93" t="s">
        <v>437</v>
      </c>
      <c r="S200" s="95" t="s">
        <v>101</v>
      </c>
      <c r="T200" s="95" t="s">
        <v>142</v>
      </c>
      <c r="U200" s="96"/>
      <c r="V200" s="41" t="str">
        <f>IFERROR(INDEX([1]GARANTIA!$G:$G,MATCH(A200,[1]GARANTIA!$C:$C,0)),"INSIRA N° SERIE")</f>
        <v>COROMANDEL</v>
      </c>
      <c r="W200" s="41" t="str">
        <f>IFERROR(INDEX([1]GARANTIA!$H:$H,MATCH(A200,[1]GARANTIA!$C:$C,0)),"INSIRA N° SERIE")</f>
        <v>MG</v>
      </c>
      <c r="X200" s="41" t="str">
        <f>IFERROR(INDEX([1]GARANTIA!$F:$F,MATCH(A200,[1]GARANTIA!$C:$C,0)),"INSIRA N° SERIE")</f>
        <v>SUDESTE</v>
      </c>
      <c r="Y200" s="46">
        <f t="shared" si="16"/>
        <v>0</v>
      </c>
      <c r="Z200" s="47">
        <f t="shared" si="19"/>
        <v>0</v>
      </c>
      <c r="AA200" s="46">
        <f t="shared" si="17"/>
        <v>0</v>
      </c>
      <c r="AB200" s="46" t="str" cm="1">
        <f t="array" ref="AB200">IFERROR(_xlfn.IFS(L200="FINALIZADO PRESENCIAL",IF(AA200&gt;10,"FORA","DENTRO"),L200="FINALIZADO REMOTO",IF(AA200&gt;5,"FORA","DENTRO")),"-")</f>
        <v>DENTRO</v>
      </c>
      <c r="AC200" s="41" t="s">
        <v>1671</v>
      </c>
      <c r="AD200" s="41" t="s">
        <v>1671</v>
      </c>
      <c r="AE200" s="48" cm="1">
        <f t="array" ref="AE200">SUMPRODUCT(IFERROR(('[2]PEÇAS GARANTIA'!$A$3:$A$5993=G200)*('[2]PEÇAS GARANTIA'!$A$3:$A$5993&lt;&gt;"")*('[2]PEÇAS GARANTIA'!$R$3:$R$5993),0))</f>
        <v>0</v>
      </c>
      <c r="AF200" s="178">
        <v>0</v>
      </c>
    </row>
    <row r="201" spans="1:32" ht="44.25" customHeight="1" x14ac:dyDescent="0.25">
      <c r="A201" s="82">
        <v>69918</v>
      </c>
      <c r="B201" s="41" t="str">
        <f>IFERROR(INDEX([1]GARANTIA!$B:$B,MATCH(A201,[1]GARANTIA!$C:$C,0)),"INSIRA N° SERIE")</f>
        <v>TESTE 247</v>
      </c>
      <c r="C201" s="33">
        <f>IFERROR(INDEX([1]GARANTIA!$J:$J,MATCH(A201,[1]GARANTIA!$C:$C,0)),"INSIRA N° SERIE")</f>
        <v>44196</v>
      </c>
      <c r="D201" s="33" t="str">
        <f>IFERROR(IF(INDEX([1]GARANTIA!$M:$M,MATCH(A201,[1]GARANTIA!$C:$C,0))&gt;=I201,"DENTRO DA GARANTIA","FORA DE GARANTIA"),"INSIRA N° SERIE")</f>
        <v>DENTRO DA GARANTIA</v>
      </c>
      <c r="E201" s="148"/>
      <c r="F201" s="109">
        <f>IFERROR(MAX(0,IF(I201-(INDEX([1]GARANTIA!$J:$J,MATCH(A201,[1]GARANTIA!$C:$C,0)))&gt;=0,I201-(INDEX([1]GARANTIA!$L:$L,MATCH(A201,[1]GARANTIA!$C:$C,0))),"INSIRA DATA CHAMADO")),"INSIRA N° SERIE")</f>
        <v>0</v>
      </c>
      <c r="G201" s="98">
        <v>20210610</v>
      </c>
      <c r="H201" s="35" t="str">
        <f t="shared" si="18"/>
        <v>JUN</v>
      </c>
      <c r="I201" s="89">
        <v>44350</v>
      </c>
      <c r="J201" s="90">
        <v>44350</v>
      </c>
      <c r="K201" s="91">
        <v>44350</v>
      </c>
      <c r="L201" s="92" t="s">
        <v>11</v>
      </c>
      <c r="M201" s="92" t="s">
        <v>164</v>
      </c>
      <c r="N201" s="92" t="s">
        <v>64</v>
      </c>
      <c r="O201" s="42" t="str">
        <f>IFERROR(INDEX([1]GARANTIA!$E:$E,MATCH(A201,[1]GARANTIA!$C:$C,0)),"INSIRA N° SERIE")</f>
        <v>MTI - 1.000GTS</v>
      </c>
      <c r="P201" s="101" t="s">
        <v>449</v>
      </c>
      <c r="Q201" s="94" t="s">
        <v>333</v>
      </c>
      <c r="R201" s="93" t="s">
        <v>450</v>
      </c>
      <c r="S201" s="44" t="s">
        <v>638</v>
      </c>
      <c r="T201" s="95" t="s">
        <v>141</v>
      </c>
      <c r="U201" s="96"/>
      <c r="V201" s="41" t="str">
        <f>IFERROR(INDEX([1]GARANTIA!$G:$G,MATCH(A201,[1]GARANTIA!$C:$C,0)),"INSIRA N° SERIE")</f>
        <v>DIAMANTINA</v>
      </c>
      <c r="W201" s="41" t="str">
        <f>IFERROR(INDEX([1]GARANTIA!$H:$H,MATCH(A201,[1]GARANTIA!$C:$C,0)),"INSIRA N° SERIE")</f>
        <v>MG</v>
      </c>
      <c r="X201" s="41" t="str">
        <f>IFERROR(INDEX([1]GARANTIA!$F:$F,MATCH(A201,[1]GARANTIA!$C:$C,0)),"INSIRA N° SERIE")</f>
        <v>SUDESTE</v>
      </c>
      <c r="Y201" s="46">
        <f t="shared" si="16"/>
        <v>0</v>
      </c>
      <c r="Z201" s="47">
        <f t="shared" si="19"/>
        <v>0</v>
      </c>
      <c r="AA201" s="46">
        <f t="shared" si="17"/>
        <v>0</v>
      </c>
      <c r="AB201" s="46" t="str" cm="1">
        <f t="array" ref="AB201">IFERROR(_xlfn.IFS(L201="FINALIZADO PRESENCIAL",IF(AA201&gt;10,"FORA","DENTRO"),L201="FINALIZADO REMOTO",IF(AA201&gt;5,"FORA","DENTRO")),"-")</f>
        <v>DENTRO</v>
      </c>
      <c r="AC201" s="41" t="s">
        <v>1671</v>
      </c>
      <c r="AD201" s="41" t="s">
        <v>1671</v>
      </c>
      <c r="AE201" s="48" cm="1">
        <f t="array" ref="AE201">SUMPRODUCT(IFERROR(('[2]PEÇAS GARANTIA'!$A$3:$A$5993=G201)*('[2]PEÇAS GARANTIA'!$A$3:$A$5993&lt;&gt;"")*('[2]PEÇAS GARANTIA'!$R$3:$R$5993),0))</f>
        <v>0</v>
      </c>
      <c r="AF201" s="178">
        <v>0</v>
      </c>
    </row>
    <row r="202" spans="1:32" ht="44.25" customHeight="1" x14ac:dyDescent="0.25">
      <c r="A202" s="82">
        <v>73892</v>
      </c>
      <c r="B202" s="41" t="str">
        <f>IFERROR(INDEX([1]GARANTIA!$B:$B,MATCH(A202,[1]GARANTIA!$C:$C,0)),"INSIRA N° SERIE")</f>
        <v>TESTE 240</v>
      </c>
      <c r="C202" s="33">
        <f>IFERROR(INDEX([1]GARANTIA!$J:$J,MATCH(A202,[1]GARANTIA!$C:$C,0)),"INSIRA N° SERIE")</f>
        <v>44298</v>
      </c>
      <c r="D202" s="33" t="str">
        <f>IFERROR(IF(INDEX([1]GARANTIA!$M:$M,MATCH(A202,[1]GARANTIA!$C:$C,0))&gt;=I202,"DENTRO DA GARANTIA","FORA DE GARANTIA"),"INSIRA N° SERIE")</f>
        <v>DENTRO DA GARANTIA</v>
      </c>
      <c r="E202" s="148"/>
      <c r="F202" s="109">
        <f>IFERROR(MAX(0,IF(I202-(INDEX([1]GARANTIA!$J:$J,MATCH(A202,[1]GARANTIA!$C:$C,0)))&gt;=0,I202-(INDEX([1]GARANTIA!$L:$L,MATCH(A202,[1]GARANTIA!$C:$C,0))),"INSIRA DATA CHAMADO")),"INSIRA N° SERIE")</f>
        <v>18</v>
      </c>
      <c r="G202" s="98">
        <v>20210611</v>
      </c>
      <c r="H202" s="35" t="str">
        <f t="shared" si="18"/>
        <v>JUN</v>
      </c>
      <c r="I202" s="89">
        <v>44354</v>
      </c>
      <c r="J202" s="90">
        <v>44354</v>
      </c>
      <c r="K202" s="91">
        <v>44358</v>
      </c>
      <c r="L202" s="92" t="s">
        <v>23</v>
      </c>
      <c r="M202" s="92" t="s">
        <v>8</v>
      </c>
      <c r="N202" s="92" t="s">
        <v>28</v>
      </c>
      <c r="O202" s="42" t="str">
        <f>IFERROR(INDEX([1]GARANTIA!$E:$E,MATCH(A202,[1]GARANTIA!$C:$C,0)),"INSIRA N° SERIE")</f>
        <v>MTI - 1.000GTS</v>
      </c>
      <c r="P202" s="101" t="s">
        <v>438</v>
      </c>
      <c r="Q202" s="94" t="s">
        <v>328</v>
      </c>
      <c r="R202" s="93" t="s">
        <v>439</v>
      </c>
      <c r="S202" s="95" t="s">
        <v>101</v>
      </c>
      <c r="T202" s="95" t="s">
        <v>142</v>
      </c>
      <c r="U202" s="96"/>
      <c r="V202" s="41" t="str">
        <f>IFERROR(INDEX([1]GARANTIA!$G:$G,MATCH(A202,[1]GARANTIA!$C:$C,0)),"INSIRA N° SERIE")</f>
        <v>FORMOSA</v>
      </c>
      <c r="W202" s="41" t="str">
        <f>IFERROR(INDEX([1]GARANTIA!$H:$H,MATCH(A202,[1]GARANTIA!$C:$C,0)),"INSIRA N° SERIE")</f>
        <v>GO</v>
      </c>
      <c r="X202" s="41" t="str">
        <f>IFERROR(INDEX([1]GARANTIA!$F:$F,MATCH(A202,[1]GARANTIA!$C:$C,0)),"INSIRA N° SERIE")</f>
        <v>CENTROESTE</v>
      </c>
      <c r="Y202" s="46">
        <f t="shared" si="16"/>
        <v>0</v>
      </c>
      <c r="Z202" s="47">
        <f t="shared" si="19"/>
        <v>4</v>
      </c>
      <c r="AA202" s="46">
        <f t="shared" si="17"/>
        <v>4</v>
      </c>
      <c r="AB202" s="46" t="str" cm="1">
        <f t="array" ref="AB202">IFERROR(_xlfn.IFS(L202="FINALIZADO PRESENCIAL",IF(AA202&gt;10,"FORA","DENTRO"),L202="FINALIZADO REMOTO",IF(AA202&gt;5,"FORA","DENTRO")),"-")</f>
        <v>DENTRO</v>
      </c>
      <c r="AC202" s="41" t="s">
        <v>1671</v>
      </c>
      <c r="AD202" s="41" t="s">
        <v>1671</v>
      </c>
      <c r="AE202" s="48" cm="1">
        <f t="array" ref="AE202">SUMPRODUCT(IFERROR(('[2]PEÇAS GARANTIA'!$A$3:$A$5993=G202)*('[2]PEÇAS GARANTIA'!$A$3:$A$5993&lt;&gt;"")*('[2]PEÇAS GARANTIA'!$R$3:$R$5993),0))</f>
        <v>0</v>
      </c>
      <c r="AF202" s="178">
        <v>0</v>
      </c>
    </row>
    <row r="203" spans="1:32" s="135" customFormat="1" ht="44.25" customHeight="1" x14ac:dyDescent="0.25">
      <c r="A203" s="117">
        <v>9993</v>
      </c>
      <c r="B203" s="118" t="str">
        <f>IFERROR(INDEX([1]GARANTIA!$B:$B,MATCH(A203,[1]GARANTIA!$C:$C,0)),"INSIRA N° SERIE")</f>
        <v>TESTE 121</v>
      </c>
      <c r="C203" s="119">
        <f>IFERROR(INDEX([1]GARANTIA!$J:$J,MATCH(A203,[1]GARANTIA!$C:$C,0)),"INSIRA N° SERIE")</f>
        <v>42979</v>
      </c>
      <c r="D203" s="119" t="str">
        <f>IFERROR(IF(INDEX([1]GARANTIA!$M:$M,MATCH(A203,[1]GARANTIA!$C:$C,0))&gt;=I203,"DENTRO DA GARANTIA","FORA DE GARANTIA"),"INSIRA N° SERIE")</f>
        <v>DENTRO DA GARANTIA</v>
      </c>
      <c r="E203" s="121"/>
      <c r="F203" s="127">
        <f>IFERROR(MAX(0,IF(I203-(INDEX([1]GARANTIA!$J:$J,MATCH(A203,[1]GARANTIA!$C:$C,0)))&gt;=0,I203-(INDEX([1]GARANTIA!$L:$L,MATCH(A203,[1]GARANTIA!$C:$C,0))),"INSIRA DATA CHAMADO")),"INSIRA N° SERIE")</f>
        <v>280</v>
      </c>
      <c r="G203" s="137">
        <v>20210612</v>
      </c>
      <c r="H203" s="35" t="str">
        <f t="shared" si="18"/>
        <v>JUN</v>
      </c>
      <c r="I203" s="138">
        <v>44354</v>
      </c>
      <c r="J203" s="138">
        <v>44354</v>
      </c>
      <c r="K203" s="138">
        <v>44361</v>
      </c>
      <c r="L203" s="103" t="s">
        <v>23</v>
      </c>
      <c r="M203" s="103" t="s">
        <v>8</v>
      </c>
      <c r="N203" s="103" t="s">
        <v>31</v>
      </c>
      <c r="O203" s="118" t="str">
        <f>IFERROR(INDEX([1]GARANTIA!$E:$E,MATCH(A203,[1]GARANTIA!$C:$C,0)),"INSIRA N° SERIE")</f>
        <v>MAC 32.000 GT</v>
      </c>
      <c r="P203" s="139" t="s">
        <v>440</v>
      </c>
      <c r="Q203" s="103" t="s">
        <v>337</v>
      </c>
      <c r="R203" s="140" t="s">
        <v>456</v>
      </c>
      <c r="S203" s="103" t="s">
        <v>99</v>
      </c>
      <c r="T203" s="103" t="s">
        <v>360</v>
      </c>
      <c r="U203" s="141"/>
      <c r="V203" s="118" t="str">
        <f>IFERROR(INDEX([1]GARANTIA!$G:$G,MATCH(A203,[1]GARANTIA!$C:$C,0)),"INSIRA N° SERIE")</f>
        <v>SÃO PAULO</v>
      </c>
      <c r="W203" s="118" t="str">
        <f>IFERROR(INDEX([1]GARANTIA!$H:$H,MATCH(A203,[1]GARANTIA!$C:$C,0)),"INSIRA N° SERIE")</f>
        <v>SP</v>
      </c>
      <c r="X203" s="118" t="str">
        <f>IFERROR(INDEX([1]GARANTIA!$F:$F,MATCH(A203,[1]GARANTIA!$C:$C,0)),"INSIRA N° SERIE")</f>
        <v>SUDESTE</v>
      </c>
      <c r="Y203" s="118">
        <f t="shared" si="16"/>
        <v>0</v>
      </c>
      <c r="Z203" s="125">
        <f t="shared" si="19"/>
        <v>7</v>
      </c>
      <c r="AA203" s="118">
        <f t="shared" si="17"/>
        <v>7</v>
      </c>
      <c r="AB203" s="46" t="str" cm="1">
        <f t="array" ref="AB203">IFERROR(_xlfn.IFS(L203="FINALIZADO PRESENCIAL",IF(AA203&gt;10,"FORA","DENTRO"),L203="FINALIZADO REMOTO",IF(AA203&gt;5,"FORA","DENTRO")),"-")</f>
        <v>FORA</v>
      </c>
      <c r="AC203" s="41" t="s">
        <v>1671</v>
      </c>
      <c r="AD203" s="41" t="s">
        <v>1671</v>
      </c>
      <c r="AE203" s="48" cm="1">
        <f t="array" ref="AE203">SUMPRODUCT(IFERROR(('[2]PEÇAS GARANTIA'!$A$3:$A$5993=G203)*('[2]PEÇAS GARANTIA'!$A$3:$A$5993&lt;&gt;"")*('[2]PEÇAS GARANTIA'!$R$3:$R$5993),0))</f>
        <v>720</v>
      </c>
      <c r="AF203" s="178">
        <v>1580.3463636363999</v>
      </c>
    </row>
    <row r="204" spans="1:32" ht="44.25" customHeight="1" x14ac:dyDescent="0.25">
      <c r="A204" s="82">
        <v>35159</v>
      </c>
      <c r="B204" s="41" t="str">
        <f>IFERROR(INDEX([1]GARANTIA!$B:$B,MATCH(A204,[1]GARANTIA!$C:$C,0)),"INSIRA N° SERIE")</f>
        <v>TESTE 223</v>
      </c>
      <c r="C204" s="33">
        <f>IFERROR(INDEX([1]GARANTIA!$J:$J,MATCH(A204,[1]GARANTIA!$C:$C,0)),"INSIRA N° SERIE")</f>
        <v>43936</v>
      </c>
      <c r="D204" s="33" t="str">
        <f>IFERROR(IF(INDEX([1]GARANTIA!$M:$M,MATCH(A204,[1]GARANTIA!$C:$C,0))&gt;=I204,"DENTRO DA GARANTIA","FORA DE GARANTIA"),"INSIRA N° SERIE")</f>
        <v>DENTRO DA GARANTIA</v>
      </c>
      <c r="E204" s="148"/>
      <c r="F204" s="109">
        <f>IFERROR(MAX(0,IF(I204-(INDEX([1]GARANTIA!$J:$J,MATCH(A204,[1]GARANTIA!$C:$C,0)))&gt;=0,I204-(INDEX([1]GARANTIA!$L:$L,MATCH(A204,[1]GARANTIA!$C:$C,0))),"INSIRA DATA CHAMADO")),"INSIRA N° SERIE")</f>
        <v>242</v>
      </c>
      <c r="G204" s="98">
        <v>20210613</v>
      </c>
      <c r="H204" s="35" t="str">
        <f t="shared" si="18"/>
        <v>JUN</v>
      </c>
      <c r="I204" s="89">
        <v>44354</v>
      </c>
      <c r="J204" s="90">
        <v>44354</v>
      </c>
      <c r="K204" s="91">
        <v>44357</v>
      </c>
      <c r="L204" s="92" t="s">
        <v>23</v>
      </c>
      <c r="M204" s="92" t="s">
        <v>8</v>
      </c>
      <c r="N204" s="92" t="s">
        <v>32</v>
      </c>
      <c r="O204" s="42" t="str">
        <f>IFERROR(INDEX([1]GARANTIA!$E:$E,MATCH(A204,[1]GARANTIA!$C:$C,0)),"INSIRA N° SERIE")</f>
        <v>MTI - 1.000GTS</v>
      </c>
      <c r="P204" s="101" t="s">
        <v>441</v>
      </c>
      <c r="Q204" s="94" t="s">
        <v>327</v>
      </c>
      <c r="R204" s="93" t="s">
        <v>451</v>
      </c>
      <c r="S204" s="95" t="s">
        <v>325</v>
      </c>
      <c r="T204" s="95" t="s">
        <v>640</v>
      </c>
      <c r="U204" s="96"/>
      <c r="V204" s="41" t="str">
        <f>IFERROR(INDEX([1]GARANTIA!$G:$G,MATCH(A204,[1]GARANTIA!$C:$C,0)),"INSIRA N° SERIE")</f>
        <v xml:space="preserve">ITAJAI </v>
      </c>
      <c r="W204" s="41" t="str">
        <f>IFERROR(INDEX([1]GARANTIA!$H:$H,MATCH(A204,[1]GARANTIA!$C:$C,0)),"INSIRA N° SERIE")</f>
        <v>SC</v>
      </c>
      <c r="X204" s="41" t="str">
        <f>IFERROR(INDEX([1]GARANTIA!$F:$F,MATCH(A204,[1]GARANTIA!$C:$C,0)),"INSIRA N° SERIE")</f>
        <v>SUL</v>
      </c>
      <c r="Y204" s="46">
        <f t="shared" ref="Y204:Y235" si="20">IF(G204&lt;&gt;"",J204-I204,"INSIRA N° OS")</f>
        <v>0</v>
      </c>
      <c r="Z204" s="47">
        <f t="shared" si="19"/>
        <v>3</v>
      </c>
      <c r="AA204" s="46">
        <f t="shared" ref="AA204:AA235" si="21">IF(Z204="NÃO FINALIZADO","",Z204+Y204)</f>
        <v>3</v>
      </c>
      <c r="AB204" s="46" t="str" cm="1">
        <f t="array" ref="AB204">IFERROR(_xlfn.IFS(L204="FINALIZADO PRESENCIAL",IF(AA204&gt;10,"FORA","DENTRO"),L204="FINALIZADO REMOTO",IF(AA204&gt;5,"FORA","DENTRO")),"-")</f>
        <v>DENTRO</v>
      </c>
      <c r="AC204" s="41" t="s">
        <v>1671</v>
      </c>
      <c r="AD204" s="41" t="s">
        <v>1671</v>
      </c>
      <c r="AE204" s="48" cm="1">
        <f t="array" ref="AE204">SUMPRODUCT(IFERROR(('[2]PEÇAS GARANTIA'!$A$3:$A$5993=G204)*('[2]PEÇAS GARANTIA'!$A$3:$A$5993&lt;&gt;"")*('[2]PEÇAS GARANTIA'!$R$3:$R$5993),0))</f>
        <v>180</v>
      </c>
      <c r="AF204" s="178">
        <v>0</v>
      </c>
    </row>
    <row r="205" spans="1:32" ht="44.25" customHeight="1" x14ac:dyDescent="0.25">
      <c r="A205" s="82">
        <v>38373</v>
      </c>
      <c r="B205" s="41" t="str">
        <f>IFERROR(INDEX([1]GARANTIA!$B:$B,MATCH(A205,[1]GARANTIA!$C:$C,0)),"INSIRA N° SERIE")</f>
        <v>TESTE 40</v>
      </c>
      <c r="C205" s="33">
        <f>IFERROR(INDEX([1]GARANTIA!$J:$J,MATCH(A205,[1]GARANTIA!$C:$C,0)),"INSIRA N° SERIE")</f>
        <v>44165</v>
      </c>
      <c r="D205" s="33" t="str">
        <f>IFERROR(IF(INDEX([1]GARANTIA!$M:$M,MATCH(A205,[1]GARANTIA!$C:$C,0))&gt;=I205,"DENTRO DA GARANTIA","FORA DE GARANTIA"),"INSIRA N° SERIE")</f>
        <v>DENTRO DA GARANTIA</v>
      </c>
      <c r="E205" s="148"/>
      <c r="F205" s="109">
        <f>IFERROR(MAX(0,IF(I205-(INDEX([1]GARANTIA!$J:$J,MATCH(A205,[1]GARANTIA!$C:$C,0)))&gt;=0,I205-(INDEX([1]GARANTIA!$L:$L,MATCH(A205,[1]GARANTIA!$C:$C,0))),"INSIRA DATA CHAMADO")),"INSIRA N° SERIE")</f>
        <v>53</v>
      </c>
      <c r="G205" s="98">
        <v>20210614</v>
      </c>
      <c r="H205" s="35" t="str">
        <f t="shared" si="18"/>
        <v>JUN</v>
      </c>
      <c r="I205" s="89">
        <v>44352</v>
      </c>
      <c r="J205" s="90">
        <v>44352</v>
      </c>
      <c r="K205" s="91">
        <v>44354</v>
      </c>
      <c r="L205" s="92" t="s">
        <v>23</v>
      </c>
      <c r="M205" s="92" t="s">
        <v>8</v>
      </c>
      <c r="N205" s="92" t="s">
        <v>76</v>
      </c>
      <c r="O205" s="42" t="str">
        <f>IFERROR(INDEX([1]GARANTIA!$E:$E,MATCH(A205,[1]GARANTIA!$C:$C,0)),"INSIRA N° SERIE")</f>
        <v>MTI - 1.000GTS</v>
      </c>
      <c r="P205" s="101" t="s">
        <v>374</v>
      </c>
      <c r="Q205" s="94" t="s">
        <v>38</v>
      </c>
      <c r="R205" s="93" t="s">
        <v>442</v>
      </c>
      <c r="S205" s="95" t="s">
        <v>101</v>
      </c>
      <c r="T205" s="95" t="s">
        <v>296</v>
      </c>
      <c r="U205" s="96"/>
      <c r="V205" s="41" t="str">
        <f>IFERROR(INDEX([1]GARANTIA!$G:$G,MATCH(A205,[1]GARANTIA!$C:$C,0)),"INSIRA N° SERIE")</f>
        <v>ITABERAÍ</v>
      </c>
      <c r="W205" s="41" t="str">
        <f>IFERROR(INDEX([1]GARANTIA!$H:$H,MATCH(A205,[1]GARANTIA!$C:$C,0)),"INSIRA N° SERIE")</f>
        <v>GO</v>
      </c>
      <c r="X205" s="41" t="str">
        <f>IFERROR(INDEX([1]GARANTIA!$F:$F,MATCH(A205,[1]GARANTIA!$C:$C,0)),"INSIRA N° SERIE")</f>
        <v>CENTROESTE</v>
      </c>
      <c r="Y205" s="46">
        <f t="shared" si="20"/>
        <v>0</v>
      </c>
      <c r="Z205" s="47">
        <f t="shared" si="19"/>
        <v>2</v>
      </c>
      <c r="AA205" s="46">
        <f t="shared" si="21"/>
        <v>2</v>
      </c>
      <c r="AB205" s="46" t="str" cm="1">
        <f t="array" ref="AB205">IFERROR(_xlfn.IFS(L205="FINALIZADO PRESENCIAL",IF(AA205&gt;10,"FORA","DENTRO"),L205="FINALIZADO REMOTO",IF(AA205&gt;5,"FORA","DENTRO")),"-")</f>
        <v>DENTRO</v>
      </c>
      <c r="AC205" s="41" t="s">
        <v>1671</v>
      </c>
      <c r="AD205" s="41" t="s">
        <v>1671</v>
      </c>
      <c r="AE205" s="48" cm="1">
        <f t="array" ref="AE205">SUMPRODUCT(IFERROR(('[2]PEÇAS GARANTIA'!$A$3:$A$5993=G205)*('[2]PEÇAS GARANTIA'!$A$3:$A$5993&lt;&gt;"")*('[2]PEÇAS GARANTIA'!$R$3:$R$5993),0))</f>
        <v>0</v>
      </c>
      <c r="AF205" s="178">
        <v>0</v>
      </c>
    </row>
    <row r="206" spans="1:32" ht="46.5" customHeight="1" x14ac:dyDescent="0.25">
      <c r="A206" s="82">
        <v>86411</v>
      </c>
      <c r="B206" s="41" t="str">
        <f>IFERROR(INDEX([1]GARANTIA!$B:$B,MATCH(A206,[1]GARANTIA!$C:$C,0)),"INSIRA N° SERIE")</f>
        <v>TESTE 317</v>
      </c>
      <c r="C206" s="33">
        <f>IFERROR(INDEX([1]GARANTIA!$J:$J,MATCH(A206,[1]GARANTIA!$C:$C,0)),"INSIRA N° SERIE")</f>
        <v>43763</v>
      </c>
      <c r="D206" s="33" t="str">
        <f>IFERROR(IF(INDEX([1]GARANTIA!$M:$M,MATCH(A206,[1]GARANTIA!$C:$C,0))&gt;=I206,"DENTRO DA GARANTIA","FORA DE GARANTIA"),"INSIRA N° SERIE")</f>
        <v>DENTRO DA GARANTIA</v>
      </c>
      <c r="E206" s="148"/>
      <c r="F206" s="109">
        <f>IFERROR(MAX(0,IF(I206-(INDEX([1]GARANTIA!$J:$J,MATCH(A206,[1]GARANTIA!$C:$C,0)))&gt;=0,I206-(INDEX([1]GARANTIA!$L:$L,MATCH(A206,[1]GARANTIA!$C:$C,0))),"INSIRA DATA CHAMADO")),"INSIRA N° SERIE")</f>
        <v>269</v>
      </c>
      <c r="G206" s="98">
        <v>20210615</v>
      </c>
      <c r="H206" s="35" t="str">
        <f t="shared" si="18"/>
        <v>JUN</v>
      </c>
      <c r="I206" s="89">
        <v>44355</v>
      </c>
      <c r="J206" s="90">
        <v>44355</v>
      </c>
      <c r="K206" s="91">
        <v>44356</v>
      </c>
      <c r="L206" s="92" t="s">
        <v>11</v>
      </c>
      <c r="M206" s="92" t="s">
        <v>8</v>
      </c>
      <c r="N206" s="92" t="s">
        <v>43</v>
      </c>
      <c r="O206" s="42" t="str">
        <f>IFERROR(INDEX([1]GARANTIA!$E:$E,MATCH(A206,[1]GARANTIA!$C:$C,0)),"INSIRA N° SERIE")</f>
        <v>MTI - 7.000GTS</v>
      </c>
      <c r="P206" s="101" t="s">
        <v>443</v>
      </c>
      <c r="Q206" s="94" t="s">
        <v>144</v>
      </c>
      <c r="R206" s="93" t="s">
        <v>446</v>
      </c>
      <c r="S206" s="44" t="s">
        <v>638</v>
      </c>
      <c r="T206" s="95" t="s">
        <v>144</v>
      </c>
      <c r="U206" s="96"/>
      <c r="V206" s="41" t="str">
        <f>IFERROR(INDEX([1]GARANTIA!$G:$G,MATCH(A206,[1]GARANTIA!$C:$C,0)),"INSIRA N° SERIE")</f>
        <v>JAU</v>
      </c>
      <c r="W206" s="41" t="str">
        <f>IFERROR(INDEX([1]GARANTIA!$H:$H,MATCH(A206,[1]GARANTIA!$C:$C,0)),"INSIRA N° SERIE")</f>
        <v>SP</v>
      </c>
      <c r="X206" s="41" t="str">
        <f>IFERROR(INDEX([1]GARANTIA!$F:$F,MATCH(A206,[1]GARANTIA!$C:$C,0)),"INSIRA N° SERIE")</f>
        <v>SUDESTE</v>
      </c>
      <c r="Y206" s="46">
        <f t="shared" si="20"/>
        <v>0</v>
      </c>
      <c r="Z206" s="47">
        <f t="shared" si="19"/>
        <v>1</v>
      </c>
      <c r="AA206" s="46">
        <f t="shared" si="21"/>
        <v>1</v>
      </c>
      <c r="AB206" s="46" t="str" cm="1">
        <f t="array" ref="AB206">IFERROR(_xlfn.IFS(L206="FINALIZADO PRESENCIAL",IF(AA206&gt;10,"FORA","DENTRO"),L206="FINALIZADO REMOTO",IF(AA206&gt;5,"FORA","DENTRO")),"-")</f>
        <v>DENTRO</v>
      </c>
      <c r="AC206" s="41" t="s">
        <v>1671</v>
      </c>
      <c r="AD206" s="41" t="s">
        <v>1671</v>
      </c>
      <c r="AE206" s="48" cm="1">
        <f t="array" ref="AE206">SUMPRODUCT(IFERROR(('[2]PEÇAS GARANTIA'!$A$3:$A$5993=G206)*('[2]PEÇAS GARANTIA'!$A$3:$A$5993&lt;&gt;"")*('[2]PEÇAS GARANTIA'!$R$3:$R$5993),0))</f>
        <v>784.63</v>
      </c>
      <c r="AF206" s="178">
        <v>1100.7763636364</v>
      </c>
    </row>
    <row r="207" spans="1:32" ht="46.5" customHeight="1" x14ac:dyDescent="0.25">
      <c r="A207" s="82">
        <v>29209</v>
      </c>
      <c r="B207" s="41" t="str">
        <f>IFERROR(INDEX([1]GARANTIA!$B:$B,MATCH(A207,[1]GARANTIA!$C:$C,0)),"INSIRA N° SERIE")</f>
        <v>TESTE 193</v>
      </c>
      <c r="C207" s="33">
        <f>IFERROR(INDEX([1]GARANTIA!$J:$J,MATCH(A207,[1]GARANTIA!$C:$C,0)),"INSIRA N° SERIE")</f>
        <v>43861</v>
      </c>
      <c r="D207" s="33" t="str">
        <f>IFERROR(IF(INDEX([1]GARANTIA!$M:$M,MATCH(A207,[1]GARANTIA!$C:$C,0))&gt;=I207,"DENTRO DA GARANTIA","FORA DE GARANTIA"),"INSIRA N° SERIE")</f>
        <v>DENTRO DA GARANTIA</v>
      </c>
      <c r="E207" s="148"/>
      <c r="F207" s="109">
        <f>IFERROR(MAX(0,IF(I207-(INDEX([1]GARANTIA!$J:$J,MATCH(A207,[1]GARANTIA!$C:$C,0)))&gt;=0,I207-(INDEX([1]GARANTIA!$L:$L,MATCH(A207,[1]GARANTIA!$C:$C,0))),"INSIRA DATA CHAMADO")),"INSIRA N° SERIE")</f>
        <v>225</v>
      </c>
      <c r="G207" s="98">
        <v>20210616</v>
      </c>
      <c r="H207" s="35" t="str">
        <f t="shared" si="18"/>
        <v>JUN</v>
      </c>
      <c r="I207" s="89">
        <v>44355</v>
      </c>
      <c r="J207" s="90">
        <v>44355</v>
      </c>
      <c r="K207" s="91">
        <v>44357</v>
      </c>
      <c r="L207" s="92" t="s">
        <v>23</v>
      </c>
      <c r="M207" s="92" t="s">
        <v>8</v>
      </c>
      <c r="N207" s="92" t="s">
        <v>76</v>
      </c>
      <c r="O207" s="42" t="str">
        <f>IFERROR(INDEX([1]GARANTIA!$E:$E,MATCH(A207,[1]GARANTIA!$C:$C,0)),"INSIRA N° SERIE")</f>
        <v>MTI - 7.000GTS</v>
      </c>
      <c r="P207" s="101" t="s">
        <v>374</v>
      </c>
      <c r="Q207" s="94" t="s">
        <v>38</v>
      </c>
      <c r="R207" s="93" t="s">
        <v>444</v>
      </c>
      <c r="S207" s="95" t="s">
        <v>101</v>
      </c>
      <c r="T207" s="95" t="s">
        <v>296</v>
      </c>
      <c r="U207" s="96"/>
      <c r="V207" s="41" t="str">
        <f>IFERROR(INDEX([1]GARANTIA!$G:$G,MATCH(A207,[1]GARANTIA!$C:$C,0)),"INSIRA N° SERIE")</f>
        <v xml:space="preserve">LAGOA SANTA </v>
      </c>
      <c r="W207" s="41" t="str">
        <f>IFERROR(INDEX([1]GARANTIA!$H:$H,MATCH(A207,[1]GARANTIA!$C:$C,0)),"INSIRA N° SERIE")</f>
        <v xml:space="preserve">MG </v>
      </c>
      <c r="X207" s="41" t="str">
        <f>IFERROR(INDEX([1]GARANTIA!$F:$F,MATCH(A207,[1]GARANTIA!$C:$C,0)),"INSIRA N° SERIE")</f>
        <v>SUDESTE</v>
      </c>
      <c r="Y207" s="46">
        <f t="shared" si="20"/>
        <v>0</v>
      </c>
      <c r="Z207" s="47">
        <f t="shared" si="19"/>
        <v>2</v>
      </c>
      <c r="AA207" s="46">
        <f t="shared" si="21"/>
        <v>2</v>
      </c>
      <c r="AB207" s="46" t="str" cm="1">
        <f t="array" ref="AB207">IFERROR(_xlfn.IFS(L207="FINALIZADO PRESENCIAL",IF(AA207&gt;10,"FORA","DENTRO"),L207="FINALIZADO REMOTO",IF(AA207&gt;5,"FORA","DENTRO")),"-")</f>
        <v>DENTRO</v>
      </c>
      <c r="AC207" s="41" t="s">
        <v>1671</v>
      </c>
      <c r="AD207" s="41" t="s">
        <v>1671</v>
      </c>
      <c r="AE207" s="48" cm="1">
        <f t="array" ref="AE207">SUMPRODUCT(IFERROR(('[2]PEÇAS GARANTIA'!$A$3:$A$5993=G207)*('[2]PEÇAS GARANTIA'!$A$3:$A$5993&lt;&gt;"")*('[2]PEÇAS GARANTIA'!$R$3:$R$5993),0))</f>
        <v>0</v>
      </c>
      <c r="AF207" s="178">
        <v>0</v>
      </c>
    </row>
    <row r="208" spans="1:32" ht="38.25" customHeight="1" x14ac:dyDescent="0.25">
      <c r="A208" s="82">
        <v>97866</v>
      </c>
      <c r="B208" s="41" t="str">
        <f>IFERROR(INDEX([1]GARANTIA!$B:$B,MATCH(A208,[1]GARANTIA!$C:$C,0)),"INSIRA N° SERIE")</f>
        <v>TESTE 78</v>
      </c>
      <c r="C208" s="33">
        <f>IFERROR(INDEX([1]GARANTIA!$J:$J,MATCH(A208,[1]GARANTIA!$C:$C,0)),"INSIRA N° SERIE")</f>
        <v>43364</v>
      </c>
      <c r="D208" s="33" t="str">
        <f>IFERROR(IF(INDEX([1]GARANTIA!$M:$M,MATCH(A208,[1]GARANTIA!$C:$C,0))&gt;=I208,"DENTRO DA GARANTIA","FORA DE GARANTIA"),"INSIRA N° SERIE")</f>
        <v>FORA DE GARANTIA</v>
      </c>
      <c r="E208" s="148"/>
      <c r="F208" s="109">
        <f>IFERROR(MAX(0,IF(I208-(INDEX([1]GARANTIA!$J:$J,MATCH(A208,[1]GARANTIA!$C:$C,0)))&gt;=0,I208-(INDEX([1]GARANTIA!$L:$L,MATCH(A208,[1]GARANTIA!$C:$C,0))),"INSIRA DATA CHAMADO")),"INSIRA N° SERIE")</f>
        <v>410</v>
      </c>
      <c r="G208" s="98">
        <v>20210617</v>
      </c>
      <c r="H208" s="35" t="str">
        <f t="shared" si="18"/>
        <v>JUN</v>
      </c>
      <c r="I208" s="89">
        <v>44356</v>
      </c>
      <c r="J208" s="90">
        <v>44356</v>
      </c>
      <c r="K208" s="91">
        <v>44357</v>
      </c>
      <c r="L208" s="92" t="s">
        <v>23</v>
      </c>
      <c r="M208" s="92" t="s">
        <v>8</v>
      </c>
      <c r="N208" s="92" t="s">
        <v>76</v>
      </c>
      <c r="O208" s="42" t="str">
        <f>IFERROR(INDEX([1]GARANTIA!$E:$E,MATCH(A208,[1]GARANTIA!$C:$C,0)),"INSIRA N° SERIE")</f>
        <v>MTI - 12.000GT</v>
      </c>
      <c r="P208" s="101" t="s">
        <v>374</v>
      </c>
      <c r="Q208" s="94" t="s">
        <v>38</v>
      </c>
      <c r="R208" s="93" t="s">
        <v>445</v>
      </c>
      <c r="S208" s="95" t="s">
        <v>101</v>
      </c>
      <c r="T208" s="95" t="s">
        <v>296</v>
      </c>
      <c r="U208" s="96"/>
      <c r="V208" s="41" t="str">
        <f>IFERROR(INDEX([1]GARANTIA!$G:$G,MATCH(A208,[1]GARANTIA!$C:$C,0)),"INSIRA N° SERIE")</f>
        <v>IPIAÇU</v>
      </c>
      <c r="W208" s="41" t="str">
        <f>IFERROR(INDEX([1]GARANTIA!$H:$H,MATCH(A208,[1]GARANTIA!$C:$C,0)),"INSIRA N° SERIE")</f>
        <v>MG</v>
      </c>
      <c r="X208" s="41" t="str">
        <f>IFERROR(INDEX([1]GARANTIA!$F:$F,MATCH(A208,[1]GARANTIA!$C:$C,0)),"INSIRA N° SERIE")</f>
        <v>SUDESTE</v>
      </c>
      <c r="Y208" s="46">
        <f t="shared" si="20"/>
        <v>0</v>
      </c>
      <c r="Z208" s="47">
        <f t="shared" si="19"/>
        <v>1</v>
      </c>
      <c r="AA208" s="46">
        <f t="shared" si="21"/>
        <v>1</v>
      </c>
      <c r="AB208" s="46" t="str" cm="1">
        <f t="array" ref="AB208">IFERROR(_xlfn.IFS(L208="FINALIZADO PRESENCIAL",IF(AA208&gt;10,"FORA","DENTRO"),L208="FINALIZADO REMOTO",IF(AA208&gt;5,"FORA","DENTRO")),"-")</f>
        <v>DENTRO</v>
      </c>
      <c r="AC208" s="41" t="s">
        <v>1671</v>
      </c>
      <c r="AD208" s="41" t="s">
        <v>1671</v>
      </c>
      <c r="AE208" s="48" cm="1">
        <f t="array" ref="AE208">SUMPRODUCT(IFERROR(('[2]PEÇAS GARANTIA'!$A$3:$A$5993=G208)*('[2]PEÇAS GARANTIA'!$A$3:$A$5993&lt;&gt;"")*('[2]PEÇAS GARANTIA'!$R$3:$R$5993),0))</f>
        <v>0</v>
      </c>
      <c r="AF208" s="178">
        <v>0</v>
      </c>
    </row>
    <row r="209" spans="1:32" ht="78" customHeight="1" x14ac:dyDescent="0.25">
      <c r="A209" s="82">
        <v>33385</v>
      </c>
      <c r="B209" s="41" t="str">
        <f>IFERROR(INDEX([1]GARANTIA!$B:$B,MATCH(A209,[1]GARANTIA!$C:$C,0)),"INSIRA N° SERIE")</f>
        <v>TESTE 17</v>
      </c>
      <c r="C209" s="33">
        <f>IFERROR(INDEX([1]GARANTIA!$J:$J,MATCH(A209,[1]GARANTIA!$C:$C,0)),"INSIRA N° SERIE")</f>
        <v>43980</v>
      </c>
      <c r="D209" s="33" t="str">
        <f>IFERROR(IF(INDEX([1]GARANTIA!$M:$M,MATCH(A209,[1]GARANTIA!$C:$C,0))&gt;=I209,"DENTRO DA GARANTIA","FORA DE GARANTIA"),"INSIRA N° SERIE")</f>
        <v>DENTRO DA GARANTIA</v>
      </c>
      <c r="E209" s="148"/>
      <c r="F209" s="109">
        <f>IFERROR(MAX(0,IF(I209-(INDEX([1]GARANTIA!$J:$J,MATCH(A209,[1]GARANTIA!$C:$C,0)))&gt;=0,I209-(INDEX([1]GARANTIA!$L:$L,MATCH(A209,[1]GARANTIA!$C:$C,0))),"INSIRA DATA CHAMADO")),"INSIRA N° SERIE")</f>
        <v>21</v>
      </c>
      <c r="G209" s="98">
        <v>20210618</v>
      </c>
      <c r="H209" s="35" t="str">
        <f t="shared" si="18"/>
        <v>JUN</v>
      </c>
      <c r="I209" s="89">
        <v>44356</v>
      </c>
      <c r="J209" s="90">
        <v>44356</v>
      </c>
      <c r="K209" s="91">
        <v>44364</v>
      </c>
      <c r="L209" s="92" t="s">
        <v>23</v>
      </c>
      <c r="M209" s="92" t="s">
        <v>8</v>
      </c>
      <c r="N209" s="92" t="s">
        <v>28</v>
      </c>
      <c r="O209" s="42" t="str">
        <f>IFERROR(INDEX([1]GARANTIA!$E:$E,MATCH(A209,[1]GARANTIA!$C:$C,0)),"INSIRA N° SERIE")</f>
        <v>MTI - 2.500GES</v>
      </c>
      <c r="P209" s="101" t="s">
        <v>455</v>
      </c>
      <c r="Q209" s="94" t="s">
        <v>328</v>
      </c>
      <c r="R209" s="93" t="s">
        <v>466</v>
      </c>
      <c r="S209" s="95" t="s">
        <v>101</v>
      </c>
      <c r="T209" s="95" t="s">
        <v>142</v>
      </c>
      <c r="U209" s="96"/>
      <c r="V209" s="41" t="str">
        <f>IFERROR(INDEX([1]GARANTIA!$G:$G,MATCH(A209,[1]GARANTIA!$C:$C,0)),"INSIRA N° SERIE")</f>
        <v xml:space="preserve">ARAGUARI </v>
      </c>
      <c r="W209" s="41" t="str">
        <f>IFERROR(INDEX([1]GARANTIA!$H:$H,MATCH(A209,[1]GARANTIA!$C:$C,0)),"INSIRA N° SERIE")</f>
        <v>MG</v>
      </c>
      <c r="X209" s="41" t="str">
        <f>IFERROR(INDEX([1]GARANTIA!$F:$F,MATCH(A209,[1]GARANTIA!$C:$C,0)),"INSIRA N° SERIE")</f>
        <v>SUDESTE</v>
      </c>
      <c r="Y209" s="46">
        <f t="shared" si="20"/>
        <v>0</v>
      </c>
      <c r="Z209" s="47">
        <f t="shared" si="19"/>
        <v>8</v>
      </c>
      <c r="AA209" s="46">
        <f t="shared" si="21"/>
        <v>8</v>
      </c>
      <c r="AB209" s="46" t="str" cm="1">
        <f t="array" ref="AB209">IFERROR(_xlfn.IFS(L209="FINALIZADO PRESENCIAL",IF(AA209&gt;10,"FORA","DENTRO"),L209="FINALIZADO REMOTO",IF(AA209&gt;5,"FORA","DENTRO")),"-")</f>
        <v>FORA</v>
      </c>
      <c r="AC209" s="41" t="s">
        <v>1671</v>
      </c>
      <c r="AD209" s="41" t="s">
        <v>1671</v>
      </c>
      <c r="AE209" s="48" cm="1">
        <f t="array" ref="AE209">SUMPRODUCT(IFERROR(('[2]PEÇAS GARANTIA'!$A$3:$A$5993=G209)*('[2]PEÇAS GARANTIA'!$A$3:$A$5993&lt;&gt;"")*('[2]PEÇAS GARANTIA'!$R$3:$R$5993),0))</f>
        <v>0</v>
      </c>
      <c r="AF209" s="178">
        <v>0</v>
      </c>
    </row>
    <row r="210" spans="1:32" ht="35.25" customHeight="1" x14ac:dyDescent="0.25">
      <c r="A210" s="82">
        <v>41641</v>
      </c>
      <c r="B210" s="41" t="str">
        <f>IFERROR(INDEX([1]GARANTIA!$B:$B,MATCH(A210,[1]GARANTIA!$C:$C,0)),"INSIRA N° SERIE")</f>
        <v>TESTE 14</v>
      </c>
      <c r="C210" s="33">
        <f>IFERROR(INDEX([1]GARANTIA!$J:$J,MATCH(A210,[1]GARANTIA!$C:$C,0)),"INSIRA N° SERIE")</f>
        <v>44173</v>
      </c>
      <c r="D210" s="33" t="str">
        <f>IFERROR(IF(INDEX([1]GARANTIA!$M:$M,MATCH(A210,[1]GARANTIA!$C:$C,0))&gt;=I210,"DENTRO DA GARANTIA","FORA DE GARANTIA"),"INSIRA N° SERIE")</f>
        <v>DENTRO DA GARANTIA</v>
      </c>
      <c r="E210" s="148"/>
      <c r="F210" s="109">
        <f>IFERROR(MAX(0,IF(I210-(INDEX([1]GARANTIA!$J:$J,MATCH(A210,[1]GARANTIA!$C:$C,0)))&gt;=0,I210-(INDEX([1]GARANTIA!$L:$L,MATCH(A210,[1]GARANTIA!$C:$C,0))),"INSIRA DATA CHAMADO")),"INSIRA N° SERIE")</f>
        <v>0</v>
      </c>
      <c r="G210" s="98">
        <v>20210619</v>
      </c>
      <c r="H210" s="35" t="str">
        <f t="shared" si="18"/>
        <v>JUN</v>
      </c>
      <c r="I210" s="89">
        <v>44358</v>
      </c>
      <c r="J210" s="90">
        <v>44358</v>
      </c>
      <c r="K210" s="91">
        <v>44358</v>
      </c>
      <c r="L210" s="92" t="s">
        <v>11</v>
      </c>
      <c r="M210" s="92" t="s">
        <v>164</v>
      </c>
      <c r="N210" s="92" t="s">
        <v>54</v>
      </c>
      <c r="O210" s="42" t="str">
        <f>IFERROR(INDEX([1]GARANTIA!$E:$E,MATCH(A210,[1]GARANTIA!$C:$C,0)),"INSIRA N° SERIE")</f>
        <v>MTI - 12.000GTS</v>
      </c>
      <c r="P210" s="101" t="s">
        <v>457</v>
      </c>
      <c r="Q210" s="94" t="s">
        <v>333</v>
      </c>
      <c r="R210" s="93" t="s">
        <v>458</v>
      </c>
      <c r="S210" s="44" t="s">
        <v>638</v>
      </c>
      <c r="T210" s="95" t="s">
        <v>142</v>
      </c>
      <c r="U210" s="96"/>
      <c r="V210" s="41" t="str">
        <f>IFERROR(INDEX([1]GARANTIA!$G:$G,MATCH(A210,[1]GARANTIA!$C:$C,0)),"INSIRA N° SERIE")</f>
        <v>ARARAS</v>
      </c>
      <c r="W210" s="41" t="str">
        <f>IFERROR(INDEX([1]GARANTIA!$H:$H,MATCH(A210,[1]GARANTIA!$C:$C,0)),"INSIRA N° SERIE")</f>
        <v>SP</v>
      </c>
      <c r="X210" s="41" t="str">
        <f>IFERROR(INDEX([1]GARANTIA!$F:$F,MATCH(A210,[1]GARANTIA!$C:$C,0)),"INSIRA N° SERIE")</f>
        <v>SUDESTE</v>
      </c>
      <c r="Y210" s="46">
        <f t="shared" si="20"/>
        <v>0</v>
      </c>
      <c r="Z210" s="47">
        <f t="shared" si="19"/>
        <v>0</v>
      </c>
      <c r="AA210" s="46">
        <f t="shared" si="21"/>
        <v>0</v>
      </c>
      <c r="AB210" s="46" t="str" cm="1">
        <f t="array" ref="AB210">IFERROR(_xlfn.IFS(L210="FINALIZADO PRESENCIAL",IF(AA210&gt;10,"FORA","DENTRO"),L210="FINALIZADO REMOTO",IF(AA210&gt;5,"FORA","DENTRO")),"-")</f>
        <v>DENTRO</v>
      </c>
      <c r="AC210" s="41" t="s">
        <v>1671</v>
      </c>
      <c r="AD210" s="41" t="s">
        <v>1671</v>
      </c>
      <c r="AE210" s="48" cm="1">
        <f t="array" ref="AE210">SUMPRODUCT(IFERROR(('[2]PEÇAS GARANTIA'!$A$3:$A$5993=G210)*('[2]PEÇAS GARANTIA'!$A$3:$A$5993&lt;&gt;"")*('[2]PEÇAS GARANTIA'!$R$3:$R$5993),0))</f>
        <v>1230.83</v>
      </c>
      <c r="AF210" s="178">
        <v>0</v>
      </c>
    </row>
    <row r="211" spans="1:32" ht="61.5" customHeight="1" x14ac:dyDescent="0.25">
      <c r="A211" s="82">
        <v>91210</v>
      </c>
      <c r="B211" s="41" t="str">
        <f>IFERROR(INDEX([1]GARANTIA!$B:$B,MATCH(A211,[1]GARANTIA!$C:$C,0)),"INSIRA N° SERIE")</f>
        <v>TESTE 145</v>
      </c>
      <c r="C211" s="33">
        <f>IFERROR(INDEX([1]GARANTIA!$J:$J,MATCH(A211,[1]GARANTIA!$C:$C,0)),"INSIRA N° SERIE")</f>
        <v>43738</v>
      </c>
      <c r="D211" s="33" t="str">
        <f>IFERROR(IF(INDEX([1]GARANTIA!$M:$M,MATCH(A211,[1]GARANTIA!$C:$C,0))&gt;=I211,"DENTRO DA GARANTIA","FORA DE GARANTIA"),"INSIRA N° SERIE")</f>
        <v>DENTRO DA GARANTIA</v>
      </c>
      <c r="E211" s="148"/>
      <c r="F211" s="109">
        <f>IFERROR(MAX(0,IF(I211-(INDEX([1]GARANTIA!$J:$J,MATCH(A211,[1]GARANTIA!$C:$C,0)))&gt;=0,I211-(INDEX([1]GARANTIA!$L:$L,MATCH(A211,[1]GARANTIA!$C:$C,0))),"INSIRA DATA CHAMADO")),"INSIRA N° SERIE")</f>
        <v>359</v>
      </c>
      <c r="G211" s="98">
        <v>20210620</v>
      </c>
      <c r="H211" s="35" t="str">
        <f t="shared" si="18"/>
        <v>JUN</v>
      </c>
      <c r="I211" s="89">
        <v>44357</v>
      </c>
      <c r="J211" s="90">
        <v>44357</v>
      </c>
      <c r="K211" s="91">
        <v>44362</v>
      </c>
      <c r="L211" s="92" t="s">
        <v>23</v>
      </c>
      <c r="M211" s="92" t="s">
        <v>8</v>
      </c>
      <c r="N211" s="92" t="s">
        <v>31</v>
      </c>
      <c r="O211" s="42" t="str">
        <f>IFERROR(INDEX([1]GARANTIA!$E:$E,MATCH(A211,[1]GARANTIA!$C:$C,0)),"INSIRA N° SERIE")</f>
        <v>MTI - 7.000GTS</v>
      </c>
      <c r="P211" s="101" t="s">
        <v>453</v>
      </c>
      <c r="Q211" s="94" t="s">
        <v>327</v>
      </c>
      <c r="R211" s="93" t="s">
        <v>454</v>
      </c>
      <c r="S211" s="95" t="s">
        <v>325</v>
      </c>
      <c r="T211" s="95" t="s">
        <v>640</v>
      </c>
      <c r="U211" s="96"/>
      <c r="V211" s="41" t="str">
        <f>IFERROR(INDEX([1]GARANTIA!$G:$G,MATCH(A211,[1]GARANTIA!$C:$C,0)),"INSIRA N° SERIE")</f>
        <v xml:space="preserve">SÃO VICENTE </v>
      </c>
      <c r="W211" s="41" t="str">
        <f>IFERROR(INDEX([1]GARANTIA!$H:$H,MATCH(A211,[1]GARANTIA!$C:$C,0)),"INSIRA N° SERIE")</f>
        <v>SP</v>
      </c>
      <c r="X211" s="41" t="str">
        <f>IFERROR(INDEX([1]GARANTIA!$F:$F,MATCH(A211,[1]GARANTIA!$C:$C,0)),"INSIRA N° SERIE")</f>
        <v>SUDESTE</v>
      </c>
      <c r="Y211" s="46">
        <f t="shared" si="20"/>
        <v>0</v>
      </c>
      <c r="Z211" s="47">
        <f t="shared" si="19"/>
        <v>5</v>
      </c>
      <c r="AA211" s="46">
        <f t="shared" si="21"/>
        <v>5</v>
      </c>
      <c r="AB211" s="46" t="str" cm="1">
        <f t="array" ref="AB211">IFERROR(_xlfn.IFS(L211="FINALIZADO PRESENCIAL",IF(AA211&gt;10,"FORA","DENTRO"),L211="FINALIZADO REMOTO",IF(AA211&gt;5,"FORA","DENTRO")),"-")</f>
        <v>DENTRO</v>
      </c>
      <c r="AC211" s="41" t="s">
        <v>1671</v>
      </c>
      <c r="AD211" s="41" t="s">
        <v>1671</v>
      </c>
      <c r="AE211" s="48" cm="1">
        <f t="array" ref="AE211">SUMPRODUCT(IFERROR(('[2]PEÇAS GARANTIA'!$A$3:$A$5993=G211)*('[2]PEÇAS GARANTIA'!$A$3:$A$5993&lt;&gt;"")*('[2]PEÇAS GARANTIA'!$R$3:$R$5993),0))</f>
        <v>909</v>
      </c>
      <c r="AF211" s="178">
        <v>0</v>
      </c>
    </row>
    <row r="212" spans="1:32" ht="42" customHeight="1" x14ac:dyDescent="0.25">
      <c r="A212" s="82">
        <v>40476</v>
      </c>
      <c r="B212" s="41" t="str">
        <f>IFERROR(INDEX([1]GARANTIA!$B:$B,MATCH(A212,[1]GARANTIA!$C:$C,0)),"INSIRA N° SERIE")</f>
        <v>TESTE 199</v>
      </c>
      <c r="C212" s="33">
        <f>IFERROR(INDEX([1]GARANTIA!$J:$J,MATCH(A212,[1]GARANTIA!$C:$C,0)),"INSIRA N° SERIE")</f>
        <v>44074</v>
      </c>
      <c r="D212" s="33" t="str">
        <f>IFERROR(IF(INDEX([1]GARANTIA!$M:$M,MATCH(A212,[1]GARANTIA!$C:$C,0))&gt;=I212,"DENTRO DA GARANTIA","FORA DE GARANTIA"),"INSIRA N° SERIE")</f>
        <v>DENTRO DA GARANTIA</v>
      </c>
      <c r="E212" s="148"/>
      <c r="F212" s="109">
        <f>IFERROR(MAX(0,IF(I212-(INDEX([1]GARANTIA!$J:$J,MATCH(A212,[1]GARANTIA!$C:$C,0)))&gt;=0,I212-(INDEX([1]GARANTIA!$L:$L,MATCH(A212,[1]GARANTIA!$C:$C,0))),"INSIRA DATA CHAMADO")),"INSIRA N° SERIE")</f>
        <v>140</v>
      </c>
      <c r="G212" s="98">
        <v>20210621</v>
      </c>
      <c r="H212" s="35" t="str">
        <f t="shared" si="18"/>
        <v>JUN</v>
      </c>
      <c r="I212" s="89">
        <v>44357</v>
      </c>
      <c r="J212" s="90">
        <v>44357</v>
      </c>
      <c r="K212" s="91">
        <v>44358</v>
      </c>
      <c r="L212" s="92" t="s">
        <v>23</v>
      </c>
      <c r="M212" s="92" t="s">
        <v>8</v>
      </c>
      <c r="N212" s="92" t="s">
        <v>41</v>
      </c>
      <c r="O212" s="42" t="str">
        <f>IFERROR(INDEX([1]GARANTIA!$E:$E,MATCH(A212,[1]GARANTIA!$C:$C,0)),"INSIRA N° SERIE")</f>
        <v>MTI - 4.000GTS</v>
      </c>
      <c r="P212" s="101" t="s">
        <v>374</v>
      </c>
      <c r="Q212" s="94" t="s">
        <v>38</v>
      </c>
      <c r="R212" s="93" t="s">
        <v>447</v>
      </c>
      <c r="S212" s="95" t="s">
        <v>101</v>
      </c>
      <c r="T212" s="95" t="s">
        <v>296</v>
      </c>
      <c r="U212" s="96"/>
      <c r="V212" s="41" t="str">
        <f>IFERROR(INDEX([1]GARANTIA!$G:$G,MATCH(A212,[1]GARANTIA!$C:$C,0)),"INSIRA N° SERIE")</f>
        <v xml:space="preserve">SÃO CARLOS </v>
      </c>
      <c r="W212" s="41" t="str">
        <f>IFERROR(INDEX([1]GARANTIA!$H:$H,MATCH(A212,[1]GARANTIA!$C:$C,0)),"INSIRA N° SERIE")</f>
        <v>SP</v>
      </c>
      <c r="X212" s="41" t="str">
        <f>IFERROR(INDEX([1]GARANTIA!$F:$F,MATCH(A212,[1]GARANTIA!$C:$C,0)),"INSIRA N° SERIE")</f>
        <v>SUDESTE</v>
      </c>
      <c r="Y212" s="46">
        <f t="shared" si="20"/>
        <v>0</v>
      </c>
      <c r="Z212" s="47">
        <f t="shared" si="19"/>
        <v>1</v>
      </c>
      <c r="AA212" s="46">
        <f t="shared" si="21"/>
        <v>1</v>
      </c>
      <c r="AB212" s="46" t="str" cm="1">
        <f t="array" ref="AB212">IFERROR(_xlfn.IFS(L212="FINALIZADO PRESENCIAL",IF(AA212&gt;10,"FORA","DENTRO"),L212="FINALIZADO REMOTO",IF(AA212&gt;5,"FORA","DENTRO")),"-")</f>
        <v>DENTRO</v>
      </c>
      <c r="AC212" s="41" t="s">
        <v>1671</v>
      </c>
      <c r="AD212" s="41" t="s">
        <v>1671</v>
      </c>
      <c r="AE212" s="48" cm="1">
        <f t="array" ref="AE212">SUMPRODUCT(IFERROR(('[2]PEÇAS GARANTIA'!$A$3:$A$5993=G212)*('[2]PEÇAS GARANTIA'!$A$3:$A$5993&lt;&gt;"")*('[2]PEÇAS GARANTIA'!$R$3:$R$5993),0))</f>
        <v>0</v>
      </c>
      <c r="AF212" s="178">
        <v>0</v>
      </c>
    </row>
    <row r="213" spans="1:32" ht="75" customHeight="1" x14ac:dyDescent="0.25">
      <c r="A213" s="82">
        <v>55872</v>
      </c>
      <c r="B213" s="41" t="str">
        <f>IFERROR(INDEX([1]GARANTIA!$B:$B,MATCH(A213,[1]GARANTIA!$C:$C,0)),"INSIRA N° SERIE")</f>
        <v>TESTE 118</v>
      </c>
      <c r="C213" s="33">
        <f>IFERROR(INDEX([1]GARANTIA!$J:$J,MATCH(A213,[1]GARANTIA!$C:$C,0)),"INSIRA N° SERIE")</f>
        <v>44097</v>
      </c>
      <c r="D213" s="33" t="str">
        <f>IFERROR(IF(INDEX([1]GARANTIA!$M:$M,MATCH(A213,[1]GARANTIA!$C:$C,0))&gt;=I213,"DENTRO DA GARANTIA","FORA DE GARANTIA"),"INSIRA N° SERIE")</f>
        <v>DENTRO DA GARANTIA</v>
      </c>
      <c r="E213" s="148"/>
      <c r="F213" s="109">
        <f>IFERROR(MAX(0,IF(I213-(INDEX([1]GARANTIA!$J:$J,MATCH(A213,[1]GARANTIA!$C:$C,0)))&gt;=0,I213-(INDEX([1]GARANTIA!$L:$L,MATCH(A213,[1]GARANTIA!$C:$C,0))),"INSIRA DATA CHAMADO")),"INSIRA N° SERIE")</f>
        <v>48</v>
      </c>
      <c r="G213" s="98">
        <v>20210622</v>
      </c>
      <c r="H213" s="35" t="str">
        <f t="shared" si="18"/>
        <v>JUN</v>
      </c>
      <c r="I213" s="89">
        <v>44359</v>
      </c>
      <c r="J213" s="90">
        <v>44359</v>
      </c>
      <c r="K213" s="91">
        <v>44375</v>
      </c>
      <c r="L213" s="92" t="s">
        <v>11</v>
      </c>
      <c r="M213" s="92" t="s">
        <v>8</v>
      </c>
      <c r="N213" s="92" t="s">
        <v>27</v>
      </c>
      <c r="O213" s="42" t="str">
        <f>IFERROR(INDEX([1]GARANTIA!$E:$E,MATCH(A213,[1]GARANTIA!$C:$C,0)),"INSIRA N° SERIE")</f>
        <v>MTI - 1.000GTS</v>
      </c>
      <c r="P213" s="101" t="s">
        <v>474</v>
      </c>
      <c r="Q213" s="94" t="s">
        <v>54</v>
      </c>
      <c r="R213" s="93" t="s">
        <v>483</v>
      </c>
      <c r="S213" s="95" t="s">
        <v>638</v>
      </c>
      <c r="T213" s="95" t="s">
        <v>97</v>
      </c>
      <c r="U213" s="96"/>
      <c r="V213" s="41" t="str">
        <f>IFERROR(INDEX([1]GARANTIA!$G:$G,MATCH(A213,[1]GARANTIA!$C:$C,0)),"INSIRA N° SERIE")</f>
        <v>JARU</v>
      </c>
      <c r="W213" s="41" t="str">
        <f>IFERROR(INDEX([1]GARANTIA!$H:$H,MATCH(A213,[1]GARANTIA!$C:$C,0)),"INSIRA N° SERIE")</f>
        <v>RO</v>
      </c>
      <c r="X213" s="41" t="str">
        <f>IFERROR(INDEX([1]GARANTIA!$F:$F,MATCH(A213,[1]GARANTIA!$C:$C,0)),"INSIRA N° SERIE")</f>
        <v>NORTE</v>
      </c>
      <c r="Y213" s="46">
        <f t="shared" si="20"/>
        <v>0</v>
      </c>
      <c r="Z213" s="47">
        <f t="shared" si="19"/>
        <v>16</v>
      </c>
      <c r="AA213" s="46">
        <f t="shared" si="21"/>
        <v>16</v>
      </c>
      <c r="AB213" s="46" t="str" cm="1">
        <f t="array" ref="AB213">IFERROR(_xlfn.IFS(L213="FINALIZADO PRESENCIAL",IF(AA213&gt;10,"FORA","DENTRO"),L213="FINALIZADO REMOTO",IF(AA213&gt;5,"FORA","DENTRO")),"-")</f>
        <v>FORA</v>
      </c>
      <c r="AC213" s="41" t="s">
        <v>1671</v>
      </c>
      <c r="AD213" s="41" t="s">
        <v>1671</v>
      </c>
      <c r="AE213" s="48" cm="1">
        <f t="array" ref="AE213">SUMPRODUCT(IFERROR(('[2]PEÇAS GARANTIA'!$A$3:$A$5993=G213)*('[2]PEÇAS GARANTIA'!$A$3:$A$5993&lt;&gt;"")*('[2]PEÇAS GARANTIA'!$R$3:$R$5993),0))</f>
        <v>6283.8750000000009</v>
      </c>
      <c r="AF213" s="178">
        <v>12939.406363636401</v>
      </c>
    </row>
    <row r="214" spans="1:32" ht="46.5" customHeight="1" x14ac:dyDescent="0.25">
      <c r="A214" s="82">
        <v>23329</v>
      </c>
      <c r="B214" s="41" t="str">
        <f>IFERROR(INDEX([1]GARANTIA!$B:$B,MATCH(A214,[1]GARANTIA!$C:$C,0)),"INSIRA N° SERIE")</f>
        <v>TESTE 131</v>
      </c>
      <c r="C214" s="33">
        <f>IFERROR(INDEX([1]GARANTIA!$J:$J,MATCH(A214,[1]GARANTIA!$C:$C,0)),"INSIRA N° SERIE")</f>
        <v>44097</v>
      </c>
      <c r="D214" s="33" t="str">
        <f>IFERROR(IF(INDEX([1]GARANTIA!$M:$M,MATCH(A214,[1]GARANTIA!$C:$C,0))&gt;=I214,"DENTRO DA GARANTIA","FORA DE GARANTIA"),"INSIRA N° SERIE")</f>
        <v>DENTRO DA GARANTIA</v>
      </c>
      <c r="E214" s="148"/>
      <c r="F214" s="109">
        <f>IFERROR(MAX(0,IF(I214-(INDEX([1]GARANTIA!$J:$J,MATCH(A214,[1]GARANTIA!$C:$C,0)))&gt;=0,I214-(INDEX([1]GARANTIA!$L:$L,MATCH(A214,[1]GARANTIA!$C:$C,0))),"INSIRA DATA CHAMADO")),"INSIRA N° SERIE")</f>
        <v>89</v>
      </c>
      <c r="G214" s="98">
        <v>20210623</v>
      </c>
      <c r="H214" s="35" t="str">
        <f t="shared" si="18"/>
        <v>JUN</v>
      </c>
      <c r="I214" s="89">
        <v>44362</v>
      </c>
      <c r="J214" s="90">
        <v>44362</v>
      </c>
      <c r="K214" s="91">
        <v>44364</v>
      </c>
      <c r="L214" s="92" t="s">
        <v>23</v>
      </c>
      <c r="M214" s="92" t="s">
        <v>8</v>
      </c>
      <c r="N214" s="92" t="s">
        <v>44</v>
      </c>
      <c r="O214" s="42" t="str">
        <f>IFERROR(INDEX([1]GARANTIA!$E:$E,MATCH(A214,[1]GARANTIA!$C:$C,0)),"INSIRA N° SERIE")</f>
        <v>MTI - 4.000GTS</v>
      </c>
      <c r="P214" s="101" t="s">
        <v>464</v>
      </c>
      <c r="Q214" s="94" t="s">
        <v>38</v>
      </c>
      <c r="R214" s="93" t="s">
        <v>465</v>
      </c>
      <c r="S214" s="95" t="s">
        <v>101</v>
      </c>
      <c r="T214" s="95" t="s">
        <v>296</v>
      </c>
      <c r="U214" s="96"/>
      <c r="V214" s="41" t="str">
        <f>IFERROR(INDEX([1]GARANTIA!$G:$G,MATCH(A214,[1]GARANTIA!$C:$C,0)),"INSIRA N° SERIE")</f>
        <v>CAJURU</v>
      </c>
      <c r="W214" s="41" t="str">
        <f>IFERROR(INDEX([1]GARANTIA!$H:$H,MATCH(A214,[1]GARANTIA!$C:$C,0)),"INSIRA N° SERIE")</f>
        <v>SP</v>
      </c>
      <c r="X214" s="41" t="str">
        <f>IFERROR(INDEX([1]GARANTIA!$F:$F,MATCH(A214,[1]GARANTIA!$C:$C,0)),"INSIRA N° SERIE")</f>
        <v>SUDESTE</v>
      </c>
      <c r="Y214" s="46">
        <f t="shared" si="20"/>
        <v>0</v>
      </c>
      <c r="Z214" s="47">
        <f t="shared" si="19"/>
        <v>2</v>
      </c>
      <c r="AA214" s="46">
        <f t="shared" si="21"/>
        <v>2</v>
      </c>
      <c r="AB214" s="46" t="str" cm="1">
        <f t="array" ref="AB214">IFERROR(_xlfn.IFS(L214="FINALIZADO PRESENCIAL",IF(AA214&gt;10,"FORA","DENTRO"),L214="FINALIZADO REMOTO",IF(AA214&gt;5,"FORA","DENTRO")),"-")</f>
        <v>DENTRO</v>
      </c>
      <c r="AC214" s="41" t="s">
        <v>1671</v>
      </c>
      <c r="AD214" s="41" t="s">
        <v>1671</v>
      </c>
      <c r="AE214" s="48" cm="1">
        <f t="array" ref="AE214">SUMPRODUCT(IFERROR(('[2]PEÇAS GARANTIA'!$A$3:$A$5993=G214)*('[2]PEÇAS GARANTIA'!$A$3:$A$5993&lt;&gt;"")*('[2]PEÇAS GARANTIA'!$R$3:$R$5993),0))</f>
        <v>0</v>
      </c>
      <c r="AF214" s="178">
        <v>0</v>
      </c>
    </row>
    <row r="215" spans="1:32" ht="51.75" customHeight="1" x14ac:dyDescent="0.25">
      <c r="A215" s="82">
        <v>97866</v>
      </c>
      <c r="B215" s="41" t="str">
        <f>IFERROR(INDEX([1]GARANTIA!$B:$B,MATCH(A215,[1]GARANTIA!$C:$C,0)),"INSIRA N° SERIE")</f>
        <v>TESTE 78</v>
      </c>
      <c r="C215" s="33">
        <f>IFERROR(INDEX([1]GARANTIA!$J:$J,MATCH(A215,[1]GARANTIA!$C:$C,0)),"INSIRA N° SERIE")</f>
        <v>43364</v>
      </c>
      <c r="D215" s="33" t="str">
        <f>IFERROR(IF(INDEX([1]GARANTIA!$M:$M,MATCH(A215,[1]GARANTIA!$C:$C,0))&gt;=I215,"DENTRO DA GARANTIA","FORA DE GARANTIA"),"INSIRA N° SERIE")</f>
        <v>FORA DE GARANTIA</v>
      </c>
      <c r="E215" s="148"/>
      <c r="F215" s="109">
        <f>IFERROR(MAX(0,IF(I215-(INDEX([1]GARANTIA!$J:$J,MATCH(A215,[1]GARANTIA!$C:$C,0)))&gt;=0,I215-(INDEX([1]GARANTIA!$L:$L,MATCH(A215,[1]GARANTIA!$C:$C,0))),"INSIRA DATA CHAMADO")),"INSIRA N° SERIE")</f>
        <v>417</v>
      </c>
      <c r="G215" s="98">
        <v>20210624</v>
      </c>
      <c r="H215" s="35" t="str">
        <f t="shared" si="18"/>
        <v>JUN</v>
      </c>
      <c r="I215" s="89">
        <v>44363</v>
      </c>
      <c r="J215" s="90">
        <v>44363</v>
      </c>
      <c r="K215" s="91">
        <v>44363</v>
      </c>
      <c r="L215" s="92" t="s">
        <v>23</v>
      </c>
      <c r="M215" s="92" t="s">
        <v>8</v>
      </c>
      <c r="N215" s="92" t="s">
        <v>26</v>
      </c>
      <c r="O215" s="42" t="str">
        <f>IFERROR(INDEX([1]GARANTIA!$E:$E,MATCH(A215,[1]GARANTIA!$C:$C,0)),"INSIRA N° SERIE")</f>
        <v>MTI - 12.000GT</v>
      </c>
      <c r="P215" s="101" t="s">
        <v>459</v>
      </c>
      <c r="Q215" s="94" t="s">
        <v>38</v>
      </c>
      <c r="R215" s="93" t="s">
        <v>460</v>
      </c>
      <c r="S215" s="95" t="s">
        <v>101</v>
      </c>
      <c r="T215" s="95" t="s">
        <v>296</v>
      </c>
      <c r="U215" s="96"/>
      <c r="V215" s="41" t="str">
        <f>IFERROR(INDEX([1]GARANTIA!$G:$G,MATCH(A215,[1]GARANTIA!$C:$C,0)),"INSIRA N° SERIE")</f>
        <v>IPIAÇU</v>
      </c>
      <c r="W215" s="41" t="str">
        <f>IFERROR(INDEX([1]GARANTIA!$H:$H,MATCH(A215,[1]GARANTIA!$C:$C,0)),"INSIRA N° SERIE")</f>
        <v>MG</v>
      </c>
      <c r="X215" s="41" t="str">
        <f>IFERROR(INDEX([1]GARANTIA!$F:$F,MATCH(A215,[1]GARANTIA!$C:$C,0)),"INSIRA N° SERIE")</f>
        <v>SUDESTE</v>
      </c>
      <c r="Y215" s="46">
        <f t="shared" si="20"/>
        <v>0</v>
      </c>
      <c r="Z215" s="47">
        <f t="shared" si="19"/>
        <v>0</v>
      </c>
      <c r="AA215" s="46">
        <f t="shared" si="21"/>
        <v>0</v>
      </c>
      <c r="AB215" s="46" t="str" cm="1">
        <f t="array" ref="AB215">IFERROR(_xlfn.IFS(L215="FINALIZADO PRESENCIAL",IF(AA215&gt;10,"FORA","DENTRO"),L215="FINALIZADO REMOTO",IF(AA215&gt;5,"FORA","DENTRO")),"-")</f>
        <v>DENTRO</v>
      </c>
      <c r="AC215" s="41" t="s">
        <v>1671</v>
      </c>
      <c r="AD215" s="41" t="s">
        <v>1671</v>
      </c>
      <c r="AE215" s="48" cm="1">
        <f t="array" ref="AE215">SUMPRODUCT(IFERROR(('[2]PEÇAS GARANTIA'!$A$3:$A$5993=G215)*('[2]PEÇAS GARANTIA'!$A$3:$A$5993&lt;&gt;"")*('[2]PEÇAS GARANTIA'!$R$3:$R$5993),0))</f>
        <v>0</v>
      </c>
      <c r="AF215" s="178">
        <v>0</v>
      </c>
    </row>
    <row r="216" spans="1:32" ht="43.5" customHeight="1" x14ac:dyDescent="0.25">
      <c r="A216" s="82">
        <v>19607</v>
      </c>
      <c r="B216" s="41" t="str">
        <f>IFERROR(INDEX([1]GARANTIA!$B:$B,MATCH(A216,[1]GARANTIA!$C:$C,0)),"INSIRA N° SERIE")</f>
        <v>TESTE 325</v>
      </c>
      <c r="C216" s="33">
        <f>IFERROR(INDEX([1]GARANTIA!$J:$J,MATCH(A216,[1]GARANTIA!$C:$C,0)),"INSIRA N° SERIE")</f>
        <v>44019</v>
      </c>
      <c r="D216" s="33" t="str">
        <f>IFERROR(IF(INDEX([1]GARANTIA!$M:$M,MATCH(A216,[1]GARANTIA!$C:$C,0))&gt;=I216,"DENTRO DA GARANTIA","FORA DE GARANTIA"),"INSIRA N° SERIE")</f>
        <v>DENTRO DA GARANTIA</v>
      </c>
      <c r="E216" s="148"/>
      <c r="F216" s="109">
        <f>IFERROR(MAX(0,IF(I216-(INDEX([1]GARANTIA!$J:$J,MATCH(A216,[1]GARANTIA!$C:$C,0)))&gt;=0,I216-(INDEX([1]GARANTIA!$L:$L,MATCH(A216,[1]GARANTIA!$C:$C,0))),"INSIRA DATA CHAMADO")),"INSIRA N° SERIE")</f>
        <v>221</v>
      </c>
      <c r="G216" s="98">
        <v>20210625</v>
      </c>
      <c r="H216" s="35" t="str">
        <f t="shared" si="18"/>
        <v>JUN</v>
      </c>
      <c r="I216" s="89">
        <v>44363</v>
      </c>
      <c r="J216" s="90">
        <v>44363</v>
      </c>
      <c r="K216" s="91">
        <v>44364</v>
      </c>
      <c r="L216" s="92" t="s">
        <v>23</v>
      </c>
      <c r="M216" s="92" t="s">
        <v>8</v>
      </c>
      <c r="N216" s="92" t="s">
        <v>42</v>
      </c>
      <c r="O216" s="42" t="str">
        <f>IFERROR(INDEX([1]GARANTIA!$E:$E,MATCH(A216,[1]GARANTIA!$C:$C,0)),"INSIRA N° SERIE")</f>
        <v>MTI - 12.000GTS</v>
      </c>
      <c r="P216" s="101" t="s">
        <v>461</v>
      </c>
      <c r="Q216" s="94" t="s">
        <v>333</v>
      </c>
      <c r="R216" s="93" t="s">
        <v>462</v>
      </c>
      <c r="S216" s="44" t="s">
        <v>638</v>
      </c>
      <c r="T216" s="95" t="s">
        <v>142</v>
      </c>
      <c r="U216" s="96"/>
      <c r="V216" s="41" t="str">
        <f>IFERROR(INDEX([1]GARANTIA!$G:$G,MATCH(A216,[1]GARANTIA!$C:$C,0)),"INSIRA N° SERIE")</f>
        <v>BAURU</v>
      </c>
      <c r="W216" s="41" t="str">
        <f>IFERROR(INDEX([1]GARANTIA!$H:$H,MATCH(A216,[1]GARANTIA!$C:$C,0)),"INSIRA N° SERIE")</f>
        <v xml:space="preserve">SP </v>
      </c>
      <c r="X216" s="41" t="str">
        <f>IFERROR(INDEX([1]GARANTIA!$F:$F,MATCH(A216,[1]GARANTIA!$C:$C,0)),"INSIRA N° SERIE")</f>
        <v>SUDESTE</v>
      </c>
      <c r="Y216" s="46">
        <f t="shared" si="20"/>
        <v>0</v>
      </c>
      <c r="Z216" s="47">
        <f t="shared" si="19"/>
        <v>1</v>
      </c>
      <c r="AA216" s="46">
        <f t="shared" si="21"/>
        <v>1</v>
      </c>
      <c r="AB216" s="46" t="str" cm="1">
        <f t="array" ref="AB216">IFERROR(_xlfn.IFS(L216="FINALIZADO PRESENCIAL",IF(AA216&gt;10,"FORA","DENTRO"),L216="FINALIZADO REMOTO",IF(AA216&gt;5,"FORA","DENTRO")),"-")</f>
        <v>DENTRO</v>
      </c>
      <c r="AC216" s="41" t="s">
        <v>1671</v>
      </c>
      <c r="AD216" s="41" t="s">
        <v>1671</v>
      </c>
      <c r="AE216" s="48" cm="1">
        <f t="array" ref="AE216">SUMPRODUCT(IFERROR(('[2]PEÇAS GARANTIA'!$A$3:$A$5993=G216)*('[2]PEÇAS GARANTIA'!$A$3:$A$5993&lt;&gt;"")*('[2]PEÇAS GARANTIA'!$R$3:$R$5993),0))</f>
        <v>0</v>
      </c>
      <c r="AF216" s="178">
        <v>0</v>
      </c>
    </row>
    <row r="217" spans="1:32" ht="36" customHeight="1" x14ac:dyDescent="0.25">
      <c r="A217" s="82">
        <v>74629</v>
      </c>
      <c r="B217" s="41" t="str">
        <f>IFERROR(INDEX([1]GARANTIA!$B:$B,MATCH(A217,[1]GARANTIA!$C:$C,0)),"INSIRA N° SERIE")</f>
        <v>TESTE 329</v>
      </c>
      <c r="C217" s="33">
        <f>IFERROR(INDEX([1]GARANTIA!$J:$J,MATCH(A217,[1]GARANTIA!$C:$C,0)),"INSIRA N° SERIE")</f>
        <v>44090</v>
      </c>
      <c r="D217" s="33" t="str">
        <f>IFERROR(IF(INDEX([1]GARANTIA!$M:$M,MATCH(A217,[1]GARANTIA!$C:$C,0))&gt;=I217,"DENTRO DA GARANTIA","FORA DE GARANTIA"),"INSIRA N° SERIE")</f>
        <v>DENTRO DA GARANTIA</v>
      </c>
      <c r="E217" s="148"/>
      <c r="F217" s="109">
        <f>IFERROR(MAX(0,IF(I217-(INDEX([1]GARANTIA!$J:$J,MATCH(A217,[1]GARANTIA!$C:$C,0)))&gt;=0,I217-(INDEX([1]GARANTIA!$L:$L,MATCH(A217,[1]GARANTIA!$C:$C,0))),"INSIRA DATA CHAMADO")),"INSIRA N° SERIE")</f>
        <v>180</v>
      </c>
      <c r="G217" s="98">
        <v>20210626</v>
      </c>
      <c r="H217" s="35" t="str">
        <f t="shared" si="18"/>
        <v>JUN</v>
      </c>
      <c r="I217" s="89">
        <v>44363</v>
      </c>
      <c r="J217" s="90">
        <v>44363</v>
      </c>
      <c r="K217" s="91">
        <v>44364</v>
      </c>
      <c r="L217" s="92" t="s">
        <v>23</v>
      </c>
      <c r="M217" s="92" t="s">
        <v>8</v>
      </c>
      <c r="N217" s="92" t="s">
        <v>41</v>
      </c>
      <c r="O217" s="42" t="str">
        <f>IFERROR(INDEX([1]GARANTIA!$E:$E,MATCH(A217,[1]GARANTIA!$C:$C,0)),"INSIRA N° SERIE")</f>
        <v>MTI - 1.000GTS</v>
      </c>
      <c r="P217" s="101" t="s">
        <v>374</v>
      </c>
      <c r="Q217" s="94" t="s">
        <v>38</v>
      </c>
      <c r="R217" s="93" t="s">
        <v>463</v>
      </c>
      <c r="S217" s="95" t="s">
        <v>101</v>
      </c>
      <c r="T217" s="95" t="s">
        <v>296</v>
      </c>
      <c r="U217" s="96"/>
      <c r="V217" s="41" t="str">
        <f>IFERROR(INDEX([1]GARANTIA!$G:$G,MATCH(A217,[1]GARANTIA!$C:$C,0)),"INSIRA N° SERIE")</f>
        <v>QUIRINOPOLIS</v>
      </c>
      <c r="W217" s="41" t="str">
        <f>IFERROR(INDEX([1]GARANTIA!$H:$H,MATCH(A217,[1]GARANTIA!$C:$C,0)),"INSIRA N° SERIE")</f>
        <v xml:space="preserve">GO </v>
      </c>
      <c r="X217" s="41" t="str">
        <f>IFERROR(INDEX([1]GARANTIA!$F:$F,MATCH(A217,[1]GARANTIA!$C:$C,0)),"INSIRA N° SERIE")</f>
        <v>CENTROESTE</v>
      </c>
      <c r="Y217" s="46">
        <f t="shared" si="20"/>
        <v>0</v>
      </c>
      <c r="Z217" s="47">
        <f t="shared" si="19"/>
        <v>1</v>
      </c>
      <c r="AA217" s="46">
        <f t="shared" si="21"/>
        <v>1</v>
      </c>
      <c r="AB217" s="46" t="str" cm="1">
        <f t="array" ref="AB217">IFERROR(_xlfn.IFS(L217="FINALIZADO PRESENCIAL",IF(AA217&gt;10,"FORA","DENTRO"),L217="FINALIZADO REMOTO",IF(AA217&gt;5,"FORA","DENTRO")),"-")</f>
        <v>DENTRO</v>
      </c>
      <c r="AC217" s="41" t="s">
        <v>1671</v>
      </c>
      <c r="AD217" s="41" t="s">
        <v>1671</v>
      </c>
      <c r="AE217" s="48" cm="1">
        <f t="array" ref="AE217">SUMPRODUCT(IFERROR(('[2]PEÇAS GARANTIA'!$A$3:$A$5993=G217)*('[2]PEÇAS GARANTIA'!$A$3:$A$5993&lt;&gt;"")*('[2]PEÇAS GARANTIA'!$R$3:$R$5993),0))</f>
        <v>0</v>
      </c>
      <c r="AF217" s="178">
        <v>0</v>
      </c>
    </row>
    <row r="218" spans="1:32" ht="33" customHeight="1" x14ac:dyDescent="0.25">
      <c r="A218" s="82">
        <v>69918</v>
      </c>
      <c r="B218" s="41" t="str">
        <f>IFERROR(INDEX([1]GARANTIA!$B:$B,MATCH(A218,[1]GARANTIA!$C:$C,0)),"INSIRA N° SERIE")</f>
        <v>TESTE 247</v>
      </c>
      <c r="C218" s="33">
        <f>IFERROR(INDEX([1]GARANTIA!$J:$J,MATCH(A218,[1]GARANTIA!$C:$C,0)),"INSIRA N° SERIE")</f>
        <v>44196</v>
      </c>
      <c r="D218" s="33" t="str">
        <f>IFERROR(IF(INDEX([1]GARANTIA!$M:$M,MATCH(A218,[1]GARANTIA!$C:$C,0))&gt;=I218,"DENTRO DA GARANTIA","FORA DE GARANTIA"),"INSIRA N° SERIE")</f>
        <v>DENTRO DA GARANTIA</v>
      </c>
      <c r="E218" s="148"/>
      <c r="F218" s="109">
        <f>IFERROR(MAX(0,IF(I218-(INDEX([1]GARANTIA!$J:$J,MATCH(A218,[1]GARANTIA!$C:$C,0)))&gt;=0,I218-(INDEX([1]GARANTIA!$L:$L,MATCH(A218,[1]GARANTIA!$C:$C,0))),"INSIRA DATA CHAMADO")),"INSIRA N° SERIE")</f>
        <v>12</v>
      </c>
      <c r="G218" s="98">
        <v>20210627</v>
      </c>
      <c r="H218" s="35" t="str">
        <f t="shared" si="18"/>
        <v>JUN</v>
      </c>
      <c r="I218" s="89">
        <v>44363</v>
      </c>
      <c r="J218" s="90">
        <v>44363</v>
      </c>
      <c r="K218" s="91">
        <v>44363</v>
      </c>
      <c r="L218" s="92" t="s">
        <v>23</v>
      </c>
      <c r="M218" s="92" t="s">
        <v>8</v>
      </c>
      <c r="N218" s="92" t="s">
        <v>41</v>
      </c>
      <c r="O218" s="42" t="str">
        <f>IFERROR(INDEX([1]GARANTIA!$E:$E,MATCH(A218,[1]GARANTIA!$C:$C,0)),"INSIRA N° SERIE")</f>
        <v>MTI - 1.000GTS</v>
      </c>
      <c r="P218" s="101" t="s">
        <v>374</v>
      </c>
      <c r="Q218" s="94" t="s">
        <v>38</v>
      </c>
      <c r="R218" s="93" t="s">
        <v>467</v>
      </c>
      <c r="S218" s="95" t="s">
        <v>101</v>
      </c>
      <c r="T218" s="95" t="s">
        <v>296</v>
      </c>
      <c r="U218" s="96"/>
      <c r="V218" s="41" t="str">
        <f>IFERROR(INDEX([1]GARANTIA!$G:$G,MATCH(A218,[1]GARANTIA!$C:$C,0)),"INSIRA N° SERIE")</f>
        <v>DIAMANTINA</v>
      </c>
      <c r="W218" s="41" t="str">
        <f>IFERROR(INDEX([1]GARANTIA!$H:$H,MATCH(A218,[1]GARANTIA!$C:$C,0)),"INSIRA N° SERIE")</f>
        <v>MG</v>
      </c>
      <c r="X218" s="41" t="str">
        <f>IFERROR(INDEX([1]GARANTIA!$F:$F,MATCH(A218,[1]GARANTIA!$C:$C,0)),"INSIRA N° SERIE")</f>
        <v>SUDESTE</v>
      </c>
      <c r="Y218" s="46">
        <f t="shared" si="20"/>
        <v>0</v>
      </c>
      <c r="Z218" s="47">
        <f t="shared" si="19"/>
        <v>0</v>
      </c>
      <c r="AA218" s="46">
        <f t="shared" si="21"/>
        <v>0</v>
      </c>
      <c r="AB218" s="46" t="str" cm="1">
        <f t="array" ref="AB218">IFERROR(_xlfn.IFS(L218="FINALIZADO PRESENCIAL",IF(AA218&gt;10,"FORA","DENTRO"),L218="FINALIZADO REMOTO",IF(AA218&gt;5,"FORA","DENTRO")),"-")</f>
        <v>DENTRO</v>
      </c>
      <c r="AC218" s="41" t="s">
        <v>1671</v>
      </c>
      <c r="AD218" s="41" t="s">
        <v>1671</v>
      </c>
      <c r="AE218" s="48" cm="1">
        <f t="array" ref="AE218">SUMPRODUCT(IFERROR(('[2]PEÇAS GARANTIA'!$A$3:$A$5993=G218)*('[2]PEÇAS GARANTIA'!$A$3:$A$5993&lt;&gt;"")*('[2]PEÇAS GARANTIA'!$R$3:$R$5993),0))</f>
        <v>0</v>
      </c>
      <c r="AF218" s="178">
        <v>0</v>
      </c>
    </row>
    <row r="219" spans="1:32" ht="45.75" customHeight="1" x14ac:dyDescent="0.25">
      <c r="A219" s="82">
        <v>41641</v>
      </c>
      <c r="B219" s="41" t="str">
        <f>IFERROR(INDEX([1]GARANTIA!$B:$B,MATCH(A219,[1]GARANTIA!$C:$C,0)),"INSIRA N° SERIE")</f>
        <v>TESTE 14</v>
      </c>
      <c r="C219" s="33">
        <f>IFERROR(INDEX([1]GARANTIA!$J:$J,MATCH(A219,[1]GARANTIA!$C:$C,0)),"INSIRA N° SERIE")</f>
        <v>44173</v>
      </c>
      <c r="D219" s="33" t="str">
        <f>IFERROR(IF(INDEX([1]GARANTIA!$M:$M,MATCH(A219,[1]GARANTIA!$C:$C,0))&gt;=I219,"DENTRO DA GARANTIA","FORA DE GARANTIA"),"INSIRA N° SERIE")</f>
        <v>DENTRO DA GARANTIA</v>
      </c>
      <c r="E219" s="148"/>
      <c r="F219" s="109">
        <f>IFERROR(MAX(0,IF(I219-(INDEX([1]GARANTIA!$J:$J,MATCH(A219,[1]GARANTIA!$C:$C,0)))&gt;=0,I219-(INDEX([1]GARANTIA!$L:$L,MATCH(A219,[1]GARANTIA!$C:$C,0))),"INSIRA DATA CHAMADO")),"INSIRA N° SERIE")</f>
        <v>0</v>
      </c>
      <c r="G219" s="98">
        <v>20210628</v>
      </c>
      <c r="H219" s="35" t="str">
        <f t="shared" si="18"/>
        <v>JUN</v>
      </c>
      <c r="I219" s="89">
        <v>44361</v>
      </c>
      <c r="J219" s="90">
        <v>44361</v>
      </c>
      <c r="K219" s="91">
        <v>44361</v>
      </c>
      <c r="L219" s="92" t="s">
        <v>11</v>
      </c>
      <c r="M219" s="92" t="s">
        <v>164</v>
      </c>
      <c r="N219" s="92" t="s">
        <v>56</v>
      </c>
      <c r="O219" s="42" t="str">
        <f>IFERROR(INDEX([1]GARANTIA!$E:$E,MATCH(A219,[1]GARANTIA!$C:$C,0)),"INSIRA N° SERIE")</f>
        <v>MTI - 12.000GTS</v>
      </c>
      <c r="P219" s="101" t="s">
        <v>479</v>
      </c>
      <c r="Q219" s="94" t="s">
        <v>333</v>
      </c>
      <c r="R219" s="93" t="s">
        <v>480</v>
      </c>
      <c r="S219" s="95" t="s">
        <v>638</v>
      </c>
      <c r="T219" s="95" t="s">
        <v>142</v>
      </c>
      <c r="U219" s="96"/>
      <c r="V219" s="41" t="str">
        <f>IFERROR(INDEX([1]GARANTIA!$G:$G,MATCH(A219,[1]GARANTIA!$C:$C,0)),"INSIRA N° SERIE")</f>
        <v>ARARAS</v>
      </c>
      <c r="W219" s="41" t="str">
        <f>IFERROR(INDEX([1]GARANTIA!$H:$H,MATCH(A219,[1]GARANTIA!$C:$C,0)),"INSIRA N° SERIE")</f>
        <v>SP</v>
      </c>
      <c r="X219" s="41" t="str">
        <f>IFERROR(INDEX([1]GARANTIA!$F:$F,MATCH(A219,[1]GARANTIA!$C:$C,0)),"INSIRA N° SERIE")</f>
        <v>SUDESTE</v>
      </c>
      <c r="Y219" s="46">
        <f t="shared" si="20"/>
        <v>0</v>
      </c>
      <c r="Z219" s="47">
        <f t="shared" si="19"/>
        <v>0</v>
      </c>
      <c r="AA219" s="46">
        <f t="shared" si="21"/>
        <v>0</v>
      </c>
      <c r="AB219" s="46" t="str" cm="1">
        <f t="array" ref="AB219">IFERROR(_xlfn.IFS(L219="FINALIZADO PRESENCIAL",IF(AA219&gt;10,"FORA","DENTRO"),L219="FINALIZADO REMOTO",IF(AA219&gt;5,"FORA","DENTRO")),"-")</f>
        <v>DENTRO</v>
      </c>
      <c r="AC219" s="41" t="s">
        <v>1671</v>
      </c>
      <c r="AD219" s="41" t="s">
        <v>1671</v>
      </c>
      <c r="AE219" s="48" cm="1">
        <f t="array" ref="AE219">SUMPRODUCT(IFERROR(('[2]PEÇAS GARANTIA'!$A$3:$A$5993=G219)*('[2]PEÇAS GARANTIA'!$A$3:$A$5993&lt;&gt;"")*('[2]PEÇAS GARANTIA'!$R$3:$R$5993),0))</f>
        <v>0</v>
      </c>
      <c r="AF219" s="178">
        <v>723.13636363639989</v>
      </c>
    </row>
    <row r="220" spans="1:32" ht="53.25" customHeight="1" x14ac:dyDescent="0.25">
      <c r="A220" s="82">
        <v>88574</v>
      </c>
      <c r="B220" s="41" t="str">
        <f>IFERROR(INDEX([1]GARANTIA!$B:$B,MATCH(A220,[1]GARANTIA!$C:$C,0)),"INSIRA N° SERIE")</f>
        <v>TESTE 256</v>
      </c>
      <c r="C220" s="33">
        <f>IFERROR(INDEX([1]GARANTIA!$J:$J,MATCH(A220,[1]GARANTIA!$C:$C,0)),"INSIRA N° SERIE")</f>
        <v>44207</v>
      </c>
      <c r="D220" s="33" t="str">
        <f>IFERROR(IF(INDEX([1]GARANTIA!$M:$M,MATCH(A220,[1]GARANTIA!$C:$C,0))&gt;=I220,"DENTRO DA GARANTIA","FORA DE GARANTIA"),"INSIRA N° SERIE")</f>
        <v>DENTRO DA GARANTIA</v>
      </c>
      <c r="E220" s="148"/>
      <c r="F220" s="109">
        <f>IFERROR(MAX(0,IF(I220-(INDEX([1]GARANTIA!$J:$J,MATCH(A220,[1]GARANTIA!$C:$C,0)))&gt;=0,I220-(INDEX([1]GARANTIA!$L:$L,MATCH(A220,[1]GARANTIA!$C:$C,0))),"INSIRA DATA CHAMADO")),"INSIRA N° SERIE")</f>
        <v>0</v>
      </c>
      <c r="G220" s="98">
        <v>20210629</v>
      </c>
      <c r="H220" s="35" t="str">
        <f t="shared" si="18"/>
        <v>JUN</v>
      </c>
      <c r="I220" s="89">
        <v>44362</v>
      </c>
      <c r="J220" s="90">
        <v>44362</v>
      </c>
      <c r="K220" s="91">
        <v>44363</v>
      </c>
      <c r="L220" s="92" t="s">
        <v>11</v>
      </c>
      <c r="M220" s="92" t="s">
        <v>164</v>
      </c>
      <c r="N220" s="92" t="s">
        <v>64</v>
      </c>
      <c r="O220" s="42" t="str">
        <f>IFERROR(INDEX([1]GARANTIA!$E:$E,MATCH(A220,[1]GARANTIA!$C:$C,0)),"INSIRA N° SERIE")</f>
        <v>E - 80</v>
      </c>
      <c r="P220" s="101" t="s">
        <v>470</v>
      </c>
      <c r="Q220" s="94" t="s">
        <v>333</v>
      </c>
      <c r="R220" s="93" t="s">
        <v>468</v>
      </c>
      <c r="S220" s="44" t="s">
        <v>638</v>
      </c>
      <c r="T220" s="95" t="s">
        <v>142</v>
      </c>
      <c r="U220" s="96"/>
      <c r="V220" s="41" t="str">
        <f>IFERROR(INDEX([1]GARANTIA!$G:$G,MATCH(A220,[1]GARANTIA!$C:$C,0)),"INSIRA N° SERIE")</f>
        <v>NATAL</v>
      </c>
      <c r="W220" s="41" t="str">
        <f>IFERROR(INDEX([1]GARANTIA!$H:$H,MATCH(A220,[1]GARANTIA!$C:$C,0)),"INSIRA N° SERIE")</f>
        <v>RN</v>
      </c>
      <c r="X220" s="41" t="str">
        <f>IFERROR(INDEX([1]GARANTIA!$F:$F,MATCH(A220,[1]GARANTIA!$C:$C,0)),"INSIRA N° SERIE")</f>
        <v>NORDESTE</v>
      </c>
      <c r="Y220" s="46">
        <f t="shared" si="20"/>
        <v>0</v>
      </c>
      <c r="Z220" s="47">
        <f t="shared" si="19"/>
        <v>1</v>
      </c>
      <c r="AA220" s="46">
        <f t="shared" si="21"/>
        <v>1</v>
      </c>
      <c r="AB220" s="46" t="str" cm="1">
        <f t="array" ref="AB220">IFERROR(_xlfn.IFS(L220="FINALIZADO PRESENCIAL",IF(AA220&gt;10,"FORA","DENTRO"),L220="FINALIZADO REMOTO",IF(AA220&gt;5,"FORA","DENTRO")),"-")</f>
        <v>DENTRO</v>
      </c>
      <c r="AC220" s="41" t="s">
        <v>1671</v>
      </c>
      <c r="AD220" s="41" t="s">
        <v>1671</v>
      </c>
      <c r="AE220" s="48" cm="1">
        <f t="array" ref="AE220">SUMPRODUCT(IFERROR(('[2]PEÇAS GARANTIA'!$A$3:$A$5993=G220)*('[2]PEÇAS GARANTIA'!$A$3:$A$5993&lt;&gt;"")*('[2]PEÇAS GARANTIA'!$R$3:$R$5993),0))</f>
        <v>0</v>
      </c>
      <c r="AF220" s="178">
        <v>0</v>
      </c>
    </row>
    <row r="221" spans="1:32" ht="42" customHeight="1" x14ac:dyDescent="0.25">
      <c r="A221" s="82">
        <v>68730</v>
      </c>
      <c r="B221" s="41" t="str">
        <f>IFERROR(INDEX([1]GARANTIA!$B:$B,MATCH(A221,[1]GARANTIA!$C:$C,0)),"INSIRA N° SERIE")</f>
        <v>TESTE 302</v>
      </c>
      <c r="C221" s="33">
        <f>IFERROR(INDEX([1]GARANTIA!$J:$J,MATCH(A221,[1]GARANTIA!$C:$C,0)),"INSIRA N° SERIE")</f>
        <v>44204</v>
      </c>
      <c r="D221" s="33" t="str">
        <f>IFERROR(IF(INDEX([1]GARANTIA!$M:$M,MATCH(A221,[1]GARANTIA!$C:$C,0))&gt;=I221,"DENTRO DA GARANTIA","FORA DE GARANTIA"),"INSIRA N° SERIE")</f>
        <v>DENTRO DA GARANTIA</v>
      </c>
      <c r="E221" s="148"/>
      <c r="F221" s="109">
        <f>IFERROR(MAX(0,IF(I221-(INDEX([1]GARANTIA!$J:$J,MATCH(A221,[1]GARANTIA!$C:$C,0)))&gt;=0,I221-(INDEX([1]GARANTIA!$L:$L,MATCH(A221,[1]GARANTIA!$C:$C,0))),"INSIRA DATA CHAMADO")),"INSIRA N° SERIE")</f>
        <v>0</v>
      </c>
      <c r="G221" s="98">
        <v>20210630</v>
      </c>
      <c r="H221" s="35" t="str">
        <f t="shared" si="18"/>
        <v>JUN</v>
      </c>
      <c r="I221" s="89">
        <v>44361</v>
      </c>
      <c r="J221" s="90">
        <v>44361</v>
      </c>
      <c r="K221" s="91">
        <v>44361</v>
      </c>
      <c r="L221" s="92" t="s">
        <v>11</v>
      </c>
      <c r="M221" s="92" t="s">
        <v>164</v>
      </c>
      <c r="N221" s="92" t="s">
        <v>42</v>
      </c>
      <c r="O221" s="42" t="str">
        <f>IFERROR(INDEX([1]GARANTIA!$E:$E,MATCH(A221,[1]GARANTIA!$C:$C,0)),"INSIRA N° SERIE")</f>
        <v>MTI - 1.000GTS</v>
      </c>
      <c r="P221" s="101" t="s">
        <v>472</v>
      </c>
      <c r="Q221" s="94" t="s">
        <v>144</v>
      </c>
      <c r="R221" s="93" t="s">
        <v>469</v>
      </c>
      <c r="S221" s="44" t="s">
        <v>638</v>
      </c>
      <c r="T221" s="95" t="s">
        <v>144</v>
      </c>
      <c r="U221" s="96"/>
      <c r="V221" s="41" t="str">
        <f>IFERROR(INDEX([1]GARANTIA!$G:$G,MATCH(A221,[1]GARANTIA!$C:$C,0)),"INSIRA N° SERIE")</f>
        <v>CUNHA</v>
      </c>
      <c r="W221" s="41" t="str">
        <f>IFERROR(INDEX([1]GARANTIA!$H:$H,MATCH(A221,[1]GARANTIA!$C:$C,0)),"INSIRA N° SERIE")</f>
        <v>SP</v>
      </c>
      <c r="X221" s="41" t="str">
        <f>IFERROR(INDEX([1]GARANTIA!$F:$F,MATCH(A221,[1]GARANTIA!$C:$C,0)),"INSIRA N° SERIE")</f>
        <v>SUDESTE</v>
      </c>
      <c r="Y221" s="46">
        <f t="shared" si="20"/>
        <v>0</v>
      </c>
      <c r="Z221" s="47">
        <f t="shared" si="19"/>
        <v>0</v>
      </c>
      <c r="AA221" s="46">
        <f t="shared" si="21"/>
        <v>0</v>
      </c>
      <c r="AB221" s="46" t="str" cm="1">
        <f t="array" ref="AB221">IFERROR(_xlfn.IFS(L221="FINALIZADO PRESENCIAL",IF(AA221&gt;10,"FORA","DENTRO"),L221="FINALIZADO REMOTO",IF(AA221&gt;5,"FORA","DENTRO")),"-")</f>
        <v>DENTRO</v>
      </c>
      <c r="AC221" s="41" t="s">
        <v>1671</v>
      </c>
      <c r="AD221" s="41" t="s">
        <v>1671</v>
      </c>
      <c r="AE221" s="48" cm="1">
        <f t="array" ref="AE221">SUMPRODUCT(IFERROR(('[2]PEÇAS GARANTIA'!$A$3:$A$5993=G221)*('[2]PEÇAS GARANTIA'!$A$3:$A$5993&lt;&gt;"")*('[2]PEÇAS GARANTIA'!$R$3:$R$5993),0))</f>
        <v>150</v>
      </c>
      <c r="AF221" s="178">
        <v>0</v>
      </c>
    </row>
    <row r="222" spans="1:32" ht="30" customHeight="1" x14ac:dyDescent="0.25">
      <c r="A222" s="82">
        <v>82866</v>
      </c>
      <c r="B222" s="41" t="str">
        <f>IFERROR(INDEX([1]GARANTIA!$B:$B,MATCH(A222,[1]GARANTIA!$C:$C,0)),"INSIRA N° SERIE")</f>
        <v>TESTE 309</v>
      </c>
      <c r="C222" s="33">
        <f>IFERROR(INDEX([1]GARANTIA!$J:$J,MATCH(A222,[1]GARANTIA!$C:$C,0)),"INSIRA N° SERIE")</f>
        <v>44158</v>
      </c>
      <c r="D222" s="33" t="str">
        <f>IFERROR(IF(INDEX([1]GARANTIA!$M:$M,MATCH(A222,[1]GARANTIA!$C:$C,0))&gt;=I222,"DENTRO DA GARANTIA","FORA DE GARANTIA"),"INSIRA N° SERIE")</f>
        <v>DENTRO DA GARANTIA</v>
      </c>
      <c r="E222" s="148"/>
      <c r="F222" s="109">
        <f>IFERROR(MAX(0,IF(I222-(INDEX([1]GARANTIA!$J:$J,MATCH(A222,[1]GARANTIA!$C:$C,0)))&gt;=0,I222-(INDEX([1]GARANTIA!$L:$L,MATCH(A222,[1]GARANTIA!$C:$C,0))),"INSIRA DATA CHAMADO")),"INSIRA N° SERIE")</f>
        <v>108</v>
      </c>
      <c r="G222" s="98">
        <v>20210631</v>
      </c>
      <c r="H222" s="35" t="str">
        <f t="shared" si="18"/>
        <v>JUN</v>
      </c>
      <c r="I222" s="89">
        <v>44368</v>
      </c>
      <c r="J222" s="90">
        <v>44368</v>
      </c>
      <c r="K222" s="91">
        <v>44370</v>
      </c>
      <c r="L222" s="92" t="s">
        <v>11</v>
      </c>
      <c r="M222" s="92" t="s">
        <v>8</v>
      </c>
      <c r="N222" s="92" t="s">
        <v>40</v>
      </c>
      <c r="O222" s="42" t="str">
        <f>IFERROR(INDEX([1]GARANTIA!$E:$E,MATCH(A222,[1]GARANTIA!$C:$C,0)),"INSIRA N° SERIE")</f>
        <v>MTI - 1.000GTS</v>
      </c>
      <c r="P222" s="101" t="s">
        <v>473</v>
      </c>
      <c r="Q222" s="94" t="s">
        <v>328</v>
      </c>
      <c r="R222" s="93" t="s">
        <v>475</v>
      </c>
      <c r="S222" s="95" t="s">
        <v>101</v>
      </c>
      <c r="T222" s="95" t="s">
        <v>142</v>
      </c>
      <c r="U222" s="96"/>
      <c r="V222" s="41" t="str">
        <f>IFERROR(INDEX([1]GARANTIA!$G:$G,MATCH(A222,[1]GARANTIA!$C:$C,0)),"INSIRA N° SERIE")</f>
        <v>SÃO JOSE DEL REI</v>
      </c>
      <c r="W222" s="41" t="str">
        <f>IFERROR(INDEX([1]GARANTIA!$H:$H,MATCH(A222,[1]GARANTIA!$C:$C,0)),"INSIRA N° SERIE")</f>
        <v>MG</v>
      </c>
      <c r="X222" s="41" t="str">
        <f>IFERROR(INDEX([1]GARANTIA!$F:$F,MATCH(A222,[1]GARANTIA!$C:$C,0)),"INSIRA N° SERIE")</f>
        <v>SUDESTE</v>
      </c>
      <c r="Y222" s="46">
        <f t="shared" si="20"/>
        <v>0</v>
      </c>
      <c r="Z222" s="47">
        <f t="shared" si="19"/>
        <v>2</v>
      </c>
      <c r="AA222" s="46">
        <f t="shared" si="21"/>
        <v>2</v>
      </c>
      <c r="AB222" s="46" t="str" cm="1">
        <f t="array" ref="AB222">IFERROR(_xlfn.IFS(L222="FINALIZADO PRESENCIAL",IF(AA222&gt;10,"FORA","DENTRO"),L222="FINALIZADO REMOTO",IF(AA222&gt;5,"FORA","DENTRO")),"-")</f>
        <v>DENTRO</v>
      </c>
      <c r="AC222" s="41" t="s">
        <v>1671</v>
      </c>
      <c r="AD222" s="41" t="s">
        <v>1671</v>
      </c>
      <c r="AE222" s="48" cm="1">
        <f t="array" ref="AE222">SUMPRODUCT(IFERROR(('[2]PEÇAS GARANTIA'!$A$3:$A$5993=G222)*('[2]PEÇAS GARANTIA'!$A$3:$A$5993&lt;&gt;"")*('[2]PEÇAS GARANTIA'!$R$3:$R$5993),0))</f>
        <v>4117.8500000000004</v>
      </c>
      <c r="AF222" s="178">
        <v>1475.7763636364</v>
      </c>
    </row>
    <row r="223" spans="1:32" ht="71.25" customHeight="1" x14ac:dyDescent="0.25">
      <c r="A223" s="82">
        <v>69918</v>
      </c>
      <c r="B223" s="41" t="str">
        <f>IFERROR(INDEX([1]GARANTIA!$B:$B,MATCH(A223,[1]GARANTIA!$C:$C,0)),"INSIRA N° SERIE")</f>
        <v>TESTE 247</v>
      </c>
      <c r="C223" s="33">
        <f>IFERROR(INDEX([1]GARANTIA!$J:$J,MATCH(A223,[1]GARANTIA!$C:$C,0)),"INSIRA N° SERIE")</f>
        <v>44196</v>
      </c>
      <c r="D223" s="33" t="str">
        <f>IFERROR(IF(INDEX([1]GARANTIA!$M:$M,MATCH(A223,[1]GARANTIA!$C:$C,0))&gt;=I223,"DENTRO DA GARANTIA","FORA DE GARANTIA"),"INSIRA N° SERIE")</f>
        <v>DENTRO DA GARANTIA</v>
      </c>
      <c r="E223" s="148"/>
      <c r="F223" s="109">
        <f>IFERROR(MAX(0,IF(I223-(INDEX([1]GARANTIA!$J:$J,MATCH(A223,[1]GARANTIA!$C:$C,0)))&gt;=0,I223-(INDEX([1]GARANTIA!$L:$L,MATCH(A223,[1]GARANTIA!$C:$C,0))),"INSIRA DATA CHAMADO")),"INSIRA N° SERIE")</f>
        <v>18</v>
      </c>
      <c r="G223" s="98">
        <v>20210632</v>
      </c>
      <c r="H223" s="35" t="str">
        <f t="shared" si="18"/>
        <v>JUN</v>
      </c>
      <c r="I223" s="89">
        <v>44369</v>
      </c>
      <c r="J223" s="90">
        <v>44369</v>
      </c>
      <c r="K223" s="91">
        <v>44374</v>
      </c>
      <c r="L223" s="92" t="s">
        <v>11</v>
      </c>
      <c r="M223" s="92" t="s">
        <v>8</v>
      </c>
      <c r="N223" s="92" t="s">
        <v>56</v>
      </c>
      <c r="O223" s="42" t="str">
        <f>IFERROR(INDEX([1]GARANTIA!$E:$E,MATCH(A223,[1]GARANTIA!$C:$C,0)),"INSIRA N° SERIE")</f>
        <v>MTI - 1.000GTS</v>
      </c>
      <c r="P223" s="101" t="s">
        <v>478</v>
      </c>
      <c r="Q223" s="94" t="s">
        <v>333</v>
      </c>
      <c r="R223" s="93" t="s">
        <v>482</v>
      </c>
      <c r="S223" s="44" t="s">
        <v>638</v>
      </c>
      <c r="T223" s="95" t="s">
        <v>144</v>
      </c>
      <c r="U223" s="96"/>
      <c r="V223" s="41" t="str">
        <f>IFERROR(INDEX([1]GARANTIA!$G:$G,MATCH(A223,[1]GARANTIA!$C:$C,0)),"INSIRA N° SERIE")</f>
        <v>DIAMANTINA</v>
      </c>
      <c r="W223" s="41" t="str">
        <f>IFERROR(INDEX([1]GARANTIA!$H:$H,MATCH(A223,[1]GARANTIA!$C:$C,0)),"INSIRA N° SERIE")</f>
        <v>MG</v>
      </c>
      <c r="X223" s="41" t="str">
        <f>IFERROR(INDEX([1]GARANTIA!$F:$F,MATCH(A223,[1]GARANTIA!$C:$C,0)),"INSIRA N° SERIE")</f>
        <v>SUDESTE</v>
      </c>
      <c r="Y223" s="46">
        <f t="shared" si="20"/>
        <v>0</v>
      </c>
      <c r="Z223" s="47">
        <f t="shared" si="19"/>
        <v>5</v>
      </c>
      <c r="AA223" s="46">
        <f t="shared" si="21"/>
        <v>5</v>
      </c>
      <c r="AB223" s="46" t="str" cm="1">
        <f t="array" ref="AB223">IFERROR(_xlfn.IFS(L223="FINALIZADO PRESENCIAL",IF(AA223&gt;10,"FORA","DENTRO"),L223="FINALIZADO REMOTO",IF(AA223&gt;5,"FORA","DENTRO")),"-")</f>
        <v>DENTRO</v>
      </c>
      <c r="AC223" s="41" t="s">
        <v>1671</v>
      </c>
      <c r="AD223" s="41" t="s">
        <v>1671</v>
      </c>
      <c r="AE223" s="48" cm="1">
        <f t="array" ref="AE223">SUMPRODUCT(IFERROR(('[2]PEÇAS GARANTIA'!$A$3:$A$5993=G223)*('[2]PEÇAS GARANTIA'!$A$3:$A$5993&lt;&gt;"")*('[2]PEÇAS GARANTIA'!$R$3:$R$5993),0))</f>
        <v>370</v>
      </c>
      <c r="AF223" s="178">
        <v>1821.2863636364</v>
      </c>
    </row>
    <row r="224" spans="1:32" ht="30" customHeight="1" x14ac:dyDescent="0.25">
      <c r="A224" s="82">
        <v>31493</v>
      </c>
      <c r="B224" s="41" t="str">
        <f>IFERROR(INDEX([1]GARANTIA!$B:$B,MATCH(A224,[1]GARANTIA!$C:$C,0)),"INSIRA N° SERIE")</f>
        <v>TESTE 290</v>
      </c>
      <c r="C224" s="33">
        <f>IFERROR(INDEX([1]GARANTIA!$J:$J,MATCH(A224,[1]GARANTIA!$C:$C,0)),"INSIRA N° SERIE")</f>
        <v>43598</v>
      </c>
      <c r="D224" s="33" t="str">
        <f>IFERROR(IF(INDEX([1]GARANTIA!$M:$M,MATCH(A224,[1]GARANTIA!$C:$C,0))&gt;=I224,"DENTRO DA GARANTIA","FORA DE GARANTIA"),"INSIRA N° SERIE")</f>
        <v>FORA DE GARANTIA</v>
      </c>
      <c r="E224" s="148"/>
      <c r="F224" s="109">
        <f>IFERROR(MAX(0,IF(I224-(INDEX([1]GARANTIA!$J:$J,MATCH(A224,[1]GARANTIA!$C:$C,0)))&gt;=0,I224-(INDEX([1]GARANTIA!$L:$L,MATCH(A224,[1]GARANTIA!$C:$C,0))),"INSIRA DATA CHAMADO")),"INSIRA N° SERIE")</f>
        <v>559</v>
      </c>
      <c r="G224" s="98">
        <v>20210633</v>
      </c>
      <c r="H224" s="35" t="str">
        <f t="shared" si="18"/>
        <v>JUN</v>
      </c>
      <c r="I224" s="89">
        <v>44369</v>
      </c>
      <c r="J224" s="90">
        <v>44369</v>
      </c>
      <c r="K224" s="91">
        <v>44369</v>
      </c>
      <c r="L224" s="92" t="s">
        <v>23</v>
      </c>
      <c r="M224" s="92" t="s">
        <v>8</v>
      </c>
      <c r="N224" s="92" t="s">
        <v>31</v>
      </c>
      <c r="O224" s="42" t="str">
        <f>IFERROR(INDEX([1]GARANTIA!$E:$E,MATCH(A224,[1]GARANTIA!$C:$C,0)),"INSIRA N° SERIE")</f>
        <v>MTI - 4.000GTS</v>
      </c>
      <c r="P224" s="101" t="s">
        <v>476</v>
      </c>
      <c r="Q224" s="94" t="s">
        <v>327</v>
      </c>
      <c r="R224" s="93" t="s">
        <v>454</v>
      </c>
      <c r="S224" s="95" t="s">
        <v>325</v>
      </c>
      <c r="T224" s="95" t="s">
        <v>640</v>
      </c>
      <c r="U224" s="96"/>
      <c r="V224" s="41" t="str">
        <f>IFERROR(INDEX([1]GARANTIA!$G:$G,MATCH(A224,[1]GARANTIA!$C:$C,0)),"INSIRA N° SERIE")</f>
        <v>LEME</v>
      </c>
      <c r="W224" s="41" t="str">
        <f>IFERROR(INDEX([1]GARANTIA!$H:$H,MATCH(A224,[1]GARANTIA!$C:$C,0)),"INSIRA N° SERIE")</f>
        <v>SP</v>
      </c>
      <c r="X224" s="41" t="str">
        <f>IFERROR(INDEX([1]GARANTIA!$F:$F,MATCH(A224,[1]GARANTIA!$C:$C,0)),"INSIRA N° SERIE")</f>
        <v>SUDESTE</v>
      </c>
      <c r="Y224" s="46">
        <f t="shared" si="20"/>
        <v>0</v>
      </c>
      <c r="Z224" s="47">
        <f t="shared" si="19"/>
        <v>0</v>
      </c>
      <c r="AA224" s="46">
        <f t="shared" si="21"/>
        <v>0</v>
      </c>
      <c r="AB224" s="46" t="str" cm="1">
        <f t="array" ref="AB224">IFERROR(_xlfn.IFS(L224="FINALIZADO PRESENCIAL",IF(AA224&gt;10,"FORA","DENTRO"),L224="FINALIZADO REMOTO",IF(AA224&gt;5,"FORA","DENTRO")),"-")</f>
        <v>DENTRO</v>
      </c>
      <c r="AC224" s="41" t="s">
        <v>1671</v>
      </c>
      <c r="AD224" s="41" t="s">
        <v>1671</v>
      </c>
      <c r="AE224" s="48" cm="1">
        <f t="array" ref="AE224">SUMPRODUCT(IFERROR(('[2]PEÇAS GARANTIA'!$A$3:$A$5993=G224)*('[2]PEÇAS GARANTIA'!$A$3:$A$5993&lt;&gt;"")*('[2]PEÇAS GARANTIA'!$R$3:$R$5993),0))</f>
        <v>0</v>
      </c>
      <c r="AF224" s="178">
        <v>0</v>
      </c>
    </row>
    <row r="225" spans="1:32" ht="55.5" customHeight="1" x14ac:dyDescent="0.25">
      <c r="A225" s="82">
        <v>73508</v>
      </c>
      <c r="B225" s="41" t="str">
        <f>IFERROR(INDEX([1]GARANTIA!$B:$B,MATCH(A225,[1]GARANTIA!$C:$C,0)),"INSIRA N° SERIE")</f>
        <v>TESTE 327</v>
      </c>
      <c r="C225" s="33">
        <f>IFERROR(INDEX([1]GARANTIA!$J:$J,MATCH(A225,[1]GARANTIA!$C:$C,0)),"INSIRA N° SERIE")</f>
        <v>44104</v>
      </c>
      <c r="D225" s="33" t="str">
        <f>IFERROR(IF(INDEX([1]GARANTIA!$M:$M,MATCH(A225,[1]GARANTIA!$C:$C,0))&gt;=I225,"DENTRO DA GARANTIA","FORA DE GARANTIA"),"INSIRA N° SERIE")</f>
        <v>DENTRO DA GARANTIA</v>
      </c>
      <c r="E225" s="148"/>
      <c r="F225" s="109">
        <f>IFERROR(MAX(0,IF(I225-(INDEX([1]GARANTIA!$J:$J,MATCH(A225,[1]GARANTIA!$C:$C,0)))&gt;=0,I225-(INDEX([1]GARANTIA!$L:$L,MATCH(A225,[1]GARANTIA!$C:$C,0))),"INSIRA DATA CHAMADO")),"INSIRA N° SERIE")</f>
        <v>165</v>
      </c>
      <c r="G225" s="98">
        <v>20210634</v>
      </c>
      <c r="H225" s="35" t="str">
        <f t="shared" si="18"/>
        <v>JUN</v>
      </c>
      <c r="I225" s="89">
        <v>44370</v>
      </c>
      <c r="J225" s="90">
        <v>44370</v>
      </c>
      <c r="K225" s="91">
        <v>44372</v>
      </c>
      <c r="L225" s="92" t="s">
        <v>11</v>
      </c>
      <c r="M225" s="92" t="s">
        <v>8</v>
      </c>
      <c r="N225" s="42" t="s">
        <v>28</v>
      </c>
      <c r="O225" s="42" t="str">
        <f>IFERROR(INDEX([1]GARANTIA!$E:$E,MATCH(A225,[1]GARANTIA!$C:$C,0)),"INSIRA N° SERIE")</f>
        <v>MTI - 4.000GES</v>
      </c>
      <c r="P225" s="101" t="s">
        <v>477</v>
      </c>
      <c r="Q225" s="94" t="s">
        <v>337</v>
      </c>
      <c r="R225" s="93" t="s">
        <v>481</v>
      </c>
      <c r="S225" s="95" t="s">
        <v>325</v>
      </c>
      <c r="T225" s="95" t="s">
        <v>640</v>
      </c>
      <c r="U225" s="96"/>
      <c r="V225" s="41" t="str">
        <f>IFERROR(INDEX([1]GARANTIA!$G:$G,MATCH(A225,[1]GARANTIA!$C:$C,0)),"INSIRA N° SERIE")</f>
        <v>JARU</v>
      </c>
      <c r="W225" s="41" t="str">
        <f>IFERROR(INDEX([1]GARANTIA!$H:$H,MATCH(A225,[1]GARANTIA!$C:$C,0)),"INSIRA N° SERIE")</f>
        <v>RO</v>
      </c>
      <c r="X225" s="41" t="str">
        <f>IFERROR(INDEX([1]GARANTIA!$F:$F,MATCH(A225,[1]GARANTIA!$C:$C,0)),"INSIRA N° SERIE")</f>
        <v>NORTE</v>
      </c>
      <c r="Y225" s="46">
        <f t="shared" si="20"/>
        <v>0</v>
      </c>
      <c r="Z225" s="47">
        <f t="shared" si="19"/>
        <v>2</v>
      </c>
      <c r="AA225" s="46">
        <f t="shared" si="21"/>
        <v>2</v>
      </c>
      <c r="AB225" s="46" t="str" cm="1">
        <f t="array" ref="AB225">IFERROR(_xlfn.IFS(L225="FINALIZADO PRESENCIAL",IF(AA225&gt;10,"FORA","DENTRO"),L225="FINALIZADO REMOTO",IF(AA225&gt;5,"FORA","DENTRO")),"-")</f>
        <v>DENTRO</v>
      </c>
      <c r="AC225" s="41" t="s">
        <v>1671</v>
      </c>
      <c r="AD225" s="41" t="s">
        <v>1671</v>
      </c>
      <c r="AE225" s="48" cm="1">
        <f t="array" ref="AE225">SUMPRODUCT(IFERROR(('[2]PEÇAS GARANTIA'!$A$3:$A$5993=G225)*('[2]PEÇAS GARANTIA'!$A$3:$A$5993&lt;&gt;"")*('[2]PEÇAS GARANTIA'!$R$3:$R$5993),0))</f>
        <v>1823.6399999999999</v>
      </c>
      <c r="AF225" s="178">
        <v>0</v>
      </c>
    </row>
    <row r="226" spans="1:32" ht="48" customHeight="1" x14ac:dyDescent="0.25">
      <c r="A226" s="82">
        <v>49643</v>
      </c>
      <c r="B226" s="41" t="str">
        <f>IFERROR(INDEX([1]GARANTIA!$B:$B,MATCH(A226,[1]GARANTIA!$C:$C,0)),"INSIRA N° SERIE")</f>
        <v>TESTE 337</v>
      </c>
      <c r="C226" s="33">
        <f>IFERROR(INDEX([1]GARANTIA!$J:$J,MATCH(A226,[1]GARANTIA!$C:$C,0)),"INSIRA N° SERIE")</f>
        <v>43981</v>
      </c>
      <c r="D226" s="33" t="str">
        <f>IFERROR(IF(INDEX([1]GARANTIA!$M:$M,MATCH(A226,[1]GARANTIA!$C:$C,0))&gt;=I226,"DENTRO DA GARANTIA","FORA DE GARANTIA"),"INSIRA N° SERIE")</f>
        <v>DENTRO DA GARANTIA</v>
      </c>
      <c r="E226" s="148"/>
      <c r="F226" s="109">
        <f>IFERROR(MAX(0,IF(I226-(INDEX([1]GARANTIA!$J:$J,MATCH(A226,[1]GARANTIA!$C:$C,0)))&gt;=0,I226-(INDEX([1]GARANTIA!$L:$L,MATCH(A226,[1]GARANTIA!$C:$C,0))),"INSIRA DATA CHAMADO")),"INSIRA N° SERIE")</f>
        <v>25</v>
      </c>
      <c r="G226" s="98">
        <v>20210635</v>
      </c>
      <c r="H226" s="35" t="str">
        <f t="shared" si="18"/>
        <v>JUN</v>
      </c>
      <c r="I226" s="89">
        <v>44372</v>
      </c>
      <c r="J226" s="90">
        <v>44372</v>
      </c>
      <c r="K226" s="91">
        <v>44373</v>
      </c>
      <c r="L226" s="92" t="s">
        <v>11</v>
      </c>
      <c r="M226" s="92" t="s">
        <v>8</v>
      </c>
      <c r="N226" s="92" t="s">
        <v>28</v>
      </c>
      <c r="O226" s="42" t="str">
        <f>IFERROR(INDEX([1]GARANTIA!$E:$E,MATCH(A226,[1]GARANTIA!$C:$C,0)),"INSIRA N° SERIE")</f>
        <v>MTI - 2.500GTS</v>
      </c>
      <c r="P226" s="101" t="s">
        <v>484</v>
      </c>
      <c r="Q226" s="94" t="s">
        <v>328</v>
      </c>
      <c r="R226" s="93" t="s">
        <v>497</v>
      </c>
      <c r="S226" s="95" t="s">
        <v>101</v>
      </c>
      <c r="T226" s="95" t="s">
        <v>142</v>
      </c>
      <c r="U226" s="96"/>
      <c r="V226" s="41" t="str">
        <f>IFERROR(INDEX([1]GARANTIA!$G:$G,MATCH(A226,[1]GARANTIA!$C:$C,0)),"INSIRA N° SERIE")</f>
        <v xml:space="preserve">PORTO VELHO </v>
      </c>
      <c r="W226" s="41" t="str">
        <f>IFERROR(INDEX([1]GARANTIA!$H:$H,MATCH(A226,[1]GARANTIA!$C:$C,0)),"INSIRA N° SERIE")</f>
        <v xml:space="preserve">RO </v>
      </c>
      <c r="X226" s="41" t="str">
        <f>IFERROR(INDEX([1]GARANTIA!$F:$F,MATCH(A226,[1]GARANTIA!$C:$C,0)),"INSIRA N° SERIE")</f>
        <v>NORTE</v>
      </c>
      <c r="Y226" s="46">
        <f t="shared" si="20"/>
        <v>0</v>
      </c>
      <c r="Z226" s="47">
        <f t="shared" si="19"/>
        <v>1</v>
      </c>
      <c r="AA226" s="46">
        <f t="shared" si="21"/>
        <v>1</v>
      </c>
      <c r="AB226" s="46" t="str" cm="1">
        <f t="array" ref="AB226">IFERROR(_xlfn.IFS(L226="FINALIZADO PRESENCIAL",IF(AA226&gt;10,"FORA","DENTRO"),L226="FINALIZADO REMOTO",IF(AA226&gt;5,"FORA","DENTRO")),"-")</f>
        <v>DENTRO</v>
      </c>
      <c r="AC226" s="41" t="s">
        <v>1671</v>
      </c>
      <c r="AD226" s="41" t="s">
        <v>1671</v>
      </c>
      <c r="AE226" s="48" cm="1">
        <f t="array" ref="AE226">SUMPRODUCT(IFERROR(('[2]PEÇAS GARANTIA'!$A$3:$A$5993=G226)*('[2]PEÇAS GARANTIA'!$A$3:$A$5993&lt;&gt;"")*('[2]PEÇAS GARANTIA'!$R$3:$R$5993),0))</f>
        <v>0</v>
      </c>
      <c r="AF226" s="178">
        <v>0</v>
      </c>
    </row>
    <row r="227" spans="1:32" s="135" customFormat="1" ht="45" customHeight="1" x14ac:dyDescent="0.25">
      <c r="A227" s="117">
        <v>9993</v>
      </c>
      <c r="B227" s="118" t="str">
        <f>IFERROR(INDEX([1]GARANTIA!$B:$B,MATCH(A227,[1]GARANTIA!$C:$C,0)),"INSIRA N° SERIE")</f>
        <v>TESTE 121</v>
      </c>
      <c r="C227" s="119">
        <f>IFERROR(INDEX([1]GARANTIA!$J:$J,MATCH(A227,[1]GARANTIA!$C:$C,0)),"INSIRA N° SERIE")</f>
        <v>42979</v>
      </c>
      <c r="D227" s="119" t="str">
        <f>IFERROR(IF(INDEX([1]GARANTIA!$M:$M,MATCH(A227,[1]GARANTIA!$C:$C,0))&gt;=I227,"DENTRO DA GARANTIA","FORA DE GARANTIA"),"INSIRA N° SERIE")</f>
        <v>DENTRO DA GARANTIA</v>
      </c>
      <c r="E227" s="121"/>
      <c r="F227" s="127">
        <f>IFERROR(MAX(0,IF(I227-(INDEX([1]GARANTIA!$J:$J,MATCH(A227,[1]GARANTIA!$C:$C,0)))&gt;=0,I227-(INDEX([1]GARANTIA!$L:$L,MATCH(A227,[1]GARANTIA!$C:$C,0))),"INSIRA DATA CHAMADO")),"INSIRA N° SERIE")</f>
        <v>297</v>
      </c>
      <c r="G227" s="137">
        <v>20210636</v>
      </c>
      <c r="H227" s="35" t="str">
        <f t="shared" si="18"/>
        <v>JUN</v>
      </c>
      <c r="I227" s="138">
        <v>44371</v>
      </c>
      <c r="J227" s="138">
        <v>44372</v>
      </c>
      <c r="K227" s="138">
        <v>44372</v>
      </c>
      <c r="L227" s="103" t="s">
        <v>11</v>
      </c>
      <c r="M227" s="103" t="s">
        <v>8</v>
      </c>
      <c r="N227" s="103" t="s">
        <v>42</v>
      </c>
      <c r="O227" s="118" t="str">
        <f>IFERROR(INDEX([1]GARANTIA!$E:$E,MATCH(A227,[1]GARANTIA!$C:$C,0)),"INSIRA N° SERIE")</f>
        <v>MAC 32.000 GT</v>
      </c>
      <c r="P227" s="139" t="s">
        <v>485</v>
      </c>
      <c r="Q227" s="103" t="s">
        <v>99</v>
      </c>
      <c r="R227" s="140" t="s">
        <v>486</v>
      </c>
      <c r="S227" s="103" t="s">
        <v>99</v>
      </c>
      <c r="T227" s="103" t="s">
        <v>360</v>
      </c>
      <c r="U227" s="141"/>
      <c r="V227" s="118" t="str">
        <f>IFERROR(INDEX([1]GARANTIA!$G:$G,MATCH(A227,[1]GARANTIA!$C:$C,0)),"INSIRA N° SERIE")</f>
        <v>SÃO PAULO</v>
      </c>
      <c r="W227" s="118" t="str">
        <f>IFERROR(INDEX([1]GARANTIA!$H:$H,MATCH(A227,[1]GARANTIA!$C:$C,0)),"INSIRA N° SERIE")</f>
        <v>SP</v>
      </c>
      <c r="X227" s="118" t="str">
        <f>IFERROR(INDEX([1]GARANTIA!$F:$F,MATCH(A227,[1]GARANTIA!$C:$C,0)),"INSIRA N° SERIE")</f>
        <v>SUDESTE</v>
      </c>
      <c r="Y227" s="118">
        <f t="shared" si="20"/>
        <v>1</v>
      </c>
      <c r="Z227" s="125">
        <f t="shared" si="19"/>
        <v>0</v>
      </c>
      <c r="AA227" s="118">
        <f t="shared" si="21"/>
        <v>1</v>
      </c>
      <c r="AB227" s="46" t="str" cm="1">
        <f t="array" ref="AB227">IFERROR(_xlfn.IFS(L227="FINALIZADO PRESENCIAL",IF(AA227&gt;10,"FORA","DENTRO"),L227="FINALIZADO REMOTO",IF(AA227&gt;5,"FORA","DENTRO")),"-")</f>
        <v>DENTRO</v>
      </c>
      <c r="AC227" s="41" t="s">
        <v>1671</v>
      </c>
      <c r="AD227" s="41" t="s">
        <v>1671</v>
      </c>
      <c r="AE227" s="48" cm="1">
        <f t="array" ref="AE227">SUMPRODUCT(IFERROR(('[2]PEÇAS GARANTIA'!$A$3:$A$5993=G227)*('[2]PEÇAS GARANTIA'!$A$3:$A$5993&lt;&gt;"")*('[2]PEÇAS GARANTIA'!$R$3:$R$5993),0))</f>
        <v>0</v>
      </c>
      <c r="AF227" s="178">
        <v>0</v>
      </c>
    </row>
    <row r="228" spans="1:32" ht="30" customHeight="1" x14ac:dyDescent="0.25">
      <c r="A228" s="82">
        <v>38373</v>
      </c>
      <c r="B228" s="41" t="str">
        <f>IFERROR(INDEX([1]GARANTIA!$B:$B,MATCH(A228,[1]GARANTIA!$C:$C,0)),"INSIRA N° SERIE")</f>
        <v>TESTE 40</v>
      </c>
      <c r="C228" s="33">
        <f>IFERROR(INDEX([1]GARANTIA!$J:$J,MATCH(A228,[1]GARANTIA!$C:$C,0)),"INSIRA N° SERIE")</f>
        <v>44165</v>
      </c>
      <c r="D228" s="33" t="str">
        <f>IFERROR(IF(INDEX([1]GARANTIA!$M:$M,MATCH(A228,[1]GARANTIA!$C:$C,0))&gt;=I228,"DENTRO DA GARANTIA","FORA DE GARANTIA"),"INSIRA N° SERIE")</f>
        <v>DENTRO DA GARANTIA</v>
      </c>
      <c r="E228" s="148"/>
      <c r="F228" s="109">
        <f>IFERROR(MAX(0,IF(I228-(INDEX([1]GARANTIA!$J:$J,MATCH(A228,[1]GARANTIA!$C:$C,0)))&gt;=0,I228-(INDEX([1]GARANTIA!$L:$L,MATCH(A228,[1]GARANTIA!$C:$C,0))),"INSIRA DATA CHAMADO")),"INSIRA N° SERIE")</f>
        <v>76</v>
      </c>
      <c r="G228" s="98">
        <v>20210637</v>
      </c>
      <c r="H228" s="35" t="str">
        <f t="shared" si="18"/>
        <v>JUN</v>
      </c>
      <c r="I228" s="89">
        <v>44375</v>
      </c>
      <c r="J228" s="90">
        <v>44375</v>
      </c>
      <c r="K228" s="91">
        <v>44376</v>
      </c>
      <c r="L228" s="92" t="s">
        <v>23</v>
      </c>
      <c r="M228" s="92" t="s">
        <v>8</v>
      </c>
      <c r="N228" s="92" t="s">
        <v>76</v>
      </c>
      <c r="O228" s="42" t="str">
        <f>IFERROR(INDEX([1]GARANTIA!$E:$E,MATCH(A228,[1]GARANTIA!$C:$C,0)),"INSIRA N° SERIE")</f>
        <v>MTI - 1.000GTS</v>
      </c>
      <c r="P228" s="101" t="s">
        <v>374</v>
      </c>
      <c r="Q228" s="94" t="s">
        <v>38</v>
      </c>
      <c r="R228" s="93" t="s">
        <v>487</v>
      </c>
      <c r="S228" s="95" t="s">
        <v>101</v>
      </c>
      <c r="T228" s="95" t="s">
        <v>296</v>
      </c>
      <c r="U228" s="96"/>
      <c r="V228" s="41" t="str">
        <f>IFERROR(INDEX([1]GARANTIA!$G:$G,MATCH(A228,[1]GARANTIA!$C:$C,0)),"INSIRA N° SERIE")</f>
        <v>ITABERAÍ</v>
      </c>
      <c r="W228" s="41" t="str">
        <f>IFERROR(INDEX([1]GARANTIA!$H:$H,MATCH(A228,[1]GARANTIA!$C:$C,0)),"INSIRA N° SERIE")</f>
        <v>GO</v>
      </c>
      <c r="X228" s="41" t="str">
        <f>IFERROR(INDEX([1]GARANTIA!$F:$F,MATCH(A228,[1]GARANTIA!$C:$C,0)),"INSIRA N° SERIE")</f>
        <v>CENTROESTE</v>
      </c>
      <c r="Y228" s="46">
        <f t="shared" si="20"/>
        <v>0</v>
      </c>
      <c r="Z228" s="47">
        <f t="shared" si="19"/>
        <v>1</v>
      </c>
      <c r="AA228" s="46">
        <f t="shared" si="21"/>
        <v>1</v>
      </c>
      <c r="AB228" s="46" t="str" cm="1">
        <f t="array" ref="AB228">IFERROR(_xlfn.IFS(L228="FINALIZADO PRESENCIAL",IF(AA228&gt;10,"FORA","DENTRO"),L228="FINALIZADO REMOTO",IF(AA228&gt;5,"FORA","DENTRO")),"-")</f>
        <v>DENTRO</v>
      </c>
      <c r="AC228" s="41" t="s">
        <v>1671</v>
      </c>
      <c r="AD228" s="41" t="s">
        <v>1671</v>
      </c>
      <c r="AE228" s="48" cm="1">
        <f t="array" ref="AE228">SUMPRODUCT(IFERROR(('[2]PEÇAS GARANTIA'!$A$3:$A$5993=G228)*('[2]PEÇAS GARANTIA'!$A$3:$A$5993&lt;&gt;"")*('[2]PEÇAS GARANTIA'!$R$3:$R$5993),0))</f>
        <v>0</v>
      </c>
      <c r="AF228" s="178">
        <v>0</v>
      </c>
    </row>
    <row r="229" spans="1:32" ht="15" x14ac:dyDescent="0.25">
      <c r="A229" s="82">
        <v>79737</v>
      </c>
      <c r="B229" s="41" t="str">
        <f>IFERROR(INDEX([1]GARANTIA!$B:$B,MATCH(A229,[1]GARANTIA!$C:$C,0)),"INSIRA N° SERIE")</f>
        <v>TESTE 208</v>
      </c>
      <c r="C229" s="33">
        <f>IFERROR(INDEX([1]GARANTIA!$J:$J,MATCH(A229,[1]GARANTIA!$C:$C,0)),"INSIRA N° SERIE")</f>
        <v>44183</v>
      </c>
      <c r="D229" s="33" t="str">
        <f>IFERROR(IF(INDEX([1]GARANTIA!$M:$M,MATCH(A229,[1]GARANTIA!$C:$C,0))&gt;=I229,"DENTRO DA GARANTIA","FORA DE GARANTIA"),"INSIRA N° SERIE")</f>
        <v>DENTRO DA GARANTIA</v>
      </c>
      <c r="E229" s="148"/>
      <c r="F229" s="109">
        <f>IFERROR(MAX(0,IF(I229-(INDEX([1]GARANTIA!$J:$J,MATCH(A229,[1]GARANTIA!$C:$C,0)))&gt;=0,I229-(INDEX([1]GARANTIA!$L:$L,MATCH(A229,[1]GARANTIA!$C:$C,0))),"INSIRA DATA CHAMADO")),"INSIRA N° SERIE")</f>
        <v>78</v>
      </c>
      <c r="G229" s="98">
        <v>20210638</v>
      </c>
      <c r="H229" s="35" t="str">
        <f t="shared" si="18"/>
        <v>JUN</v>
      </c>
      <c r="I229" s="89">
        <v>44376</v>
      </c>
      <c r="J229" s="90">
        <v>44376</v>
      </c>
      <c r="K229" s="91">
        <v>44376</v>
      </c>
      <c r="L229" s="92" t="s">
        <v>23</v>
      </c>
      <c r="M229" s="92" t="s">
        <v>8</v>
      </c>
      <c r="N229" s="92" t="s">
        <v>41</v>
      </c>
      <c r="O229" s="42" t="str">
        <f>IFERROR(INDEX([1]GARANTIA!$E:$E,MATCH(A229,[1]GARANTIA!$C:$C,0)),"INSIRA N° SERIE")</f>
        <v>MTI - 4.000GTS</v>
      </c>
      <c r="P229" s="101" t="s">
        <v>374</v>
      </c>
      <c r="Q229" s="94" t="s">
        <v>38</v>
      </c>
      <c r="R229" s="93" t="s">
        <v>444</v>
      </c>
      <c r="S229" s="95" t="s">
        <v>101</v>
      </c>
      <c r="T229" s="95" t="s">
        <v>296</v>
      </c>
      <c r="U229" s="96"/>
      <c r="V229" s="41" t="str">
        <f>IFERROR(INDEX([1]GARANTIA!$G:$G,MATCH(A229,[1]GARANTIA!$C:$C,0)),"INSIRA N° SERIE")</f>
        <v>SORRISO</v>
      </c>
      <c r="W229" s="41" t="str">
        <f>IFERROR(INDEX([1]GARANTIA!$H:$H,MATCH(A229,[1]GARANTIA!$C:$C,0)),"INSIRA N° SERIE")</f>
        <v>MT</v>
      </c>
      <c r="X229" s="41" t="str">
        <f>IFERROR(INDEX([1]GARANTIA!$F:$F,MATCH(A229,[1]GARANTIA!$C:$C,0)),"INSIRA N° SERIE")</f>
        <v>CENTROESTE</v>
      </c>
      <c r="Y229" s="46">
        <f t="shared" si="20"/>
        <v>0</v>
      </c>
      <c r="Z229" s="47">
        <f t="shared" si="19"/>
        <v>0</v>
      </c>
      <c r="AA229" s="46">
        <f t="shared" si="21"/>
        <v>0</v>
      </c>
      <c r="AB229" s="46" t="str" cm="1">
        <f t="array" ref="AB229">IFERROR(_xlfn.IFS(L229="FINALIZADO PRESENCIAL",IF(AA229&gt;10,"FORA","DENTRO"),L229="FINALIZADO REMOTO",IF(AA229&gt;5,"FORA","DENTRO")),"-")</f>
        <v>DENTRO</v>
      </c>
      <c r="AC229" s="41" t="s">
        <v>1671</v>
      </c>
      <c r="AD229" s="41" t="s">
        <v>1671</v>
      </c>
      <c r="AE229" s="48" cm="1">
        <f t="array" ref="AE229">SUMPRODUCT(IFERROR(('[2]PEÇAS GARANTIA'!$A$3:$A$5993=G229)*('[2]PEÇAS GARANTIA'!$A$3:$A$5993&lt;&gt;"")*('[2]PEÇAS GARANTIA'!$R$3:$R$5993),0))</f>
        <v>0</v>
      </c>
      <c r="AF229" s="178">
        <v>0</v>
      </c>
    </row>
    <row r="230" spans="1:32" ht="69.75" customHeight="1" x14ac:dyDescent="0.25">
      <c r="A230" s="82">
        <v>82650</v>
      </c>
      <c r="B230" s="41" t="str">
        <f>IFERROR(INDEX([1]GARANTIA!$B:$B,MATCH(A230,[1]GARANTIA!$C:$C,0)),"INSIRA N° SERIE")</f>
        <v>TESTE 148</v>
      </c>
      <c r="C230" s="33">
        <f>IFERROR(INDEX([1]GARANTIA!$J:$J,MATCH(A230,[1]GARANTIA!$C:$C,0)),"INSIRA N° SERIE")</f>
        <v>44106</v>
      </c>
      <c r="D230" s="33" t="str">
        <f>IFERROR(IF(INDEX([1]GARANTIA!$M:$M,MATCH(A230,[1]GARANTIA!$C:$C,0))&gt;=I230,"DENTRO DA GARANTIA","FORA DE GARANTIA"),"INSIRA N° SERIE")</f>
        <v>DENTRO DA GARANTIA</v>
      </c>
      <c r="E230" s="148"/>
      <c r="F230" s="109">
        <f>IFERROR(MAX(0,IF(I230-(INDEX([1]GARANTIA!$J:$J,MATCH(A230,[1]GARANTIA!$C:$C,0)))&gt;=0,I230-(INDEX([1]GARANTIA!$L:$L,MATCH(A230,[1]GARANTIA!$C:$C,0))),"INSIRA DATA CHAMADO")),"INSIRA N° SERIE")</f>
        <v>133</v>
      </c>
      <c r="G230" s="98">
        <v>20210639</v>
      </c>
      <c r="H230" s="35" t="str">
        <f t="shared" si="18"/>
        <v>JUN</v>
      </c>
      <c r="I230" s="89">
        <v>44377</v>
      </c>
      <c r="J230" s="90">
        <v>44377</v>
      </c>
      <c r="K230" s="91">
        <v>44389</v>
      </c>
      <c r="L230" s="92" t="s">
        <v>11</v>
      </c>
      <c r="M230" s="92" t="s">
        <v>8</v>
      </c>
      <c r="N230" s="92" t="s">
        <v>40</v>
      </c>
      <c r="O230" s="42" t="str">
        <f>IFERROR(INDEX([1]GARANTIA!$E:$E,MATCH(A230,[1]GARANTIA!$C:$C,0)),"INSIRA N° SERIE")</f>
        <v>MTI - 12.000GTS</v>
      </c>
      <c r="P230" s="101" t="s">
        <v>531</v>
      </c>
      <c r="Q230" s="94" t="s">
        <v>324</v>
      </c>
      <c r="R230" s="93" t="s">
        <v>532</v>
      </c>
      <c r="S230" s="95" t="s">
        <v>101</v>
      </c>
      <c r="T230" s="95" t="s">
        <v>306</v>
      </c>
      <c r="U230" s="96"/>
      <c r="V230" s="41" t="str">
        <f>IFERROR(INDEX([1]GARANTIA!$G:$G,MATCH(A230,[1]GARANTIA!$C:$C,0)),"INSIRA N° SERIE")</f>
        <v>NOVO AIRÃO</v>
      </c>
      <c r="W230" s="41" t="str">
        <f>IFERROR(INDEX([1]GARANTIA!$H:$H,MATCH(A230,[1]GARANTIA!$C:$C,0)),"INSIRA N° SERIE")</f>
        <v>AM</v>
      </c>
      <c r="X230" s="41" t="str">
        <f>IFERROR(INDEX([1]GARANTIA!$F:$F,MATCH(A230,[1]GARANTIA!$C:$C,0)),"INSIRA N° SERIE")</f>
        <v>NORTE</v>
      </c>
      <c r="Y230" s="46">
        <f t="shared" si="20"/>
        <v>0</v>
      </c>
      <c r="Z230" s="47">
        <f t="shared" si="19"/>
        <v>12</v>
      </c>
      <c r="AA230" s="46">
        <f t="shared" si="21"/>
        <v>12</v>
      </c>
      <c r="AB230" s="46" t="str" cm="1">
        <f t="array" ref="AB230">IFERROR(_xlfn.IFS(L230="FINALIZADO PRESENCIAL",IF(AA230&gt;10,"FORA","DENTRO"),L230="FINALIZADO REMOTO",IF(AA230&gt;5,"FORA","DENTRO")),"-")</f>
        <v>FORA</v>
      </c>
      <c r="AC230" s="41" t="s">
        <v>1671</v>
      </c>
      <c r="AD230" s="41" t="s">
        <v>1671</v>
      </c>
      <c r="AE230" s="48" cm="1">
        <f t="array" ref="AE230">SUMPRODUCT(IFERROR(('[2]PEÇAS GARANTIA'!$A$3:$A$5993=G230)*('[2]PEÇAS GARANTIA'!$A$3:$A$5993&lt;&gt;"")*('[2]PEÇAS GARANTIA'!$R$3:$R$5993),0))</f>
        <v>8609.0299999999988</v>
      </c>
      <c r="AF230" s="178">
        <v>8617.2199999999993</v>
      </c>
    </row>
    <row r="231" spans="1:32" ht="30" customHeight="1" x14ac:dyDescent="0.25">
      <c r="A231" s="82">
        <v>35159</v>
      </c>
      <c r="B231" s="41" t="str">
        <f>IFERROR(INDEX([1]GARANTIA!$B:$B,MATCH(A231,[1]GARANTIA!$C:$C,0)),"INSIRA N° SERIE")</f>
        <v>TESTE 223</v>
      </c>
      <c r="C231" s="33">
        <f>IFERROR(INDEX([1]GARANTIA!$J:$J,MATCH(A231,[1]GARANTIA!$C:$C,0)),"INSIRA N° SERIE")</f>
        <v>43936</v>
      </c>
      <c r="D231" s="33" t="str">
        <f>IFERROR(IF(INDEX([1]GARANTIA!$M:$M,MATCH(A231,[1]GARANTIA!$C:$C,0))&gt;=I231,"DENTRO DA GARANTIA","FORA DE GARANTIA"),"INSIRA N° SERIE")</f>
        <v>DENTRO DA GARANTIA</v>
      </c>
      <c r="E231" s="148"/>
      <c r="F231" s="109">
        <f>IFERROR(MAX(0,IF(I231-(INDEX([1]GARANTIA!$J:$J,MATCH(A231,[1]GARANTIA!$C:$C,0)))&gt;=0,I231-(INDEX([1]GARANTIA!$L:$L,MATCH(A231,[1]GARANTIA!$C:$C,0))),"INSIRA DATA CHAMADO")),"INSIRA N° SERIE")</f>
        <v>264</v>
      </c>
      <c r="G231" s="98">
        <v>20210640</v>
      </c>
      <c r="H231" s="35" t="str">
        <f t="shared" si="18"/>
        <v>JUN</v>
      </c>
      <c r="I231" s="89">
        <v>44376</v>
      </c>
      <c r="J231" s="90">
        <v>44376</v>
      </c>
      <c r="K231" s="91">
        <v>44383</v>
      </c>
      <c r="L231" s="92" t="s">
        <v>11</v>
      </c>
      <c r="M231" s="92" t="s">
        <v>8</v>
      </c>
      <c r="N231" s="92" t="s">
        <v>31</v>
      </c>
      <c r="O231" s="42" t="str">
        <f>IFERROR(INDEX([1]GARANTIA!$E:$E,MATCH(A231,[1]GARANTIA!$C:$C,0)),"INSIRA N° SERIE")</f>
        <v>MTI - 1.000GTS</v>
      </c>
      <c r="P231" s="101" t="s">
        <v>488</v>
      </c>
      <c r="Q231" s="94" t="s">
        <v>326</v>
      </c>
      <c r="R231" s="93" t="s">
        <v>280</v>
      </c>
      <c r="S231" s="95" t="s">
        <v>325</v>
      </c>
      <c r="T231" s="95" t="s">
        <v>640</v>
      </c>
      <c r="U231" s="96"/>
      <c r="V231" s="41" t="str">
        <f>IFERROR(INDEX([1]GARANTIA!$G:$G,MATCH(A231,[1]GARANTIA!$C:$C,0)),"INSIRA N° SERIE")</f>
        <v xml:space="preserve">ITAJAI </v>
      </c>
      <c r="W231" s="41" t="str">
        <f>IFERROR(INDEX([1]GARANTIA!$H:$H,MATCH(A231,[1]GARANTIA!$C:$C,0)),"INSIRA N° SERIE")</f>
        <v>SC</v>
      </c>
      <c r="X231" s="41" t="str">
        <f>IFERROR(INDEX([1]GARANTIA!$F:$F,MATCH(A231,[1]GARANTIA!$C:$C,0)),"INSIRA N° SERIE")</f>
        <v>SUL</v>
      </c>
      <c r="Y231" s="46">
        <f t="shared" si="20"/>
        <v>0</v>
      </c>
      <c r="Z231" s="47">
        <f t="shared" si="19"/>
        <v>7</v>
      </c>
      <c r="AA231" s="46">
        <f t="shared" si="21"/>
        <v>7</v>
      </c>
      <c r="AB231" s="46" t="str" cm="1">
        <f t="array" ref="AB231">IFERROR(_xlfn.IFS(L231="FINALIZADO PRESENCIAL",IF(AA231&gt;10,"FORA","DENTRO"),L231="FINALIZADO REMOTO",IF(AA231&gt;5,"FORA","DENTRO")),"-")</f>
        <v>DENTRO</v>
      </c>
      <c r="AC231" s="41" t="s">
        <v>1671</v>
      </c>
      <c r="AD231" s="41" t="s">
        <v>1671</v>
      </c>
      <c r="AE231" s="48" cm="1">
        <f t="array" ref="AE231">SUMPRODUCT(IFERROR(('[2]PEÇAS GARANTIA'!$A$3:$A$5993=G231)*('[2]PEÇAS GARANTIA'!$A$3:$A$5993&lt;&gt;"")*('[2]PEÇAS GARANTIA'!$R$3:$R$5993),0))</f>
        <v>2142.08</v>
      </c>
      <c r="AF231" s="178">
        <v>100</v>
      </c>
    </row>
    <row r="232" spans="1:32" s="135" customFormat="1" ht="38.25" x14ac:dyDescent="0.25">
      <c r="A232" s="117">
        <v>20191502</v>
      </c>
      <c r="B232" s="118" t="str">
        <f>IFERROR(INDEX([1]GARANTIA!$B:$B,MATCH(A232,[1]GARANTIA!$C:$C,0)),"INSIRA N° SERIE")</f>
        <v>TESTE 267</v>
      </c>
      <c r="C232" s="119">
        <f>IFERROR(INDEX([1]GARANTIA!$J:$J,MATCH(A232,[1]GARANTIA!$C:$C,0)),"INSIRA N° SERIE")</f>
        <v>43312</v>
      </c>
      <c r="D232" s="119" t="str">
        <f>IFERROR(IF(INDEX([1]GARANTIA!$M:$M,MATCH(A232,[1]GARANTIA!$C:$C,0))&gt;=I232,"DENTRO DA GARANTIA","FORA DE GARANTIA"),"INSIRA N° SERIE")</f>
        <v>FORA DE GARANTIA</v>
      </c>
      <c r="E232" s="121"/>
      <c r="F232" s="127">
        <f>IFERROR(MAX(0,IF(I232-(INDEX([1]GARANTIA!$J:$J,MATCH(A232,[1]GARANTIA!$C:$C,0)))&gt;=0,I232-(INDEX([1]GARANTIA!$L:$L,MATCH(A232,[1]GARANTIA!$C:$C,0))),"INSIRA DATA CHAMADO")),"INSIRA N° SERIE")</f>
        <v>865</v>
      </c>
      <c r="G232" s="137">
        <v>20210641</v>
      </c>
      <c r="H232" s="35" t="str">
        <f t="shared" si="18"/>
        <v>JUN</v>
      </c>
      <c r="I232" s="138">
        <v>44376</v>
      </c>
      <c r="J232" s="138">
        <v>44376</v>
      </c>
      <c r="K232" s="138">
        <v>44379</v>
      </c>
      <c r="L232" s="103" t="s">
        <v>23</v>
      </c>
      <c r="M232" s="103" t="s">
        <v>8</v>
      </c>
      <c r="N232" s="103" t="s">
        <v>53</v>
      </c>
      <c r="O232" s="118" t="str">
        <f>IFERROR(INDEX([1]GARANTIA!$E:$E,MATCH(A232,[1]GARANTIA!$C:$C,0)),"INSIRA N° SERIE")</f>
        <v>MTI - 7.000GT</v>
      </c>
      <c r="P232" s="139" t="s">
        <v>489</v>
      </c>
      <c r="Q232" s="103" t="s">
        <v>99</v>
      </c>
      <c r="R232" s="140" t="s">
        <v>490</v>
      </c>
      <c r="S232" s="103" t="s">
        <v>99</v>
      </c>
      <c r="T232" s="103" t="s">
        <v>360</v>
      </c>
      <c r="U232" s="141"/>
      <c r="V232" s="118" t="str">
        <f>IFERROR(INDEX([1]GARANTIA!$G:$G,MATCH(A232,[1]GARANTIA!$C:$C,0)),"INSIRA N° SERIE")</f>
        <v>TANGARA DA SERRA</v>
      </c>
      <c r="W232" s="118" t="str">
        <f>IFERROR(INDEX([1]GARANTIA!$H:$H,MATCH(A232,[1]GARANTIA!$C:$C,0)),"INSIRA N° SERIE")</f>
        <v>MT</v>
      </c>
      <c r="X232" s="118" t="str">
        <f>IFERROR(INDEX([1]GARANTIA!$F:$F,MATCH(A232,[1]GARANTIA!$C:$C,0)),"INSIRA N° SERIE")</f>
        <v>CENTROESTE</v>
      </c>
      <c r="Y232" s="118">
        <f t="shared" si="20"/>
        <v>0</v>
      </c>
      <c r="Z232" s="125">
        <f t="shared" si="19"/>
        <v>3</v>
      </c>
      <c r="AA232" s="118">
        <f t="shared" si="21"/>
        <v>3</v>
      </c>
      <c r="AB232" s="46" t="str" cm="1">
        <f t="array" ref="AB232">IFERROR(_xlfn.IFS(L232="FINALIZADO PRESENCIAL",IF(AA232&gt;10,"FORA","DENTRO"),L232="FINALIZADO REMOTO",IF(AA232&gt;5,"FORA","DENTRO")),"-")</f>
        <v>DENTRO</v>
      </c>
      <c r="AC232" s="41" t="s">
        <v>1671</v>
      </c>
      <c r="AD232" s="41" t="s">
        <v>1671</v>
      </c>
      <c r="AE232" s="48" cm="1">
        <f t="array" ref="AE232">SUMPRODUCT(IFERROR(('[2]PEÇAS GARANTIA'!$A$3:$A$5993=G232)*('[2]PEÇAS GARANTIA'!$A$3:$A$5993&lt;&gt;"")*('[2]PEÇAS GARANTIA'!$R$3:$R$5993),0))</f>
        <v>0</v>
      </c>
      <c r="AF232" s="178">
        <v>0</v>
      </c>
    </row>
    <row r="233" spans="1:32" ht="15" x14ac:dyDescent="0.25">
      <c r="A233" s="82">
        <v>41240</v>
      </c>
      <c r="B233" s="41" t="str">
        <f>IFERROR(INDEX([1]GARANTIA!$B:$B,MATCH(A233,[1]GARANTIA!$C:$C,0)),"INSIRA N° SERIE")</f>
        <v>TESTE 122</v>
      </c>
      <c r="C233" s="33">
        <f>IFERROR(INDEX([1]GARANTIA!$J:$J,MATCH(A233,[1]GARANTIA!$C:$C,0)),"INSIRA N° SERIE")</f>
        <v>44176</v>
      </c>
      <c r="D233" s="33" t="str">
        <f>IFERROR(IF(INDEX([1]GARANTIA!$M:$M,MATCH(A233,[1]GARANTIA!$C:$C,0))&gt;=I233,"DENTRO DA GARANTIA","FORA DE GARANTIA"),"INSIRA N° SERIE")</f>
        <v>DENTRO DA GARANTIA</v>
      </c>
      <c r="E233" s="148"/>
      <c r="F233" s="109">
        <f>IFERROR(MAX(0,IF(I233-(INDEX([1]GARANTIA!$J:$J,MATCH(A233,[1]GARANTIA!$C:$C,0)))&gt;=0,I233-(INDEX([1]GARANTIA!$L:$L,MATCH(A233,[1]GARANTIA!$C:$C,0))),"INSIRA DATA CHAMADO")),"INSIRA N° SERIE")</f>
        <v>31</v>
      </c>
      <c r="G233" s="98">
        <v>20210642</v>
      </c>
      <c r="H233" s="35" t="str">
        <f t="shared" si="18"/>
        <v>JUL</v>
      </c>
      <c r="I233" s="89">
        <v>44378</v>
      </c>
      <c r="J233" s="90">
        <v>44378</v>
      </c>
      <c r="K233" s="91">
        <v>44378</v>
      </c>
      <c r="L233" s="92" t="s">
        <v>23</v>
      </c>
      <c r="M233" s="92" t="s">
        <v>8</v>
      </c>
      <c r="N233" s="92" t="s">
        <v>44</v>
      </c>
      <c r="O233" s="42" t="str">
        <f>IFERROR(INDEX([1]GARANTIA!$E:$E,MATCH(A233,[1]GARANTIA!$C:$C,0)),"INSIRA N° SERIE")</f>
        <v>MTI - 4.000GTS</v>
      </c>
      <c r="P233" s="101" t="s">
        <v>491</v>
      </c>
      <c r="Q233" s="94" t="s">
        <v>38</v>
      </c>
      <c r="R233" s="93" t="s">
        <v>444</v>
      </c>
      <c r="S233" s="95" t="s">
        <v>101</v>
      </c>
      <c r="T233" s="95" t="s">
        <v>296</v>
      </c>
      <c r="U233" s="96"/>
      <c r="V233" s="41" t="str">
        <f>IFERROR(INDEX([1]GARANTIA!$G:$G,MATCH(A233,[1]GARANTIA!$C:$C,0)),"INSIRA N° SERIE")</f>
        <v xml:space="preserve">SÃO LUIS </v>
      </c>
      <c r="W233" s="41" t="str">
        <f>IFERROR(INDEX([1]GARANTIA!$H:$H,MATCH(A233,[1]GARANTIA!$C:$C,0)),"INSIRA N° SERIE")</f>
        <v xml:space="preserve">MA </v>
      </c>
      <c r="X233" s="41" t="str">
        <f>IFERROR(INDEX([1]GARANTIA!$F:$F,MATCH(A233,[1]GARANTIA!$C:$C,0)),"INSIRA N° SERIE")</f>
        <v>NORDESTE</v>
      </c>
      <c r="Y233" s="46">
        <f t="shared" si="20"/>
        <v>0</v>
      </c>
      <c r="Z233" s="47">
        <f t="shared" si="19"/>
        <v>0</v>
      </c>
      <c r="AA233" s="46">
        <f t="shared" si="21"/>
        <v>0</v>
      </c>
      <c r="AB233" s="46" t="str" cm="1">
        <f t="array" ref="AB233">IFERROR(_xlfn.IFS(L233="FINALIZADO PRESENCIAL",IF(AA233&gt;10,"FORA","DENTRO"),L233="FINALIZADO REMOTO",IF(AA233&gt;5,"FORA","DENTRO")),"-")</f>
        <v>DENTRO</v>
      </c>
      <c r="AC233" s="41" t="s">
        <v>1671</v>
      </c>
      <c r="AD233" s="41" t="s">
        <v>1671</v>
      </c>
      <c r="AE233" s="48" cm="1">
        <f t="array" ref="AE233">SUMPRODUCT(IFERROR(('[2]PEÇAS GARANTIA'!$A$3:$A$5993=G233)*('[2]PEÇAS GARANTIA'!$A$3:$A$5993&lt;&gt;"")*('[2]PEÇAS GARANTIA'!$R$3:$R$5993),0))</f>
        <v>0</v>
      </c>
      <c r="AF233" s="178">
        <v>0</v>
      </c>
    </row>
    <row r="234" spans="1:32" ht="15" x14ac:dyDescent="0.25">
      <c r="A234" s="82">
        <v>25628</v>
      </c>
      <c r="B234" s="41" t="str">
        <f>IFERROR(INDEX([1]GARANTIA!$B:$B,MATCH(A234,[1]GARANTIA!$C:$C,0)),"INSIRA N° SERIE")</f>
        <v>TESTE 70</v>
      </c>
      <c r="C234" s="33">
        <f>IFERROR(INDEX([1]GARANTIA!$J:$J,MATCH(A234,[1]GARANTIA!$C:$C,0)),"INSIRA N° SERIE")</f>
        <v>44043</v>
      </c>
      <c r="D234" s="33" t="str">
        <f>IFERROR(IF(INDEX([1]GARANTIA!$M:$M,MATCH(A234,[1]GARANTIA!$C:$C,0))&gt;=I234,"DENTRO DA GARANTIA","FORA DE GARANTIA"),"INSIRA N° SERIE")</f>
        <v>DENTRO DA GARANTIA</v>
      </c>
      <c r="E234" s="148"/>
      <c r="F234" s="109">
        <f>IFERROR(MAX(0,IF(I234-(INDEX([1]GARANTIA!$J:$J,MATCH(A234,[1]GARANTIA!$C:$C,0)))&gt;=0,I234-(INDEX([1]GARANTIA!$L:$L,MATCH(A234,[1]GARANTIA!$C:$C,0))),"INSIRA DATA CHAMADO")),"INSIRA N° SERIE")</f>
        <v>202</v>
      </c>
      <c r="G234" s="98">
        <v>20210646</v>
      </c>
      <c r="H234" s="35" t="str">
        <f t="shared" si="18"/>
        <v>JUL</v>
      </c>
      <c r="I234" s="89">
        <v>44378</v>
      </c>
      <c r="J234" s="90">
        <v>44378</v>
      </c>
      <c r="K234" s="91">
        <v>44379</v>
      </c>
      <c r="L234" s="92" t="s">
        <v>23</v>
      </c>
      <c r="M234" s="92" t="s">
        <v>8</v>
      </c>
      <c r="N234" s="92" t="s">
        <v>76</v>
      </c>
      <c r="O234" s="42" t="str">
        <f>IFERROR(INDEX([1]GARANTIA!$E:$E,MATCH(A234,[1]GARANTIA!$C:$C,0)),"INSIRA N° SERIE")</f>
        <v>MTI - 1.000GTS</v>
      </c>
      <c r="P234" s="101" t="s">
        <v>492</v>
      </c>
      <c r="Q234" s="94" t="s">
        <v>38</v>
      </c>
      <c r="R234" s="93" t="s">
        <v>494</v>
      </c>
      <c r="S234" s="95" t="s">
        <v>101</v>
      </c>
      <c r="T234" s="95" t="s">
        <v>296</v>
      </c>
      <c r="U234" s="96"/>
      <c r="V234" s="41" t="str">
        <f>IFERROR(INDEX([1]GARANTIA!$G:$G,MATCH(A234,[1]GARANTIA!$C:$C,0)),"INSIRA N° SERIE")</f>
        <v>ARAPUTANGA</v>
      </c>
      <c r="W234" s="41" t="str">
        <f>IFERROR(INDEX([1]GARANTIA!$H:$H,MATCH(A234,[1]GARANTIA!$C:$C,0)),"INSIRA N° SERIE")</f>
        <v>MT</v>
      </c>
      <c r="X234" s="41" t="str">
        <f>IFERROR(INDEX([1]GARANTIA!$F:$F,MATCH(A234,[1]GARANTIA!$C:$C,0)),"INSIRA N° SERIE")</f>
        <v>CENTROESTE</v>
      </c>
      <c r="Y234" s="46">
        <f t="shared" si="20"/>
        <v>0</v>
      </c>
      <c r="Z234" s="47">
        <f t="shared" si="19"/>
        <v>1</v>
      </c>
      <c r="AA234" s="46">
        <f t="shared" si="21"/>
        <v>1</v>
      </c>
      <c r="AB234" s="46" t="str" cm="1">
        <f t="array" ref="AB234">IFERROR(_xlfn.IFS(L234="FINALIZADO PRESENCIAL",IF(AA234&gt;10,"FORA","DENTRO"),L234="FINALIZADO REMOTO",IF(AA234&gt;5,"FORA","DENTRO")),"-")</f>
        <v>DENTRO</v>
      </c>
      <c r="AC234" s="41" t="s">
        <v>1671</v>
      </c>
      <c r="AD234" s="41" t="s">
        <v>1671</v>
      </c>
      <c r="AE234" s="48" cm="1">
        <f t="array" ref="AE234">SUMPRODUCT(IFERROR(('[2]PEÇAS GARANTIA'!$A$3:$A$5993=G234)*('[2]PEÇAS GARANTIA'!$A$3:$A$5993&lt;&gt;"")*('[2]PEÇAS GARANTIA'!$R$3:$R$5993),0))</f>
        <v>0</v>
      </c>
      <c r="AF234" s="178">
        <v>0</v>
      </c>
    </row>
    <row r="235" spans="1:32" ht="15" x14ac:dyDescent="0.25">
      <c r="A235" s="82">
        <v>55872</v>
      </c>
      <c r="B235" s="41" t="str">
        <f>IFERROR(INDEX([1]GARANTIA!$B:$B,MATCH(A235,[1]GARANTIA!$C:$C,0)),"INSIRA N° SERIE")</f>
        <v>TESTE 118</v>
      </c>
      <c r="C235" s="33">
        <f>IFERROR(INDEX([1]GARANTIA!$J:$J,MATCH(A235,[1]GARANTIA!$C:$C,0)),"INSIRA N° SERIE")</f>
        <v>44097</v>
      </c>
      <c r="D235" s="33" t="str">
        <f>IFERROR(IF(INDEX([1]GARANTIA!$M:$M,MATCH(A235,[1]GARANTIA!$C:$C,0))&gt;=I235,"DENTRO DA GARANTIA","FORA DE GARANTIA"),"INSIRA N° SERIE")</f>
        <v>DENTRO DA GARANTIA</v>
      </c>
      <c r="E235" s="148"/>
      <c r="F235" s="109">
        <f>IFERROR(MAX(0,IF(I235-(INDEX([1]GARANTIA!$J:$J,MATCH(A235,[1]GARANTIA!$C:$C,0)))&gt;=0,I235-(INDEX([1]GARANTIA!$L:$L,MATCH(A235,[1]GARANTIA!$C:$C,0))),"INSIRA DATA CHAMADO")),"INSIRA N° SERIE")</f>
        <v>67</v>
      </c>
      <c r="G235" s="98">
        <v>20210643</v>
      </c>
      <c r="H235" s="35" t="str">
        <f t="shared" si="18"/>
        <v>JUL</v>
      </c>
      <c r="I235" s="89">
        <v>44378</v>
      </c>
      <c r="J235" s="90">
        <v>44378</v>
      </c>
      <c r="K235" s="91">
        <v>44378</v>
      </c>
      <c r="L235" s="92" t="s">
        <v>23</v>
      </c>
      <c r="M235" s="92" t="s">
        <v>8</v>
      </c>
      <c r="N235" s="92" t="s">
        <v>76</v>
      </c>
      <c r="O235" s="42" t="str">
        <f>IFERROR(INDEX([1]GARANTIA!$E:$E,MATCH(A235,[1]GARANTIA!$C:$C,0)),"INSIRA N° SERIE")</f>
        <v>MTI - 1.000GTS</v>
      </c>
      <c r="P235" s="101" t="s">
        <v>492</v>
      </c>
      <c r="Q235" s="94" t="s">
        <v>38</v>
      </c>
      <c r="R235" s="93" t="s">
        <v>493</v>
      </c>
      <c r="S235" s="95" t="s">
        <v>101</v>
      </c>
      <c r="T235" s="95" t="s">
        <v>296</v>
      </c>
      <c r="U235" s="96"/>
      <c r="V235" s="41" t="str">
        <f>IFERROR(INDEX([1]GARANTIA!$G:$G,MATCH(A235,[1]GARANTIA!$C:$C,0)),"INSIRA N° SERIE")</f>
        <v>JARU</v>
      </c>
      <c r="W235" s="41" t="str">
        <f>IFERROR(INDEX([1]GARANTIA!$H:$H,MATCH(A235,[1]GARANTIA!$C:$C,0)),"INSIRA N° SERIE")</f>
        <v>RO</v>
      </c>
      <c r="X235" s="41" t="str">
        <f>IFERROR(INDEX([1]GARANTIA!$F:$F,MATCH(A235,[1]GARANTIA!$C:$C,0)),"INSIRA N° SERIE")</f>
        <v>NORTE</v>
      </c>
      <c r="Y235" s="46">
        <f t="shared" si="20"/>
        <v>0</v>
      </c>
      <c r="Z235" s="47">
        <f t="shared" si="19"/>
        <v>0</v>
      </c>
      <c r="AA235" s="46">
        <f t="shared" si="21"/>
        <v>0</v>
      </c>
      <c r="AB235" s="46" t="str" cm="1">
        <f t="array" ref="AB235">IFERROR(_xlfn.IFS(L235="FINALIZADO PRESENCIAL",IF(AA235&gt;10,"FORA","DENTRO"),L235="FINALIZADO REMOTO",IF(AA235&gt;5,"FORA","DENTRO")),"-")</f>
        <v>DENTRO</v>
      </c>
      <c r="AC235" s="41" t="s">
        <v>1671</v>
      </c>
      <c r="AD235" s="41" t="s">
        <v>1671</v>
      </c>
      <c r="AE235" s="48" cm="1">
        <f t="array" ref="AE235">SUMPRODUCT(IFERROR(('[2]PEÇAS GARANTIA'!$A$3:$A$5993=G235)*('[2]PEÇAS GARANTIA'!$A$3:$A$5993&lt;&gt;"")*('[2]PEÇAS GARANTIA'!$R$3:$R$5993),0))</f>
        <v>0</v>
      </c>
      <c r="AF235" s="178">
        <v>0</v>
      </c>
    </row>
    <row r="236" spans="1:32" ht="44.25" customHeight="1" x14ac:dyDescent="0.25">
      <c r="A236" s="82">
        <v>3713</v>
      </c>
      <c r="B236" s="41" t="str">
        <f>IFERROR(INDEX([1]GARANTIA!$B:$B,MATCH(A236,[1]GARANTIA!$C:$C,0)),"INSIRA N° SERIE")</f>
        <v>TESTE 237</v>
      </c>
      <c r="C236" s="33">
        <f>IFERROR(INDEX([1]GARANTIA!$J:$J,MATCH(A236,[1]GARANTIA!$C:$C,0)),"INSIRA N° SERIE")</f>
        <v>43707</v>
      </c>
      <c r="D236" s="33" t="str">
        <f>IFERROR(IF(INDEX([1]GARANTIA!$M:$M,MATCH(A236,[1]GARANTIA!$C:$C,0))&gt;=I236,"DENTRO DA GARANTIA","FORA DE GARANTIA"),"INSIRA N° SERIE")</f>
        <v>DENTRO DA GARANTIA</v>
      </c>
      <c r="E236" s="148"/>
      <c r="F236" s="109">
        <f>IFERROR(MAX(0,IF(I236-(INDEX([1]GARANTIA!$J:$J,MATCH(A236,[1]GARANTIA!$C:$C,0)))&gt;=0,I236-(INDEX([1]GARANTIA!$L:$L,MATCH(A236,[1]GARANTIA!$C:$C,0))),"INSIRA DATA CHAMADO")),"INSIRA N° SERIE")</f>
        <v>211</v>
      </c>
      <c r="G236" s="98">
        <v>20210644</v>
      </c>
      <c r="H236" s="35" t="str">
        <f t="shared" si="18"/>
        <v>JUL</v>
      </c>
      <c r="I236" s="89">
        <v>44379</v>
      </c>
      <c r="J236" s="90">
        <v>44379</v>
      </c>
      <c r="K236" s="91">
        <v>44379</v>
      </c>
      <c r="L236" s="92" t="s">
        <v>11</v>
      </c>
      <c r="M236" s="92" t="s">
        <v>8</v>
      </c>
      <c r="N236" s="92" t="s">
        <v>54</v>
      </c>
      <c r="O236" s="42" t="str">
        <f>IFERROR(INDEX([1]GARANTIA!$E:$E,MATCH(A236,[1]GARANTIA!$C:$C,0)),"INSIRA N° SERIE")</f>
        <v>MTI - 7.000GTS</v>
      </c>
      <c r="P236" s="101" t="s">
        <v>495</v>
      </c>
      <c r="Q236" s="94" t="s">
        <v>54</v>
      </c>
      <c r="R236" s="93" t="s">
        <v>496</v>
      </c>
      <c r="S236" s="95" t="s">
        <v>325</v>
      </c>
      <c r="T236" s="95" t="s">
        <v>142</v>
      </c>
      <c r="U236" s="96"/>
      <c r="V236" s="41" t="str">
        <f>IFERROR(INDEX([1]GARANTIA!$G:$G,MATCH(A236,[1]GARANTIA!$C:$C,0)),"INSIRA N° SERIE")</f>
        <v xml:space="preserve">AGUA DE SANTA BARBARA </v>
      </c>
      <c r="W236" s="41" t="str">
        <f>IFERROR(INDEX([1]GARANTIA!$H:$H,MATCH(A236,[1]GARANTIA!$C:$C,0)),"INSIRA N° SERIE")</f>
        <v xml:space="preserve">SP </v>
      </c>
      <c r="X236" s="41" t="str">
        <f>IFERROR(INDEX([1]GARANTIA!$F:$F,MATCH(A236,[1]GARANTIA!$C:$C,0)),"INSIRA N° SERIE")</f>
        <v>SUDESTE</v>
      </c>
      <c r="Y236" s="46">
        <f t="shared" ref="Y236:Y267" si="22">IF(G236&lt;&gt;"",J236-I236,"INSIRA N° OS")</f>
        <v>0</v>
      </c>
      <c r="Z236" s="47">
        <f t="shared" si="19"/>
        <v>0</v>
      </c>
      <c r="AA236" s="46">
        <f t="shared" ref="AA236:AA267" si="23">IF(Z236="NÃO FINALIZADO","",Z236+Y236)</f>
        <v>0</v>
      </c>
      <c r="AB236" s="46" t="str" cm="1">
        <f t="array" ref="AB236">IFERROR(_xlfn.IFS(L236="FINALIZADO PRESENCIAL",IF(AA236&gt;10,"FORA","DENTRO"),L236="FINALIZADO REMOTO",IF(AA236&gt;5,"FORA","DENTRO")),"-")</f>
        <v>DENTRO</v>
      </c>
      <c r="AC236" s="41" t="s">
        <v>1671</v>
      </c>
      <c r="AD236" s="41" t="s">
        <v>1671</v>
      </c>
      <c r="AE236" s="48" cm="1">
        <f t="array" ref="AE236">SUMPRODUCT(IFERROR(('[2]PEÇAS GARANTIA'!$A$3:$A$5993=G236)*('[2]PEÇAS GARANTIA'!$A$3:$A$5993&lt;&gt;"")*('[2]PEÇAS GARANTIA'!$R$3:$R$5993),0))</f>
        <v>0</v>
      </c>
      <c r="AF236" s="178">
        <v>2023.59</v>
      </c>
    </row>
    <row r="237" spans="1:32" ht="108" customHeight="1" x14ac:dyDescent="0.25">
      <c r="A237" s="82">
        <v>68730</v>
      </c>
      <c r="B237" s="41" t="str">
        <f>IFERROR(INDEX([1]GARANTIA!$B:$B,MATCH(A237,[1]GARANTIA!$C:$C,0)),"INSIRA N° SERIE")</f>
        <v>TESTE 302</v>
      </c>
      <c r="C237" s="33">
        <f>IFERROR(INDEX([1]GARANTIA!$J:$J,MATCH(A237,[1]GARANTIA!$C:$C,0)),"INSIRA N° SERIE")</f>
        <v>44204</v>
      </c>
      <c r="D237" s="33" t="str">
        <f>IFERROR(IF(INDEX([1]GARANTIA!$M:$M,MATCH(A237,[1]GARANTIA!$C:$C,0))&gt;=I237,"DENTRO DA GARANTIA","FORA DE GARANTIA"),"INSIRA N° SERIE")</f>
        <v>DENTRO DA GARANTIA</v>
      </c>
      <c r="E237" s="148"/>
      <c r="F237" s="109">
        <f>IFERROR(MAX(0,IF(I237-(INDEX([1]GARANTIA!$J:$J,MATCH(A237,[1]GARANTIA!$C:$C,0)))&gt;=0,I237-(INDEX([1]GARANTIA!$L:$L,MATCH(A237,[1]GARANTIA!$C:$C,0))),"INSIRA DATA CHAMADO")),"INSIRA N° SERIE")</f>
        <v>15</v>
      </c>
      <c r="G237" s="98">
        <v>20210645</v>
      </c>
      <c r="H237" s="35" t="str">
        <f t="shared" si="18"/>
        <v>JUL</v>
      </c>
      <c r="I237" s="89">
        <v>44379</v>
      </c>
      <c r="J237" s="90">
        <v>44379</v>
      </c>
      <c r="K237" s="91">
        <v>44391</v>
      </c>
      <c r="L237" s="92" t="s">
        <v>11</v>
      </c>
      <c r="M237" s="92" t="s">
        <v>8</v>
      </c>
      <c r="N237" s="92" t="s">
        <v>26</v>
      </c>
      <c r="O237" s="42" t="str">
        <f>IFERROR(INDEX([1]GARANTIA!$E:$E,MATCH(A237,[1]GARANTIA!$C:$C,0)),"INSIRA N° SERIE")</f>
        <v>MTI - 1.000GTS</v>
      </c>
      <c r="P237" s="101" t="s">
        <v>530</v>
      </c>
      <c r="Q237" s="94" t="s">
        <v>333</v>
      </c>
      <c r="R237" s="93" t="s">
        <v>529</v>
      </c>
      <c r="S237" s="44" t="s">
        <v>638</v>
      </c>
      <c r="T237" s="95" t="s">
        <v>142</v>
      </c>
      <c r="U237" s="96"/>
      <c r="V237" s="41" t="str">
        <f>IFERROR(INDEX([1]GARANTIA!$G:$G,MATCH(A237,[1]GARANTIA!$C:$C,0)),"INSIRA N° SERIE")</f>
        <v>CUNHA</v>
      </c>
      <c r="W237" s="41" t="str">
        <f>IFERROR(INDEX([1]GARANTIA!$H:$H,MATCH(A237,[1]GARANTIA!$C:$C,0)),"INSIRA N° SERIE")</f>
        <v>SP</v>
      </c>
      <c r="X237" s="41" t="str">
        <f>IFERROR(INDEX([1]GARANTIA!$F:$F,MATCH(A237,[1]GARANTIA!$C:$C,0)),"INSIRA N° SERIE")</f>
        <v>SUDESTE</v>
      </c>
      <c r="Y237" s="46">
        <f t="shared" si="22"/>
        <v>0</v>
      </c>
      <c r="Z237" s="47">
        <f t="shared" si="19"/>
        <v>12</v>
      </c>
      <c r="AA237" s="46">
        <f t="shared" si="23"/>
        <v>12</v>
      </c>
      <c r="AB237" s="46" t="str" cm="1">
        <f t="array" ref="AB237">IFERROR(_xlfn.IFS(L237="FINALIZADO PRESENCIAL",IF(AA237&gt;10,"FORA","DENTRO"),L237="FINALIZADO REMOTO",IF(AA237&gt;5,"FORA","DENTRO")),"-")</f>
        <v>FORA</v>
      </c>
      <c r="AC237" s="41" t="s">
        <v>1671</v>
      </c>
      <c r="AD237" s="41" t="s">
        <v>1671</v>
      </c>
      <c r="AE237" s="48" cm="1">
        <f t="array" ref="AE237">SUMPRODUCT(IFERROR(('[2]PEÇAS GARANTIA'!$A$3:$A$5993=G237)*('[2]PEÇAS GARANTIA'!$A$3:$A$5993&lt;&gt;"")*('[2]PEÇAS GARANTIA'!$R$3:$R$5993),0))</f>
        <v>0</v>
      </c>
      <c r="AF237" s="178">
        <v>6211.75</v>
      </c>
    </row>
    <row r="238" spans="1:32" s="135" customFormat="1" ht="112.5" customHeight="1" x14ac:dyDescent="0.25">
      <c r="A238" s="117">
        <v>9991</v>
      </c>
      <c r="B238" s="118" t="str">
        <f>IFERROR(INDEX([1]GARANTIA!$B:$B,MATCH(A238,[1]GARANTIA!$C:$C,0)),"INSIRA N° SERIE")</f>
        <v>TESTE 308</v>
      </c>
      <c r="C238" s="119">
        <f>IFERROR(INDEX([1]GARANTIA!$J:$J,MATCH(A238,[1]GARANTIA!$C:$C,0)),"INSIRA N° SERIE")</f>
        <v>44137</v>
      </c>
      <c r="D238" s="119" t="str">
        <f>IFERROR(IF(INDEX([1]GARANTIA!$M:$M,MATCH(A238,[1]GARANTIA!$C:$C,0))&gt;=I238,"DENTRO DA GARANTIA","FORA DE GARANTIA"),"INSIRA N° SERIE")</f>
        <v>DENTRO DA GARANTIA</v>
      </c>
      <c r="E238" s="121"/>
      <c r="F238" s="127">
        <f>IFERROR(MAX(0,IF(I238-(INDEX([1]GARANTIA!$J:$J,MATCH(A238,[1]GARANTIA!$C:$C,0)))&gt;=0,I238-(INDEX([1]GARANTIA!$L:$L,MATCH(A238,[1]GARANTIA!$C:$C,0))),"INSIRA DATA CHAMADO")),"INSIRA N° SERIE")</f>
        <v>100</v>
      </c>
      <c r="G238" s="137">
        <v>20210649</v>
      </c>
      <c r="H238" s="35" t="str">
        <f t="shared" si="18"/>
        <v>JUL</v>
      </c>
      <c r="I238" s="138">
        <v>44381</v>
      </c>
      <c r="J238" s="138">
        <v>44381</v>
      </c>
      <c r="K238" s="138">
        <v>44382</v>
      </c>
      <c r="L238" s="103" t="s">
        <v>11</v>
      </c>
      <c r="M238" s="103" t="s">
        <v>8</v>
      </c>
      <c r="N238" s="103" t="s">
        <v>76</v>
      </c>
      <c r="O238" s="118" t="str">
        <f>IFERROR(INDEX([1]GARANTIA!$E:$E,MATCH(A238,[1]GARANTIA!$C:$C,0)),"INSIRA N° SERIE")</f>
        <v>MTI - 40.000GT</v>
      </c>
      <c r="P238" s="139" t="s">
        <v>501</v>
      </c>
      <c r="Q238" s="103" t="s">
        <v>328</v>
      </c>
      <c r="R238" s="140" t="s">
        <v>502</v>
      </c>
      <c r="S238" s="103" t="s">
        <v>99</v>
      </c>
      <c r="T238" s="103" t="s">
        <v>360</v>
      </c>
      <c r="U238" s="141"/>
      <c r="V238" s="118" t="str">
        <f>IFERROR(INDEX([1]GARANTIA!$G:$G,MATCH(A238,[1]GARANTIA!$C:$C,0)),"INSIRA N° SERIE")</f>
        <v>OSASCO</v>
      </c>
      <c r="W238" s="118" t="str">
        <f>IFERROR(INDEX([1]GARANTIA!$H:$H,MATCH(A238,[1]GARANTIA!$C:$C,0)),"INSIRA N° SERIE")</f>
        <v>SP</v>
      </c>
      <c r="X238" s="118" t="str">
        <f>IFERROR(INDEX([1]GARANTIA!$F:$F,MATCH(A238,[1]GARANTIA!$C:$C,0)),"INSIRA N° SERIE")</f>
        <v>SUDESTE</v>
      </c>
      <c r="Y238" s="118">
        <f t="shared" si="22"/>
        <v>0</v>
      </c>
      <c r="Z238" s="125">
        <f t="shared" si="19"/>
        <v>1</v>
      </c>
      <c r="AA238" s="118">
        <f t="shared" si="23"/>
        <v>1</v>
      </c>
      <c r="AB238" s="46" t="str" cm="1">
        <f t="array" ref="AB238">IFERROR(_xlfn.IFS(L238="FINALIZADO PRESENCIAL",IF(AA238&gt;10,"FORA","DENTRO"),L238="FINALIZADO REMOTO",IF(AA238&gt;5,"FORA","DENTRO")),"-")</f>
        <v>DENTRO</v>
      </c>
      <c r="AC238" s="41" t="s">
        <v>1671</v>
      </c>
      <c r="AD238" s="41" t="s">
        <v>1671</v>
      </c>
      <c r="AE238" s="48" cm="1">
        <f t="array" ref="AE238">SUMPRODUCT(IFERROR(('[2]PEÇAS GARANTIA'!$A$3:$A$5993=G238)*('[2]PEÇAS GARANTIA'!$A$3:$A$5993&lt;&gt;"")*('[2]PEÇAS GARANTIA'!$R$3:$R$5993),0))</f>
        <v>2697.87</v>
      </c>
      <c r="AF238" s="178">
        <v>0</v>
      </c>
    </row>
    <row r="239" spans="1:32" ht="31.5" customHeight="1" x14ac:dyDescent="0.25">
      <c r="A239" s="82">
        <v>90486</v>
      </c>
      <c r="B239" s="41" t="str">
        <f>IFERROR(INDEX([1]GARANTIA!$B:$B,MATCH(A239,[1]GARANTIA!$C:$C,0)),"INSIRA N° SERIE")</f>
        <v>TESTE 277</v>
      </c>
      <c r="C239" s="33">
        <f>IFERROR(INDEX([1]GARANTIA!$J:$J,MATCH(A239,[1]GARANTIA!$C:$C,0)),"INSIRA N° SERIE")</f>
        <v>44189</v>
      </c>
      <c r="D239" s="33" t="str">
        <f>IFERROR(IF(INDEX([1]GARANTIA!$M:$M,MATCH(A239,[1]GARANTIA!$C:$C,0))&gt;=I239,"DENTRO DA GARANTIA","FORA DE GARANTIA"),"INSIRA N° SERIE")</f>
        <v>DENTRO DA GARANTIA</v>
      </c>
      <c r="E239" s="148"/>
      <c r="F239" s="109">
        <f>IFERROR(MAX(0,IF(I239-(INDEX([1]GARANTIA!$J:$J,MATCH(A239,[1]GARANTIA!$C:$C,0)))&gt;=0,I239-(INDEX([1]GARANTIA!$L:$L,MATCH(A239,[1]GARANTIA!$C:$C,0))),"INSIRA DATA CHAMADO")),"INSIRA N° SERIE")</f>
        <v>0</v>
      </c>
      <c r="G239" s="98">
        <v>20210647</v>
      </c>
      <c r="H239" s="35" t="str">
        <f t="shared" si="18"/>
        <v>JUL</v>
      </c>
      <c r="I239" s="89">
        <v>44382</v>
      </c>
      <c r="J239" s="90">
        <v>44382</v>
      </c>
      <c r="K239" s="91">
        <v>44382</v>
      </c>
      <c r="L239" s="92" t="s">
        <v>11</v>
      </c>
      <c r="M239" s="92" t="s">
        <v>164</v>
      </c>
      <c r="N239" s="92" t="s">
        <v>42</v>
      </c>
      <c r="O239" s="42" t="str">
        <f>IFERROR(INDEX([1]GARANTIA!$E:$E,MATCH(A239,[1]GARANTIA!$C:$C,0)),"INSIRA N° SERIE")</f>
        <v>MTI - 40.000GE</v>
      </c>
      <c r="P239" s="101" t="s">
        <v>498</v>
      </c>
      <c r="Q239" s="94" t="s">
        <v>324</v>
      </c>
      <c r="R239" s="93" t="s">
        <v>499</v>
      </c>
      <c r="S239" s="95" t="s">
        <v>101</v>
      </c>
      <c r="T239" s="95" t="s">
        <v>306</v>
      </c>
      <c r="U239" s="96"/>
      <c r="V239" s="41" t="str">
        <f>IFERROR(INDEX([1]GARANTIA!$G:$G,MATCH(A239,[1]GARANTIA!$C:$C,0)),"INSIRA N° SERIE")</f>
        <v>MACAÍBA</v>
      </c>
      <c r="W239" s="41" t="str">
        <f>IFERROR(INDEX([1]GARANTIA!$H:$H,MATCH(A239,[1]GARANTIA!$C:$C,0)),"INSIRA N° SERIE")</f>
        <v>RN</v>
      </c>
      <c r="X239" s="41" t="str">
        <f>IFERROR(INDEX([1]GARANTIA!$F:$F,MATCH(A239,[1]GARANTIA!$C:$C,0)),"INSIRA N° SERIE")</f>
        <v>NORDESTE</v>
      </c>
      <c r="Y239" s="46">
        <f t="shared" si="22"/>
        <v>0</v>
      </c>
      <c r="Z239" s="47">
        <f t="shared" si="19"/>
        <v>0</v>
      </c>
      <c r="AA239" s="46">
        <f t="shared" si="23"/>
        <v>0</v>
      </c>
      <c r="AB239" s="46" t="str" cm="1">
        <f t="array" ref="AB239">IFERROR(_xlfn.IFS(L239="FINALIZADO PRESENCIAL",IF(AA239&gt;10,"FORA","DENTRO"),L239="FINALIZADO REMOTO",IF(AA239&gt;5,"FORA","DENTRO")),"-")</f>
        <v>DENTRO</v>
      </c>
      <c r="AC239" s="41" t="s">
        <v>1671</v>
      </c>
      <c r="AD239" s="41" t="s">
        <v>1671</v>
      </c>
      <c r="AE239" s="48" cm="1">
        <f t="array" ref="AE239">SUMPRODUCT(IFERROR(('[2]PEÇAS GARANTIA'!$A$3:$A$5993=G239)*('[2]PEÇAS GARANTIA'!$A$3:$A$5993&lt;&gt;"")*('[2]PEÇAS GARANTIA'!$R$3:$R$5993),0))</f>
        <v>350</v>
      </c>
      <c r="AF239" s="178">
        <v>1350</v>
      </c>
    </row>
    <row r="240" spans="1:32" ht="60" customHeight="1" x14ac:dyDescent="0.25">
      <c r="A240" s="82">
        <v>69918</v>
      </c>
      <c r="B240" s="41" t="str">
        <f>IFERROR(INDEX([1]GARANTIA!$B:$B,MATCH(A240,[1]GARANTIA!$C:$C,0)),"INSIRA N° SERIE")</f>
        <v>TESTE 247</v>
      </c>
      <c r="C240" s="33">
        <f>IFERROR(INDEX([1]GARANTIA!$J:$J,MATCH(A240,[1]GARANTIA!$C:$C,0)),"INSIRA N° SERIE")</f>
        <v>44196</v>
      </c>
      <c r="D240" s="33" t="str">
        <f>IFERROR(IF(INDEX([1]GARANTIA!$M:$M,MATCH(A240,[1]GARANTIA!$C:$C,0))&gt;=I240,"DENTRO DA GARANTIA","FORA DE GARANTIA"),"INSIRA N° SERIE")</f>
        <v>DENTRO DA GARANTIA</v>
      </c>
      <c r="E240" s="148"/>
      <c r="F240" s="109">
        <f>IFERROR(MAX(0,IF(I240-(INDEX([1]GARANTIA!$J:$J,MATCH(A240,[1]GARANTIA!$C:$C,0)))&gt;=0,I240-(INDEX([1]GARANTIA!$L:$L,MATCH(A240,[1]GARANTIA!$C:$C,0))),"INSIRA DATA CHAMADO")),"INSIRA N° SERIE")</f>
        <v>30</v>
      </c>
      <c r="G240" s="98">
        <v>20210648</v>
      </c>
      <c r="H240" s="35" t="str">
        <f t="shared" si="18"/>
        <v>JUL</v>
      </c>
      <c r="I240" s="89">
        <v>44381</v>
      </c>
      <c r="J240" s="90">
        <v>44381</v>
      </c>
      <c r="K240" s="91">
        <v>44385</v>
      </c>
      <c r="L240" s="92" t="s">
        <v>11</v>
      </c>
      <c r="M240" s="92" t="s">
        <v>8</v>
      </c>
      <c r="N240" s="92" t="s">
        <v>40</v>
      </c>
      <c r="O240" s="42" t="str">
        <f>IFERROR(INDEX([1]GARANTIA!$E:$E,MATCH(A240,[1]GARANTIA!$C:$C,0)),"INSIRA N° SERIE")</f>
        <v>MTI - 1.000GTS</v>
      </c>
      <c r="P240" s="101" t="s">
        <v>500</v>
      </c>
      <c r="Q240" s="94" t="s">
        <v>144</v>
      </c>
      <c r="R240" s="93" t="s">
        <v>515</v>
      </c>
      <c r="S240" s="44" t="s">
        <v>638</v>
      </c>
      <c r="T240" s="95" t="s">
        <v>144</v>
      </c>
      <c r="U240" s="96"/>
      <c r="V240" s="41" t="str">
        <f>IFERROR(INDEX([1]GARANTIA!$G:$G,MATCH(A240,[1]GARANTIA!$C:$C,0)),"INSIRA N° SERIE")</f>
        <v>DIAMANTINA</v>
      </c>
      <c r="W240" s="41" t="str">
        <f>IFERROR(INDEX([1]GARANTIA!$H:$H,MATCH(A240,[1]GARANTIA!$C:$C,0)),"INSIRA N° SERIE")</f>
        <v>MG</v>
      </c>
      <c r="X240" s="41" t="str">
        <f>IFERROR(INDEX([1]GARANTIA!$F:$F,MATCH(A240,[1]GARANTIA!$C:$C,0)),"INSIRA N° SERIE")</f>
        <v>SUDESTE</v>
      </c>
      <c r="Y240" s="46">
        <f t="shared" si="22"/>
        <v>0</v>
      </c>
      <c r="Z240" s="47">
        <f t="shared" si="19"/>
        <v>4</v>
      </c>
      <c r="AA240" s="46">
        <f t="shared" si="23"/>
        <v>4</v>
      </c>
      <c r="AB240" s="46" t="str" cm="1">
        <f t="array" ref="AB240">IFERROR(_xlfn.IFS(L240="FINALIZADO PRESENCIAL",IF(AA240&gt;10,"FORA","DENTRO"),L240="FINALIZADO REMOTO",IF(AA240&gt;5,"FORA","DENTRO")),"-")</f>
        <v>DENTRO</v>
      </c>
      <c r="AC240" s="41" t="s">
        <v>1671</v>
      </c>
      <c r="AD240" s="41" t="s">
        <v>1671</v>
      </c>
      <c r="AE240" s="48" cm="1">
        <f t="array" ref="AE240">SUMPRODUCT(IFERROR(('[2]PEÇAS GARANTIA'!$A$3:$A$5993=G240)*('[2]PEÇAS GARANTIA'!$A$3:$A$5993&lt;&gt;"")*('[2]PEÇAS GARANTIA'!$R$3:$R$5993),0))</f>
        <v>0</v>
      </c>
      <c r="AF240" s="178">
        <v>10753.919999999998</v>
      </c>
    </row>
    <row r="241" spans="1:32" ht="42" customHeight="1" x14ac:dyDescent="0.25">
      <c r="A241" s="82">
        <v>47823</v>
      </c>
      <c r="B241" s="41" t="str">
        <f>IFERROR(INDEX([1]GARANTIA!$B:$B,MATCH(A241,[1]GARANTIA!$C:$C,0)),"INSIRA N° SERIE")</f>
        <v>TESTE 295</v>
      </c>
      <c r="C241" s="33">
        <f>IFERROR(INDEX([1]GARANTIA!$J:$J,MATCH(A241,[1]GARANTIA!$C:$C,0)),"INSIRA N° SERIE")</f>
        <v>43830</v>
      </c>
      <c r="D241" s="33" t="str">
        <f>IFERROR(IF(INDEX([1]GARANTIA!$M:$M,MATCH(A241,[1]GARANTIA!$C:$C,0))&gt;=I241,"DENTRO DA GARANTIA","FORA DE GARANTIA"),"INSIRA N° SERIE")</f>
        <v>DENTRO DA GARANTIA</v>
      </c>
      <c r="E241" s="148"/>
      <c r="F241" s="109">
        <f>IFERROR(MAX(0,IF(I241-(INDEX([1]GARANTIA!$J:$J,MATCH(A241,[1]GARANTIA!$C:$C,0)))&gt;=0,I241-(INDEX([1]GARANTIA!$L:$L,MATCH(A241,[1]GARANTIA!$C:$C,0))),"INSIRA DATA CHAMADO")),"INSIRA N° SERIE")</f>
        <v>269</v>
      </c>
      <c r="G241" s="98">
        <v>20210652</v>
      </c>
      <c r="H241" s="35" t="str">
        <f t="shared" si="18"/>
        <v>JUL</v>
      </c>
      <c r="I241" s="89">
        <v>44382</v>
      </c>
      <c r="J241" s="90">
        <v>44382</v>
      </c>
      <c r="K241" s="91">
        <v>44383</v>
      </c>
      <c r="L241" s="92" t="s">
        <v>23</v>
      </c>
      <c r="M241" s="92" t="s">
        <v>8</v>
      </c>
      <c r="N241" s="92" t="s">
        <v>40</v>
      </c>
      <c r="O241" s="42" t="str">
        <f>IFERROR(INDEX([1]GARANTIA!$E:$E,MATCH(A241,[1]GARANTIA!$C:$C,0)),"INSIRA N° SERIE")</f>
        <v>MTI - 12.000GTS</v>
      </c>
      <c r="P241" s="101" t="s">
        <v>507</v>
      </c>
      <c r="Q241" s="94" t="s">
        <v>54</v>
      </c>
      <c r="R241" s="93" t="s">
        <v>508</v>
      </c>
      <c r="S241" s="44" t="s">
        <v>638</v>
      </c>
      <c r="T241" s="56" t="s">
        <v>142</v>
      </c>
      <c r="U241" s="96"/>
      <c r="V241" s="41" t="str">
        <f>IFERROR(INDEX([1]GARANTIA!$G:$G,MATCH(A241,[1]GARANTIA!$C:$C,0)),"INSIRA N° SERIE")</f>
        <v xml:space="preserve">LUIS EDUARDO MAGALHAES </v>
      </c>
      <c r="W241" s="41" t="str">
        <f>IFERROR(INDEX([1]GARANTIA!$H:$H,MATCH(A241,[1]GARANTIA!$C:$C,0)),"INSIRA N° SERIE")</f>
        <v>BA</v>
      </c>
      <c r="X241" s="41" t="str">
        <f>IFERROR(INDEX([1]GARANTIA!$F:$F,MATCH(A241,[1]GARANTIA!$C:$C,0)),"INSIRA N° SERIE")</f>
        <v>NORDESTE</v>
      </c>
      <c r="Y241" s="46">
        <f t="shared" si="22"/>
        <v>0</v>
      </c>
      <c r="Z241" s="47">
        <f t="shared" si="19"/>
        <v>1</v>
      </c>
      <c r="AA241" s="46">
        <f t="shared" si="23"/>
        <v>1</v>
      </c>
      <c r="AB241" s="46" t="str" cm="1">
        <f t="array" ref="AB241">IFERROR(_xlfn.IFS(L241="FINALIZADO PRESENCIAL",IF(AA241&gt;10,"FORA","DENTRO"),L241="FINALIZADO REMOTO",IF(AA241&gt;5,"FORA","DENTRO")),"-")</f>
        <v>DENTRO</v>
      </c>
      <c r="AC241" s="41" t="s">
        <v>1671</v>
      </c>
      <c r="AD241" s="41" t="s">
        <v>1671</v>
      </c>
      <c r="AE241" s="48" cm="1">
        <f t="array" ref="AE241">SUMPRODUCT(IFERROR(('[2]PEÇAS GARANTIA'!$A$3:$A$5993=G241)*('[2]PEÇAS GARANTIA'!$A$3:$A$5993&lt;&gt;"")*('[2]PEÇAS GARANTIA'!$R$3:$R$5993),0))</f>
        <v>0</v>
      </c>
      <c r="AF241" s="178">
        <v>0</v>
      </c>
    </row>
    <row r="242" spans="1:32" ht="42" customHeight="1" x14ac:dyDescent="0.25">
      <c r="A242" s="82">
        <v>74629</v>
      </c>
      <c r="B242" s="41" t="str">
        <f>IFERROR(INDEX([1]GARANTIA!$B:$B,MATCH(A242,[1]GARANTIA!$C:$C,0)),"INSIRA N° SERIE")</f>
        <v>TESTE 329</v>
      </c>
      <c r="C242" s="33">
        <f>IFERROR(INDEX([1]GARANTIA!$J:$J,MATCH(A242,[1]GARANTIA!$C:$C,0)),"INSIRA N° SERIE")</f>
        <v>44090</v>
      </c>
      <c r="D242" s="33" t="str">
        <f>IFERROR(IF(INDEX([1]GARANTIA!$M:$M,MATCH(A242,[1]GARANTIA!$C:$C,0))&gt;=I242,"DENTRO DA GARANTIA","FORA DE GARANTIA"),"INSIRA N° SERIE")</f>
        <v>DENTRO DA GARANTIA</v>
      </c>
      <c r="E242" s="148"/>
      <c r="F242" s="109">
        <f>IFERROR(MAX(0,IF(I242-(INDEX([1]GARANTIA!$J:$J,MATCH(A242,[1]GARANTIA!$C:$C,0)))&gt;=0,I242-(INDEX([1]GARANTIA!$L:$L,MATCH(A242,[1]GARANTIA!$C:$C,0))),"INSIRA DATA CHAMADO")),"INSIRA N° SERIE")</f>
        <v>200</v>
      </c>
      <c r="G242" s="98">
        <v>20210650</v>
      </c>
      <c r="H242" s="35" t="str">
        <f t="shared" si="18"/>
        <v>JUL</v>
      </c>
      <c r="I242" s="89">
        <v>44383</v>
      </c>
      <c r="J242" s="90">
        <v>44383</v>
      </c>
      <c r="K242" s="91">
        <v>44383</v>
      </c>
      <c r="L242" s="92" t="s">
        <v>23</v>
      </c>
      <c r="M242" s="92" t="s">
        <v>8</v>
      </c>
      <c r="N242" s="92" t="s">
        <v>30</v>
      </c>
      <c r="O242" s="42" t="str">
        <f>IFERROR(INDEX([1]GARANTIA!$E:$E,MATCH(A242,[1]GARANTIA!$C:$C,0)),"INSIRA N° SERIE")</f>
        <v>MTI - 1.000GTS</v>
      </c>
      <c r="P242" s="101" t="s">
        <v>503</v>
      </c>
      <c r="Q242" s="94" t="s">
        <v>85</v>
      </c>
      <c r="R242" s="93" t="s">
        <v>504</v>
      </c>
      <c r="S242" s="56" t="s">
        <v>102</v>
      </c>
      <c r="T242" s="56" t="s">
        <v>296</v>
      </c>
      <c r="U242" s="96"/>
      <c r="V242" s="41" t="str">
        <f>IFERROR(INDEX([1]GARANTIA!$G:$G,MATCH(A242,[1]GARANTIA!$C:$C,0)),"INSIRA N° SERIE")</f>
        <v>QUIRINOPOLIS</v>
      </c>
      <c r="W242" s="41" t="str">
        <f>IFERROR(INDEX([1]GARANTIA!$H:$H,MATCH(A242,[1]GARANTIA!$C:$C,0)),"INSIRA N° SERIE")</f>
        <v xml:space="preserve">GO </v>
      </c>
      <c r="X242" s="41" t="str">
        <f>IFERROR(INDEX([1]GARANTIA!$F:$F,MATCH(A242,[1]GARANTIA!$C:$C,0)),"INSIRA N° SERIE")</f>
        <v>CENTROESTE</v>
      </c>
      <c r="Y242" s="46">
        <f t="shared" si="22"/>
        <v>0</v>
      </c>
      <c r="Z242" s="47">
        <f t="shared" si="19"/>
        <v>0</v>
      </c>
      <c r="AA242" s="46">
        <f t="shared" si="23"/>
        <v>0</v>
      </c>
      <c r="AB242" s="46" t="str" cm="1">
        <f t="array" ref="AB242">IFERROR(_xlfn.IFS(L242="FINALIZADO PRESENCIAL",IF(AA242&gt;10,"FORA","DENTRO"),L242="FINALIZADO REMOTO",IF(AA242&gt;5,"FORA","DENTRO")),"-")</f>
        <v>DENTRO</v>
      </c>
      <c r="AC242" s="41" t="s">
        <v>1671</v>
      </c>
      <c r="AD242" s="41" t="s">
        <v>1671</v>
      </c>
      <c r="AE242" s="48" cm="1">
        <f t="array" ref="AE242">SUMPRODUCT(IFERROR(('[2]PEÇAS GARANTIA'!$A$3:$A$5993=G242)*('[2]PEÇAS GARANTIA'!$A$3:$A$5993&lt;&gt;"")*('[2]PEÇAS GARANTIA'!$R$3:$R$5993),0))</f>
        <v>0</v>
      </c>
      <c r="AF242" s="178">
        <v>0</v>
      </c>
    </row>
    <row r="243" spans="1:32" ht="39.75" customHeight="1" x14ac:dyDescent="0.25">
      <c r="A243" s="82">
        <v>76725</v>
      </c>
      <c r="B243" s="41" t="str">
        <f>IFERROR(INDEX([1]GARANTIA!$B:$B,MATCH(A243,[1]GARANTIA!$C:$C,0)),"INSIRA N° SERIE")</f>
        <v>TESTE 65</v>
      </c>
      <c r="C243" s="33">
        <f>IFERROR(INDEX([1]GARANTIA!$J:$J,MATCH(A243,[1]GARANTIA!$C:$C,0)),"INSIRA N° SERIE")</f>
        <v>43882</v>
      </c>
      <c r="D243" s="33" t="str">
        <f>IFERROR(IF(INDEX([1]GARANTIA!$M:$M,MATCH(A243,[1]GARANTIA!$C:$C,0))&gt;=I243,"DENTRO DA GARANTIA","FORA DE GARANTIA"),"INSIRA N° SERIE")</f>
        <v>DENTRO DA GARANTIA</v>
      </c>
      <c r="E243" s="148"/>
      <c r="F243" s="109">
        <f>IFERROR(MAX(0,IF(I243-(INDEX([1]GARANTIA!$J:$J,MATCH(A243,[1]GARANTIA!$C:$C,0)))&gt;=0,I243-(INDEX([1]GARANTIA!$L:$L,MATCH(A243,[1]GARANTIA!$C:$C,0))),"INSIRA DATA CHAMADO")),"INSIRA N° SERIE")</f>
        <v>45</v>
      </c>
      <c r="G243" s="98">
        <v>20210651</v>
      </c>
      <c r="H243" s="35" t="str">
        <f t="shared" si="18"/>
        <v>JUL</v>
      </c>
      <c r="I243" s="89">
        <v>44383</v>
      </c>
      <c r="J243" s="90">
        <v>44383</v>
      </c>
      <c r="K243" s="91">
        <v>44383</v>
      </c>
      <c r="L243" s="92" t="s">
        <v>23</v>
      </c>
      <c r="M243" s="92" t="s">
        <v>8</v>
      </c>
      <c r="N243" s="92" t="s">
        <v>41</v>
      </c>
      <c r="O243" s="42" t="str">
        <f>IFERROR(INDEX([1]GARANTIA!$E:$E,MATCH(A243,[1]GARANTIA!$C:$C,0)),"INSIRA N° SERIE")</f>
        <v>MTI - 12.000GTS</v>
      </c>
      <c r="P243" s="101" t="s">
        <v>505</v>
      </c>
      <c r="Q243" s="94" t="s">
        <v>38</v>
      </c>
      <c r="R243" s="93" t="s">
        <v>506</v>
      </c>
      <c r="S243" s="95" t="s">
        <v>101</v>
      </c>
      <c r="T243" s="95" t="s">
        <v>296</v>
      </c>
      <c r="U243" s="96"/>
      <c r="V243" s="41" t="str">
        <f>IFERROR(INDEX([1]GARANTIA!$G:$G,MATCH(A243,[1]GARANTIA!$C:$C,0)),"INSIRA N° SERIE")</f>
        <v xml:space="preserve">ITAIPU </v>
      </c>
      <c r="W243" s="41" t="str">
        <f>IFERROR(INDEX([1]GARANTIA!$H:$H,MATCH(A243,[1]GARANTIA!$C:$C,0)),"INSIRA N° SERIE")</f>
        <v xml:space="preserve">SP </v>
      </c>
      <c r="X243" s="41" t="str">
        <f>IFERROR(INDEX([1]GARANTIA!$F:$F,MATCH(A243,[1]GARANTIA!$C:$C,0)),"INSIRA N° SERIE")</f>
        <v>SUDESTE</v>
      </c>
      <c r="Y243" s="46">
        <f t="shared" si="22"/>
        <v>0</v>
      </c>
      <c r="Z243" s="47">
        <f t="shared" si="19"/>
        <v>0</v>
      </c>
      <c r="AA243" s="46">
        <f t="shared" si="23"/>
        <v>0</v>
      </c>
      <c r="AB243" s="46" t="str" cm="1">
        <f t="array" ref="AB243">IFERROR(_xlfn.IFS(L243="FINALIZADO PRESENCIAL",IF(AA243&gt;10,"FORA","DENTRO"),L243="FINALIZADO REMOTO",IF(AA243&gt;5,"FORA","DENTRO")),"-")</f>
        <v>DENTRO</v>
      </c>
      <c r="AC243" s="41" t="s">
        <v>1671</v>
      </c>
      <c r="AD243" s="41" t="s">
        <v>1671</v>
      </c>
      <c r="AE243" s="48" cm="1">
        <f t="array" ref="AE243">SUMPRODUCT(IFERROR(('[2]PEÇAS GARANTIA'!$A$3:$A$5993=G243)*('[2]PEÇAS GARANTIA'!$A$3:$A$5993&lt;&gt;"")*('[2]PEÇAS GARANTIA'!$R$3:$R$5993),0))</f>
        <v>0</v>
      </c>
      <c r="AF243" s="178">
        <v>0</v>
      </c>
    </row>
    <row r="244" spans="1:32" ht="29.25" customHeight="1" x14ac:dyDescent="0.25">
      <c r="A244" s="82">
        <v>86086</v>
      </c>
      <c r="B244" s="41" t="str">
        <f>IFERROR(INDEX([1]GARANTIA!$B:$B,MATCH(A244,[1]GARANTIA!$C:$C,0)),"INSIRA N° SERIE")</f>
        <v>TESTE 76</v>
      </c>
      <c r="C244" s="33">
        <f>IFERROR(INDEX([1]GARANTIA!$J:$J,MATCH(A244,[1]GARANTIA!$C:$C,0)),"INSIRA N° SERIE")</f>
        <v>43982</v>
      </c>
      <c r="D244" s="33" t="str">
        <f>IFERROR(IF(INDEX([1]GARANTIA!$M:$M,MATCH(A244,[1]GARANTIA!$C:$C,0))&gt;=I244,"DENTRO DA GARANTIA","FORA DE GARANTIA"),"INSIRA N° SERIE")</f>
        <v>FORA DE GARANTIA</v>
      </c>
      <c r="E244" s="148"/>
      <c r="F244" s="109">
        <f>IFERROR(MAX(0,IF(I244-(INDEX([1]GARANTIA!$J:$J,MATCH(A244,[1]GARANTIA!$C:$C,0)))&gt;=0,I244-(INDEX([1]GARANTIA!$L:$L,MATCH(A244,[1]GARANTIA!$C:$C,0))),"INSIRA DATA CHAMADO")),"INSIRA N° SERIE")</f>
        <v>371</v>
      </c>
      <c r="G244" s="98">
        <v>20210653</v>
      </c>
      <c r="H244" s="35" t="str">
        <f t="shared" si="18"/>
        <v>JUL</v>
      </c>
      <c r="I244" s="89">
        <v>44378</v>
      </c>
      <c r="J244" s="90">
        <v>44378</v>
      </c>
      <c r="K244" s="91">
        <v>44380</v>
      </c>
      <c r="L244" s="92" t="s">
        <v>11</v>
      </c>
      <c r="M244" s="54" t="s">
        <v>8</v>
      </c>
      <c r="N244" s="54" t="s">
        <v>43</v>
      </c>
      <c r="O244" s="42" t="str">
        <f>IFERROR(INDEX([1]GARANTIA!$E:$E,MATCH(A244,[1]GARANTIA!$C:$C,0)),"INSIRA N° SERIE")</f>
        <v>MTI - 1.000GTS</v>
      </c>
      <c r="P244" s="63" t="s">
        <v>402</v>
      </c>
      <c r="Q244" s="55" t="s">
        <v>328</v>
      </c>
      <c r="R244" s="57" t="s">
        <v>403</v>
      </c>
      <c r="S244" s="105" t="s">
        <v>101</v>
      </c>
      <c r="T244" s="105" t="s">
        <v>142</v>
      </c>
      <c r="U244" s="96"/>
      <c r="V244" s="41" t="str">
        <f>IFERROR(INDEX([1]GARANTIA!$G:$G,MATCH(A244,[1]GARANTIA!$C:$C,0)),"INSIRA N° SERIE")</f>
        <v>LUZIANA</v>
      </c>
      <c r="W244" s="41" t="str">
        <f>IFERROR(INDEX([1]GARANTIA!$H:$H,MATCH(A244,[1]GARANTIA!$C:$C,0)),"INSIRA N° SERIE")</f>
        <v xml:space="preserve">GO </v>
      </c>
      <c r="X244" s="41" t="str">
        <f>IFERROR(INDEX([1]GARANTIA!$F:$F,MATCH(A244,[1]GARANTIA!$C:$C,0)),"INSIRA N° SERIE")</f>
        <v>CENTROESTE</v>
      </c>
      <c r="Y244" s="46">
        <f t="shared" si="22"/>
        <v>0</v>
      </c>
      <c r="Z244" s="47">
        <f t="shared" si="19"/>
        <v>2</v>
      </c>
      <c r="AA244" s="46">
        <f t="shared" si="23"/>
        <v>2</v>
      </c>
      <c r="AB244" s="46" t="str" cm="1">
        <f t="array" ref="AB244">IFERROR(_xlfn.IFS(L244="FINALIZADO PRESENCIAL",IF(AA244&gt;10,"FORA","DENTRO"),L244="FINALIZADO REMOTO",IF(AA244&gt;5,"FORA","DENTRO")),"-")</f>
        <v>DENTRO</v>
      </c>
      <c r="AC244" s="41" t="s">
        <v>1671</v>
      </c>
      <c r="AD244" s="41" t="s">
        <v>1671</v>
      </c>
      <c r="AE244" s="48" cm="1">
        <f t="array" ref="AE244">SUMPRODUCT(IFERROR(('[2]PEÇAS GARANTIA'!$A$3:$A$5993=G244)*('[2]PEÇAS GARANTIA'!$A$3:$A$5993&lt;&gt;"")*('[2]PEÇAS GARANTIA'!$R$3:$R$5993),0))</f>
        <v>0</v>
      </c>
      <c r="AF244" s="178">
        <v>3360.4163636364001</v>
      </c>
    </row>
    <row r="245" spans="1:32" ht="36" customHeight="1" x14ac:dyDescent="0.25">
      <c r="A245" s="82">
        <v>50875</v>
      </c>
      <c r="B245" s="41" t="str">
        <f>IFERROR(INDEX([1]GARANTIA!$B:$B,MATCH(A245,[1]GARANTIA!$C:$C,0)),"INSIRA N° SERIE")</f>
        <v>TESTE 186</v>
      </c>
      <c r="C245" s="33">
        <f>IFERROR(INDEX([1]GARANTIA!$J:$J,MATCH(A245,[1]GARANTIA!$C:$C,0)),"INSIRA N° SERIE")</f>
        <v>44075</v>
      </c>
      <c r="D245" s="33" t="str">
        <f>IFERROR(IF(INDEX([1]GARANTIA!$M:$M,MATCH(A245,[1]GARANTIA!$C:$C,0))&gt;=I245,"DENTRO DA GARANTIA","FORA DE GARANTIA"),"INSIRA N° SERIE")</f>
        <v>DENTRO DA GARANTIA</v>
      </c>
      <c r="E245" s="148"/>
      <c r="F245" s="109">
        <f>IFERROR(MAX(0,IF(I245-(INDEX([1]GARANTIA!$J:$J,MATCH(A245,[1]GARANTIA!$C:$C,0)))&gt;=0,I245-(INDEX([1]GARANTIA!$L:$L,MATCH(A245,[1]GARANTIA!$C:$C,0))),"INSIRA DATA CHAMADO")),"INSIRA N° SERIE")</f>
        <v>197</v>
      </c>
      <c r="G245" s="98">
        <v>20210654</v>
      </c>
      <c r="H245" s="35" t="str">
        <f t="shared" si="18"/>
        <v>JUL</v>
      </c>
      <c r="I245" s="89">
        <v>44385</v>
      </c>
      <c r="J245" s="90">
        <v>44385</v>
      </c>
      <c r="K245" s="91">
        <v>44385</v>
      </c>
      <c r="L245" s="92" t="s">
        <v>23</v>
      </c>
      <c r="M245" s="54" t="s">
        <v>8</v>
      </c>
      <c r="N245" s="92" t="s">
        <v>41</v>
      </c>
      <c r="O245" s="42" t="str">
        <f>IFERROR(INDEX([1]GARANTIA!$E:$E,MATCH(A245,[1]GARANTIA!$C:$C,0)),"INSIRA N° SERIE")</f>
        <v>MTI - 7.000GTS</v>
      </c>
      <c r="P245" s="101" t="s">
        <v>509</v>
      </c>
      <c r="Q245" s="94" t="s">
        <v>38</v>
      </c>
      <c r="R245" s="93" t="s">
        <v>510</v>
      </c>
      <c r="S245" s="95" t="s">
        <v>101</v>
      </c>
      <c r="T245" s="95" t="s">
        <v>296</v>
      </c>
      <c r="U245" s="96"/>
      <c r="V245" s="41" t="str">
        <f>IFERROR(INDEX([1]GARANTIA!$G:$G,MATCH(A245,[1]GARANTIA!$C:$C,0)),"INSIRA N° SERIE")</f>
        <v>NOVA SERRANA</v>
      </c>
      <c r="W245" s="41" t="str">
        <f>IFERROR(INDEX([1]GARANTIA!$H:$H,MATCH(A245,[1]GARANTIA!$C:$C,0)),"INSIRA N° SERIE")</f>
        <v>MG</v>
      </c>
      <c r="X245" s="41" t="str">
        <f>IFERROR(INDEX([1]GARANTIA!$F:$F,MATCH(A245,[1]GARANTIA!$C:$C,0)),"INSIRA N° SERIE")</f>
        <v>SUDESTE</v>
      </c>
      <c r="Y245" s="46">
        <f t="shared" si="22"/>
        <v>0</v>
      </c>
      <c r="Z245" s="47">
        <f t="shared" si="19"/>
        <v>0</v>
      </c>
      <c r="AA245" s="46">
        <f t="shared" si="23"/>
        <v>0</v>
      </c>
      <c r="AB245" s="46" t="str" cm="1">
        <f t="array" ref="AB245">IFERROR(_xlfn.IFS(L245="FINALIZADO PRESENCIAL",IF(AA245&gt;10,"FORA","DENTRO"),L245="FINALIZADO REMOTO",IF(AA245&gt;5,"FORA","DENTRO")),"-")</f>
        <v>DENTRO</v>
      </c>
      <c r="AC245" s="41" t="s">
        <v>1671</v>
      </c>
      <c r="AD245" s="41" t="s">
        <v>1671</v>
      </c>
      <c r="AE245" s="48" cm="1">
        <f t="array" ref="AE245">SUMPRODUCT(IFERROR(('[2]PEÇAS GARANTIA'!$A$3:$A$5993=G245)*('[2]PEÇAS GARANTIA'!$A$3:$A$5993&lt;&gt;"")*('[2]PEÇAS GARANTIA'!$R$3:$R$5993),0))</f>
        <v>0</v>
      </c>
      <c r="AF245" s="178">
        <v>0</v>
      </c>
    </row>
    <row r="246" spans="1:32" ht="53.25" customHeight="1" x14ac:dyDescent="0.25">
      <c r="A246" s="82">
        <v>40046</v>
      </c>
      <c r="B246" s="41" t="str">
        <f>IFERROR(INDEX([1]GARANTIA!$B:$B,MATCH(A246,[1]GARANTIA!$C:$C,0)),"INSIRA N° SERIE")</f>
        <v>TESTE 248</v>
      </c>
      <c r="C246" s="33">
        <f>IFERROR(INDEX([1]GARANTIA!$J:$J,MATCH(A246,[1]GARANTIA!$C:$C,0)),"INSIRA N° SERIE")</f>
        <v>44078</v>
      </c>
      <c r="D246" s="33" t="str">
        <f>IFERROR(IF(INDEX([1]GARANTIA!$M:$M,MATCH(A246,[1]GARANTIA!$C:$C,0))&gt;=I246,"DENTRO DA GARANTIA","FORA DE GARANTIA"),"INSIRA N° SERIE")</f>
        <v>DENTRO DA GARANTIA</v>
      </c>
      <c r="E246" s="148"/>
      <c r="F246" s="109">
        <f>IFERROR(MAX(0,IF(I246-(INDEX([1]GARANTIA!$J:$J,MATCH(A246,[1]GARANTIA!$C:$C,0)))&gt;=0,I246-(INDEX([1]GARANTIA!$L:$L,MATCH(A246,[1]GARANTIA!$C:$C,0))),"INSIRA DATA CHAMADO")),"INSIRA N° SERIE")</f>
        <v>237</v>
      </c>
      <c r="G246" s="98">
        <v>20210655</v>
      </c>
      <c r="H246" s="35" t="str">
        <f t="shared" si="18"/>
        <v>JUL</v>
      </c>
      <c r="I246" s="89">
        <v>44385</v>
      </c>
      <c r="J246" s="90">
        <v>44385</v>
      </c>
      <c r="K246" s="91">
        <v>44385</v>
      </c>
      <c r="L246" s="92" t="s">
        <v>23</v>
      </c>
      <c r="M246" s="54" t="s">
        <v>8</v>
      </c>
      <c r="N246" s="92" t="s">
        <v>44</v>
      </c>
      <c r="O246" s="42" t="str">
        <f>IFERROR(INDEX([1]GARANTIA!$E:$E,MATCH(A246,[1]GARANTIA!$C:$C,0)),"INSIRA N° SERIE")</f>
        <v>MTI - 4.000GTS</v>
      </c>
      <c r="P246" s="101" t="s">
        <v>511</v>
      </c>
      <c r="Q246" s="94" t="s">
        <v>328</v>
      </c>
      <c r="R246" s="93" t="s">
        <v>512</v>
      </c>
      <c r="S246" s="95" t="s">
        <v>101</v>
      </c>
      <c r="T246" s="95" t="s">
        <v>296</v>
      </c>
      <c r="U246" s="96"/>
      <c r="V246" s="41" t="str">
        <f>IFERROR(INDEX([1]GARANTIA!$G:$G,MATCH(A246,[1]GARANTIA!$C:$C,0)),"INSIRA N° SERIE")</f>
        <v>PORANGATU</v>
      </c>
      <c r="W246" s="41" t="str">
        <f>IFERROR(INDEX([1]GARANTIA!$H:$H,MATCH(A246,[1]GARANTIA!$C:$C,0)),"INSIRA N° SERIE")</f>
        <v xml:space="preserve">GO </v>
      </c>
      <c r="X246" s="41" t="str">
        <f>IFERROR(INDEX([1]GARANTIA!$F:$F,MATCH(A246,[1]GARANTIA!$C:$C,0)),"INSIRA N° SERIE")</f>
        <v>CENTROESTE</v>
      </c>
      <c r="Y246" s="46">
        <f t="shared" si="22"/>
        <v>0</v>
      </c>
      <c r="Z246" s="47">
        <f t="shared" si="19"/>
        <v>0</v>
      </c>
      <c r="AA246" s="46">
        <f t="shared" si="23"/>
        <v>0</v>
      </c>
      <c r="AB246" s="46" t="str" cm="1">
        <f t="array" ref="AB246">IFERROR(_xlfn.IFS(L246="FINALIZADO PRESENCIAL",IF(AA246&gt;10,"FORA","DENTRO"),L246="FINALIZADO REMOTO",IF(AA246&gt;5,"FORA","DENTRO")),"-")</f>
        <v>DENTRO</v>
      </c>
      <c r="AC246" s="41" t="s">
        <v>1671</v>
      </c>
      <c r="AD246" s="41" t="s">
        <v>1671</v>
      </c>
      <c r="AE246" s="48" cm="1">
        <f t="array" ref="AE246">SUMPRODUCT(IFERROR(('[2]PEÇAS GARANTIA'!$A$3:$A$5993=G246)*('[2]PEÇAS GARANTIA'!$A$3:$A$5993&lt;&gt;"")*('[2]PEÇAS GARANTIA'!$R$3:$R$5993),0))</f>
        <v>0</v>
      </c>
      <c r="AF246" s="178">
        <v>0</v>
      </c>
    </row>
    <row r="247" spans="1:32" ht="37.5" customHeight="1" x14ac:dyDescent="0.25">
      <c r="A247" s="82">
        <v>57409</v>
      </c>
      <c r="B247" s="41" t="str">
        <f>IFERROR(INDEX([1]GARANTIA!$B:$B,MATCH(A247,[1]GARANTIA!$C:$C,0)),"INSIRA N° SERIE")</f>
        <v>TESTE 205</v>
      </c>
      <c r="C247" s="33">
        <f>IFERROR(INDEX([1]GARANTIA!$J:$J,MATCH(A247,[1]GARANTIA!$C:$C,0)),"INSIRA N° SERIE")</f>
        <v>43951</v>
      </c>
      <c r="D247" s="33" t="str">
        <f>IFERROR(IF(INDEX([1]GARANTIA!$M:$M,MATCH(A247,[1]GARANTIA!$C:$C,0))&gt;=I247,"DENTRO DA GARANTIA","FORA DE GARANTIA"),"INSIRA N° SERIE")</f>
        <v>DENTRO DA GARANTIA</v>
      </c>
      <c r="E247" s="148"/>
      <c r="F247" s="109">
        <f>IFERROR(MAX(0,IF(I247-(INDEX([1]GARANTIA!$J:$J,MATCH(A247,[1]GARANTIA!$C:$C,0)))&gt;=0,I247-(INDEX([1]GARANTIA!$L:$L,MATCH(A247,[1]GARANTIA!$C:$C,0))),"INSIRA DATA CHAMADO")),"INSIRA N° SERIE")</f>
        <v>361</v>
      </c>
      <c r="G247" s="98">
        <v>20210656</v>
      </c>
      <c r="H247" s="35" t="str">
        <f t="shared" si="18"/>
        <v>JUL</v>
      </c>
      <c r="I247" s="89">
        <v>44385</v>
      </c>
      <c r="J247" s="90">
        <v>44385</v>
      </c>
      <c r="K247" s="91">
        <v>44386</v>
      </c>
      <c r="L247" s="92" t="s">
        <v>23</v>
      </c>
      <c r="M247" s="54" t="s">
        <v>8</v>
      </c>
      <c r="N247" s="92" t="s">
        <v>31</v>
      </c>
      <c r="O247" s="42" t="str">
        <f>IFERROR(INDEX([1]GARANTIA!$E:$E,MATCH(A247,[1]GARANTIA!$C:$C,0)),"INSIRA N° SERIE")</f>
        <v>MTI - 4.000GTS</v>
      </c>
      <c r="P247" s="101" t="s">
        <v>513</v>
      </c>
      <c r="Q247" s="94" t="s">
        <v>337</v>
      </c>
      <c r="R247" s="93" t="s">
        <v>514</v>
      </c>
      <c r="S247" s="95" t="s">
        <v>325</v>
      </c>
      <c r="T247" s="95" t="s">
        <v>640</v>
      </c>
      <c r="U247" s="96"/>
      <c r="V247" s="41" t="str">
        <f>IFERROR(INDEX([1]GARANTIA!$G:$G,MATCH(A247,[1]GARANTIA!$C:$C,0)),"INSIRA N° SERIE")</f>
        <v>GURUPI</v>
      </c>
      <c r="W247" s="41" t="str">
        <f>IFERROR(INDEX([1]GARANTIA!$H:$H,MATCH(A247,[1]GARANTIA!$C:$C,0)),"INSIRA N° SERIE")</f>
        <v xml:space="preserve">TO </v>
      </c>
      <c r="X247" s="41" t="str">
        <f>IFERROR(INDEX([1]GARANTIA!$F:$F,MATCH(A247,[1]GARANTIA!$C:$C,0)),"INSIRA N° SERIE")</f>
        <v>CENTROESTE</v>
      </c>
      <c r="Y247" s="46">
        <f t="shared" si="22"/>
        <v>0</v>
      </c>
      <c r="Z247" s="47">
        <f t="shared" si="19"/>
        <v>1</v>
      </c>
      <c r="AA247" s="46">
        <f t="shared" si="23"/>
        <v>1</v>
      </c>
      <c r="AB247" s="46" t="str" cm="1">
        <f t="array" ref="AB247">IFERROR(_xlfn.IFS(L247="FINALIZADO PRESENCIAL",IF(AA247&gt;10,"FORA","DENTRO"),L247="FINALIZADO REMOTO",IF(AA247&gt;5,"FORA","DENTRO")),"-")</f>
        <v>DENTRO</v>
      </c>
      <c r="AC247" s="41" t="s">
        <v>1671</v>
      </c>
      <c r="AD247" s="41" t="s">
        <v>1671</v>
      </c>
      <c r="AE247" s="48" cm="1">
        <f t="array" ref="AE247">SUMPRODUCT(IFERROR(('[2]PEÇAS GARANTIA'!$A$3:$A$5993=G247)*('[2]PEÇAS GARANTIA'!$A$3:$A$5993&lt;&gt;"")*('[2]PEÇAS GARANTIA'!$R$3:$R$5993),0))</f>
        <v>0</v>
      </c>
      <c r="AF247" s="178">
        <v>0</v>
      </c>
    </row>
    <row r="248" spans="1:32" ht="64.5" customHeight="1" x14ac:dyDescent="0.25">
      <c r="A248" s="82">
        <v>57868</v>
      </c>
      <c r="B248" s="41" t="str">
        <f>IFERROR(INDEX([1]GARANTIA!$B:$B,MATCH(A248,[1]GARANTIA!$C:$C,0)),"INSIRA N° SERIE")</f>
        <v>TESTE 252</v>
      </c>
      <c r="C248" s="33">
        <f>IFERROR(INDEX([1]GARANTIA!$J:$J,MATCH(A248,[1]GARANTIA!$C:$C,0)),"INSIRA N° SERIE")</f>
        <v>44043</v>
      </c>
      <c r="D248" s="33" t="str">
        <f>IFERROR(IF(INDEX([1]GARANTIA!$M:$M,MATCH(A248,[1]GARANTIA!$C:$C,0))&gt;=I248,"DENTRO DA GARANTIA","FORA DE GARANTIA"),"INSIRA N° SERIE")</f>
        <v>DENTRO DA GARANTIA</v>
      </c>
      <c r="E248" s="148"/>
      <c r="F248" s="109">
        <f>IFERROR(MAX(0,IF(I248-(INDEX([1]GARANTIA!$J:$J,MATCH(A248,[1]GARANTIA!$C:$C,0)))&gt;=0,I248-(INDEX([1]GARANTIA!$L:$L,MATCH(A248,[1]GARANTIA!$C:$C,0))),"INSIRA DATA CHAMADO")),"INSIRA N° SERIE")</f>
        <v>251</v>
      </c>
      <c r="G248" s="98">
        <v>20210660</v>
      </c>
      <c r="H248" s="35" t="str">
        <f t="shared" si="18"/>
        <v>JUL</v>
      </c>
      <c r="I248" s="89">
        <v>44385</v>
      </c>
      <c r="J248" s="90">
        <v>44385</v>
      </c>
      <c r="K248" s="91">
        <v>44391</v>
      </c>
      <c r="L248" s="42" t="s">
        <v>11</v>
      </c>
      <c r="M248" s="54" t="s">
        <v>8</v>
      </c>
      <c r="N248" s="92" t="s">
        <v>57</v>
      </c>
      <c r="O248" s="42" t="str">
        <f>IFERROR(INDEX([1]GARANTIA!$E:$E,MATCH(A248,[1]GARANTIA!$C:$C,0)),"INSIRA N° SERIE")</f>
        <v>GERADOR DE 32.000 GT</v>
      </c>
      <c r="P248" s="101" t="s">
        <v>520</v>
      </c>
      <c r="Q248" s="94" t="s">
        <v>305</v>
      </c>
      <c r="R248" s="93" t="s">
        <v>533</v>
      </c>
      <c r="S248" s="44" t="s">
        <v>638</v>
      </c>
      <c r="T248" s="95" t="s">
        <v>143</v>
      </c>
      <c r="U248" s="96"/>
      <c r="V248" s="41" t="str">
        <f>IFERROR(INDEX([1]GARANTIA!$G:$G,MATCH(A248,[1]GARANTIA!$C:$C,0)),"INSIRA N° SERIE")</f>
        <v>MANAUS</v>
      </c>
      <c r="W248" s="41" t="str">
        <f>IFERROR(INDEX([1]GARANTIA!$H:$H,MATCH(A248,[1]GARANTIA!$C:$C,0)),"INSIRA N° SERIE")</f>
        <v xml:space="preserve">AM </v>
      </c>
      <c r="X248" s="41" t="str">
        <f>IFERROR(INDEX([1]GARANTIA!$F:$F,MATCH(A248,[1]GARANTIA!$C:$C,0)),"INSIRA N° SERIE")</f>
        <v>NORTE</v>
      </c>
      <c r="Y248" s="46">
        <f t="shared" si="22"/>
        <v>0</v>
      </c>
      <c r="Z248" s="47">
        <f t="shared" si="19"/>
        <v>6</v>
      </c>
      <c r="AA248" s="46">
        <f t="shared" si="23"/>
        <v>6</v>
      </c>
      <c r="AB248" s="46" t="str" cm="1">
        <f t="array" ref="AB248">IFERROR(_xlfn.IFS(L248="FINALIZADO PRESENCIAL",IF(AA248&gt;10,"FORA","DENTRO"),L248="FINALIZADO REMOTO",IF(AA248&gt;5,"FORA","DENTRO")),"-")</f>
        <v>DENTRO</v>
      </c>
      <c r="AC248" s="41" t="s">
        <v>1671</v>
      </c>
      <c r="AD248" s="41" t="s">
        <v>1671</v>
      </c>
      <c r="AE248" s="48" cm="1">
        <f t="array" ref="AE248">SUMPRODUCT(IFERROR(('[2]PEÇAS GARANTIA'!$A$3:$A$5993=G248)*('[2]PEÇAS GARANTIA'!$A$3:$A$5993&lt;&gt;"")*('[2]PEÇAS GARANTIA'!$R$3:$R$5993),0))</f>
        <v>0</v>
      </c>
      <c r="AF248" s="178">
        <v>0</v>
      </c>
    </row>
    <row r="249" spans="1:32" ht="44.25" customHeight="1" x14ac:dyDescent="0.25">
      <c r="A249" s="82">
        <v>73892</v>
      </c>
      <c r="B249" s="41" t="str">
        <f>IFERROR(INDEX([1]GARANTIA!$B:$B,MATCH(A249,[1]GARANTIA!$C:$C,0)),"INSIRA N° SERIE")</f>
        <v>TESTE 240</v>
      </c>
      <c r="C249" s="33">
        <f>IFERROR(INDEX([1]GARANTIA!$J:$J,MATCH(A249,[1]GARANTIA!$C:$C,0)),"INSIRA N° SERIE")</f>
        <v>44298</v>
      </c>
      <c r="D249" s="33" t="str">
        <f>IFERROR(IF(INDEX([1]GARANTIA!$M:$M,MATCH(A249,[1]GARANTIA!$C:$C,0))&gt;=I249,"DENTRO DA GARANTIA","FORA DE GARANTIA"),"INSIRA N° SERIE")</f>
        <v>DENTRO DA GARANTIA</v>
      </c>
      <c r="E249" s="148"/>
      <c r="F249" s="109">
        <f>IFERROR(MAX(0,IF(I249-(INDEX([1]GARANTIA!$J:$J,MATCH(A249,[1]GARANTIA!$C:$C,0)))&gt;=0,I249-(INDEX([1]GARANTIA!$L:$L,MATCH(A249,[1]GARANTIA!$C:$C,0))),"INSIRA DATA CHAMADO")),"INSIRA N° SERIE")</f>
        <v>50</v>
      </c>
      <c r="G249" s="98">
        <v>20210657</v>
      </c>
      <c r="H249" s="35" t="str">
        <f t="shared" si="18"/>
        <v>JUL</v>
      </c>
      <c r="I249" s="89">
        <v>44386</v>
      </c>
      <c r="J249" s="90">
        <v>44386</v>
      </c>
      <c r="K249" s="91">
        <v>44386</v>
      </c>
      <c r="L249" s="92" t="s">
        <v>23</v>
      </c>
      <c r="M249" s="54" t="s">
        <v>8</v>
      </c>
      <c r="N249" s="92" t="s">
        <v>28</v>
      </c>
      <c r="O249" s="42" t="str">
        <f>IFERROR(INDEX([1]GARANTIA!$E:$E,MATCH(A249,[1]GARANTIA!$C:$C,0)),"INSIRA N° SERIE")</f>
        <v>MTI - 1.000GTS</v>
      </c>
      <c r="P249" s="101" t="s">
        <v>516</v>
      </c>
      <c r="Q249" s="94" t="s">
        <v>328</v>
      </c>
      <c r="R249" s="93" t="s">
        <v>517</v>
      </c>
      <c r="S249" s="95" t="s">
        <v>101</v>
      </c>
      <c r="T249" s="95" t="s">
        <v>142</v>
      </c>
      <c r="U249" s="96"/>
      <c r="V249" s="41" t="str">
        <f>IFERROR(INDEX([1]GARANTIA!$G:$G,MATCH(A249,[1]GARANTIA!$C:$C,0)),"INSIRA N° SERIE")</f>
        <v>FORMOSA</v>
      </c>
      <c r="W249" s="41" t="str">
        <f>IFERROR(INDEX([1]GARANTIA!$H:$H,MATCH(A249,[1]GARANTIA!$C:$C,0)),"INSIRA N° SERIE")</f>
        <v>GO</v>
      </c>
      <c r="X249" s="41" t="str">
        <f>IFERROR(INDEX([1]GARANTIA!$F:$F,MATCH(A249,[1]GARANTIA!$C:$C,0)),"INSIRA N° SERIE")</f>
        <v>CENTROESTE</v>
      </c>
      <c r="Y249" s="46">
        <f t="shared" si="22"/>
        <v>0</v>
      </c>
      <c r="Z249" s="47">
        <f t="shared" si="19"/>
        <v>0</v>
      </c>
      <c r="AA249" s="46">
        <f t="shared" si="23"/>
        <v>0</v>
      </c>
      <c r="AB249" s="46" t="str" cm="1">
        <f t="array" ref="AB249">IFERROR(_xlfn.IFS(L249="FINALIZADO PRESENCIAL",IF(AA249&gt;10,"FORA","DENTRO"),L249="FINALIZADO REMOTO",IF(AA249&gt;5,"FORA","DENTRO")),"-")</f>
        <v>DENTRO</v>
      </c>
      <c r="AC249" s="41" t="s">
        <v>1671</v>
      </c>
      <c r="AD249" s="41" t="s">
        <v>1671</v>
      </c>
      <c r="AE249" s="48" cm="1">
        <f t="array" ref="AE249">SUMPRODUCT(IFERROR(('[2]PEÇAS GARANTIA'!$A$3:$A$5993=G249)*('[2]PEÇAS GARANTIA'!$A$3:$A$5993&lt;&gt;"")*('[2]PEÇAS GARANTIA'!$R$3:$R$5993),0))</f>
        <v>0</v>
      </c>
      <c r="AF249" s="178">
        <v>0</v>
      </c>
    </row>
    <row r="250" spans="1:32" ht="44.25" customHeight="1" x14ac:dyDescent="0.25">
      <c r="A250" s="82">
        <v>86328</v>
      </c>
      <c r="B250" s="41" t="str">
        <f>IFERROR(INDEX([1]GARANTIA!$B:$B,MATCH(A250,[1]GARANTIA!$C:$C,0)),"INSIRA N° SERIE")</f>
        <v>TESTE 211</v>
      </c>
      <c r="C250" s="33">
        <f>IFERROR(INDEX([1]GARANTIA!$J:$J,MATCH(A250,[1]GARANTIA!$C:$C,0)),"INSIRA N° SERIE")</f>
        <v>44084</v>
      </c>
      <c r="D250" s="33" t="str">
        <f>IFERROR(IF(INDEX([1]GARANTIA!$M:$M,MATCH(A250,[1]GARANTIA!$C:$C,0))&gt;=I250,"DENTRO DA GARANTIA","FORA DE GARANTIA"),"INSIRA N° SERIE")</f>
        <v>DENTRO DA GARANTIA</v>
      </c>
      <c r="E250" s="148"/>
      <c r="F250" s="109">
        <f>IFERROR(MAX(0,IF(I250-(INDEX([1]GARANTIA!$J:$J,MATCH(A250,[1]GARANTIA!$C:$C,0)))&gt;=0,I250-(INDEX([1]GARANTIA!$L:$L,MATCH(A250,[1]GARANTIA!$C:$C,0))),"INSIRA DATA CHAMADO")),"INSIRA N° SERIE")</f>
        <v>208</v>
      </c>
      <c r="G250" s="98">
        <v>20210658</v>
      </c>
      <c r="H250" s="35" t="str">
        <f t="shared" si="18"/>
        <v>JUL</v>
      </c>
      <c r="I250" s="89">
        <v>44387</v>
      </c>
      <c r="J250" s="90">
        <v>44387</v>
      </c>
      <c r="K250" s="91">
        <v>44387</v>
      </c>
      <c r="L250" s="92" t="s">
        <v>23</v>
      </c>
      <c r="M250" s="54" t="s">
        <v>8</v>
      </c>
      <c r="N250" s="92" t="s">
        <v>44</v>
      </c>
      <c r="O250" s="42" t="str">
        <f>IFERROR(INDEX([1]GARANTIA!$E:$E,MATCH(A250,[1]GARANTIA!$C:$C,0)),"INSIRA N° SERIE")</f>
        <v>MTI - 1.000GTS</v>
      </c>
      <c r="P250" s="101" t="s">
        <v>518</v>
      </c>
      <c r="Q250" s="94" t="s">
        <v>330</v>
      </c>
      <c r="R250" s="93" t="s">
        <v>519</v>
      </c>
      <c r="S250" s="95" t="s">
        <v>639</v>
      </c>
      <c r="T250" s="95" t="s">
        <v>142</v>
      </c>
      <c r="U250" s="96"/>
      <c r="V250" s="41" t="str">
        <f>IFERROR(INDEX([1]GARANTIA!$G:$G,MATCH(A250,[1]GARANTIA!$C:$C,0)),"INSIRA N° SERIE")</f>
        <v xml:space="preserve">RIO BRANCO </v>
      </c>
      <c r="W250" s="41" t="str">
        <f>IFERROR(INDEX([1]GARANTIA!$H:$H,MATCH(A250,[1]GARANTIA!$C:$C,0)),"INSIRA N° SERIE")</f>
        <v>AC</v>
      </c>
      <c r="X250" s="41" t="str">
        <f>IFERROR(INDEX([1]GARANTIA!$F:$F,MATCH(A250,[1]GARANTIA!$C:$C,0)),"INSIRA N° SERIE")</f>
        <v>NORTE</v>
      </c>
      <c r="Y250" s="46">
        <f t="shared" si="22"/>
        <v>0</v>
      </c>
      <c r="Z250" s="47">
        <f t="shared" si="19"/>
        <v>0</v>
      </c>
      <c r="AA250" s="46">
        <f t="shared" si="23"/>
        <v>0</v>
      </c>
      <c r="AB250" s="46" t="str" cm="1">
        <f t="array" ref="AB250">IFERROR(_xlfn.IFS(L250="FINALIZADO PRESENCIAL",IF(AA250&gt;10,"FORA","DENTRO"),L250="FINALIZADO REMOTO",IF(AA250&gt;5,"FORA","DENTRO")),"-")</f>
        <v>DENTRO</v>
      </c>
      <c r="AC250" s="41" t="s">
        <v>1671</v>
      </c>
      <c r="AD250" s="41" t="s">
        <v>1671</v>
      </c>
      <c r="AE250" s="48" cm="1">
        <f t="array" ref="AE250">SUMPRODUCT(IFERROR(('[2]PEÇAS GARANTIA'!$A$3:$A$5993=G250)*('[2]PEÇAS GARANTIA'!$A$3:$A$5993&lt;&gt;"")*('[2]PEÇAS GARANTIA'!$R$3:$R$5993),0))</f>
        <v>0</v>
      </c>
      <c r="AF250" s="178">
        <v>0</v>
      </c>
    </row>
    <row r="251" spans="1:32" ht="43.5" customHeight="1" x14ac:dyDescent="0.25">
      <c r="A251" s="82">
        <v>75845</v>
      </c>
      <c r="B251" s="41" t="str">
        <f>IFERROR(INDEX([1]GARANTIA!$B:$B,MATCH(A251,[1]GARANTIA!$C:$C,0)),"INSIRA N° SERIE")</f>
        <v>TESTE 185</v>
      </c>
      <c r="C251" s="33">
        <f>IFERROR(INDEX([1]GARANTIA!$J:$J,MATCH(A251,[1]GARANTIA!$C:$C,0)),"INSIRA N° SERIE")</f>
        <v>44201</v>
      </c>
      <c r="D251" s="33" t="str">
        <f>IFERROR(IF(INDEX([1]GARANTIA!$M:$M,MATCH(A251,[1]GARANTIA!$C:$C,0))&gt;=I251,"DENTRO DA GARANTIA","FORA DE GARANTIA"),"INSIRA N° SERIE")</f>
        <v>DENTRO DA GARANTIA</v>
      </c>
      <c r="E251" s="148"/>
      <c r="F251" s="109">
        <f>IFERROR(MAX(0,IF(I251-(INDEX([1]GARANTIA!$J:$J,MATCH(A251,[1]GARANTIA!$C:$C,0)))&gt;=0,I251-(INDEX([1]GARANTIA!$L:$L,MATCH(A251,[1]GARANTIA!$C:$C,0))),"INSIRA DATA CHAMADO")),"INSIRA N° SERIE")</f>
        <v>0</v>
      </c>
      <c r="G251" s="98">
        <v>20210661</v>
      </c>
      <c r="H251" s="35" t="str">
        <f t="shared" si="18"/>
        <v>JUL</v>
      </c>
      <c r="I251" s="89">
        <v>44385</v>
      </c>
      <c r="J251" s="90">
        <v>44385</v>
      </c>
      <c r="K251" s="91">
        <v>44385</v>
      </c>
      <c r="L251" s="92" t="s">
        <v>11</v>
      </c>
      <c r="M251" s="92" t="s">
        <v>164</v>
      </c>
      <c r="N251" s="92" t="s">
        <v>40</v>
      </c>
      <c r="O251" s="42" t="str">
        <f>IFERROR(INDEX([1]GARANTIA!$E:$E,MATCH(A251,[1]GARANTIA!$C:$C,0)),"INSIRA N° SERIE")</f>
        <v>GERADOR DE GELO MTI - 22.000GT</v>
      </c>
      <c r="P251" s="101" t="s">
        <v>746</v>
      </c>
      <c r="Q251" s="94" t="s">
        <v>324</v>
      </c>
      <c r="R251" s="93" t="s">
        <v>747</v>
      </c>
      <c r="S251" s="95" t="s">
        <v>101</v>
      </c>
      <c r="T251" s="95" t="s">
        <v>306</v>
      </c>
      <c r="U251" s="96"/>
      <c r="V251" s="41" t="str">
        <f>IFERROR(INDEX([1]GARANTIA!$G:$G,MATCH(A251,[1]GARANTIA!$C:$C,0)),"INSIRA N° SERIE")</f>
        <v xml:space="preserve"> TEIXEIRA DE FREITAS</v>
      </c>
      <c r="W251" s="41" t="str">
        <f>IFERROR(INDEX([1]GARANTIA!$H:$H,MATCH(A251,[1]GARANTIA!$C:$C,0)),"INSIRA N° SERIE")</f>
        <v>BA</v>
      </c>
      <c r="X251" s="41" t="str">
        <f>IFERROR(INDEX([1]GARANTIA!$F:$F,MATCH(A251,[1]GARANTIA!$C:$C,0)),"INSIRA N° SERIE")</f>
        <v>NORDESTE</v>
      </c>
      <c r="Y251" s="46">
        <f t="shared" si="22"/>
        <v>0</v>
      </c>
      <c r="Z251" s="47">
        <f t="shared" si="19"/>
        <v>0</v>
      </c>
      <c r="AA251" s="46">
        <f t="shared" si="23"/>
        <v>0</v>
      </c>
      <c r="AB251" s="46" t="str" cm="1">
        <f t="array" ref="AB251">IFERROR(_xlfn.IFS(L251="FINALIZADO PRESENCIAL",IF(AA251&gt;10,"FORA","DENTRO"),L251="FINALIZADO REMOTO",IF(AA251&gt;5,"FORA","DENTRO")),"-")</f>
        <v>DENTRO</v>
      </c>
      <c r="AC251" s="41" t="s">
        <v>1671</v>
      </c>
      <c r="AD251" s="41" t="s">
        <v>1671</v>
      </c>
      <c r="AE251" s="48" cm="1">
        <f t="array" ref="AE251">SUMPRODUCT(IFERROR(('[2]PEÇAS GARANTIA'!$A$3:$A$5993=G251)*('[2]PEÇAS GARANTIA'!$A$3:$A$5993&lt;&gt;"")*('[2]PEÇAS GARANTIA'!$R$3:$R$5993),0))</f>
        <v>504</v>
      </c>
      <c r="AF251" s="178">
        <v>0</v>
      </c>
    </row>
    <row r="252" spans="1:32" ht="29.25" customHeight="1" x14ac:dyDescent="0.25">
      <c r="A252" s="82">
        <v>81650</v>
      </c>
      <c r="B252" s="41" t="str">
        <f>IFERROR(INDEX([1]GARANTIA!$B:$B,MATCH(A252,[1]GARANTIA!$C:$C,0)),"INSIRA N° SERIE")</f>
        <v>TESTE 322</v>
      </c>
      <c r="C252" s="33">
        <f>IFERROR(INDEX([1]GARANTIA!$J:$J,MATCH(A252,[1]GARANTIA!$C:$C,0)),"INSIRA N° SERIE")</f>
        <v>44236</v>
      </c>
      <c r="D252" s="33" t="str">
        <f>IFERROR(IF(INDEX([1]GARANTIA!$M:$M,MATCH(A252,[1]GARANTIA!$C:$C,0))&gt;=I252,"DENTRO DA GARANTIA","FORA DE GARANTIA"),"INSIRA N° SERIE")</f>
        <v>DENTRO DA GARANTIA</v>
      </c>
      <c r="E252" s="148"/>
      <c r="F252" s="109">
        <f>IFERROR(MAX(0,IF(I252-(INDEX([1]GARANTIA!$J:$J,MATCH(A252,[1]GARANTIA!$C:$C,0)))&gt;=0,I252-(INDEX([1]GARANTIA!$L:$L,MATCH(A252,[1]GARANTIA!$C:$C,0))),"INSIRA DATA CHAMADO")),"INSIRA N° SERIE")</f>
        <v>0</v>
      </c>
      <c r="G252" s="98">
        <v>20210662</v>
      </c>
      <c r="H252" s="35" t="str">
        <f t="shared" si="18"/>
        <v>JUL</v>
      </c>
      <c r="I252" s="89">
        <v>44387</v>
      </c>
      <c r="J252" s="90">
        <v>44387</v>
      </c>
      <c r="K252" s="91">
        <v>44387</v>
      </c>
      <c r="L252" s="92" t="s">
        <v>11</v>
      </c>
      <c r="M252" s="92" t="s">
        <v>164</v>
      </c>
      <c r="N252" s="92" t="s">
        <v>64</v>
      </c>
      <c r="O252" s="42" t="str">
        <f>IFERROR(INDEX([1]GARANTIA!$E:$E,MATCH(A252,[1]GARANTIA!$C:$C,0)),"INSIRA N° SERIE")</f>
        <v>MTI - 2.500GTS</v>
      </c>
      <c r="P252" s="101" t="s">
        <v>521</v>
      </c>
      <c r="Q252" s="94" t="s">
        <v>333</v>
      </c>
      <c r="R252" s="101" t="s">
        <v>541</v>
      </c>
      <c r="S252" s="44" t="s">
        <v>638</v>
      </c>
      <c r="T252" s="95" t="s">
        <v>141</v>
      </c>
      <c r="U252" s="96"/>
      <c r="V252" s="41" t="str">
        <f>IFERROR(INDEX([1]GARANTIA!$G:$G,MATCH(A252,[1]GARANTIA!$C:$C,0)),"INSIRA N° SERIE")</f>
        <v>SINOP</v>
      </c>
      <c r="W252" s="41" t="str">
        <f>IFERROR(INDEX([1]GARANTIA!$H:$H,MATCH(A252,[1]GARANTIA!$C:$C,0)),"INSIRA N° SERIE")</f>
        <v>MT</v>
      </c>
      <c r="X252" s="41" t="str">
        <f>IFERROR(INDEX([1]GARANTIA!$F:$F,MATCH(A252,[1]GARANTIA!$C:$C,0)),"INSIRA N° SERIE")</f>
        <v>CENTROESTE</v>
      </c>
      <c r="Y252" s="46">
        <f t="shared" si="22"/>
        <v>0</v>
      </c>
      <c r="Z252" s="47">
        <f t="shared" si="19"/>
        <v>0</v>
      </c>
      <c r="AA252" s="46">
        <f t="shared" si="23"/>
        <v>0</v>
      </c>
      <c r="AB252" s="46" t="str" cm="1">
        <f t="array" ref="AB252">IFERROR(_xlfn.IFS(L252="FINALIZADO PRESENCIAL",IF(AA252&gt;10,"FORA","DENTRO"),L252="FINALIZADO REMOTO",IF(AA252&gt;5,"FORA","DENTRO")),"-")</f>
        <v>DENTRO</v>
      </c>
      <c r="AC252" s="41" t="s">
        <v>1671</v>
      </c>
      <c r="AD252" s="41" t="s">
        <v>1671</v>
      </c>
      <c r="AE252" s="48" cm="1">
        <f t="array" ref="AE252">SUMPRODUCT(IFERROR(('[2]PEÇAS GARANTIA'!$A$3:$A$5993=G252)*('[2]PEÇAS GARANTIA'!$A$3:$A$5993&lt;&gt;"")*('[2]PEÇAS GARANTIA'!$R$3:$R$5993),0))</f>
        <v>56.41</v>
      </c>
      <c r="AF252" s="178">
        <v>0</v>
      </c>
    </row>
    <row r="253" spans="1:32" ht="36.75" customHeight="1" x14ac:dyDescent="0.25">
      <c r="A253" s="82">
        <v>71327</v>
      </c>
      <c r="B253" s="41" t="str">
        <f>IFERROR(INDEX([1]GARANTIA!$B:$B,MATCH(A253,[1]GARANTIA!$C:$C,0)),"INSIRA N° SERIE")</f>
        <v>TESTE 323</v>
      </c>
      <c r="C253" s="33">
        <f>IFERROR(INDEX([1]GARANTIA!$J:$J,MATCH(A253,[1]GARANTIA!$C:$C,0)),"INSIRA N° SERIE")</f>
        <v>44236</v>
      </c>
      <c r="D253" s="33" t="str">
        <f>IFERROR(IF(INDEX([1]GARANTIA!$M:$M,MATCH(A253,[1]GARANTIA!$C:$C,0))&gt;=I253,"DENTRO DA GARANTIA","FORA DE GARANTIA"),"INSIRA N° SERIE")</f>
        <v>DENTRO DA GARANTIA</v>
      </c>
      <c r="E253" s="148"/>
      <c r="F253" s="109">
        <f>IFERROR(MAX(0,IF(I253-(INDEX([1]GARANTIA!$J:$J,MATCH(A253,[1]GARANTIA!$C:$C,0)))&gt;=0,I253-(INDEX([1]GARANTIA!$L:$L,MATCH(A253,[1]GARANTIA!$C:$C,0))),"INSIRA DATA CHAMADO")),"INSIRA N° SERIE")</f>
        <v>0</v>
      </c>
      <c r="G253" s="98">
        <v>20210664</v>
      </c>
      <c r="H253" s="35" t="str">
        <f t="shared" si="18"/>
        <v>JUL</v>
      </c>
      <c r="I253" s="89">
        <v>44387</v>
      </c>
      <c r="J253" s="90">
        <v>44387</v>
      </c>
      <c r="K253" s="91">
        <v>44387</v>
      </c>
      <c r="L253" s="92" t="s">
        <v>11</v>
      </c>
      <c r="M253" s="92" t="s">
        <v>164</v>
      </c>
      <c r="N253" s="92" t="s">
        <v>64</v>
      </c>
      <c r="O253" s="42" t="str">
        <f>IFERROR(INDEX([1]GARANTIA!$E:$E,MATCH(A253,[1]GARANTIA!$C:$C,0)),"INSIRA N° SERIE")</f>
        <v>E - 300</v>
      </c>
      <c r="P253" s="101" t="s">
        <v>523</v>
      </c>
      <c r="Q253" s="94" t="s">
        <v>333</v>
      </c>
      <c r="R253" s="93" t="s">
        <v>522</v>
      </c>
      <c r="S253" s="44" t="s">
        <v>638</v>
      </c>
      <c r="T253" s="95" t="s">
        <v>141</v>
      </c>
      <c r="U253" s="96"/>
      <c r="V253" s="41" t="str">
        <f>IFERROR(INDEX([1]GARANTIA!$G:$G,MATCH(A253,[1]GARANTIA!$C:$C,0)),"INSIRA N° SERIE")</f>
        <v>SINOP</v>
      </c>
      <c r="W253" s="41" t="str">
        <f>IFERROR(INDEX([1]GARANTIA!$H:$H,MATCH(A253,[1]GARANTIA!$C:$C,0)),"INSIRA N° SERIE")</f>
        <v>MT</v>
      </c>
      <c r="X253" s="41" t="str">
        <f>IFERROR(INDEX([1]GARANTIA!$F:$F,MATCH(A253,[1]GARANTIA!$C:$C,0)),"INSIRA N° SERIE")</f>
        <v>CENTROESTE</v>
      </c>
      <c r="Y253" s="46">
        <f t="shared" si="22"/>
        <v>0</v>
      </c>
      <c r="Z253" s="47">
        <f t="shared" si="19"/>
        <v>0</v>
      </c>
      <c r="AA253" s="46">
        <f t="shared" si="23"/>
        <v>0</v>
      </c>
      <c r="AB253" s="46" t="str" cm="1">
        <f t="array" ref="AB253">IFERROR(_xlfn.IFS(L253="FINALIZADO PRESENCIAL",IF(AA253&gt;10,"FORA","DENTRO"),L253="FINALIZADO REMOTO",IF(AA253&gt;5,"FORA","DENTRO")),"-")</f>
        <v>DENTRO</v>
      </c>
      <c r="AC253" s="41" t="s">
        <v>1671</v>
      </c>
      <c r="AD253" s="41" t="s">
        <v>1671</v>
      </c>
      <c r="AE253" s="48" cm="1">
        <f t="array" ref="AE253">SUMPRODUCT(IFERROR(('[2]PEÇAS GARANTIA'!$A$3:$A$5993=G253)*('[2]PEÇAS GARANTIA'!$A$3:$A$5993&lt;&gt;"")*('[2]PEÇAS GARANTIA'!$R$3:$R$5993),0))</f>
        <v>0</v>
      </c>
      <c r="AF253" s="178">
        <v>0</v>
      </c>
    </row>
    <row r="254" spans="1:32" ht="34.5" customHeight="1" x14ac:dyDescent="0.25">
      <c r="A254" s="82">
        <v>28435</v>
      </c>
      <c r="B254" s="41" t="str">
        <f>IFERROR(INDEX([1]GARANTIA!$B:$B,MATCH(A254,[1]GARANTIA!$C:$C,0)),"INSIRA N° SERIE")</f>
        <v>TESTE 101</v>
      </c>
      <c r="C254" s="33">
        <f>IFERROR(INDEX([1]GARANTIA!$J:$J,MATCH(A254,[1]GARANTIA!$C:$C,0)),"INSIRA N° SERIE")</f>
        <v>44180</v>
      </c>
      <c r="D254" s="33" t="str">
        <f>IFERROR(IF(INDEX([1]GARANTIA!$M:$M,MATCH(A254,[1]GARANTIA!$C:$C,0))&gt;=I254,"DENTRO DA GARANTIA","FORA DE GARANTIA"),"INSIRA N° SERIE")</f>
        <v>DENTRO DA GARANTIA</v>
      </c>
      <c r="E254" s="148"/>
      <c r="F254" s="109">
        <f>IFERROR(MAX(0,IF(I254-(INDEX([1]GARANTIA!$J:$J,MATCH(A254,[1]GARANTIA!$C:$C,0)))&gt;=0,I254-(INDEX([1]GARANTIA!$L:$L,MATCH(A254,[1]GARANTIA!$C:$C,0))),"INSIRA DATA CHAMADO")),"INSIRA N° SERIE")</f>
        <v>0</v>
      </c>
      <c r="G254" s="98">
        <v>20210663</v>
      </c>
      <c r="H254" s="35" t="str">
        <f t="shared" si="18"/>
        <v>JUL</v>
      </c>
      <c r="I254" s="89">
        <v>44386</v>
      </c>
      <c r="J254" s="90">
        <v>44386</v>
      </c>
      <c r="K254" s="91">
        <v>44386</v>
      </c>
      <c r="L254" s="92" t="s">
        <v>11</v>
      </c>
      <c r="M254" s="92" t="s">
        <v>164</v>
      </c>
      <c r="N254" s="92" t="s">
        <v>41</v>
      </c>
      <c r="O254" s="42" t="str">
        <f>IFERROR(INDEX([1]GARANTIA!$E:$E,MATCH(A254,[1]GARANTIA!$C:$C,0)),"INSIRA N° SERIE")</f>
        <v>MTI - 10.000GTS</v>
      </c>
      <c r="P254" s="101" t="s">
        <v>524</v>
      </c>
      <c r="Q254" s="94" t="s">
        <v>333</v>
      </c>
      <c r="R254" s="93" t="s">
        <v>525</v>
      </c>
      <c r="S254" s="44" t="s">
        <v>638</v>
      </c>
      <c r="T254" s="95" t="s">
        <v>142</v>
      </c>
      <c r="U254" s="96"/>
      <c r="V254" s="41" t="str">
        <f>IFERROR(INDEX([1]GARANTIA!$G:$G,MATCH(A254,[1]GARANTIA!$C:$C,0)),"INSIRA N° SERIE")</f>
        <v xml:space="preserve">PIRANHAS </v>
      </c>
      <c r="W254" s="41" t="str">
        <f>IFERROR(INDEX([1]GARANTIA!$H:$H,MATCH(A254,[1]GARANTIA!$C:$C,0)),"INSIRA N° SERIE")</f>
        <v>GO</v>
      </c>
      <c r="X254" s="41" t="str">
        <f>IFERROR(INDEX([1]GARANTIA!$F:$F,MATCH(A254,[1]GARANTIA!$C:$C,0)),"INSIRA N° SERIE")</f>
        <v>CENTROESTE</v>
      </c>
      <c r="Y254" s="46">
        <f t="shared" si="22"/>
        <v>0</v>
      </c>
      <c r="Z254" s="47">
        <f t="shared" si="19"/>
        <v>0</v>
      </c>
      <c r="AA254" s="46">
        <f t="shared" si="23"/>
        <v>0</v>
      </c>
      <c r="AB254" s="46" t="str" cm="1">
        <f t="array" ref="AB254">IFERROR(_xlfn.IFS(L254="FINALIZADO PRESENCIAL",IF(AA254&gt;10,"FORA","DENTRO"),L254="FINALIZADO REMOTO",IF(AA254&gt;5,"FORA","DENTRO")),"-")</f>
        <v>DENTRO</v>
      </c>
      <c r="AC254" s="41" t="s">
        <v>1671</v>
      </c>
      <c r="AD254" s="41" t="s">
        <v>1671</v>
      </c>
      <c r="AE254" s="48" cm="1">
        <f t="array" ref="AE254">SUMPRODUCT(IFERROR(('[2]PEÇAS GARANTIA'!$A$3:$A$5993=G254)*('[2]PEÇAS GARANTIA'!$A$3:$A$5993&lt;&gt;"")*('[2]PEÇAS GARANTIA'!$R$3:$R$5993),0))</f>
        <v>0</v>
      </c>
      <c r="AF254" s="178">
        <v>0</v>
      </c>
    </row>
    <row r="255" spans="1:32" ht="37.5" customHeight="1" x14ac:dyDescent="0.25">
      <c r="A255" s="82">
        <v>55078</v>
      </c>
      <c r="B255" s="41" t="str">
        <f>IFERROR(INDEX([1]GARANTIA!$B:$B,MATCH(A255,[1]GARANTIA!$C:$C,0)),"INSIRA N° SERIE")</f>
        <v>TESTE 102</v>
      </c>
      <c r="C255" s="33">
        <f>IFERROR(INDEX([1]GARANTIA!$J:$J,MATCH(A255,[1]GARANTIA!$C:$C,0)),"INSIRA N° SERIE")</f>
        <v>44180</v>
      </c>
      <c r="D255" s="33" t="str">
        <f>IFERROR(IF(INDEX([1]GARANTIA!$M:$M,MATCH(A255,[1]GARANTIA!$C:$C,0))&gt;=I255,"DENTRO DA GARANTIA","FORA DE GARANTIA"),"INSIRA N° SERIE")</f>
        <v>DENTRO DA GARANTIA</v>
      </c>
      <c r="E255" s="148"/>
      <c r="F255" s="109">
        <f>IFERROR(MAX(0,IF(I255-(INDEX([1]GARANTIA!$J:$J,MATCH(A255,[1]GARANTIA!$C:$C,0)))&gt;=0,I255-(INDEX([1]GARANTIA!$L:$L,MATCH(A255,[1]GARANTIA!$C:$C,0))),"INSIRA DATA CHAMADO")),"INSIRA N° SERIE")</f>
        <v>0</v>
      </c>
      <c r="G255" s="98">
        <v>20210665</v>
      </c>
      <c r="H255" s="35" t="str">
        <f t="shared" si="18"/>
        <v>JUL</v>
      </c>
      <c r="I255" s="89">
        <v>44386</v>
      </c>
      <c r="J255" s="90">
        <v>44386</v>
      </c>
      <c r="K255" s="91">
        <v>44386</v>
      </c>
      <c r="L255" s="92" t="s">
        <v>11</v>
      </c>
      <c r="M255" s="92" t="s">
        <v>164</v>
      </c>
      <c r="N255" s="92" t="s">
        <v>93</v>
      </c>
      <c r="O255" s="42" t="str">
        <f>IFERROR(INDEX([1]GARANTIA!$E:$E,MATCH(A255,[1]GARANTIA!$C:$C,0)),"INSIRA N° SERIE")</f>
        <v>E - 600</v>
      </c>
      <c r="P255" s="101" t="s">
        <v>526</v>
      </c>
      <c r="Q255" s="94" t="s">
        <v>333</v>
      </c>
      <c r="R255" s="93" t="s">
        <v>527</v>
      </c>
      <c r="S255" s="44" t="s">
        <v>638</v>
      </c>
      <c r="T255" s="95" t="s">
        <v>142</v>
      </c>
      <c r="U255" s="96"/>
      <c r="V255" s="41" t="str">
        <f>IFERROR(INDEX([1]GARANTIA!$G:$G,MATCH(A255,[1]GARANTIA!$C:$C,0)),"INSIRA N° SERIE")</f>
        <v xml:space="preserve">PIRANHAS </v>
      </c>
      <c r="W255" s="41" t="str">
        <f>IFERROR(INDEX([1]GARANTIA!$H:$H,MATCH(A255,[1]GARANTIA!$C:$C,0)),"INSIRA N° SERIE")</f>
        <v>GO</v>
      </c>
      <c r="X255" s="41" t="str">
        <f>IFERROR(INDEX([1]GARANTIA!$F:$F,MATCH(A255,[1]GARANTIA!$C:$C,0)),"INSIRA N° SERIE")</f>
        <v>CENTROESTE</v>
      </c>
      <c r="Y255" s="46">
        <f t="shared" si="22"/>
        <v>0</v>
      </c>
      <c r="Z255" s="47">
        <f t="shared" si="19"/>
        <v>0</v>
      </c>
      <c r="AA255" s="46">
        <f t="shared" si="23"/>
        <v>0</v>
      </c>
      <c r="AB255" s="46" t="str" cm="1">
        <f t="array" ref="AB255">IFERROR(_xlfn.IFS(L255="FINALIZADO PRESENCIAL",IF(AA255&gt;10,"FORA","DENTRO"),L255="FINALIZADO REMOTO",IF(AA255&gt;5,"FORA","DENTRO")),"-")</f>
        <v>DENTRO</v>
      </c>
      <c r="AC255" s="41" t="s">
        <v>1671</v>
      </c>
      <c r="AD255" s="41" t="s">
        <v>1671</v>
      </c>
      <c r="AE255" s="48" cm="1">
        <f t="array" ref="AE255">SUMPRODUCT(IFERROR(('[2]PEÇAS GARANTIA'!$A$3:$A$5993=G255)*('[2]PEÇAS GARANTIA'!$A$3:$A$5993&lt;&gt;"")*('[2]PEÇAS GARANTIA'!$R$3:$R$5993),0))</f>
        <v>20.8</v>
      </c>
      <c r="AF255" s="178">
        <v>0</v>
      </c>
    </row>
    <row r="256" spans="1:32" ht="36" customHeight="1" x14ac:dyDescent="0.25">
      <c r="A256" s="82">
        <v>40046</v>
      </c>
      <c r="B256" s="41" t="str">
        <f>IFERROR(INDEX([1]GARANTIA!$B:$B,MATCH(A256,[1]GARANTIA!$C:$C,0)),"INSIRA N° SERIE")</f>
        <v>TESTE 248</v>
      </c>
      <c r="C256" s="33">
        <f>IFERROR(INDEX([1]GARANTIA!$J:$J,MATCH(A256,[1]GARANTIA!$C:$C,0)),"INSIRA N° SERIE")</f>
        <v>44078</v>
      </c>
      <c r="D256" s="33" t="str">
        <f>IFERROR(IF(INDEX([1]GARANTIA!$M:$M,MATCH(A256,[1]GARANTIA!$C:$C,0))&gt;=I256,"DENTRO DA GARANTIA","FORA DE GARANTIA"),"INSIRA N° SERIE")</f>
        <v>DENTRO DA GARANTIA</v>
      </c>
      <c r="E256" s="148"/>
      <c r="F256" s="109">
        <f>IFERROR(MAX(0,IF(I256-(INDEX([1]GARANTIA!$J:$J,MATCH(A256,[1]GARANTIA!$C:$C,0)))&gt;=0,I256-(INDEX([1]GARANTIA!$L:$L,MATCH(A256,[1]GARANTIA!$C:$C,0))),"INSIRA DATA CHAMADO")),"INSIRA N° SERIE")</f>
        <v>242</v>
      </c>
      <c r="G256" s="98">
        <v>20210666</v>
      </c>
      <c r="H256" s="35" t="str">
        <f t="shared" si="18"/>
        <v>JUL</v>
      </c>
      <c r="I256" s="89">
        <v>44390</v>
      </c>
      <c r="J256" s="90">
        <v>44390</v>
      </c>
      <c r="K256" s="91">
        <v>44391</v>
      </c>
      <c r="L256" s="92" t="s">
        <v>23</v>
      </c>
      <c r="M256" s="92" t="s">
        <v>8</v>
      </c>
      <c r="N256" s="92" t="s">
        <v>41</v>
      </c>
      <c r="O256" s="42" t="str">
        <f>IFERROR(INDEX([1]GARANTIA!$E:$E,MATCH(A256,[1]GARANTIA!$C:$C,0)),"INSIRA N° SERIE")</f>
        <v>MTI - 4.000GTS</v>
      </c>
      <c r="P256" s="101" t="s">
        <v>374</v>
      </c>
      <c r="Q256" s="94" t="s">
        <v>38</v>
      </c>
      <c r="R256" s="93" t="s">
        <v>528</v>
      </c>
      <c r="S256" s="95" t="s">
        <v>101</v>
      </c>
      <c r="T256" s="95" t="s">
        <v>296</v>
      </c>
      <c r="U256" s="96"/>
      <c r="V256" s="41" t="str">
        <f>IFERROR(INDEX([1]GARANTIA!$G:$G,MATCH(A256,[1]GARANTIA!$C:$C,0)),"INSIRA N° SERIE")</f>
        <v>PORANGATU</v>
      </c>
      <c r="W256" s="41" t="str">
        <f>IFERROR(INDEX([1]GARANTIA!$H:$H,MATCH(A256,[1]GARANTIA!$C:$C,0)),"INSIRA N° SERIE")</f>
        <v xml:space="preserve">GO </v>
      </c>
      <c r="X256" s="41" t="str">
        <f>IFERROR(INDEX([1]GARANTIA!$F:$F,MATCH(A256,[1]GARANTIA!$C:$C,0)),"INSIRA N° SERIE")</f>
        <v>CENTROESTE</v>
      </c>
      <c r="Y256" s="46">
        <f t="shared" si="22"/>
        <v>0</v>
      </c>
      <c r="Z256" s="47">
        <f t="shared" si="19"/>
        <v>1</v>
      </c>
      <c r="AA256" s="46">
        <f t="shared" si="23"/>
        <v>1</v>
      </c>
      <c r="AB256" s="46" t="str" cm="1">
        <f t="array" ref="AB256">IFERROR(_xlfn.IFS(L256="FINALIZADO PRESENCIAL",IF(AA256&gt;10,"FORA","DENTRO"),L256="FINALIZADO REMOTO",IF(AA256&gt;5,"FORA","DENTRO")),"-")</f>
        <v>DENTRO</v>
      </c>
      <c r="AC256" s="41" t="s">
        <v>1671</v>
      </c>
      <c r="AD256" s="41" t="s">
        <v>1671</v>
      </c>
      <c r="AE256" s="48" cm="1">
        <f t="array" ref="AE256">SUMPRODUCT(IFERROR(('[2]PEÇAS GARANTIA'!$A$3:$A$5993=G256)*('[2]PEÇAS GARANTIA'!$A$3:$A$5993&lt;&gt;"")*('[2]PEÇAS GARANTIA'!$R$3:$R$5993),0))</f>
        <v>0</v>
      </c>
      <c r="AF256" s="178">
        <v>0</v>
      </c>
    </row>
    <row r="257" spans="1:32" s="135" customFormat="1" ht="71.25" customHeight="1" x14ac:dyDescent="0.25">
      <c r="A257" s="117">
        <v>3002641</v>
      </c>
      <c r="B257" s="118" t="str">
        <f>IFERROR(INDEX([1]GARANTIA!$B:$B,MATCH(A257,[1]GARANTIA!$C:$C,0)),"INSIRA N° SERIE")</f>
        <v>TESTE 167</v>
      </c>
      <c r="C257" s="119">
        <f>IFERROR(INDEX([1]GARANTIA!$J:$J,MATCH(A257,[1]GARANTIA!$C:$C,0)),"INSIRA N° SERIE")</f>
        <v>43524</v>
      </c>
      <c r="D257" s="119" t="str">
        <f>IFERROR(IF(INDEX([1]GARANTIA!$M:$M,MATCH(A257,[1]GARANTIA!$C:$C,0))&gt;=I257,"DENTRO DA GARANTIA","FORA DE GARANTIA"),"INSIRA N° SERIE")</f>
        <v>DENTRO DA GARANTIA</v>
      </c>
      <c r="E257" s="121"/>
      <c r="F257" s="127">
        <f>IFERROR(MAX(0,IF(I257-(INDEX([1]GARANTIA!$J:$J,MATCH(A257,[1]GARANTIA!$C:$C,0)))&gt;=0,I257-(INDEX([1]GARANTIA!$L:$L,MATCH(A257,[1]GARANTIA!$C:$C,0))),"INSIRA DATA CHAMADO")),"INSIRA N° SERIE")</f>
        <v>186</v>
      </c>
      <c r="G257" s="137">
        <v>20210667</v>
      </c>
      <c r="H257" s="35" t="str">
        <f t="shared" si="18"/>
        <v>JUL</v>
      </c>
      <c r="I257" s="138">
        <v>44397</v>
      </c>
      <c r="J257" s="138">
        <v>44398</v>
      </c>
      <c r="K257" s="138">
        <v>44410</v>
      </c>
      <c r="L257" s="103" t="s">
        <v>11</v>
      </c>
      <c r="M257" s="103" t="s">
        <v>8</v>
      </c>
      <c r="N257" s="103" t="s">
        <v>27</v>
      </c>
      <c r="O257" s="118" t="str">
        <f>IFERROR(INDEX([1]GARANTIA!$E:$E,MATCH(A257,[1]GARANTIA!$C:$C,0)),"INSIRA N° SERIE")</f>
        <v>MTI - 7.000GTS</v>
      </c>
      <c r="P257" s="139" t="s">
        <v>542</v>
      </c>
      <c r="Q257" s="103" t="s">
        <v>337</v>
      </c>
      <c r="R257" s="140" t="s">
        <v>552</v>
      </c>
      <c r="S257" s="103" t="s">
        <v>99</v>
      </c>
      <c r="T257" s="103" t="s">
        <v>360</v>
      </c>
      <c r="U257" s="141"/>
      <c r="V257" s="118" t="str">
        <f>IFERROR(INDEX([1]GARANTIA!$G:$G,MATCH(A257,[1]GARANTIA!$C:$C,0)),"INSIRA N° SERIE")</f>
        <v xml:space="preserve">DIADEMA </v>
      </c>
      <c r="W257" s="118" t="str">
        <f>IFERROR(INDEX([1]GARANTIA!$H:$H,MATCH(A257,[1]GARANTIA!$C:$C,0)),"INSIRA N° SERIE")</f>
        <v>SP</v>
      </c>
      <c r="X257" s="118" t="str">
        <f>IFERROR(INDEX([1]GARANTIA!$F:$F,MATCH(A257,[1]GARANTIA!$C:$C,0)),"INSIRA N° SERIE")</f>
        <v>SUDESTE</v>
      </c>
      <c r="Y257" s="118">
        <f t="shared" si="22"/>
        <v>1</v>
      </c>
      <c r="Z257" s="125">
        <f t="shared" si="19"/>
        <v>12</v>
      </c>
      <c r="AA257" s="118">
        <f t="shared" si="23"/>
        <v>13</v>
      </c>
      <c r="AB257" s="46" t="str" cm="1">
        <f t="array" ref="AB257">IFERROR(_xlfn.IFS(L257="FINALIZADO PRESENCIAL",IF(AA257&gt;10,"FORA","DENTRO"),L257="FINALIZADO REMOTO",IF(AA257&gt;5,"FORA","DENTRO")),"-")</f>
        <v>FORA</v>
      </c>
      <c r="AC257" s="41" t="s">
        <v>1671</v>
      </c>
      <c r="AD257" s="41" t="s">
        <v>1671</v>
      </c>
      <c r="AE257" s="48" cm="1">
        <f t="array" ref="AE257">SUMPRODUCT(IFERROR(('[2]PEÇAS GARANTIA'!$A$3:$A$5993=G257)*('[2]PEÇAS GARANTIA'!$A$3:$A$5993&lt;&gt;"")*('[2]PEÇAS GARANTIA'!$R$3:$R$5993),0))</f>
        <v>3713.45</v>
      </c>
      <c r="AF257" s="178">
        <v>1025.55</v>
      </c>
    </row>
    <row r="258" spans="1:32" ht="71.25" customHeight="1" x14ac:dyDescent="0.25">
      <c r="A258" s="82">
        <v>27393</v>
      </c>
      <c r="B258" s="41" t="str">
        <f>IFERROR(INDEX([1]GARANTIA!$B:$B,MATCH(A258,[1]GARANTIA!$C:$C,0)),"INSIRA N° SERIE")</f>
        <v>TESTE 255</v>
      </c>
      <c r="C258" s="33">
        <f>IFERROR(INDEX([1]GARANTIA!$J:$J,MATCH(A258,[1]GARANTIA!$C:$C,0)),"INSIRA N° SERIE")</f>
        <v>44207</v>
      </c>
      <c r="D258" s="33" t="str">
        <f>IFERROR(IF(INDEX([1]GARANTIA!$M:$M,MATCH(A258,[1]GARANTIA!$C:$C,0))&gt;=I258,"DENTRO DA GARANTIA","FORA DE GARANTIA"),"INSIRA N° SERIE")</f>
        <v>DENTRO DA GARANTIA</v>
      </c>
      <c r="E258" s="148"/>
      <c r="F258" s="109">
        <f>IFERROR(MAX(0,IF(I258-(INDEX([1]GARANTIA!$J:$J,MATCH(A258,[1]GARANTIA!$C:$C,0)))&gt;=0,I258-(INDEX([1]GARANTIA!$L:$L,MATCH(A258,[1]GARANTIA!$C:$C,0))),"INSIRA DATA CHAMADO")),"INSIRA N° SERIE")</f>
        <v>32</v>
      </c>
      <c r="G258" s="98">
        <v>20210668</v>
      </c>
      <c r="H258" s="35" t="str">
        <f t="shared" si="18"/>
        <v>JUL</v>
      </c>
      <c r="I258" s="89">
        <v>44396</v>
      </c>
      <c r="J258" s="90">
        <v>44396</v>
      </c>
      <c r="K258" s="91">
        <v>44417</v>
      </c>
      <c r="L258" s="92" t="s">
        <v>11</v>
      </c>
      <c r="M258" s="92" t="s">
        <v>8</v>
      </c>
      <c r="N258" s="92" t="s">
        <v>40</v>
      </c>
      <c r="O258" s="42" t="str">
        <f>IFERROR(INDEX([1]GARANTIA!$E:$E,MATCH(A258,[1]GARANTIA!$C:$C,0)),"INSIRA N° SERIE")</f>
        <v>MTI - 1.000GTS</v>
      </c>
      <c r="P258" s="101" t="s">
        <v>556</v>
      </c>
      <c r="Q258" s="94" t="s">
        <v>328</v>
      </c>
      <c r="R258" s="93" t="s">
        <v>553</v>
      </c>
      <c r="S258" s="95" t="s">
        <v>101</v>
      </c>
      <c r="T258" s="95" t="s">
        <v>142</v>
      </c>
      <c r="U258" s="96"/>
      <c r="V258" s="41" t="str">
        <f>IFERROR(INDEX([1]GARANTIA!$G:$G,MATCH(A258,[1]GARANTIA!$C:$C,0)),"INSIRA N° SERIE")</f>
        <v>NATAL</v>
      </c>
      <c r="W258" s="41" t="str">
        <f>IFERROR(INDEX([1]GARANTIA!$H:$H,MATCH(A258,[1]GARANTIA!$C:$C,0)),"INSIRA N° SERIE")</f>
        <v>RN</v>
      </c>
      <c r="X258" s="41" t="str">
        <f>IFERROR(INDEX([1]GARANTIA!$F:$F,MATCH(A258,[1]GARANTIA!$C:$C,0)),"INSIRA N° SERIE")</f>
        <v>NORDESTE</v>
      </c>
      <c r="Y258" s="46">
        <f t="shared" si="22"/>
        <v>0</v>
      </c>
      <c r="Z258" s="47">
        <f t="shared" si="19"/>
        <v>21</v>
      </c>
      <c r="AA258" s="46">
        <f t="shared" si="23"/>
        <v>21</v>
      </c>
      <c r="AB258" s="46" t="str" cm="1">
        <f t="array" ref="AB258">IFERROR(_xlfn.IFS(L258="FINALIZADO PRESENCIAL",IF(AA258&gt;10,"FORA","DENTRO"),L258="FINALIZADO REMOTO",IF(AA258&gt;5,"FORA","DENTRO")),"-")</f>
        <v>FORA</v>
      </c>
      <c r="AC258" s="41" t="s">
        <v>1671</v>
      </c>
      <c r="AD258" s="41" t="s">
        <v>1671</v>
      </c>
      <c r="AE258" s="48" cm="1">
        <f t="array" ref="AE258">SUMPRODUCT(IFERROR(('[2]PEÇAS GARANTIA'!$A$3:$A$5993=G258)*('[2]PEÇAS GARANTIA'!$A$3:$A$5993&lt;&gt;"")*('[2]PEÇAS GARANTIA'!$R$3:$R$5993),0))</f>
        <v>26126.84</v>
      </c>
      <c r="AF258" s="178">
        <v>19249.620000000003</v>
      </c>
    </row>
    <row r="259" spans="1:32" ht="58.5" customHeight="1" x14ac:dyDescent="0.25">
      <c r="A259" s="82">
        <v>57868</v>
      </c>
      <c r="B259" s="41" t="str">
        <f>IFERROR(INDEX([1]GARANTIA!$B:$B,MATCH(A259,[1]GARANTIA!$C:$C,0)),"INSIRA N° SERIE")</f>
        <v>TESTE 252</v>
      </c>
      <c r="C259" s="33">
        <f>IFERROR(INDEX([1]GARANTIA!$J:$J,MATCH(A259,[1]GARANTIA!$C:$C,0)),"INSIRA N° SERIE")</f>
        <v>44043</v>
      </c>
      <c r="D259" s="33" t="str">
        <f>IFERROR(IF(INDEX([1]GARANTIA!$M:$M,MATCH(A259,[1]GARANTIA!$C:$C,0))&gt;=I259,"DENTRO DA GARANTIA","FORA DE GARANTIA"),"INSIRA N° SERIE")</f>
        <v>DENTRO DA GARANTIA</v>
      </c>
      <c r="E259" s="148"/>
      <c r="F259" s="109">
        <f>IFERROR(MAX(0,IF(I259-(INDEX([1]GARANTIA!$J:$J,MATCH(A259,[1]GARANTIA!$C:$C,0)))&gt;=0,I259-(INDEX([1]GARANTIA!$L:$L,MATCH(A259,[1]GARANTIA!$C:$C,0))),"INSIRA DATA CHAMADO")),"INSIRA N° SERIE")</f>
        <v>263</v>
      </c>
      <c r="G259" s="98">
        <v>20210669</v>
      </c>
      <c r="H259" s="35" t="str">
        <f t="shared" ref="H259:H322" si="24">IF(YEAR(I259)=YEAR(I259),IF(I259&lt;&gt;"",UPPER(TEXT(I259,"MMM")),""),"")</f>
        <v>JUL</v>
      </c>
      <c r="I259" s="89">
        <v>44397</v>
      </c>
      <c r="J259" s="90">
        <v>44397</v>
      </c>
      <c r="K259" s="91">
        <v>44439</v>
      </c>
      <c r="L259" s="92" t="s">
        <v>11</v>
      </c>
      <c r="M259" s="92" t="s">
        <v>8</v>
      </c>
      <c r="N259" s="92" t="s">
        <v>57</v>
      </c>
      <c r="O259" s="42" t="str">
        <f>IFERROR(INDEX([1]GARANTIA!$E:$E,MATCH(A259,[1]GARANTIA!$C:$C,0)),"INSIRA N° SERIE")</f>
        <v>GERADOR DE 32.000 GT</v>
      </c>
      <c r="P259" s="101" t="s">
        <v>534</v>
      </c>
      <c r="Q259" s="94" t="s">
        <v>328</v>
      </c>
      <c r="R259" s="93" t="s">
        <v>596</v>
      </c>
      <c r="S259" s="95" t="s">
        <v>638</v>
      </c>
      <c r="T259" s="95" t="s">
        <v>97</v>
      </c>
      <c r="U259" s="96"/>
      <c r="V259" s="41" t="str">
        <f>IFERROR(INDEX([1]GARANTIA!$G:$G,MATCH(A259,[1]GARANTIA!$C:$C,0)),"INSIRA N° SERIE")</f>
        <v>MANAUS</v>
      </c>
      <c r="W259" s="41" t="str">
        <f>IFERROR(INDEX([1]GARANTIA!$H:$H,MATCH(A259,[1]GARANTIA!$C:$C,0)),"INSIRA N° SERIE")</f>
        <v xml:space="preserve">AM </v>
      </c>
      <c r="X259" s="41" t="str">
        <f>IFERROR(INDEX([1]GARANTIA!$F:$F,MATCH(A259,[1]GARANTIA!$C:$C,0)),"INSIRA N° SERIE")</f>
        <v>NORTE</v>
      </c>
      <c r="Y259" s="46">
        <f t="shared" si="22"/>
        <v>0</v>
      </c>
      <c r="Z259" s="47">
        <f t="shared" ref="Z259:Z322" si="25">IF(G259&lt;&gt;"",IF(OR(A259="",K259="",Q259="",P259="",R259=""),"NÃO FINALIZADO",K259-J259),"INSIRA N° OS")</f>
        <v>42</v>
      </c>
      <c r="AA259" s="46">
        <f t="shared" si="23"/>
        <v>42</v>
      </c>
      <c r="AB259" s="46" t="str" cm="1">
        <f t="array" ref="AB259">IFERROR(_xlfn.IFS(L259="FINALIZADO PRESENCIAL",IF(AA259&gt;10,"FORA","DENTRO"),L259="FINALIZADO REMOTO",IF(AA259&gt;5,"FORA","DENTRO")),"-")</f>
        <v>FORA</v>
      </c>
      <c r="AC259" s="41" t="s">
        <v>1671</v>
      </c>
      <c r="AD259" s="41" t="s">
        <v>1671</v>
      </c>
      <c r="AE259" s="48" cm="1">
        <f t="array" ref="AE259">SUMPRODUCT(IFERROR(('[2]PEÇAS GARANTIA'!$A$3:$A$5993=G259)*('[2]PEÇAS GARANTIA'!$A$3:$A$5993&lt;&gt;"")*('[2]PEÇAS GARANTIA'!$R$3:$R$5993),0))</f>
        <v>7352.05</v>
      </c>
      <c r="AF259" s="178">
        <v>7015.380000000001</v>
      </c>
    </row>
    <row r="260" spans="1:32" ht="15" x14ac:dyDescent="0.25">
      <c r="A260" s="82">
        <v>44524</v>
      </c>
      <c r="B260" s="41" t="str">
        <f>IFERROR(INDEX([1]GARANTIA!$B:$B,MATCH(A260,[1]GARANTIA!$C:$C,0)),"INSIRA N° SERIE")</f>
        <v>TESTE 173</v>
      </c>
      <c r="C260" s="33">
        <f>IFERROR(INDEX([1]GARANTIA!$J:$J,MATCH(A260,[1]GARANTIA!$C:$C,0)),"INSIRA N° SERIE")</f>
        <v>44119</v>
      </c>
      <c r="D260" s="33" t="str">
        <f>IFERROR(IF(INDEX([1]GARANTIA!$M:$M,MATCH(A260,[1]GARANTIA!$C:$C,0))&gt;=I260,"DENTRO DA GARANTIA","FORA DE GARANTIA"),"INSIRA N° SERIE")</f>
        <v>DENTRO DA GARANTIA</v>
      </c>
      <c r="E260" s="148"/>
      <c r="F260" s="109">
        <f>IFERROR(MAX(0,IF(I260-(INDEX([1]GARANTIA!$J:$J,MATCH(A260,[1]GARANTIA!$C:$C,0)))&gt;=0,I260-(INDEX([1]GARANTIA!$L:$L,MATCH(A260,[1]GARANTIA!$C:$C,0))),"INSIRA DATA CHAMADO")),"INSIRA N° SERIE")</f>
        <v>150</v>
      </c>
      <c r="G260" s="98">
        <v>20210670</v>
      </c>
      <c r="H260" s="35" t="str">
        <f t="shared" si="24"/>
        <v>JUL</v>
      </c>
      <c r="I260" s="89">
        <v>44396</v>
      </c>
      <c r="J260" s="90">
        <v>44396</v>
      </c>
      <c r="K260" s="91">
        <v>44397</v>
      </c>
      <c r="L260" s="92" t="s">
        <v>23</v>
      </c>
      <c r="M260" s="92" t="s">
        <v>8</v>
      </c>
      <c r="N260" s="92" t="s">
        <v>26</v>
      </c>
      <c r="O260" s="42" t="str">
        <f>IFERROR(INDEX([1]GARANTIA!$E:$E,MATCH(A260,[1]GARANTIA!$C:$C,0)),"INSIRA N° SERIE")</f>
        <v>MTI - 4.000GTS</v>
      </c>
      <c r="P260" s="101" t="s">
        <v>535</v>
      </c>
      <c r="Q260" s="94" t="s">
        <v>335</v>
      </c>
      <c r="R260" s="101" t="s">
        <v>536</v>
      </c>
      <c r="S260" s="95" t="s">
        <v>102</v>
      </c>
      <c r="T260" s="95" t="s">
        <v>296</v>
      </c>
      <c r="U260" s="96"/>
      <c r="V260" s="41" t="str">
        <f>IFERROR(INDEX([1]GARANTIA!$G:$G,MATCH(A260,[1]GARANTIA!$C:$C,0)),"INSIRA N° SERIE")</f>
        <v>QUIRINOPOLIS</v>
      </c>
      <c r="W260" s="41" t="str">
        <f>IFERROR(INDEX([1]GARANTIA!$H:$H,MATCH(A260,[1]GARANTIA!$C:$C,0)),"INSIRA N° SERIE")</f>
        <v>GO</v>
      </c>
      <c r="X260" s="41" t="str">
        <f>IFERROR(INDEX([1]GARANTIA!$F:$F,MATCH(A260,[1]GARANTIA!$C:$C,0)),"INSIRA N° SERIE")</f>
        <v>CENTROESTE</v>
      </c>
      <c r="Y260" s="46">
        <f t="shared" si="22"/>
        <v>0</v>
      </c>
      <c r="Z260" s="47">
        <f t="shared" si="25"/>
        <v>1</v>
      </c>
      <c r="AA260" s="46">
        <f t="shared" si="23"/>
        <v>1</v>
      </c>
      <c r="AB260" s="46" t="str" cm="1">
        <f t="array" ref="AB260">IFERROR(_xlfn.IFS(L260="FINALIZADO PRESENCIAL",IF(AA260&gt;10,"FORA","DENTRO"),L260="FINALIZADO REMOTO",IF(AA260&gt;5,"FORA","DENTRO")),"-")</f>
        <v>DENTRO</v>
      </c>
      <c r="AC260" s="41" t="s">
        <v>1671</v>
      </c>
      <c r="AD260" s="41" t="s">
        <v>1671</v>
      </c>
      <c r="AE260" s="48" cm="1">
        <f t="array" ref="AE260">SUMPRODUCT(IFERROR(('[2]PEÇAS GARANTIA'!$A$3:$A$5993=G260)*('[2]PEÇAS GARANTIA'!$A$3:$A$5993&lt;&gt;"")*('[2]PEÇAS GARANTIA'!$R$3:$R$5993),0))</f>
        <v>0</v>
      </c>
      <c r="AF260" s="178">
        <v>0</v>
      </c>
    </row>
    <row r="261" spans="1:32" ht="29.25" customHeight="1" x14ac:dyDescent="0.25">
      <c r="A261" s="82">
        <v>28435</v>
      </c>
      <c r="B261" s="41" t="str">
        <f>IFERROR(INDEX([1]GARANTIA!$B:$B,MATCH(A261,[1]GARANTIA!$C:$C,0)),"INSIRA N° SERIE")</f>
        <v>TESTE 101</v>
      </c>
      <c r="C261" s="33">
        <f>IFERROR(INDEX([1]GARANTIA!$J:$J,MATCH(A261,[1]GARANTIA!$C:$C,0)),"INSIRA N° SERIE")</f>
        <v>44180</v>
      </c>
      <c r="D261" s="33" t="str">
        <f>IFERROR(IF(INDEX([1]GARANTIA!$M:$M,MATCH(A261,[1]GARANTIA!$C:$C,0))&gt;=I261,"DENTRO DA GARANTIA","FORA DE GARANTIA"),"INSIRA N° SERIE")</f>
        <v>DENTRO DA GARANTIA</v>
      </c>
      <c r="E261" s="148"/>
      <c r="F261" s="109">
        <f>IFERROR(MAX(0,IF(I261-(INDEX([1]GARANTIA!$J:$J,MATCH(A261,[1]GARANTIA!$C:$C,0)))&gt;=0,I261-(INDEX([1]GARANTIA!$L:$L,MATCH(A261,[1]GARANTIA!$C:$C,0))),"INSIRA DATA CHAMADO")),"INSIRA N° SERIE")</f>
        <v>9</v>
      </c>
      <c r="G261" s="98">
        <v>20210671</v>
      </c>
      <c r="H261" s="35" t="str">
        <f t="shared" si="24"/>
        <v>JUL</v>
      </c>
      <c r="I261" s="89">
        <v>44397</v>
      </c>
      <c r="J261" s="90">
        <v>44397</v>
      </c>
      <c r="K261" s="91">
        <v>44397</v>
      </c>
      <c r="L261" s="92" t="s">
        <v>23</v>
      </c>
      <c r="M261" s="92" t="s">
        <v>8</v>
      </c>
      <c r="N261" s="92" t="s">
        <v>33</v>
      </c>
      <c r="O261" s="42" t="str">
        <f>IFERROR(INDEX([1]GARANTIA!$E:$E,MATCH(A261,[1]GARANTIA!$C:$C,0)),"INSIRA N° SERIE")</f>
        <v>MTI - 10.000GTS</v>
      </c>
      <c r="P261" s="101" t="s">
        <v>537</v>
      </c>
      <c r="Q261" s="94" t="s">
        <v>85</v>
      </c>
      <c r="R261" s="93" t="s">
        <v>538</v>
      </c>
      <c r="S261" s="56" t="s">
        <v>102</v>
      </c>
      <c r="T261" s="56" t="s">
        <v>296</v>
      </c>
      <c r="U261" s="96"/>
      <c r="V261" s="41" t="str">
        <f>IFERROR(INDEX([1]GARANTIA!$G:$G,MATCH(A261,[1]GARANTIA!$C:$C,0)),"INSIRA N° SERIE")</f>
        <v xml:space="preserve">PIRANHAS </v>
      </c>
      <c r="W261" s="41" t="str">
        <f>IFERROR(INDEX([1]GARANTIA!$H:$H,MATCH(A261,[1]GARANTIA!$C:$C,0)),"INSIRA N° SERIE")</f>
        <v>GO</v>
      </c>
      <c r="X261" s="41" t="str">
        <f>IFERROR(INDEX([1]GARANTIA!$F:$F,MATCH(A261,[1]GARANTIA!$C:$C,0)),"INSIRA N° SERIE")</f>
        <v>CENTROESTE</v>
      </c>
      <c r="Y261" s="46">
        <f t="shared" si="22"/>
        <v>0</v>
      </c>
      <c r="Z261" s="47">
        <f t="shared" si="25"/>
        <v>0</v>
      </c>
      <c r="AA261" s="46">
        <f t="shared" si="23"/>
        <v>0</v>
      </c>
      <c r="AB261" s="46" t="str" cm="1">
        <f t="array" ref="AB261">IFERROR(_xlfn.IFS(L261="FINALIZADO PRESENCIAL",IF(AA261&gt;10,"FORA","DENTRO"),L261="FINALIZADO REMOTO",IF(AA261&gt;5,"FORA","DENTRO")),"-")</f>
        <v>DENTRO</v>
      </c>
      <c r="AC261" s="41" t="s">
        <v>1671</v>
      </c>
      <c r="AD261" s="41" t="s">
        <v>1671</v>
      </c>
      <c r="AE261" s="48" cm="1">
        <f t="array" ref="AE261">SUMPRODUCT(IFERROR(('[2]PEÇAS GARANTIA'!$A$3:$A$5993=G261)*('[2]PEÇAS GARANTIA'!$A$3:$A$5993&lt;&gt;"")*('[2]PEÇAS GARANTIA'!$R$3:$R$5993),0))</f>
        <v>0</v>
      </c>
      <c r="AF261" s="178">
        <v>0</v>
      </c>
    </row>
    <row r="262" spans="1:32" ht="25.5" x14ac:dyDescent="0.25">
      <c r="A262" s="82">
        <v>81650</v>
      </c>
      <c r="B262" s="41" t="str">
        <f>IFERROR(INDEX([1]GARANTIA!$B:$B,MATCH(A262,[1]GARANTIA!$C:$C,0)),"INSIRA N° SERIE")</f>
        <v>TESTE 322</v>
      </c>
      <c r="C262" s="33">
        <f>IFERROR(INDEX([1]GARANTIA!$J:$J,MATCH(A262,[1]GARANTIA!$C:$C,0)),"INSIRA N° SERIE")</f>
        <v>44236</v>
      </c>
      <c r="D262" s="33" t="str">
        <f>IFERROR(IF(INDEX([1]GARANTIA!$M:$M,MATCH(A262,[1]GARANTIA!$C:$C,0))&gt;=I262,"DENTRO DA GARANTIA","FORA DE GARANTIA"),"INSIRA N° SERIE")</f>
        <v>DENTRO DA GARANTIA</v>
      </c>
      <c r="E262" s="148"/>
      <c r="F262" s="109">
        <f>IFERROR(MAX(0,IF(I262-(INDEX([1]GARANTIA!$J:$J,MATCH(A262,[1]GARANTIA!$C:$C,0)))&gt;=0,I262-(INDEX([1]GARANTIA!$L:$L,MATCH(A262,[1]GARANTIA!$C:$C,0))),"INSIRA DATA CHAMADO")),"INSIRA N° SERIE")</f>
        <v>7</v>
      </c>
      <c r="G262" s="98">
        <v>20210672</v>
      </c>
      <c r="H262" s="35" t="str">
        <f t="shared" si="24"/>
        <v>JUL</v>
      </c>
      <c r="I262" s="89">
        <v>44396</v>
      </c>
      <c r="J262" s="90">
        <v>44396</v>
      </c>
      <c r="K262" s="91">
        <v>44397</v>
      </c>
      <c r="L262" s="92" t="s">
        <v>23</v>
      </c>
      <c r="M262" s="92" t="s">
        <v>8</v>
      </c>
      <c r="N262" s="92" t="s">
        <v>32</v>
      </c>
      <c r="O262" s="42" t="str">
        <f>IFERROR(INDEX([1]GARANTIA!$E:$E,MATCH(A262,[1]GARANTIA!$C:$C,0)),"INSIRA N° SERIE")</f>
        <v>MTI - 2.500GTS</v>
      </c>
      <c r="P262" s="101" t="s">
        <v>539</v>
      </c>
      <c r="Q262" s="94" t="s">
        <v>333</v>
      </c>
      <c r="R262" s="93" t="s">
        <v>543</v>
      </c>
      <c r="S262" s="44" t="s">
        <v>638</v>
      </c>
      <c r="T262" s="56" t="s">
        <v>141</v>
      </c>
      <c r="U262" s="96"/>
      <c r="V262" s="41" t="str">
        <f>IFERROR(INDEX([1]GARANTIA!$G:$G,MATCH(A262,[1]GARANTIA!$C:$C,0)),"INSIRA N° SERIE")</f>
        <v>SINOP</v>
      </c>
      <c r="W262" s="41" t="str">
        <f>IFERROR(INDEX([1]GARANTIA!$H:$H,MATCH(A262,[1]GARANTIA!$C:$C,0)),"INSIRA N° SERIE")</f>
        <v>MT</v>
      </c>
      <c r="X262" s="41" t="str">
        <f>IFERROR(INDEX([1]GARANTIA!$F:$F,MATCH(A262,[1]GARANTIA!$C:$C,0)),"INSIRA N° SERIE")</f>
        <v>CENTROESTE</v>
      </c>
      <c r="Y262" s="46">
        <f t="shared" si="22"/>
        <v>0</v>
      </c>
      <c r="Z262" s="47">
        <f t="shared" si="25"/>
        <v>1</v>
      </c>
      <c r="AA262" s="46">
        <f t="shared" si="23"/>
        <v>1</v>
      </c>
      <c r="AB262" s="46" t="str" cm="1">
        <f t="array" ref="AB262">IFERROR(_xlfn.IFS(L262="FINALIZADO PRESENCIAL",IF(AA262&gt;10,"FORA","DENTRO"),L262="FINALIZADO REMOTO",IF(AA262&gt;5,"FORA","DENTRO")),"-")</f>
        <v>DENTRO</v>
      </c>
      <c r="AC262" s="41" t="s">
        <v>1671</v>
      </c>
      <c r="AD262" s="41" t="s">
        <v>1671</v>
      </c>
      <c r="AE262" s="48" cm="1">
        <f t="array" ref="AE262">SUMPRODUCT(IFERROR(('[2]PEÇAS GARANTIA'!$A$3:$A$5993=G262)*('[2]PEÇAS GARANTIA'!$A$3:$A$5993&lt;&gt;"")*('[2]PEÇAS GARANTIA'!$R$3:$R$5993),0))</f>
        <v>0</v>
      </c>
      <c r="AF262" s="178">
        <v>0</v>
      </c>
    </row>
    <row r="263" spans="1:32" s="104" customFormat="1" ht="60" customHeight="1" x14ac:dyDescent="0.25">
      <c r="A263" s="82">
        <v>76725</v>
      </c>
      <c r="B263" s="41" t="str">
        <f>IFERROR(INDEX([1]GARANTIA!$B:$B,MATCH(A263,[1]GARANTIA!$C:$C,0)),"INSIRA N° SERIE")</f>
        <v>TESTE 65</v>
      </c>
      <c r="C263" s="33">
        <f>IFERROR(INDEX([1]GARANTIA!$J:$J,MATCH(A263,[1]GARANTIA!$C:$C,0)),"INSIRA N° SERIE")</f>
        <v>43882</v>
      </c>
      <c r="D263" s="33" t="str">
        <f>IFERROR(IF(INDEX([1]GARANTIA!$M:$M,MATCH(A263,[1]GARANTIA!$C:$C,0))&gt;=I263,"DENTRO DA GARANTIA","FORA DE GARANTIA"),"INSIRA N° SERIE")</f>
        <v>DENTRO DA GARANTIA</v>
      </c>
      <c r="E263" s="148"/>
      <c r="F263" s="109">
        <f>IFERROR(MAX(0,IF(I263-(INDEX([1]GARANTIA!$J:$J,MATCH(A263,[1]GARANTIA!$C:$C,0)))&gt;=0,I263-(INDEX([1]GARANTIA!$L:$L,MATCH(A263,[1]GARANTIA!$C:$C,0))),"INSIRA DATA CHAMADO")),"INSIRA N° SERIE")</f>
        <v>60</v>
      </c>
      <c r="G263" s="98">
        <v>20210673</v>
      </c>
      <c r="H263" s="35" t="str">
        <f t="shared" si="24"/>
        <v>JUL</v>
      </c>
      <c r="I263" s="89">
        <v>44398</v>
      </c>
      <c r="J263" s="90">
        <v>44398</v>
      </c>
      <c r="K263" s="91">
        <v>44400</v>
      </c>
      <c r="L263" s="92" t="s">
        <v>11</v>
      </c>
      <c r="M263" s="92" t="s">
        <v>8</v>
      </c>
      <c r="N263" s="92" t="s">
        <v>43</v>
      </c>
      <c r="O263" s="42" t="str">
        <f>IFERROR(INDEX([1]GARANTIA!$E:$E,MATCH(A263,[1]GARANTIA!$C:$C,0)),"INSIRA N° SERIE")</f>
        <v>MTI - 12.000GTS</v>
      </c>
      <c r="P263" s="101" t="s">
        <v>544</v>
      </c>
      <c r="Q263" s="94" t="s">
        <v>333</v>
      </c>
      <c r="R263" s="93" t="s">
        <v>545</v>
      </c>
      <c r="S263" s="44" t="s">
        <v>638</v>
      </c>
      <c r="T263" s="56" t="s">
        <v>142</v>
      </c>
      <c r="U263" s="96"/>
      <c r="V263" s="41" t="str">
        <f>IFERROR(INDEX([1]GARANTIA!$G:$G,MATCH(A263,[1]GARANTIA!$C:$C,0)),"INSIRA N° SERIE")</f>
        <v xml:space="preserve">ITAIPU </v>
      </c>
      <c r="W263" s="41" t="str">
        <f>IFERROR(INDEX([1]GARANTIA!$H:$H,MATCH(A263,[1]GARANTIA!$C:$C,0)),"INSIRA N° SERIE")</f>
        <v xml:space="preserve">SP </v>
      </c>
      <c r="X263" s="41" t="str">
        <f>IFERROR(INDEX([1]GARANTIA!$F:$F,MATCH(A263,[1]GARANTIA!$C:$C,0)),"INSIRA N° SERIE")</f>
        <v>SUDESTE</v>
      </c>
      <c r="Y263" s="46">
        <f t="shared" si="22"/>
        <v>0</v>
      </c>
      <c r="Z263" s="47">
        <f t="shared" si="25"/>
        <v>2</v>
      </c>
      <c r="AA263" s="46">
        <f t="shared" si="23"/>
        <v>2</v>
      </c>
      <c r="AB263" s="46" t="str" cm="1">
        <f t="array" ref="AB263">IFERROR(_xlfn.IFS(L263="FINALIZADO PRESENCIAL",IF(AA263&gt;10,"FORA","DENTRO"),L263="FINALIZADO REMOTO",IF(AA263&gt;5,"FORA","DENTRO")),"-")</f>
        <v>DENTRO</v>
      </c>
      <c r="AC263" s="41" t="s">
        <v>1671</v>
      </c>
      <c r="AD263" s="41" t="s">
        <v>1671</v>
      </c>
      <c r="AE263" s="48" cm="1">
        <f t="array" ref="AE263">SUMPRODUCT(IFERROR(('[2]PEÇAS GARANTIA'!$A$3:$A$5993=G263)*('[2]PEÇAS GARANTIA'!$A$3:$A$5993&lt;&gt;"")*('[2]PEÇAS GARANTIA'!$R$3:$R$5993),0))</f>
        <v>670</v>
      </c>
      <c r="AF263" s="178">
        <v>136.69</v>
      </c>
    </row>
    <row r="264" spans="1:32" s="104" customFormat="1" ht="15" x14ac:dyDescent="0.25">
      <c r="A264" s="82">
        <v>91210</v>
      </c>
      <c r="B264" s="41" t="str">
        <f>IFERROR(INDEX([1]GARANTIA!$B:$B,MATCH(A264,[1]GARANTIA!$C:$C,0)),"INSIRA N° SERIE")</f>
        <v>TESTE 145</v>
      </c>
      <c r="C264" s="33">
        <f>IFERROR(INDEX([1]GARANTIA!$J:$J,MATCH(A264,[1]GARANTIA!$C:$C,0)),"INSIRA N° SERIE")</f>
        <v>43738</v>
      </c>
      <c r="D264" s="33" t="str">
        <f>IFERROR(IF(INDEX([1]GARANTIA!$M:$M,MATCH(A264,[1]GARANTIA!$C:$C,0))&gt;=I264,"DENTRO DA GARANTIA","FORA DE GARANTIA"),"INSIRA N° SERIE")</f>
        <v>FORA DE GARANTIA</v>
      </c>
      <c r="E264" s="148"/>
      <c r="F264" s="109">
        <f>IFERROR(MAX(0,IF(I264-(INDEX([1]GARANTIA!$J:$J,MATCH(A264,[1]GARANTIA!$C:$C,0)))&gt;=0,I264-(INDEX([1]GARANTIA!$L:$L,MATCH(A264,[1]GARANTIA!$C:$C,0))),"INSIRA DATA CHAMADO")),"INSIRA N° SERIE")</f>
        <v>400</v>
      </c>
      <c r="G264" s="98">
        <v>20210674</v>
      </c>
      <c r="H264" s="35" t="str">
        <f t="shared" si="24"/>
        <v>JUL</v>
      </c>
      <c r="I264" s="89">
        <v>44398</v>
      </c>
      <c r="J264" s="90">
        <v>44398</v>
      </c>
      <c r="K264" s="91">
        <v>44404</v>
      </c>
      <c r="L264" s="92" t="s">
        <v>23</v>
      </c>
      <c r="M264" s="92" t="s">
        <v>8</v>
      </c>
      <c r="N264" s="92" t="s">
        <v>40</v>
      </c>
      <c r="O264" s="42" t="str">
        <f>IFERROR(INDEX([1]GARANTIA!$E:$E,MATCH(A264,[1]GARANTIA!$C:$C,0)),"INSIRA N° SERIE")</f>
        <v>MTI - 7.000GTS</v>
      </c>
      <c r="P264" s="101" t="s">
        <v>546</v>
      </c>
      <c r="Q264" s="94" t="s">
        <v>144</v>
      </c>
      <c r="R264" s="93" t="s">
        <v>547</v>
      </c>
      <c r="S264" s="44" t="s">
        <v>638</v>
      </c>
      <c r="T264" s="56" t="s">
        <v>144</v>
      </c>
      <c r="U264" s="96"/>
      <c r="V264" s="41" t="str">
        <f>IFERROR(INDEX([1]GARANTIA!$G:$G,MATCH(A264,[1]GARANTIA!$C:$C,0)),"INSIRA N° SERIE")</f>
        <v xml:space="preserve">SÃO VICENTE </v>
      </c>
      <c r="W264" s="41" t="str">
        <f>IFERROR(INDEX([1]GARANTIA!$H:$H,MATCH(A264,[1]GARANTIA!$C:$C,0)),"INSIRA N° SERIE")</f>
        <v>SP</v>
      </c>
      <c r="X264" s="41" t="str">
        <f>IFERROR(INDEX([1]GARANTIA!$F:$F,MATCH(A264,[1]GARANTIA!$C:$C,0)),"INSIRA N° SERIE")</f>
        <v>SUDESTE</v>
      </c>
      <c r="Y264" s="46">
        <f t="shared" si="22"/>
        <v>0</v>
      </c>
      <c r="Z264" s="47">
        <f t="shared" si="25"/>
        <v>6</v>
      </c>
      <c r="AA264" s="46">
        <f t="shared" si="23"/>
        <v>6</v>
      </c>
      <c r="AB264" s="46" t="str" cm="1">
        <f t="array" ref="AB264">IFERROR(_xlfn.IFS(L264="FINALIZADO PRESENCIAL",IF(AA264&gt;10,"FORA","DENTRO"),L264="FINALIZADO REMOTO",IF(AA264&gt;5,"FORA","DENTRO")),"-")</f>
        <v>FORA</v>
      </c>
      <c r="AC264" s="41" t="s">
        <v>1671</v>
      </c>
      <c r="AD264" s="41" t="s">
        <v>1671</v>
      </c>
      <c r="AE264" s="48" cm="1">
        <f t="array" ref="AE264">SUMPRODUCT(IFERROR(('[2]PEÇAS GARANTIA'!$A$3:$A$5993=G264)*('[2]PEÇAS GARANTIA'!$A$3:$A$5993&lt;&gt;"")*('[2]PEÇAS GARANTIA'!$R$3:$R$5993),0))</f>
        <v>0</v>
      </c>
      <c r="AF264" s="178">
        <v>0</v>
      </c>
    </row>
    <row r="265" spans="1:32" s="104" customFormat="1" ht="40.15" customHeight="1" x14ac:dyDescent="0.25">
      <c r="A265" s="82">
        <v>47823</v>
      </c>
      <c r="B265" s="41" t="str">
        <f>IFERROR(INDEX([1]GARANTIA!$B:$B,MATCH(A265,[1]GARANTIA!$C:$C,0)),"INSIRA N° SERIE")</f>
        <v>TESTE 295</v>
      </c>
      <c r="C265" s="33">
        <f>IFERROR(INDEX([1]GARANTIA!$J:$J,MATCH(A265,[1]GARANTIA!$C:$C,0)),"INSIRA N° SERIE")</f>
        <v>43830</v>
      </c>
      <c r="D265" s="33" t="str">
        <f>IFERROR(IF(INDEX([1]GARANTIA!$M:$M,MATCH(A265,[1]GARANTIA!$C:$C,0))&gt;=I265,"DENTRO DA GARANTIA","FORA DE GARANTIA"),"INSIRA N° SERIE")</f>
        <v>DENTRO DA GARANTIA</v>
      </c>
      <c r="E265" s="148"/>
      <c r="F265" s="109">
        <f>IFERROR(MAX(0,IF(I265-(INDEX([1]GARANTIA!$J:$J,MATCH(A265,[1]GARANTIA!$C:$C,0)))&gt;=0,I265-(INDEX([1]GARANTIA!$L:$L,MATCH(A265,[1]GARANTIA!$C:$C,0))),"INSIRA DATA CHAMADO")),"INSIRA N° SERIE")</f>
        <v>285</v>
      </c>
      <c r="G265" s="98">
        <v>20210675</v>
      </c>
      <c r="H265" s="35" t="str">
        <f t="shared" si="24"/>
        <v>JUL</v>
      </c>
      <c r="I265" s="89">
        <v>44398</v>
      </c>
      <c r="J265" s="90">
        <v>44398</v>
      </c>
      <c r="K265" s="91">
        <v>44398</v>
      </c>
      <c r="L265" s="92" t="s">
        <v>23</v>
      </c>
      <c r="M265" s="92" t="s">
        <v>8</v>
      </c>
      <c r="N265" s="92" t="s">
        <v>42</v>
      </c>
      <c r="O265" s="42" t="str">
        <f>IFERROR(INDEX([1]GARANTIA!$E:$E,MATCH(A265,[1]GARANTIA!$C:$C,0)),"INSIRA N° SERIE")</f>
        <v>MTI - 12.000GTS</v>
      </c>
      <c r="P265" s="101" t="s">
        <v>540</v>
      </c>
      <c r="Q265" s="94" t="s">
        <v>54</v>
      </c>
      <c r="R265" s="93" t="s">
        <v>551</v>
      </c>
      <c r="S265" s="56" t="s">
        <v>325</v>
      </c>
      <c r="T265" s="56" t="s">
        <v>142</v>
      </c>
      <c r="U265" s="96"/>
      <c r="V265" s="41" t="str">
        <f>IFERROR(INDEX([1]GARANTIA!$G:$G,MATCH(A265,[1]GARANTIA!$C:$C,0)),"INSIRA N° SERIE")</f>
        <v xml:space="preserve">LUIS EDUARDO MAGALHAES </v>
      </c>
      <c r="W265" s="41" t="str">
        <f>IFERROR(INDEX([1]GARANTIA!$H:$H,MATCH(A265,[1]GARANTIA!$C:$C,0)),"INSIRA N° SERIE")</f>
        <v>BA</v>
      </c>
      <c r="X265" s="41" t="str">
        <f>IFERROR(INDEX([1]GARANTIA!$F:$F,MATCH(A265,[1]GARANTIA!$C:$C,0)),"INSIRA N° SERIE")</f>
        <v>NORDESTE</v>
      </c>
      <c r="Y265" s="46">
        <f t="shared" si="22"/>
        <v>0</v>
      </c>
      <c r="Z265" s="47">
        <f t="shared" si="25"/>
        <v>0</v>
      </c>
      <c r="AA265" s="46">
        <f t="shared" si="23"/>
        <v>0</v>
      </c>
      <c r="AB265" s="46" t="str" cm="1">
        <f t="array" ref="AB265">IFERROR(_xlfn.IFS(L265="FINALIZADO PRESENCIAL",IF(AA265&gt;10,"FORA","DENTRO"),L265="FINALIZADO REMOTO",IF(AA265&gt;5,"FORA","DENTRO")),"-")</f>
        <v>DENTRO</v>
      </c>
      <c r="AC265" s="41" t="s">
        <v>1671</v>
      </c>
      <c r="AD265" s="41" t="s">
        <v>1671</v>
      </c>
      <c r="AE265" s="48" cm="1">
        <f t="array" ref="AE265">SUMPRODUCT(IFERROR(('[2]PEÇAS GARANTIA'!$A$3:$A$5993=G265)*('[2]PEÇAS GARANTIA'!$A$3:$A$5993&lt;&gt;"")*('[2]PEÇAS GARANTIA'!$R$3:$R$5993),0))</f>
        <v>0</v>
      </c>
      <c r="AF265" s="178">
        <v>0</v>
      </c>
    </row>
    <row r="266" spans="1:32" ht="40.15" customHeight="1" x14ac:dyDescent="0.25">
      <c r="A266" s="82">
        <v>3000224</v>
      </c>
      <c r="B266" s="41" t="str">
        <f>IFERROR(INDEX([1]GARANTIA!$B:$B,MATCH(A266,[1]GARANTIA!$C:$C,0)),"INSIRA N° SERIE")</f>
        <v>TESTE 172</v>
      </c>
      <c r="C266" s="33">
        <f>IFERROR(INDEX([1]GARANTIA!$J:$J,MATCH(A266,[1]GARANTIA!$C:$C,0)),"INSIRA N° SERIE")</f>
        <v>43059</v>
      </c>
      <c r="D266" s="33" t="str">
        <f>IFERROR(IF(INDEX([1]GARANTIA!$M:$M,MATCH(A266,[1]GARANTIA!$C:$C,0))&gt;=I266,"DENTRO DA GARANTIA","FORA DE GARANTIA"),"INSIRA N° SERIE")</f>
        <v>FORA DE GARANTIA</v>
      </c>
      <c r="E266" s="148"/>
      <c r="F266" s="109">
        <f>IFERROR(MAX(0,IF(I266-(INDEX([1]GARANTIA!$J:$J,MATCH(A266,[1]GARANTIA!$C:$C,0)))&gt;=0,I266-(INDEX([1]GARANTIA!$L:$L,MATCH(A266,[1]GARANTIA!$C:$C,0))),"INSIRA DATA CHAMADO")),"INSIRA N° SERIE")</f>
        <v>1225</v>
      </c>
      <c r="G266" s="98">
        <v>20210677</v>
      </c>
      <c r="H266" s="35" t="str">
        <f t="shared" si="24"/>
        <v>JUL</v>
      </c>
      <c r="I266" s="89">
        <v>44407</v>
      </c>
      <c r="J266" s="90">
        <v>44407</v>
      </c>
      <c r="K266" s="91">
        <v>44411</v>
      </c>
      <c r="L266" s="92" t="s">
        <v>23</v>
      </c>
      <c r="M266" s="92" t="s">
        <v>8</v>
      </c>
      <c r="N266" s="92" t="s">
        <v>76</v>
      </c>
      <c r="O266" s="42" t="str">
        <f>IFERROR(INDEX([1]GARANTIA!$E:$E,MATCH(A266,[1]GARANTIA!$C:$C,0)),"INSIRA N° SERIE")</f>
        <v>MAC 7.000 GT</v>
      </c>
      <c r="P266" s="101" t="s">
        <v>492</v>
      </c>
      <c r="Q266" s="94" t="s">
        <v>38</v>
      </c>
      <c r="R266" s="93" t="s">
        <v>548</v>
      </c>
      <c r="S266" s="95" t="s">
        <v>101</v>
      </c>
      <c r="T266" s="95" t="s">
        <v>296</v>
      </c>
      <c r="U266" s="96"/>
      <c r="V266" s="41" t="str">
        <f>IFERROR(INDEX([1]GARANTIA!$G:$G,MATCH(A266,[1]GARANTIA!$C:$C,0)),"INSIRA N° SERIE")</f>
        <v>CONCÓRDIA</v>
      </c>
      <c r="W266" s="41" t="str">
        <f>IFERROR(INDEX([1]GARANTIA!$H:$H,MATCH(A266,[1]GARANTIA!$C:$C,0)),"INSIRA N° SERIE")</f>
        <v>SC</v>
      </c>
      <c r="X266" s="41" t="str">
        <f>IFERROR(INDEX([1]GARANTIA!$F:$F,MATCH(A266,[1]GARANTIA!$C:$C,0)),"INSIRA N° SERIE")</f>
        <v>SUL</v>
      </c>
      <c r="Y266" s="46">
        <f t="shared" si="22"/>
        <v>0</v>
      </c>
      <c r="Z266" s="47">
        <f t="shared" si="25"/>
        <v>4</v>
      </c>
      <c r="AA266" s="46">
        <f t="shared" si="23"/>
        <v>4</v>
      </c>
      <c r="AB266" s="46" t="str" cm="1">
        <f t="array" ref="AB266">IFERROR(_xlfn.IFS(L266="FINALIZADO PRESENCIAL",IF(AA266&gt;10,"FORA","DENTRO"),L266="FINALIZADO REMOTO",IF(AA266&gt;5,"FORA","DENTRO")),"-")</f>
        <v>DENTRO</v>
      </c>
      <c r="AC266" s="41" t="s">
        <v>1671</v>
      </c>
      <c r="AD266" s="41" t="s">
        <v>1671</v>
      </c>
      <c r="AE266" s="48" cm="1">
        <f t="array" ref="AE266">SUMPRODUCT(IFERROR(('[2]PEÇAS GARANTIA'!$A$3:$A$5993=G266)*('[2]PEÇAS GARANTIA'!$A$3:$A$5993&lt;&gt;"")*('[2]PEÇAS GARANTIA'!$R$3:$R$5993),0))</f>
        <v>0</v>
      </c>
      <c r="AF266" s="178">
        <v>0</v>
      </c>
    </row>
    <row r="267" spans="1:32" ht="40.15" customHeight="1" x14ac:dyDescent="0.25">
      <c r="A267" s="82">
        <v>50875</v>
      </c>
      <c r="B267" s="41" t="str">
        <f>IFERROR(INDEX([1]GARANTIA!$B:$B,MATCH(A267,[1]GARANTIA!$C:$C,0)),"INSIRA N° SERIE")</f>
        <v>TESTE 186</v>
      </c>
      <c r="C267" s="33">
        <f>IFERROR(INDEX([1]GARANTIA!$J:$J,MATCH(A267,[1]GARANTIA!$C:$C,0)),"INSIRA N° SERIE")</f>
        <v>44075</v>
      </c>
      <c r="D267" s="33" t="str">
        <f>IFERROR(IF(INDEX([1]GARANTIA!$M:$M,MATCH(A267,[1]GARANTIA!$C:$C,0))&gt;=I267,"DENTRO DA GARANTIA","FORA DE GARANTIA"),"INSIRA N° SERIE")</f>
        <v>DENTRO DA GARANTIA</v>
      </c>
      <c r="E267" s="148"/>
      <c r="F267" s="109">
        <f>IFERROR(MAX(0,IF(I267-(INDEX([1]GARANTIA!$J:$J,MATCH(A267,[1]GARANTIA!$C:$C,0)))&gt;=0,I267-(INDEX([1]GARANTIA!$L:$L,MATCH(A267,[1]GARANTIA!$C:$C,0))),"INSIRA DATA CHAMADO")),"INSIRA N° SERIE")</f>
        <v>219</v>
      </c>
      <c r="G267" s="98">
        <v>20210678</v>
      </c>
      <c r="H267" s="35" t="str">
        <f t="shared" si="24"/>
        <v>JUL</v>
      </c>
      <c r="I267" s="89">
        <v>44407</v>
      </c>
      <c r="J267" s="90">
        <v>44407</v>
      </c>
      <c r="K267" s="91">
        <v>44410</v>
      </c>
      <c r="L267" s="92" t="s">
        <v>23</v>
      </c>
      <c r="M267" s="92" t="s">
        <v>8</v>
      </c>
      <c r="N267" s="92" t="s">
        <v>76</v>
      </c>
      <c r="O267" s="42" t="str">
        <f>IFERROR(INDEX([1]GARANTIA!$E:$E,MATCH(A267,[1]GARANTIA!$C:$C,0)),"INSIRA N° SERIE")</f>
        <v>MTI - 7.000GTS</v>
      </c>
      <c r="P267" s="101" t="s">
        <v>492</v>
      </c>
      <c r="Q267" s="94" t="s">
        <v>38</v>
      </c>
      <c r="R267" s="93" t="s">
        <v>548</v>
      </c>
      <c r="S267" s="95" t="s">
        <v>101</v>
      </c>
      <c r="T267" s="95" t="s">
        <v>296</v>
      </c>
      <c r="U267" s="96"/>
      <c r="V267" s="41" t="str">
        <f>IFERROR(INDEX([1]GARANTIA!$G:$G,MATCH(A267,[1]GARANTIA!$C:$C,0)),"INSIRA N° SERIE")</f>
        <v>NOVA SERRANA</v>
      </c>
      <c r="W267" s="41" t="str">
        <f>IFERROR(INDEX([1]GARANTIA!$H:$H,MATCH(A267,[1]GARANTIA!$C:$C,0)),"INSIRA N° SERIE")</f>
        <v>MG</v>
      </c>
      <c r="X267" s="41" t="str">
        <f>IFERROR(INDEX([1]GARANTIA!$F:$F,MATCH(A267,[1]GARANTIA!$C:$C,0)),"INSIRA N° SERIE")</f>
        <v>SUDESTE</v>
      </c>
      <c r="Y267" s="46">
        <f t="shared" si="22"/>
        <v>0</v>
      </c>
      <c r="Z267" s="47">
        <f t="shared" si="25"/>
        <v>3</v>
      </c>
      <c r="AA267" s="46">
        <f t="shared" si="23"/>
        <v>3</v>
      </c>
      <c r="AB267" s="46" t="str" cm="1">
        <f t="array" ref="AB267">IFERROR(_xlfn.IFS(L267="FINALIZADO PRESENCIAL",IF(AA267&gt;10,"FORA","DENTRO"),L267="FINALIZADO REMOTO",IF(AA267&gt;5,"FORA","DENTRO")),"-")</f>
        <v>DENTRO</v>
      </c>
      <c r="AC267" s="41" t="s">
        <v>1671</v>
      </c>
      <c r="AD267" s="41" t="s">
        <v>1671</v>
      </c>
      <c r="AE267" s="48" cm="1">
        <f t="array" ref="AE267">SUMPRODUCT(IFERROR(('[2]PEÇAS GARANTIA'!$A$3:$A$5993=G267)*('[2]PEÇAS GARANTIA'!$A$3:$A$5993&lt;&gt;"")*('[2]PEÇAS GARANTIA'!$R$3:$R$5993),0))</f>
        <v>0</v>
      </c>
      <c r="AF267" s="178">
        <v>0</v>
      </c>
    </row>
    <row r="268" spans="1:32" ht="40.15" customHeight="1" x14ac:dyDescent="0.25">
      <c r="A268" s="82">
        <v>50869</v>
      </c>
      <c r="B268" s="41" t="str">
        <f>IFERROR(INDEX([1]GARANTIA!$B:$B,MATCH(A268,[1]GARANTIA!$C:$C,0)),"INSIRA N° SERIE")</f>
        <v>TESTE 417</v>
      </c>
      <c r="C268" s="33">
        <f>IFERROR(INDEX([1]GARANTIA!$J:$J,MATCH(A268,[1]GARANTIA!$C:$C,0)),"INSIRA N° SERIE")</f>
        <v>44552</v>
      </c>
      <c r="D268" s="33" t="str">
        <f>IFERROR(IF(INDEX([1]GARANTIA!$M:$M,MATCH(A268,[1]GARANTIA!$C:$C,0))&gt;=I268,"DENTRO DA GARANTIA","FORA DE GARANTIA"),"INSIRA N° SERIE")</f>
        <v>FORA DE GARANTIA</v>
      </c>
      <c r="E268" s="148"/>
      <c r="F268" s="109" t="str">
        <f>IFERROR(MAX(0,IF(I268-(INDEX([1]GARANTIA!$J:$J,MATCH(A268,[1]GARANTIA!$C:$C,0)))&gt;=0,I268-(INDEX([1]GARANTIA!$L:$L,MATCH(A268,[1]GARANTIA!$C:$C,0))),"INSIRA DATA CHAMADO")),"INSIRA N° SERIE")</f>
        <v>INSIRA N° SERIE</v>
      </c>
      <c r="G268" s="98">
        <v>20210679</v>
      </c>
      <c r="H268" s="35" t="str">
        <f t="shared" si="24"/>
        <v>JUL</v>
      </c>
      <c r="I268" s="89">
        <v>44407</v>
      </c>
      <c r="J268" s="90">
        <v>44407</v>
      </c>
      <c r="K268" s="91">
        <v>44410</v>
      </c>
      <c r="L268" s="92" t="s">
        <v>23</v>
      </c>
      <c r="M268" s="92" t="s">
        <v>8</v>
      </c>
      <c r="N268" s="92" t="s">
        <v>28</v>
      </c>
      <c r="O268" s="42" t="str">
        <f>IFERROR(INDEX([1]GARANTIA!$E:$E,MATCH(A268,[1]GARANTIA!$C:$C,0)),"INSIRA N° SERIE")</f>
        <v>MTI-1.000GTS</v>
      </c>
      <c r="P268" s="101" t="s">
        <v>549</v>
      </c>
      <c r="Q268" s="94" t="s">
        <v>328</v>
      </c>
      <c r="R268" s="93" t="s">
        <v>550</v>
      </c>
      <c r="S268" s="95" t="s">
        <v>101</v>
      </c>
      <c r="T268" s="95" t="s">
        <v>142</v>
      </c>
      <c r="U268" s="96"/>
      <c r="V268" s="41" t="str">
        <f>IFERROR(INDEX([1]GARANTIA!$G:$G,MATCH(A268,[1]GARANTIA!$C:$C,0)),"INSIRA N° SERIE")</f>
        <v>CAMPO GRANDE</v>
      </c>
      <c r="W268" s="41" t="str">
        <f>IFERROR(INDEX([1]GARANTIA!$H:$H,MATCH(A268,[1]GARANTIA!$C:$C,0)),"INSIRA N° SERIE")</f>
        <v xml:space="preserve">MS </v>
      </c>
      <c r="X268" s="41" t="str">
        <f>IFERROR(INDEX([1]GARANTIA!$F:$F,MATCH(A268,[1]GARANTIA!$C:$C,0)),"INSIRA N° SERIE")</f>
        <v>CENTRO-OESTE</v>
      </c>
      <c r="Y268" s="46">
        <f t="shared" ref="Y268:Y295" si="26">IF(G268&lt;&gt;"",J268-I268,"INSIRA N° OS")</f>
        <v>0</v>
      </c>
      <c r="Z268" s="47">
        <f t="shared" si="25"/>
        <v>3</v>
      </c>
      <c r="AA268" s="46">
        <f t="shared" ref="AA268:AA295" si="27">IF(Z268="NÃO FINALIZADO","",Z268+Y268)</f>
        <v>3</v>
      </c>
      <c r="AB268" s="46" t="str" cm="1">
        <f t="array" ref="AB268">IFERROR(_xlfn.IFS(L268="FINALIZADO PRESENCIAL",IF(AA268&gt;10,"FORA","DENTRO"),L268="FINALIZADO REMOTO",IF(AA268&gt;5,"FORA","DENTRO")),"-")</f>
        <v>DENTRO</v>
      </c>
      <c r="AC268" s="41" t="s">
        <v>1671</v>
      </c>
      <c r="AD268" s="41" t="s">
        <v>1671</v>
      </c>
      <c r="AE268" s="48" cm="1">
        <f t="array" ref="AE268">SUMPRODUCT(IFERROR(('[2]PEÇAS GARANTIA'!$A$3:$A$5993=G268)*('[2]PEÇAS GARANTIA'!$A$3:$A$5993&lt;&gt;"")*('[2]PEÇAS GARANTIA'!$R$3:$R$5993),0))</f>
        <v>0</v>
      </c>
      <c r="AF268" s="178">
        <v>0</v>
      </c>
    </row>
    <row r="269" spans="1:32" ht="102" customHeight="1" x14ac:dyDescent="0.25">
      <c r="A269" s="82">
        <v>83536</v>
      </c>
      <c r="B269" s="41" t="str">
        <f>IFERROR(INDEX([1]GARANTIA!$B:$B,MATCH(A269,[1]GARANTIA!$C:$C,0)),"INSIRA N° SERIE")</f>
        <v>TESTE 98</v>
      </c>
      <c r="C269" s="33">
        <f>IFERROR(INDEX([1]GARANTIA!$J:$J,MATCH(A269,[1]GARANTIA!$C:$C,0)),"INSIRA N° SERIE")</f>
        <v>44175</v>
      </c>
      <c r="D269" s="33" t="str">
        <f>IFERROR(IF(INDEX([1]GARANTIA!$M:$M,MATCH(A269,[1]GARANTIA!$C:$C,0))&gt;=I269,"DENTRO DA GARANTIA","FORA DE GARANTIA"),"INSIRA N° SERIE")</f>
        <v>DENTRO DA GARANTIA</v>
      </c>
      <c r="E269" s="148"/>
      <c r="F269" s="109">
        <f>IFERROR(MAX(0,IF(I269-(INDEX([1]GARANTIA!$J:$J,MATCH(A269,[1]GARANTIA!$C:$C,0)))&gt;=0,I269-(INDEX([1]GARANTIA!$L:$L,MATCH(A269,[1]GARANTIA!$C:$C,0))),"INSIRA DATA CHAMADO")),"INSIRA N° SERIE")</f>
        <v>2</v>
      </c>
      <c r="G269" s="98">
        <v>20210680</v>
      </c>
      <c r="H269" s="35" t="str">
        <f t="shared" si="24"/>
        <v>AGO</v>
      </c>
      <c r="I269" s="89">
        <v>44410</v>
      </c>
      <c r="J269" s="90">
        <v>44410</v>
      </c>
      <c r="K269" s="91">
        <v>44413</v>
      </c>
      <c r="L269" s="92" t="s">
        <v>23</v>
      </c>
      <c r="M269" s="92" t="s">
        <v>8</v>
      </c>
      <c r="N269" s="92" t="s">
        <v>28</v>
      </c>
      <c r="O269" s="42" t="str">
        <f>IFERROR(INDEX([1]GARANTIA!$E:$E,MATCH(A269,[1]GARANTIA!$C:$C,0)),"INSIRA N° SERIE")</f>
        <v>MTI - 12.000GTS</v>
      </c>
      <c r="P269" s="101" t="s">
        <v>554</v>
      </c>
      <c r="Q269" s="94" t="s">
        <v>328</v>
      </c>
      <c r="R269" s="93" t="s">
        <v>557</v>
      </c>
      <c r="S269" s="95" t="s">
        <v>101</v>
      </c>
      <c r="T269" s="95" t="s">
        <v>142</v>
      </c>
      <c r="U269" s="96"/>
      <c r="V269" s="41" t="str">
        <f>IFERROR(INDEX([1]GARANTIA!$G:$G,MATCH(A269,[1]GARANTIA!$C:$C,0)),"INSIRA N° SERIE")</f>
        <v>RONDONÓPOLIS</v>
      </c>
      <c r="W269" s="41" t="str">
        <f>IFERROR(INDEX([1]GARANTIA!$H:$H,MATCH(A269,[1]GARANTIA!$C:$C,0)),"INSIRA N° SERIE")</f>
        <v>MT</v>
      </c>
      <c r="X269" s="41" t="str">
        <f>IFERROR(INDEX([1]GARANTIA!$F:$F,MATCH(A269,[1]GARANTIA!$C:$C,0)),"INSIRA N° SERIE")</f>
        <v>CENTROESTE</v>
      </c>
      <c r="Y269" s="46">
        <f t="shared" si="26"/>
        <v>0</v>
      </c>
      <c r="Z269" s="47">
        <f t="shared" si="25"/>
        <v>3</v>
      </c>
      <c r="AA269" s="46">
        <f t="shared" si="27"/>
        <v>3</v>
      </c>
      <c r="AB269" s="46" t="str" cm="1">
        <f t="array" ref="AB269">IFERROR(_xlfn.IFS(L269="FINALIZADO PRESENCIAL",IF(AA269&gt;10,"FORA","DENTRO"),L269="FINALIZADO REMOTO",IF(AA269&gt;5,"FORA","DENTRO")),"-")</f>
        <v>DENTRO</v>
      </c>
      <c r="AC269" s="41" t="s">
        <v>1671</v>
      </c>
      <c r="AD269" s="41" t="s">
        <v>1671</v>
      </c>
      <c r="AE269" s="48" cm="1">
        <f t="array" ref="AE269">SUMPRODUCT(IFERROR(('[2]PEÇAS GARANTIA'!$A$3:$A$5993=G269)*('[2]PEÇAS GARANTIA'!$A$3:$A$5993&lt;&gt;"")*('[2]PEÇAS GARANTIA'!$R$3:$R$5993),0))</f>
        <v>0</v>
      </c>
      <c r="AF269" s="178">
        <v>0</v>
      </c>
    </row>
    <row r="270" spans="1:32" s="104" customFormat="1" ht="81.75" customHeight="1" x14ac:dyDescent="0.25">
      <c r="A270" s="82">
        <v>44524</v>
      </c>
      <c r="B270" s="41" t="str">
        <f>IFERROR(INDEX([1]GARANTIA!$B:$B,MATCH(A270,[1]GARANTIA!$C:$C,0)),"INSIRA N° SERIE")</f>
        <v>TESTE 173</v>
      </c>
      <c r="C270" s="33">
        <f>IFERROR(INDEX([1]GARANTIA!$J:$J,MATCH(A270,[1]GARANTIA!$C:$C,0)),"INSIRA N° SERIE")</f>
        <v>44119</v>
      </c>
      <c r="D270" s="33" t="str">
        <f>IFERROR(IF(INDEX([1]GARANTIA!$M:$M,MATCH(A270,[1]GARANTIA!$C:$C,0))&gt;=I270,"DENTRO DA GARANTIA","FORA DE GARANTIA"),"INSIRA N° SERIE")</f>
        <v>DENTRO DA GARANTIA</v>
      </c>
      <c r="E270" s="148"/>
      <c r="F270" s="109">
        <f>IFERROR(MAX(0,IF(I270-(INDEX([1]GARANTIA!$J:$J,MATCH(A270,[1]GARANTIA!$C:$C,0)))&gt;=0,I270-(INDEX([1]GARANTIA!$L:$L,MATCH(A270,[1]GARANTIA!$C:$C,0))),"INSIRA DATA CHAMADO")),"INSIRA N° SERIE")</f>
        <v>166</v>
      </c>
      <c r="G270" s="98">
        <v>20210681</v>
      </c>
      <c r="H270" s="35" t="str">
        <f t="shared" si="24"/>
        <v>AGO</v>
      </c>
      <c r="I270" s="89">
        <v>44412</v>
      </c>
      <c r="J270" s="90">
        <v>44412</v>
      </c>
      <c r="K270" s="91">
        <v>44413</v>
      </c>
      <c r="L270" s="92" t="s">
        <v>23</v>
      </c>
      <c r="M270" s="92" t="s">
        <v>8</v>
      </c>
      <c r="N270" s="92" t="s">
        <v>43</v>
      </c>
      <c r="O270" s="42" t="str">
        <f>IFERROR(INDEX([1]GARANTIA!$E:$E,MATCH(A270,[1]GARANTIA!$C:$C,0)),"INSIRA N° SERIE")</f>
        <v>MTI - 4.000GTS</v>
      </c>
      <c r="P270" s="101" t="s">
        <v>555</v>
      </c>
      <c r="Q270" s="94" t="s">
        <v>54</v>
      </c>
      <c r="R270" s="93" t="s">
        <v>558</v>
      </c>
      <c r="S270" s="44" t="s">
        <v>638</v>
      </c>
      <c r="T270" s="95" t="s">
        <v>144</v>
      </c>
      <c r="U270" s="96">
        <v>0</v>
      </c>
      <c r="V270" s="41" t="str">
        <f>IFERROR(INDEX([1]GARANTIA!$G:$G,MATCH(A270,[1]GARANTIA!$C:$C,0)),"INSIRA N° SERIE")</f>
        <v>QUIRINOPOLIS</v>
      </c>
      <c r="W270" s="41" t="str">
        <f>IFERROR(INDEX([1]GARANTIA!$H:$H,MATCH(A270,[1]GARANTIA!$C:$C,0)),"INSIRA N° SERIE")</f>
        <v>GO</v>
      </c>
      <c r="X270" s="41" t="str">
        <f>IFERROR(INDEX([1]GARANTIA!$F:$F,MATCH(A270,[1]GARANTIA!$C:$C,0)),"INSIRA N° SERIE")</f>
        <v>CENTROESTE</v>
      </c>
      <c r="Y270" s="46">
        <f t="shared" si="26"/>
        <v>0</v>
      </c>
      <c r="Z270" s="47">
        <f t="shared" si="25"/>
        <v>1</v>
      </c>
      <c r="AA270" s="46">
        <f t="shared" si="27"/>
        <v>1</v>
      </c>
      <c r="AB270" s="46" t="str" cm="1">
        <f t="array" ref="AB270">IFERROR(_xlfn.IFS(L270="FINALIZADO PRESENCIAL",IF(AA270&gt;10,"FORA","DENTRO"),L270="FINALIZADO REMOTO",IF(AA270&gt;5,"FORA","DENTRO")),"-")</f>
        <v>DENTRO</v>
      </c>
      <c r="AC270" s="41" t="s">
        <v>1671</v>
      </c>
      <c r="AD270" s="41" t="s">
        <v>1671</v>
      </c>
      <c r="AE270" s="48" cm="1">
        <f t="array" ref="AE270">SUMPRODUCT(IFERROR(('[2]PEÇAS GARANTIA'!$A$3:$A$5993=G270)*('[2]PEÇAS GARANTIA'!$A$3:$A$5993&lt;&gt;"")*('[2]PEÇAS GARANTIA'!$R$3:$R$5993),0))</f>
        <v>11280</v>
      </c>
      <c r="AF270" s="178">
        <v>0</v>
      </c>
    </row>
    <row r="271" spans="1:32" ht="40.15" customHeight="1" x14ac:dyDescent="0.25">
      <c r="A271" s="82">
        <v>75845</v>
      </c>
      <c r="B271" s="41" t="str">
        <f>IFERROR(INDEX([1]GARANTIA!$B:$B,MATCH(A271,[1]GARANTIA!$C:$C,0)),"INSIRA N° SERIE")</f>
        <v>TESTE 185</v>
      </c>
      <c r="C271" s="33">
        <f>IFERROR(INDEX([1]GARANTIA!$J:$J,MATCH(A271,[1]GARANTIA!$C:$C,0)),"INSIRA N° SERIE")</f>
        <v>44201</v>
      </c>
      <c r="D271" s="33" t="str">
        <f>IFERROR(IF(INDEX([1]GARANTIA!$M:$M,MATCH(A271,[1]GARANTIA!$C:$C,0))&gt;=I271,"DENTRO DA GARANTIA","FORA DE GARANTIA"),"INSIRA N° SERIE")</f>
        <v>DENTRO DA GARANTIA</v>
      </c>
      <c r="E271" s="148"/>
      <c r="F271" s="109">
        <f>IFERROR(MAX(0,IF(I271-(INDEX([1]GARANTIA!$J:$J,MATCH(A271,[1]GARANTIA!$C:$C,0)))&gt;=0,I271-(INDEX([1]GARANTIA!$L:$L,MATCH(A271,[1]GARANTIA!$C:$C,0))),"INSIRA DATA CHAMADO")),"INSIRA N° SERIE")</f>
        <v>2</v>
      </c>
      <c r="G271" s="98">
        <v>20210682</v>
      </c>
      <c r="H271" s="35" t="str">
        <f t="shared" si="24"/>
        <v>AGO</v>
      </c>
      <c r="I271" s="89">
        <v>44409</v>
      </c>
      <c r="J271" s="90">
        <v>44409</v>
      </c>
      <c r="K271" s="91"/>
      <c r="L271" s="92" t="s">
        <v>24</v>
      </c>
      <c r="M271" s="92" t="s">
        <v>164</v>
      </c>
      <c r="N271" s="92" t="s">
        <v>43</v>
      </c>
      <c r="O271" s="42" t="str">
        <f>IFERROR(INDEX([1]GARANTIA!$E:$E,MATCH(A271,[1]GARANTIA!$C:$C,0)),"INSIRA N° SERIE")</f>
        <v>GERADOR DE GELO MTI - 22.000GT</v>
      </c>
      <c r="P271" s="101" t="s">
        <v>559</v>
      </c>
      <c r="Q271" s="94" t="s">
        <v>328</v>
      </c>
      <c r="R271" s="93" t="s">
        <v>567</v>
      </c>
      <c r="S271" s="95" t="s">
        <v>101</v>
      </c>
      <c r="T271" s="95" t="s">
        <v>142</v>
      </c>
      <c r="U271" s="96"/>
      <c r="V271" s="41" t="str">
        <f>IFERROR(INDEX([1]GARANTIA!$G:$G,MATCH(A271,[1]GARANTIA!$C:$C,0)),"INSIRA N° SERIE")</f>
        <v xml:space="preserve"> TEIXEIRA DE FREITAS</v>
      </c>
      <c r="W271" s="41" t="str">
        <f>IFERROR(INDEX([1]GARANTIA!$H:$H,MATCH(A271,[1]GARANTIA!$C:$C,0)),"INSIRA N° SERIE")</f>
        <v>BA</v>
      </c>
      <c r="X271" s="41" t="str">
        <f>IFERROR(INDEX([1]GARANTIA!$F:$F,MATCH(A271,[1]GARANTIA!$C:$C,0)),"INSIRA N° SERIE")</f>
        <v>NORDESTE</v>
      </c>
      <c r="Y271" s="46">
        <f t="shared" si="26"/>
        <v>0</v>
      </c>
      <c r="Z271" s="47" t="str">
        <f t="shared" si="25"/>
        <v>NÃO FINALIZADO</v>
      </c>
      <c r="AA271" s="46" t="str">
        <f t="shared" si="27"/>
        <v/>
      </c>
      <c r="AB271" s="46" t="str" cm="1">
        <f t="array" ref="AB271">IFERROR(_xlfn.IFS(L271="FINALIZADO PRESENCIAL",IF(AA271&gt;10,"FORA","DENTRO"),L271="FINALIZADO REMOTO",IF(AA271&gt;5,"FORA","DENTRO")),"-")</f>
        <v>-</v>
      </c>
      <c r="AC271" s="41" t="s">
        <v>1671</v>
      </c>
      <c r="AD271" s="41" t="s">
        <v>1671</v>
      </c>
      <c r="AE271" s="48" cm="1">
        <f t="array" ref="AE271">SUMPRODUCT(IFERROR(('[2]PEÇAS GARANTIA'!$A$3:$A$5993=G271)*('[2]PEÇAS GARANTIA'!$A$3:$A$5993&lt;&gt;"")*('[2]PEÇAS GARANTIA'!$R$3:$R$5993),0))</f>
        <v>3464.67</v>
      </c>
      <c r="AF271" s="178">
        <v>0</v>
      </c>
    </row>
    <row r="272" spans="1:32" ht="40.15" customHeight="1" x14ac:dyDescent="0.25">
      <c r="A272" s="82">
        <v>51854</v>
      </c>
      <c r="B272" s="41" t="str">
        <f>IFERROR(INDEX([1]GARANTIA!$B:$B,MATCH(A272,[1]GARANTIA!$C:$C,0)),"INSIRA N° SERIE")</f>
        <v>TESTE 245</v>
      </c>
      <c r="C272" s="33">
        <f>IFERROR(INDEX([1]GARANTIA!$J:$J,MATCH(A272,[1]GARANTIA!$C:$C,0)),"INSIRA N° SERIE")</f>
        <v>44271</v>
      </c>
      <c r="D272" s="33" t="str">
        <f>IFERROR(IF(INDEX([1]GARANTIA!$M:$M,MATCH(A272,[1]GARANTIA!$C:$C,0))&gt;=I272,"DENTRO DA GARANTIA","FORA DE GARANTIA"),"INSIRA N° SERIE")</f>
        <v>DENTRO DA GARANTIA</v>
      </c>
      <c r="E272" s="148"/>
      <c r="F272" s="109">
        <f>IFERROR(MAX(0,IF(I272-(INDEX([1]GARANTIA!$J:$J,MATCH(A272,[1]GARANTIA!$C:$C,0)))&gt;=0,I272-(INDEX([1]GARANTIA!$L:$L,MATCH(A272,[1]GARANTIA!$C:$C,0))),"INSIRA DATA CHAMADO")),"INSIRA N° SERIE")</f>
        <v>0</v>
      </c>
      <c r="G272" s="98">
        <v>20210683</v>
      </c>
      <c r="H272" s="35" t="str">
        <f t="shared" si="24"/>
        <v>AGO</v>
      </c>
      <c r="I272" s="89">
        <v>44418</v>
      </c>
      <c r="J272" s="90">
        <v>44418</v>
      </c>
      <c r="K272" s="91">
        <v>44418</v>
      </c>
      <c r="L272" s="92" t="s">
        <v>11</v>
      </c>
      <c r="M272" s="92" t="s">
        <v>164</v>
      </c>
      <c r="N272" s="92" t="s">
        <v>42</v>
      </c>
      <c r="O272" s="42" t="str">
        <f>IFERROR(INDEX([1]GARANTIA!$E:$E,MATCH(A272,[1]GARANTIA!$C:$C,0)),"INSIRA N° SERIE")</f>
        <v>MTI - 7.000GTS</v>
      </c>
      <c r="P272" s="101" t="s">
        <v>564</v>
      </c>
      <c r="Q272" s="94" t="s">
        <v>333</v>
      </c>
      <c r="R272" s="93" t="s">
        <v>568</v>
      </c>
      <c r="S272" s="44" t="s">
        <v>638</v>
      </c>
      <c r="T272" s="95" t="s">
        <v>142</v>
      </c>
      <c r="U272" s="96"/>
      <c r="V272" s="41" t="str">
        <f>IFERROR(INDEX([1]GARANTIA!$G:$G,MATCH(A272,[1]GARANTIA!$C:$C,0)),"INSIRA N° SERIE")</f>
        <v>LENÇOIS PAULISTA</v>
      </c>
      <c r="W272" s="41" t="str">
        <f>IFERROR(INDEX([1]GARANTIA!$H:$H,MATCH(A272,[1]GARANTIA!$C:$C,0)),"INSIRA N° SERIE")</f>
        <v>SP</v>
      </c>
      <c r="X272" s="41" t="str">
        <f>IFERROR(INDEX([1]GARANTIA!$F:$F,MATCH(A272,[1]GARANTIA!$C:$C,0)),"INSIRA N° SERIE")</f>
        <v>SUDESTE</v>
      </c>
      <c r="Y272" s="46">
        <f t="shared" si="26"/>
        <v>0</v>
      </c>
      <c r="Z272" s="47">
        <f t="shared" si="25"/>
        <v>0</v>
      </c>
      <c r="AA272" s="46">
        <f t="shared" si="27"/>
        <v>0</v>
      </c>
      <c r="AB272" s="46" t="str" cm="1">
        <f t="array" ref="AB272">IFERROR(_xlfn.IFS(L272="FINALIZADO PRESENCIAL",IF(AA272&gt;10,"FORA","DENTRO"),L272="FINALIZADO REMOTO",IF(AA272&gt;5,"FORA","DENTRO")),"-")</f>
        <v>DENTRO</v>
      </c>
      <c r="AC272" s="41" t="s">
        <v>1671</v>
      </c>
      <c r="AD272" s="41" t="s">
        <v>1671</v>
      </c>
      <c r="AE272" s="48" cm="1">
        <f t="array" ref="AE272">SUMPRODUCT(IFERROR(('[2]PEÇAS GARANTIA'!$A$3:$A$5993=G272)*('[2]PEÇAS GARANTIA'!$A$3:$A$5993&lt;&gt;"")*('[2]PEÇAS GARANTIA'!$R$3:$R$5993),0))</f>
        <v>3656.46</v>
      </c>
      <c r="AF272" s="178">
        <v>810.39</v>
      </c>
    </row>
    <row r="273" spans="1:32" ht="40.15" customHeight="1" x14ac:dyDescent="0.25">
      <c r="A273" s="82">
        <v>73892</v>
      </c>
      <c r="B273" s="41" t="str">
        <f>IFERROR(INDEX([1]GARANTIA!$B:$B,MATCH(A273,[1]GARANTIA!$C:$C,0)),"INSIRA N° SERIE")</f>
        <v>TESTE 240</v>
      </c>
      <c r="C273" s="33">
        <f>IFERROR(INDEX([1]GARANTIA!$J:$J,MATCH(A273,[1]GARANTIA!$C:$C,0)),"INSIRA N° SERIE")</f>
        <v>44298</v>
      </c>
      <c r="D273" s="33" t="str">
        <f>IFERROR(IF(INDEX([1]GARANTIA!$M:$M,MATCH(A273,[1]GARANTIA!$C:$C,0))&gt;=I273,"DENTRO DA GARANTIA","FORA DE GARANTIA"),"INSIRA N° SERIE")</f>
        <v>DENTRO DA GARANTIA</v>
      </c>
      <c r="E273" s="148"/>
      <c r="F273" s="109">
        <f>IFERROR(MAX(0,IF(I273-(INDEX([1]GARANTIA!$J:$J,MATCH(A273,[1]GARANTIA!$C:$C,0)))&gt;=0,I273-(INDEX([1]GARANTIA!$L:$L,MATCH(A273,[1]GARANTIA!$C:$C,0))),"INSIRA DATA CHAMADO")),"INSIRA N° SERIE")</f>
        <v>78</v>
      </c>
      <c r="G273" s="98">
        <v>20210684</v>
      </c>
      <c r="H273" s="35" t="str">
        <f t="shared" si="24"/>
        <v>AGO</v>
      </c>
      <c r="I273" s="89">
        <v>44414</v>
      </c>
      <c r="J273" s="90">
        <v>44414</v>
      </c>
      <c r="K273" s="91">
        <v>44414</v>
      </c>
      <c r="L273" s="92" t="s">
        <v>23</v>
      </c>
      <c r="M273" s="92" t="s">
        <v>8</v>
      </c>
      <c r="N273" s="92" t="s">
        <v>31</v>
      </c>
      <c r="O273" s="42" t="str">
        <f>IFERROR(INDEX([1]GARANTIA!$E:$E,MATCH(A273,[1]GARANTIA!$C:$C,0)),"INSIRA N° SERIE")</f>
        <v>MTI - 1.000GTS</v>
      </c>
      <c r="P273" s="101" t="s">
        <v>563</v>
      </c>
      <c r="Q273" s="94" t="s">
        <v>337</v>
      </c>
      <c r="R273" s="93" t="s">
        <v>569</v>
      </c>
      <c r="S273" s="95" t="s">
        <v>325</v>
      </c>
      <c r="T273" s="95" t="s">
        <v>640</v>
      </c>
      <c r="U273" s="96"/>
      <c r="V273" s="41" t="str">
        <f>IFERROR(INDEX([1]GARANTIA!$G:$G,MATCH(A273,[1]GARANTIA!$C:$C,0)),"INSIRA N° SERIE")</f>
        <v>FORMOSA</v>
      </c>
      <c r="W273" s="41" t="str">
        <f>IFERROR(INDEX([1]GARANTIA!$H:$H,MATCH(A273,[1]GARANTIA!$C:$C,0)),"INSIRA N° SERIE")</f>
        <v>GO</v>
      </c>
      <c r="X273" s="41" t="str">
        <f>IFERROR(INDEX([1]GARANTIA!$F:$F,MATCH(A273,[1]GARANTIA!$C:$C,0)),"INSIRA N° SERIE")</f>
        <v>CENTROESTE</v>
      </c>
      <c r="Y273" s="46">
        <f t="shared" si="26"/>
        <v>0</v>
      </c>
      <c r="Z273" s="47">
        <f t="shared" si="25"/>
        <v>0</v>
      </c>
      <c r="AA273" s="46">
        <f t="shared" si="27"/>
        <v>0</v>
      </c>
      <c r="AB273" s="46" t="str" cm="1">
        <f t="array" ref="AB273">IFERROR(_xlfn.IFS(L273="FINALIZADO PRESENCIAL",IF(AA273&gt;10,"FORA","DENTRO"),L273="FINALIZADO REMOTO",IF(AA273&gt;5,"FORA","DENTRO")),"-")</f>
        <v>DENTRO</v>
      </c>
      <c r="AC273" s="41" t="s">
        <v>1671</v>
      </c>
      <c r="AD273" s="41" t="s">
        <v>1671</v>
      </c>
      <c r="AE273" s="48" cm="1">
        <f t="array" ref="AE273">SUMPRODUCT(IFERROR(('[2]PEÇAS GARANTIA'!$A$3:$A$5993=G273)*('[2]PEÇAS GARANTIA'!$A$3:$A$5993&lt;&gt;"")*('[2]PEÇAS GARANTIA'!$R$3:$R$5993),0))</f>
        <v>2264.98</v>
      </c>
      <c r="AF273" s="178">
        <v>0</v>
      </c>
    </row>
    <row r="274" spans="1:32" ht="111.75" customHeight="1" x14ac:dyDescent="0.25">
      <c r="A274" s="82">
        <v>28435</v>
      </c>
      <c r="B274" s="41" t="str">
        <f>IFERROR(INDEX([1]GARANTIA!$B:$B,MATCH(A274,[1]GARANTIA!$C:$C,0)),"INSIRA N° SERIE")</f>
        <v>TESTE 101</v>
      </c>
      <c r="C274" s="33">
        <f>IFERROR(INDEX([1]GARANTIA!$J:$J,MATCH(A274,[1]GARANTIA!$C:$C,0)),"INSIRA N° SERIE")</f>
        <v>44180</v>
      </c>
      <c r="D274" s="33" t="str">
        <f>IFERROR(IF(INDEX([1]GARANTIA!$M:$M,MATCH(A274,[1]GARANTIA!$C:$C,0))&gt;=I274,"DENTRO DA GARANTIA","FORA DE GARANTIA"),"INSIRA N° SERIE")</f>
        <v>DENTRO DA GARANTIA</v>
      </c>
      <c r="E274" s="148"/>
      <c r="F274" s="109">
        <f>IFERROR(MAX(0,IF(I274-(INDEX([1]GARANTIA!$J:$J,MATCH(A274,[1]GARANTIA!$C:$C,0)))&gt;=0,I274-(INDEX([1]GARANTIA!$L:$L,MATCH(A274,[1]GARANTIA!$C:$C,0))),"INSIRA DATA CHAMADO")),"INSIRA N° SERIE")</f>
        <v>25</v>
      </c>
      <c r="G274" s="98">
        <v>20210685</v>
      </c>
      <c r="H274" s="35" t="str">
        <f t="shared" si="24"/>
        <v>AGO</v>
      </c>
      <c r="I274" s="89">
        <v>44413</v>
      </c>
      <c r="J274" s="90">
        <v>44414</v>
      </c>
      <c r="K274" s="91">
        <v>44454</v>
      </c>
      <c r="L274" s="92" t="s">
        <v>11</v>
      </c>
      <c r="M274" s="92" t="s">
        <v>8</v>
      </c>
      <c r="N274" s="92" t="s">
        <v>29</v>
      </c>
      <c r="O274" s="42" t="str">
        <f>IFERROR(INDEX([1]GARANTIA!$E:$E,MATCH(A274,[1]GARANTIA!$C:$C,0)),"INSIRA N° SERIE")</f>
        <v>MTI - 10.000GTS</v>
      </c>
      <c r="P274" s="101" t="s">
        <v>619</v>
      </c>
      <c r="Q274" s="94" t="s">
        <v>611</v>
      </c>
      <c r="R274" s="93" t="s">
        <v>618</v>
      </c>
      <c r="S274" s="95" t="s">
        <v>101</v>
      </c>
      <c r="T274" s="95" t="s">
        <v>142</v>
      </c>
      <c r="U274" s="96"/>
      <c r="V274" s="41" t="str">
        <f>IFERROR(INDEX([1]GARANTIA!$G:$G,MATCH(A274,[1]GARANTIA!$C:$C,0)),"INSIRA N° SERIE")</f>
        <v xml:space="preserve">PIRANHAS </v>
      </c>
      <c r="W274" s="41" t="str">
        <f>IFERROR(INDEX([1]GARANTIA!$H:$H,MATCH(A274,[1]GARANTIA!$C:$C,0)),"INSIRA N° SERIE")</f>
        <v>GO</v>
      </c>
      <c r="X274" s="41" t="str">
        <f>IFERROR(INDEX([1]GARANTIA!$F:$F,MATCH(A274,[1]GARANTIA!$C:$C,0)),"INSIRA N° SERIE")</f>
        <v>CENTROESTE</v>
      </c>
      <c r="Y274" s="46">
        <f t="shared" si="26"/>
        <v>1</v>
      </c>
      <c r="Z274" s="47">
        <f t="shared" si="25"/>
        <v>40</v>
      </c>
      <c r="AA274" s="46">
        <f t="shared" si="27"/>
        <v>41</v>
      </c>
      <c r="AB274" s="46" t="str" cm="1">
        <f t="array" ref="AB274">IFERROR(_xlfn.IFS(L274="FINALIZADO PRESENCIAL",IF(AA274&gt;10,"FORA","DENTRO"),L274="FINALIZADO REMOTO",IF(AA274&gt;5,"FORA","DENTRO")),"-")</f>
        <v>FORA</v>
      </c>
      <c r="AC274" s="41" t="s">
        <v>1671</v>
      </c>
      <c r="AD274" s="41" t="s">
        <v>1671</v>
      </c>
      <c r="AE274" s="48" cm="1">
        <f t="array" ref="AE274">SUMPRODUCT(IFERROR(('[2]PEÇAS GARANTIA'!$A$3:$A$5993=G274)*('[2]PEÇAS GARANTIA'!$A$3:$A$5993&lt;&gt;"")*('[2]PEÇAS GARANTIA'!$R$3:$R$5993),0))</f>
        <v>10587.71</v>
      </c>
      <c r="AF274" s="178">
        <v>8641.2999999999993</v>
      </c>
    </row>
    <row r="275" spans="1:32" ht="40.15" customHeight="1" x14ac:dyDescent="0.25">
      <c r="A275" s="82">
        <v>55872</v>
      </c>
      <c r="B275" s="41" t="str">
        <f>IFERROR(INDEX([1]GARANTIA!$B:$B,MATCH(A275,[1]GARANTIA!$C:$C,0)),"INSIRA N° SERIE")</f>
        <v>TESTE 118</v>
      </c>
      <c r="C275" s="33">
        <f>IFERROR(INDEX([1]GARANTIA!$J:$J,MATCH(A275,[1]GARANTIA!$C:$C,0)),"INSIRA N° SERIE")</f>
        <v>44097</v>
      </c>
      <c r="D275" s="33" t="str">
        <f>IFERROR(IF(INDEX([1]GARANTIA!$M:$M,MATCH(A275,[1]GARANTIA!$C:$C,0))&gt;=I275,"DENTRO DA GARANTIA","FORA DE GARANTIA"),"INSIRA N° SERIE")</f>
        <v>DENTRO DA GARANTIA</v>
      </c>
      <c r="E275" s="148"/>
      <c r="F275" s="109">
        <f>IFERROR(MAX(0,IF(I275-(INDEX([1]GARANTIA!$J:$J,MATCH(A275,[1]GARANTIA!$C:$C,0)))&gt;=0,I275-(INDEX([1]GARANTIA!$L:$L,MATCH(A275,[1]GARANTIA!$C:$C,0))),"INSIRA DATA CHAMADO")),"INSIRA N° SERIE")</f>
        <v>102</v>
      </c>
      <c r="G275" s="98">
        <v>20210686</v>
      </c>
      <c r="H275" s="35" t="str">
        <f t="shared" si="24"/>
        <v>AGO</v>
      </c>
      <c r="I275" s="89">
        <v>44413</v>
      </c>
      <c r="J275" s="90">
        <v>44414</v>
      </c>
      <c r="K275" s="91">
        <v>44417</v>
      </c>
      <c r="L275" s="92" t="s">
        <v>23</v>
      </c>
      <c r="M275" s="92" t="s">
        <v>8</v>
      </c>
      <c r="N275" s="92" t="s">
        <v>76</v>
      </c>
      <c r="O275" s="42" t="str">
        <f>IFERROR(INDEX([1]GARANTIA!$E:$E,MATCH(A275,[1]GARANTIA!$C:$C,0)),"INSIRA N° SERIE")</f>
        <v>MTI - 1.000GTS</v>
      </c>
      <c r="P275" s="101" t="s">
        <v>570</v>
      </c>
      <c r="Q275" s="94" t="s">
        <v>335</v>
      </c>
      <c r="R275" s="93" t="s">
        <v>571</v>
      </c>
      <c r="S275" s="95" t="s">
        <v>102</v>
      </c>
      <c r="T275" s="95" t="s">
        <v>296</v>
      </c>
      <c r="U275" s="96"/>
      <c r="V275" s="41" t="str">
        <f>IFERROR(INDEX([1]GARANTIA!$G:$G,MATCH(A275,[1]GARANTIA!$C:$C,0)),"INSIRA N° SERIE")</f>
        <v>JARU</v>
      </c>
      <c r="W275" s="41" t="str">
        <f>IFERROR(INDEX([1]GARANTIA!$H:$H,MATCH(A275,[1]GARANTIA!$C:$C,0)),"INSIRA N° SERIE")</f>
        <v>RO</v>
      </c>
      <c r="X275" s="41" t="str">
        <f>IFERROR(INDEX([1]GARANTIA!$F:$F,MATCH(A275,[1]GARANTIA!$C:$C,0)),"INSIRA N° SERIE")</f>
        <v>NORTE</v>
      </c>
      <c r="Y275" s="46">
        <f t="shared" si="26"/>
        <v>1</v>
      </c>
      <c r="Z275" s="47">
        <f t="shared" si="25"/>
        <v>3</v>
      </c>
      <c r="AA275" s="46">
        <f t="shared" si="27"/>
        <v>4</v>
      </c>
      <c r="AB275" s="46" t="str" cm="1">
        <f t="array" ref="AB275">IFERROR(_xlfn.IFS(L275="FINALIZADO PRESENCIAL",IF(AA275&gt;10,"FORA","DENTRO"),L275="FINALIZADO REMOTO",IF(AA275&gt;5,"FORA","DENTRO")),"-")</f>
        <v>DENTRO</v>
      </c>
      <c r="AC275" s="41" t="s">
        <v>1671</v>
      </c>
      <c r="AD275" s="41" t="s">
        <v>1671</v>
      </c>
      <c r="AE275" s="48" cm="1">
        <f t="array" ref="AE275">SUMPRODUCT(IFERROR(('[2]PEÇAS GARANTIA'!$A$3:$A$5993=G275)*('[2]PEÇAS GARANTIA'!$A$3:$A$5993&lt;&gt;"")*('[2]PEÇAS GARANTIA'!$R$3:$R$5993),0))</f>
        <v>0</v>
      </c>
      <c r="AF275" s="178">
        <v>0</v>
      </c>
    </row>
    <row r="276" spans="1:32" ht="40.15" customHeight="1" x14ac:dyDescent="0.25">
      <c r="A276" s="82">
        <v>25628</v>
      </c>
      <c r="B276" s="41" t="str">
        <f>IFERROR(INDEX([1]GARANTIA!$B:$B,MATCH(A276,[1]GARANTIA!$C:$C,0)),"INSIRA N° SERIE")</f>
        <v>TESTE 70</v>
      </c>
      <c r="C276" s="33">
        <f>IFERROR(INDEX([1]GARANTIA!$J:$J,MATCH(A276,[1]GARANTIA!$C:$C,0)),"INSIRA N° SERIE")</f>
        <v>44043</v>
      </c>
      <c r="D276" s="33" t="str">
        <f>IFERROR(IF(INDEX([1]GARANTIA!$M:$M,MATCH(A276,[1]GARANTIA!$C:$C,0))&gt;=I276,"DENTRO DA GARANTIA","FORA DE GARANTIA"),"INSIRA N° SERIE")</f>
        <v>DENTRO DA GARANTIA</v>
      </c>
      <c r="E276" s="148"/>
      <c r="F276" s="109">
        <f>IFERROR(MAX(0,IF(I276-(INDEX([1]GARANTIA!$J:$J,MATCH(A276,[1]GARANTIA!$C:$C,0)))&gt;=0,I276-(INDEX([1]GARANTIA!$L:$L,MATCH(A276,[1]GARANTIA!$C:$C,0))),"INSIRA DATA CHAMADO")),"INSIRA N° SERIE")</f>
        <v>241</v>
      </c>
      <c r="G276" s="98">
        <v>20210688</v>
      </c>
      <c r="H276" s="35" t="str">
        <f t="shared" si="24"/>
        <v>AGO</v>
      </c>
      <c r="I276" s="89">
        <v>44417</v>
      </c>
      <c r="J276" s="90">
        <v>44417</v>
      </c>
      <c r="K276" s="91">
        <v>44425</v>
      </c>
      <c r="L276" s="92" t="s">
        <v>11</v>
      </c>
      <c r="M276" s="92" t="s">
        <v>8</v>
      </c>
      <c r="N276" s="92" t="s">
        <v>29</v>
      </c>
      <c r="O276" s="42" t="str">
        <f>IFERROR(INDEX([1]GARANTIA!$E:$E,MATCH(A276,[1]GARANTIA!$C:$C,0)),"INSIRA N° SERIE")</f>
        <v>MTI - 1.000GTS</v>
      </c>
      <c r="P276" s="101" t="s">
        <v>560</v>
      </c>
      <c r="Q276" s="94" t="s">
        <v>326</v>
      </c>
      <c r="R276" s="93" t="s">
        <v>574</v>
      </c>
      <c r="S276" s="95" t="s">
        <v>325</v>
      </c>
      <c r="T276" s="95" t="s">
        <v>640</v>
      </c>
      <c r="U276" s="96"/>
      <c r="V276" s="41" t="str">
        <f>IFERROR(INDEX([1]GARANTIA!$G:$G,MATCH(A276,[1]GARANTIA!$C:$C,0)),"INSIRA N° SERIE")</f>
        <v>ARAPUTANGA</v>
      </c>
      <c r="W276" s="41" t="str">
        <f>IFERROR(INDEX([1]GARANTIA!$H:$H,MATCH(A276,[1]GARANTIA!$C:$C,0)),"INSIRA N° SERIE")</f>
        <v>MT</v>
      </c>
      <c r="X276" s="41" t="str">
        <f>IFERROR(INDEX([1]GARANTIA!$F:$F,MATCH(A276,[1]GARANTIA!$C:$C,0)),"INSIRA N° SERIE")</f>
        <v>CENTROESTE</v>
      </c>
      <c r="Y276" s="46">
        <f t="shared" si="26"/>
        <v>0</v>
      </c>
      <c r="Z276" s="47">
        <f t="shared" si="25"/>
        <v>8</v>
      </c>
      <c r="AA276" s="46">
        <f t="shared" si="27"/>
        <v>8</v>
      </c>
      <c r="AB276" s="46" t="str" cm="1">
        <f t="array" ref="AB276">IFERROR(_xlfn.IFS(L276="FINALIZADO PRESENCIAL",IF(AA276&gt;10,"FORA","DENTRO"),L276="FINALIZADO REMOTO",IF(AA276&gt;5,"FORA","DENTRO")),"-")</f>
        <v>DENTRO</v>
      </c>
      <c r="AC276" s="41" t="s">
        <v>1671</v>
      </c>
      <c r="AD276" s="41" t="s">
        <v>1671</v>
      </c>
      <c r="AE276" s="48" cm="1">
        <f t="array" ref="AE276">SUMPRODUCT(IFERROR(('[2]PEÇAS GARANTIA'!$A$3:$A$5993=G276)*('[2]PEÇAS GARANTIA'!$A$3:$A$5993&lt;&gt;"")*('[2]PEÇAS GARANTIA'!$R$3:$R$5993),0))</f>
        <v>508</v>
      </c>
      <c r="AF276" s="178">
        <v>0</v>
      </c>
    </row>
    <row r="277" spans="1:32" ht="40.15" customHeight="1" x14ac:dyDescent="0.25">
      <c r="A277" s="82">
        <v>78217</v>
      </c>
      <c r="B277" s="41" t="str">
        <f>IFERROR(INDEX([1]GARANTIA!$B:$B,MATCH(A277,[1]GARANTIA!$C:$C,0)),"INSIRA N° SERIE")</f>
        <v>TESTE 241</v>
      </c>
      <c r="C277" s="33">
        <f>IFERROR(INDEX([1]GARANTIA!$J:$J,MATCH(A277,[1]GARANTIA!$C:$C,0)),"INSIRA N° SERIE")</f>
        <v>44335</v>
      </c>
      <c r="D277" s="33" t="str">
        <f>IFERROR(IF(INDEX([1]GARANTIA!$M:$M,MATCH(A277,[1]GARANTIA!$C:$C,0))&gt;=I277,"DENTRO DA GARANTIA","FORA DE GARANTIA"),"INSIRA N° SERIE")</f>
        <v>DENTRO DA GARANTIA</v>
      </c>
      <c r="E277" s="148"/>
      <c r="F277" s="109">
        <f>IFERROR(MAX(0,IF(I277-(INDEX([1]GARANTIA!$J:$J,MATCH(A277,[1]GARANTIA!$C:$C,0)))&gt;=0,I277-(INDEX([1]GARANTIA!$L:$L,MATCH(A277,[1]GARANTIA!$C:$C,0))),"INSIRA DATA CHAMADO")),"INSIRA N° SERIE")</f>
        <v>9</v>
      </c>
      <c r="G277" s="98">
        <v>20210689</v>
      </c>
      <c r="H277" s="35" t="str">
        <f t="shared" si="24"/>
        <v>AGO</v>
      </c>
      <c r="I277" s="89">
        <v>44417</v>
      </c>
      <c r="J277" s="90">
        <v>44417</v>
      </c>
      <c r="K277" s="91">
        <v>44434</v>
      </c>
      <c r="L277" s="92" t="s">
        <v>11</v>
      </c>
      <c r="M277" s="92" t="s">
        <v>8</v>
      </c>
      <c r="N277" s="92" t="s">
        <v>93</v>
      </c>
      <c r="O277" s="42" t="str">
        <f>IFERROR(INDEX([1]GARANTIA!$E:$E,MATCH(A277,[1]GARANTIA!$C:$C,0)),"INSIRA N° SERIE")</f>
        <v>E - 300</v>
      </c>
      <c r="P277" s="101" t="s">
        <v>562</v>
      </c>
      <c r="Q277" s="94" t="s">
        <v>328</v>
      </c>
      <c r="R277" s="93" t="s">
        <v>590</v>
      </c>
      <c r="S277" s="95" t="s">
        <v>101</v>
      </c>
      <c r="T277" s="95" t="s">
        <v>142</v>
      </c>
      <c r="U277" s="96"/>
      <c r="V277" s="41" t="str">
        <f>IFERROR(INDEX([1]GARANTIA!$G:$G,MATCH(A277,[1]GARANTIA!$C:$C,0)),"INSIRA N° SERIE")</f>
        <v>FORMOSA</v>
      </c>
      <c r="W277" s="41" t="str">
        <f>IFERROR(INDEX([1]GARANTIA!$H:$H,MATCH(A277,[1]GARANTIA!$C:$C,0)),"INSIRA N° SERIE")</f>
        <v>GO</v>
      </c>
      <c r="X277" s="41" t="str">
        <f>IFERROR(INDEX([1]GARANTIA!$F:$F,MATCH(A277,[1]GARANTIA!$C:$C,0)),"INSIRA N° SERIE")</f>
        <v>CENTROESTE</v>
      </c>
      <c r="Y277" s="46">
        <f t="shared" si="26"/>
        <v>0</v>
      </c>
      <c r="Z277" s="47">
        <f t="shared" si="25"/>
        <v>17</v>
      </c>
      <c r="AA277" s="46">
        <f t="shared" si="27"/>
        <v>17</v>
      </c>
      <c r="AB277" s="46" t="str" cm="1">
        <f t="array" ref="AB277">IFERROR(_xlfn.IFS(L277="FINALIZADO PRESENCIAL",IF(AA277&gt;10,"FORA","DENTRO"),L277="FINALIZADO REMOTO",IF(AA277&gt;5,"FORA","DENTRO")),"-")</f>
        <v>FORA</v>
      </c>
      <c r="AC277" s="41" t="s">
        <v>1671</v>
      </c>
      <c r="AD277" s="41" t="s">
        <v>1671</v>
      </c>
      <c r="AE277" s="48" cm="1">
        <f t="array" ref="AE277">SUMPRODUCT(IFERROR(('[2]PEÇAS GARANTIA'!$A$3:$A$5993=G277)*('[2]PEÇAS GARANTIA'!$A$3:$A$5993&lt;&gt;"")*('[2]PEÇAS GARANTIA'!$R$3:$R$5993),0))</f>
        <v>0</v>
      </c>
      <c r="AF277" s="178">
        <v>0</v>
      </c>
    </row>
    <row r="278" spans="1:32" ht="40.15" customHeight="1" x14ac:dyDescent="0.25">
      <c r="A278" s="82">
        <v>74384</v>
      </c>
      <c r="B278" s="41" t="str">
        <f>IFERROR(INDEX([1]GARANTIA!$B:$B,MATCH(A278,[1]GARANTIA!$C:$C,0)),"INSIRA N° SERIE")</f>
        <v>TESTE 8</v>
      </c>
      <c r="C278" s="33">
        <f>IFERROR(INDEX([1]GARANTIA!$J:$J,MATCH(A278,[1]GARANTIA!$C:$C,0)),"INSIRA N° SERIE")</f>
        <v>44064</v>
      </c>
      <c r="D278" s="33" t="str">
        <f>IFERROR(IF(INDEX([1]GARANTIA!$M:$M,MATCH(A278,[1]GARANTIA!$C:$C,0))&gt;=I278,"DENTRO DA GARANTIA","FORA DE GARANTIA"),"INSIRA N° SERIE")</f>
        <v>DENTRO DA GARANTIA</v>
      </c>
      <c r="E278" s="148"/>
      <c r="F278" s="109">
        <f>IFERROR(MAX(0,IF(I278-(INDEX([1]GARANTIA!$J:$J,MATCH(A278,[1]GARANTIA!$C:$C,0)))&gt;=0,I278-(INDEX([1]GARANTIA!$L:$L,MATCH(A278,[1]GARANTIA!$C:$C,0))),"INSIRA DATA CHAMADO")),"INSIRA N° SERIE")</f>
        <v>131</v>
      </c>
      <c r="G278" s="98">
        <v>20210690</v>
      </c>
      <c r="H278" s="35" t="str">
        <f t="shared" si="24"/>
        <v>AGO</v>
      </c>
      <c r="I278" s="89">
        <v>44417</v>
      </c>
      <c r="J278" s="90">
        <v>44417</v>
      </c>
      <c r="K278" s="91">
        <v>44419</v>
      </c>
      <c r="L278" s="92" t="s">
        <v>23</v>
      </c>
      <c r="M278" s="92" t="s">
        <v>8</v>
      </c>
      <c r="N278" s="92" t="s">
        <v>64</v>
      </c>
      <c r="O278" s="42" t="str">
        <f>IFERROR(INDEX([1]GARANTIA!$E:$E,MATCH(A278,[1]GARANTIA!$C:$C,0)),"INSIRA N° SERIE")</f>
        <v>MTI - 10.000GE</v>
      </c>
      <c r="P278" s="101" t="s">
        <v>572</v>
      </c>
      <c r="Q278" s="94" t="s">
        <v>85</v>
      </c>
      <c r="R278" s="93" t="s">
        <v>573</v>
      </c>
      <c r="S278" s="95" t="s">
        <v>102</v>
      </c>
      <c r="T278" s="95" t="s">
        <v>296</v>
      </c>
      <c r="U278" s="96"/>
      <c r="V278" s="41" t="str">
        <f>IFERROR(INDEX([1]GARANTIA!$G:$G,MATCH(A278,[1]GARANTIA!$C:$C,0)),"INSIRA N° SERIE")</f>
        <v xml:space="preserve">SÃO PAULO </v>
      </c>
      <c r="W278" s="41" t="str">
        <f>IFERROR(INDEX([1]GARANTIA!$H:$H,MATCH(A278,[1]GARANTIA!$C:$C,0)),"INSIRA N° SERIE")</f>
        <v xml:space="preserve">SP </v>
      </c>
      <c r="X278" s="41" t="str">
        <f>IFERROR(INDEX([1]GARANTIA!$F:$F,MATCH(A278,[1]GARANTIA!$C:$C,0)),"INSIRA N° SERIE")</f>
        <v>SUDESTE</v>
      </c>
      <c r="Y278" s="46">
        <f t="shared" si="26"/>
        <v>0</v>
      </c>
      <c r="Z278" s="47">
        <f t="shared" si="25"/>
        <v>2</v>
      </c>
      <c r="AA278" s="46">
        <f t="shared" si="27"/>
        <v>2</v>
      </c>
      <c r="AB278" s="46" t="str" cm="1">
        <f t="array" ref="AB278">IFERROR(_xlfn.IFS(L278="FINALIZADO PRESENCIAL",IF(AA278&gt;10,"FORA","DENTRO"),L278="FINALIZADO REMOTO",IF(AA278&gt;5,"FORA","DENTRO")),"-")</f>
        <v>DENTRO</v>
      </c>
      <c r="AC278" s="41" t="s">
        <v>1671</v>
      </c>
      <c r="AD278" s="41" t="s">
        <v>1671</v>
      </c>
      <c r="AE278" s="48" cm="1">
        <f t="array" ref="AE278">SUMPRODUCT(IFERROR(('[2]PEÇAS GARANTIA'!$A$3:$A$5993=G278)*('[2]PEÇAS GARANTIA'!$A$3:$A$5993&lt;&gt;"")*('[2]PEÇAS GARANTIA'!$R$3:$R$5993),0))</f>
        <v>0</v>
      </c>
      <c r="AF278" s="178">
        <v>0</v>
      </c>
    </row>
    <row r="279" spans="1:32" ht="100.5" customHeight="1" x14ac:dyDescent="0.25">
      <c r="A279" s="82">
        <v>27393</v>
      </c>
      <c r="B279" s="41" t="str">
        <f>IFERROR(INDEX([1]GARANTIA!$B:$B,MATCH(A279,[1]GARANTIA!$C:$C,0)),"INSIRA N° SERIE")</f>
        <v>TESTE 255</v>
      </c>
      <c r="C279" s="33">
        <f>IFERROR(INDEX([1]GARANTIA!$J:$J,MATCH(A279,[1]GARANTIA!$C:$C,0)),"INSIRA N° SERIE")</f>
        <v>44207</v>
      </c>
      <c r="D279" s="33" t="str">
        <f>IFERROR(IF(INDEX([1]GARANTIA!$M:$M,MATCH(A279,[1]GARANTIA!$C:$C,0))&gt;=I279,"DENTRO DA GARANTIA","FORA DE GARANTIA"),"INSIRA N° SERIE")</f>
        <v>DENTRO DA GARANTIA</v>
      </c>
      <c r="E279" s="148"/>
      <c r="F279" s="109">
        <f>IFERROR(MAX(0,IF(I279-(INDEX([1]GARANTIA!$J:$J,MATCH(A279,[1]GARANTIA!$C:$C,0)))&gt;=0,I279-(INDEX([1]GARANTIA!$L:$L,MATCH(A279,[1]GARANTIA!$C:$C,0))),"INSIRA DATA CHAMADO")),"INSIRA N° SERIE")</f>
        <v>55</v>
      </c>
      <c r="G279" s="98">
        <v>20210691</v>
      </c>
      <c r="H279" s="35" t="str">
        <f t="shared" si="24"/>
        <v>AGO</v>
      </c>
      <c r="I279" s="89">
        <v>44419</v>
      </c>
      <c r="J279" s="90">
        <v>44419</v>
      </c>
      <c r="K279" s="91">
        <v>44428</v>
      </c>
      <c r="L279" s="92" t="s">
        <v>11</v>
      </c>
      <c r="M279" s="92" t="s">
        <v>8</v>
      </c>
      <c r="N279" s="92" t="s">
        <v>57</v>
      </c>
      <c r="O279" s="42" t="str">
        <f>IFERROR(INDEX([1]GARANTIA!$E:$E,MATCH(A279,[1]GARANTIA!$C:$C,0)),"INSIRA N° SERIE")</f>
        <v>MTI - 1.000GTS</v>
      </c>
      <c r="P279" s="101" t="s">
        <v>565</v>
      </c>
      <c r="Q279" s="94" t="s">
        <v>333</v>
      </c>
      <c r="R279" s="93" t="s">
        <v>577</v>
      </c>
      <c r="S279" s="95" t="s">
        <v>638</v>
      </c>
      <c r="T279" s="95" t="s">
        <v>97</v>
      </c>
      <c r="U279" s="96"/>
      <c r="V279" s="41" t="str">
        <f>IFERROR(INDEX([1]GARANTIA!$G:$G,MATCH(A279,[1]GARANTIA!$C:$C,0)),"INSIRA N° SERIE")</f>
        <v>NATAL</v>
      </c>
      <c r="W279" s="41" t="str">
        <f>IFERROR(INDEX([1]GARANTIA!$H:$H,MATCH(A279,[1]GARANTIA!$C:$C,0)),"INSIRA N° SERIE")</f>
        <v>RN</v>
      </c>
      <c r="X279" s="41" t="str">
        <f>IFERROR(INDEX([1]GARANTIA!$F:$F,MATCH(A279,[1]GARANTIA!$C:$C,0)),"INSIRA N° SERIE")</f>
        <v>NORDESTE</v>
      </c>
      <c r="Y279" s="46">
        <f t="shared" si="26"/>
        <v>0</v>
      </c>
      <c r="Z279" s="47">
        <f t="shared" si="25"/>
        <v>9</v>
      </c>
      <c r="AA279" s="46">
        <f t="shared" si="27"/>
        <v>9</v>
      </c>
      <c r="AB279" s="46" t="str" cm="1">
        <f t="array" ref="AB279">IFERROR(_xlfn.IFS(L279="FINALIZADO PRESENCIAL",IF(AA279&gt;10,"FORA","DENTRO"),L279="FINALIZADO REMOTO",IF(AA279&gt;5,"FORA","DENTRO")),"-")</f>
        <v>DENTRO</v>
      </c>
      <c r="AC279" s="41" t="s">
        <v>1671</v>
      </c>
      <c r="AD279" s="41" t="s">
        <v>1671</v>
      </c>
      <c r="AE279" s="48" cm="1">
        <f t="array" ref="AE279">SUMPRODUCT(IFERROR(('[2]PEÇAS GARANTIA'!$A$3:$A$5993=G279)*('[2]PEÇAS GARANTIA'!$A$3:$A$5993&lt;&gt;"")*('[2]PEÇAS GARANTIA'!$R$3:$R$5993),0))</f>
        <v>0</v>
      </c>
      <c r="AF279" s="178">
        <v>0</v>
      </c>
    </row>
    <row r="280" spans="1:32" ht="40.15" customHeight="1" x14ac:dyDescent="0.25">
      <c r="A280" s="82">
        <v>68730</v>
      </c>
      <c r="B280" s="41" t="str">
        <f>IFERROR(INDEX([1]GARANTIA!$B:$B,MATCH(A280,[1]GARANTIA!$C:$C,0)),"INSIRA N° SERIE")</f>
        <v>TESTE 302</v>
      </c>
      <c r="C280" s="33">
        <f>IFERROR(INDEX([1]GARANTIA!$J:$J,MATCH(A280,[1]GARANTIA!$C:$C,0)),"INSIRA N° SERIE")</f>
        <v>44204</v>
      </c>
      <c r="D280" s="33" t="str">
        <f>IFERROR(IF(INDEX([1]GARANTIA!$M:$M,MATCH(A280,[1]GARANTIA!$C:$C,0))&gt;=I280,"DENTRO DA GARANTIA","FORA DE GARANTIA"),"INSIRA N° SERIE")</f>
        <v>DENTRO DA GARANTIA</v>
      </c>
      <c r="E280" s="148"/>
      <c r="F280" s="109">
        <f>IFERROR(MAX(0,IF(I280-(INDEX([1]GARANTIA!$J:$J,MATCH(A280,[1]GARANTIA!$C:$C,0)))&gt;=0,I280-(INDEX([1]GARANTIA!$L:$L,MATCH(A280,[1]GARANTIA!$C:$C,0))),"INSIRA DATA CHAMADO")),"INSIRA N° SERIE")</f>
        <v>56</v>
      </c>
      <c r="G280" s="98">
        <v>20210692</v>
      </c>
      <c r="H280" s="35" t="str">
        <f t="shared" si="24"/>
        <v>AGO</v>
      </c>
      <c r="I280" s="89">
        <v>44420</v>
      </c>
      <c r="J280" s="90">
        <v>44421</v>
      </c>
      <c r="K280" s="91">
        <v>44428</v>
      </c>
      <c r="L280" s="92" t="s">
        <v>11</v>
      </c>
      <c r="M280" s="92" t="s">
        <v>8</v>
      </c>
      <c r="N280" s="92" t="s">
        <v>28</v>
      </c>
      <c r="O280" s="42" t="str">
        <f>IFERROR(INDEX([1]GARANTIA!$E:$E,MATCH(A280,[1]GARANTIA!$C:$C,0)),"INSIRA N° SERIE")</f>
        <v>MTI - 1.000GTS</v>
      </c>
      <c r="P280" s="101" t="s">
        <v>566</v>
      </c>
      <c r="Q280" s="94" t="s">
        <v>337</v>
      </c>
      <c r="R280" s="93" t="s">
        <v>580</v>
      </c>
      <c r="S280" s="95" t="s">
        <v>101</v>
      </c>
      <c r="T280" s="95" t="s">
        <v>142</v>
      </c>
      <c r="U280" s="96"/>
      <c r="V280" s="41" t="str">
        <f>IFERROR(INDEX([1]GARANTIA!$G:$G,MATCH(A280,[1]GARANTIA!$C:$C,0)),"INSIRA N° SERIE")</f>
        <v>CUNHA</v>
      </c>
      <c r="W280" s="41" t="str">
        <f>IFERROR(INDEX([1]GARANTIA!$H:$H,MATCH(A280,[1]GARANTIA!$C:$C,0)),"INSIRA N° SERIE")</f>
        <v>SP</v>
      </c>
      <c r="X280" s="41" t="str">
        <f>IFERROR(INDEX([1]GARANTIA!$F:$F,MATCH(A280,[1]GARANTIA!$C:$C,0)),"INSIRA N° SERIE")</f>
        <v>SUDESTE</v>
      </c>
      <c r="Y280" s="46">
        <f t="shared" si="26"/>
        <v>1</v>
      </c>
      <c r="Z280" s="47">
        <f t="shared" si="25"/>
        <v>7</v>
      </c>
      <c r="AA280" s="46">
        <f t="shared" si="27"/>
        <v>8</v>
      </c>
      <c r="AB280" s="46" t="str" cm="1">
        <f t="array" ref="AB280">IFERROR(_xlfn.IFS(L280="FINALIZADO PRESENCIAL",IF(AA280&gt;10,"FORA","DENTRO"),L280="FINALIZADO REMOTO",IF(AA280&gt;5,"FORA","DENTRO")),"-")</f>
        <v>DENTRO</v>
      </c>
      <c r="AC280" s="41" t="s">
        <v>1671</v>
      </c>
      <c r="AD280" s="41" t="s">
        <v>1671</v>
      </c>
      <c r="AE280" s="48" cm="1">
        <f t="array" ref="AE280">SUMPRODUCT(IFERROR(('[2]PEÇAS GARANTIA'!$A$3:$A$5993=G280)*('[2]PEÇAS GARANTIA'!$A$3:$A$5993&lt;&gt;"")*('[2]PEÇAS GARANTIA'!$R$3:$R$5993),0))</f>
        <v>0</v>
      </c>
      <c r="AF280" s="178">
        <v>0</v>
      </c>
    </row>
    <row r="281" spans="1:32" ht="38.25" x14ac:dyDescent="0.25">
      <c r="A281" s="82">
        <v>16794</v>
      </c>
      <c r="B281" s="41" t="str">
        <f>IFERROR(INDEX([1]GARANTIA!$B:$B,MATCH(A281,[1]GARANTIA!$C:$C,0)),"INSIRA N° SERIE")</f>
        <v>TESTE 303</v>
      </c>
      <c r="C281" s="33">
        <f>IFERROR(INDEX([1]GARANTIA!$J:$J,MATCH(A281,[1]GARANTIA!$C:$C,0)),"INSIRA N° SERIE")</f>
        <v>44176</v>
      </c>
      <c r="D281" s="33" t="str">
        <f>IFERROR(IF(INDEX([1]GARANTIA!$M:$M,MATCH(A281,[1]GARANTIA!$C:$C,0))&gt;=I281,"DENTRO DA GARANTIA","FORA DE GARANTIA"),"INSIRA N° SERIE")</f>
        <v>DENTRO DA GARANTIA</v>
      </c>
      <c r="E281" s="148"/>
      <c r="F281" s="109">
        <f>IFERROR(MAX(0,IF(I281-(INDEX([1]GARANTIA!$J:$J,MATCH(A281,[1]GARANTIA!$C:$C,0)))&gt;=0,I281-(INDEX([1]GARANTIA!$L:$L,MATCH(A281,[1]GARANTIA!$C:$C,0))),"INSIRA DATA CHAMADO")),"INSIRA N° SERIE")</f>
        <v>56</v>
      </c>
      <c r="G281" s="98">
        <v>20210693</v>
      </c>
      <c r="H281" s="35" t="str">
        <f t="shared" si="24"/>
        <v>AGO</v>
      </c>
      <c r="I281" s="89">
        <v>44420</v>
      </c>
      <c r="J281" s="90">
        <v>44421</v>
      </c>
      <c r="K281" s="91">
        <v>44428</v>
      </c>
      <c r="L281" s="92" t="s">
        <v>11</v>
      </c>
      <c r="M281" s="92" t="s">
        <v>8</v>
      </c>
      <c r="N281" s="92" t="s">
        <v>93</v>
      </c>
      <c r="O281" s="42" t="str">
        <f>IFERROR(INDEX([1]GARANTIA!$E:$E,MATCH(A281,[1]GARANTIA!$C:$C,0)),"INSIRA N° SERIE")</f>
        <v>E - 600</v>
      </c>
      <c r="P281" s="101" t="s">
        <v>578</v>
      </c>
      <c r="Q281" s="94" t="s">
        <v>328</v>
      </c>
      <c r="R281" s="93" t="s">
        <v>579</v>
      </c>
      <c r="S281" s="95" t="s">
        <v>101</v>
      </c>
      <c r="T281" s="95" t="s">
        <v>142</v>
      </c>
      <c r="U281" s="96"/>
      <c r="V281" s="41" t="str">
        <f>IFERROR(INDEX([1]GARANTIA!$G:$G,MATCH(A281,[1]GARANTIA!$C:$C,0)),"INSIRA N° SERIE")</f>
        <v>CUNHA</v>
      </c>
      <c r="W281" s="41" t="str">
        <f>IFERROR(INDEX([1]GARANTIA!$H:$H,MATCH(A281,[1]GARANTIA!$C:$C,0)),"INSIRA N° SERIE")</f>
        <v>SP</v>
      </c>
      <c r="X281" s="41" t="str">
        <f>IFERROR(INDEX([1]GARANTIA!$F:$F,MATCH(A281,[1]GARANTIA!$C:$C,0)),"INSIRA N° SERIE")</f>
        <v>SUDESTE</v>
      </c>
      <c r="Y281" s="46">
        <f t="shared" si="26"/>
        <v>1</v>
      </c>
      <c r="Z281" s="47">
        <f t="shared" si="25"/>
        <v>7</v>
      </c>
      <c r="AA281" s="46">
        <f t="shared" si="27"/>
        <v>8</v>
      </c>
      <c r="AB281" s="46" t="str" cm="1">
        <f t="array" ref="AB281">IFERROR(_xlfn.IFS(L281="FINALIZADO PRESENCIAL",IF(AA281&gt;10,"FORA","DENTRO"),L281="FINALIZADO REMOTO",IF(AA281&gt;5,"FORA","DENTRO")),"-")</f>
        <v>DENTRO</v>
      </c>
      <c r="AC281" s="41" t="s">
        <v>1671</v>
      </c>
      <c r="AD281" s="41" t="s">
        <v>1671</v>
      </c>
      <c r="AE281" s="48" cm="1">
        <f t="array" ref="AE281">SUMPRODUCT(IFERROR(('[2]PEÇAS GARANTIA'!$A$3:$A$5993=G281)*('[2]PEÇAS GARANTIA'!$A$3:$A$5993&lt;&gt;"")*('[2]PEÇAS GARANTIA'!$R$3:$R$5993),0))</f>
        <v>0</v>
      </c>
      <c r="AF281" s="178">
        <v>0</v>
      </c>
    </row>
    <row r="282" spans="1:32" ht="40.15" customHeight="1" x14ac:dyDescent="0.25">
      <c r="A282" s="82">
        <v>3002641</v>
      </c>
      <c r="B282" s="41" t="str">
        <f>IFERROR(INDEX([1]GARANTIA!$B:$B,MATCH(A282,[1]GARANTIA!$C:$C,0)),"INSIRA N° SERIE")</f>
        <v>TESTE 167</v>
      </c>
      <c r="C282" s="33">
        <f>IFERROR(INDEX([1]GARANTIA!$J:$J,MATCH(A282,[1]GARANTIA!$C:$C,0)),"INSIRA N° SERIE")</f>
        <v>43524</v>
      </c>
      <c r="D282" s="33" t="str">
        <f>IFERROR(IF(INDEX([1]GARANTIA!$M:$M,MATCH(A282,[1]GARANTIA!$C:$C,0))&gt;=I282,"DENTRO DA GARANTIA","FORA DE GARANTIA"),"INSIRA N° SERIE")</f>
        <v>DENTRO DA GARANTIA</v>
      </c>
      <c r="E282" s="148"/>
      <c r="F282" s="109">
        <f>IFERROR(MAX(0,IF(I282-(INDEX([1]GARANTIA!$J:$J,MATCH(A282,[1]GARANTIA!$C:$C,0)))&gt;=0,I282-(INDEX([1]GARANTIA!$L:$L,MATCH(A282,[1]GARANTIA!$C:$C,0))),"INSIRA DATA CHAMADO")),"INSIRA N° SERIE")</f>
        <v>209</v>
      </c>
      <c r="G282" s="98">
        <v>20210694</v>
      </c>
      <c r="H282" s="35" t="str">
        <f t="shared" si="24"/>
        <v>AGO</v>
      </c>
      <c r="I282" s="89">
        <v>44420</v>
      </c>
      <c r="J282" s="90">
        <v>44421</v>
      </c>
      <c r="K282" s="91">
        <v>44426</v>
      </c>
      <c r="L282" s="92" t="s">
        <v>11</v>
      </c>
      <c r="M282" s="92" t="s">
        <v>8</v>
      </c>
      <c r="N282" s="92" t="s">
        <v>43</v>
      </c>
      <c r="O282" s="42" t="str">
        <f>IFERROR(INDEX([1]GARANTIA!$E:$E,MATCH(A282,[1]GARANTIA!$C:$C,0)),"INSIRA N° SERIE")</f>
        <v>MTI - 7.000GTS</v>
      </c>
      <c r="P282" s="101" t="s">
        <v>575</v>
      </c>
      <c r="Q282" s="94" t="s">
        <v>335</v>
      </c>
      <c r="R282" s="93" t="s">
        <v>576</v>
      </c>
      <c r="S282" s="44" t="s">
        <v>638</v>
      </c>
      <c r="T282" s="95" t="s">
        <v>143</v>
      </c>
      <c r="U282" s="96"/>
      <c r="V282" s="41" t="str">
        <f>IFERROR(INDEX([1]GARANTIA!$G:$G,MATCH(A282,[1]GARANTIA!$C:$C,0)),"INSIRA N° SERIE")</f>
        <v xml:space="preserve">DIADEMA </v>
      </c>
      <c r="W282" s="41" t="str">
        <f>IFERROR(INDEX([1]GARANTIA!$H:$H,MATCH(A282,[1]GARANTIA!$C:$C,0)),"INSIRA N° SERIE")</f>
        <v>SP</v>
      </c>
      <c r="X282" s="41" t="str">
        <f>IFERROR(INDEX([1]GARANTIA!$F:$F,MATCH(A282,[1]GARANTIA!$C:$C,0)),"INSIRA N° SERIE")</f>
        <v>SUDESTE</v>
      </c>
      <c r="Y282" s="46">
        <f t="shared" si="26"/>
        <v>1</v>
      </c>
      <c r="Z282" s="47">
        <f t="shared" si="25"/>
        <v>5</v>
      </c>
      <c r="AA282" s="46">
        <f t="shared" si="27"/>
        <v>6</v>
      </c>
      <c r="AB282" s="46" t="str" cm="1">
        <f t="array" ref="AB282">IFERROR(_xlfn.IFS(L282="FINALIZADO PRESENCIAL",IF(AA282&gt;10,"FORA","DENTRO"),L282="FINALIZADO REMOTO",IF(AA282&gt;5,"FORA","DENTRO")),"-")</f>
        <v>DENTRO</v>
      </c>
      <c r="AC282" s="41" t="s">
        <v>1671</v>
      </c>
      <c r="AD282" s="41" t="s">
        <v>1671</v>
      </c>
      <c r="AE282" s="48" cm="1">
        <f t="array" ref="AE282">SUMPRODUCT(IFERROR(('[2]PEÇAS GARANTIA'!$A$3:$A$5993=G282)*('[2]PEÇAS GARANTIA'!$A$3:$A$5993&lt;&gt;"")*('[2]PEÇAS GARANTIA'!$R$3:$R$5993),0))</f>
        <v>0</v>
      </c>
      <c r="AF282" s="178">
        <v>0</v>
      </c>
    </row>
    <row r="283" spans="1:32" ht="78.75" customHeight="1" x14ac:dyDescent="0.25">
      <c r="A283" s="82">
        <v>83536</v>
      </c>
      <c r="B283" s="41" t="str">
        <f>IFERROR(INDEX([1]GARANTIA!$B:$B,MATCH(A283,[1]GARANTIA!$C:$C,0)),"INSIRA N° SERIE")</f>
        <v>TESTE 98</v>
      </c>
      <c r="C283" s="33">
        <f>IFERROR(INDEX([1]GARANTIA!$J:$J,MATCH(A283,[1]GARANTIA!$C:$C,0)),"INSIRA N° SERIE")</f>
        <v>44175</v>
      </c>
      <c r="D283" s="33" t="str">
        <f>IFERROR(IF(INDEX([1]GARANTIA!$M:$M,MATCH(A283,[1]GARANTIA!$C:$C,0))&gt;=I283,"DENTRO DA GARANTIA","FORA DE GARANTIA"),"INSIRA N° SERIE")</f>
        <v>DENTRO DA GARANTIA</v>
      </c>
      <c r="E283" s="148"/>
      <c r="F283" s="109">
        <f>IFERROR(MAX(0,IF(I283-(INDEX([1]GARANTIA!$J:$J,MATCH(A283,[1]GARANTIA!$C:$C,0)))&gt;=0,I283-(INDEX([1]GARANTIA!$L:$L,MATCH(A283,[1]GARANTIA!$C:$C,0))),"INSIRA DATA CHAMADO")),"INSIRA N° SERIE")</f>
        <v>14</v>
      </c>
      <c r="G283" s="98">
        <v>20210695</v>
      </c>
      <c r="H283" s="35" t="str">
        <f t="shared" si="24"/>
        <v>AGO</v>
      </c>
      <c r="I283" s="89">
        <v>44422</v>
      </c>
      <c r="J283" s="90">
        <v>44422</v>
      </c>
      <c r="K283" s="91">
        <v>44432</v>
      </c>
      <c r="L283" s="92" t="s">
        <v>11</v>
      </c>
      <c r="M283" s="92" t="s">
        <v>8</v>
      </c>
      <c r="N283" s="92" t="s">
        <v>28</v>
      </c>
      <c r="O283" s="42" t="str">
        <f>IFERROR(INDEX([1]GARANTIA!$E:$E,MATCH(A283,[1]GARANTIA!$C:$C,0)),"INSIRA N° SERIE")</f>
        <v>MTI - 12.000GTS</v>
      </c>
      <c r="P283" s="101" t="s">
        <v>581</v>
      </c>
      <c r="Q283" s="94" t="s">
        <v>333</v>
      </c>
      <c r="R283" s="93" t="s">
        <v>582</v>
      </c>
      <c r="S283" s="44" t="s">
        <v>638</v>
      </c>
      <c r="T283" s="95" t="s">
        <v>143</v>
      </c>
      <c r="U283" s="96"/>
      <c r="V283" s="41" t="str">
        <f>IFERROR(INDEX([1]GARANTIA!$G:$G,MATCH(A283,[1]GARANTIA!$C:$C,0)),"INSIRA N° SERIE")</f>
        <v>RONDONÓPOLIS</v>
      </c>
      <c r="W283" s="41" t="str">
        <f>IFERROR(INDEX([1]GARANTIA!$H:$H,MATCH(A283,[1]GARANTIA!$C:$C,0)),"INSIRA N° SERIE")</f>
        <v>MT</v>
      </c>
      <c r="X283" s="41" t="str">
        <f>IFERROR(INDEX([1]GARANTIA!$F:$F,MATCH(A283,[1]GARANTIA!$C:$C,0)),"INSIRA N° SERIE")</f>
        <v>CENTROESTE</v>
      </c>
      <c r="Y283" s="46">
        <f t="shared" si="26"/>
        <v>0</v>
      </c>
      <c r="Z283" s="47">
        <f t="shared" si="25"/>
        <v>10</v>
      </c>
      <c r="AA283" s="46">
        <f t="shared" si="27"/>
        <v>10</v>
      </c>
      <c r="AB283" s="46" t="str" cm="1">
        <f t="array" ref="AB283">IFERROR(_xlfn.IFS(L283="FINALIZADO PRESENCIAL",IF(AA283&gt;10,"FORA","DENTRO"),L283="FINALIZADO REMOTO",IF(AA283&gt;5,"FORA","DENTRO")),"-")</f>
        <v>DENTRO</v>
      </c>
      <c r="AC283" s="41" t="s">
        <v>1671</v>
      </c>
      <c r="AD283" s="41" t="s">
        <v>1671</v>
      </c>
      <c r="AE283" s="48" cm="1">
        <f t="array" ref="AE283">SUMPRODUCT(IFERROR(('[2]PEÇAS GARANTIA'!$A$3:$A$5993=G283)*('[2]PEÇAS GARANTIA'!$A$3:$A$5993&lt;&gt;"")*('[2]PEÇAS GARANTIA'!$R$3:$R$5993),0))</f>
        <v>10846.129948999798</v>
      </c>
      <c r="AF283" s="178">
        <v>2650</v>
      </c>
    </row>
    <row r="284" spans="1:32" ht="40.15" customHeight="1" x14ac:dyDescent="0.25">
      <c r="A284" s="82">
        <v>74384</v>
      </c>
      <c r="B284" s="41" t="str">
        <f>IFERROR(INDEX([1]GARANTIA!$B:$B,MATCH(A284,[1]GARANTIA!$C:$C,0)),"INSIRA N° SERIE")</f>
        <v>TESTE 8</v>
      </c>
      <c r="C284" s="33">
        <f>IFERROR(INDEX([1]GARANTIA!$J:$J,MATCH(A284,[1]GARANTIA!$C:$C,0)),"INSIRA N° SERIE")</f>
        <v>44064</v>
      </c>
      <c r="D284" s="33" t="str">
        <f>IFERROR(IF(INDEX([1]GARANTIA!$M:$M,MATCH(A284,[1]GARANTIA!$C:$C,0))&gt;=I284,"DENTRO DA GARANTIA","FORA DE GARANTIA"),"INSIRA N° SERIE")</f>
        <v>DENTRO DA GARANTIA</v>
      </c>
      <c r="E284" s="148"/>
      <c r="F284" s="109">
        <f>IFERROR(MAX(0,IF(I284-(INDEX([1]GARANTIA!$J:$J,MATCH(A284,[1]GARANTIA!$C:$C,0)))&gt;=0,I284-(INDEX([1]GARANTIA!$L:$L,MATCH(A284,[1]GARANTIA!$C:$C,0))),"INSIRA DATA CHAMADO")),"INSIRA N° SERIE")</f>
        <v>139</v>
      </c>
      <c r="G284" s="98">
        <v>20210696</v>
      </c>
      <c r="H284" s="35" t="str">
        <f t="shared" si="24"/>
        <v>AGO</v>
      </c>
      <c r="I284" s="89">
        <v>44425</v>
      </c>
      <c r="J284" s="90">
        <v>44425</v>
      </c>
      <c r="K284" s="91">
        <v>44427</v>
      </c>
      <c r="L284" s="92" t="s">
        <v>11</v>
      </c>
      <c r="M284" s="92" t="s">
        <v>8</v>
      </c>
      <c r="N284" s="92" t="s">
        <v>57</v>
      </c>
      <c r="O284" s="42" t="str">
        <f>IFERROR(INDEX([1]GARANTIA!$E:$E,MATCH(A284,[1]GARANTIA!$C:$C,0)),"INSIRA N° SERIE")</f>
        <v>MTI - 10.000GE</v>
      </c>
      <c r="P284" s="101" t="s">
        <v>565</v>
      </c>
      <c r="Q284" s="94" t="s">
        <v>337</v>
      </c>
      <c r="R284" s="93" t="s">
        <v>583</v>
      </c>
      <c r="S284" s="142" t="s">
        <v>325</v>
      </c>
      <c r="T284" s="142" t="s">
        <v>142</v>
      </c>
      <c r="U284" s="96"/>
      <c r="V284" s="41" t="str">
        <f>IFERROR(INDEX([1]GARANTIA!$G:$G,MATCH(A284,[1]GARANTIA!$C:$C,0)),"INSIRA N° SERIE")</f>
        <v xml:space="preserve">SÃO PAULO </v>
      </c>
      <c r="W284" s="41" t="str">
        <f>IFERROR(INDEX([1]GARANTIA!$H:$H,MATCH(A284,[1]GARANTIA!$C:$C,0)),"INSIRA N° SERIE")</f>
        <v xml:space="preserve">SP </v>
      </c>
      <c r="X284" s="41" t="str">
        <f>IFERROR(INDEX([1]GARANTIA!$F:$F,MATCH(A284,[1]GARANTIA!$C:$C,0)),"INSIRA N° SERIE")</f>
        <v>SUDESTE</v>
      </c>
      <c r="Y284" s="46">
        <f t="shared" si="26"/>
        <v>0</v>
      </c>
      <c r="Z284" s="47">
        <f t="shared" si="25"/>
        <v>2</v>
      </c>
      <c r="AA284" s="46">
        <f t="shared" si="27"/>
        <v>2</v>
      </c>
      <c r="AB284" s="46" t="str" cm="1">
        <f t="array" ref="AB284">IFERROR(_xlfn.IFS(L284="FINALIZADO PRESENCIAL",IF(AA284&gt;10,"FORA","DENTRO"),L284="FINALIZADO REMOTO",IF(AA284&gt;5,"FORA","DENTRO")),"-")</f>
        <v>DENTRO</v>
      </c>
      <c r="AC284" s="41" t="s">
        <v>1671</v>
      </c>
      <c r="AD284" s="41" t="s">
        <v>1671</v>
      </c>
      <c r="AE284" s="48" cm="1">
        <f t="array" ref="AE284">SUMPRODUCT(IFERROR(('[2]PEÇAS GARANTIA'!$A$3:$A$5993=G284)*('[2]PEÇAS GARANTIA'!$A$3:$A$5993&lt;&gt;"")*('[2]PEÇAS GARANTIA'!$R$3:$R$5993),0))</f>
        <v>1343.0300000000002</v>
      </c>
      <c r="AF284" s="178">
        <v>0</v>
      </c>
    </row>
    <row r="285" spans="1:32" ht="38.25" customHeight="1" x14ac:dyDescent="0.25">
      <c r="A285" s="82">
        <v>69918</v>
      </c>
      <c r="B285" s="41" t="str">
        <f>IFERROR(INDEX([1]GARANTIA!$B:$B,MATCH(A285,[1]GARANTIA!$C:$C,0)),"INSIRA N° SERIE")</f>
        <v>TESTE 247</v>
      </c>
      <c r="C285" s="33">
        <f>IFERROR(INDEX([1]GARANTIA!$J:$J,MATCH(A285,[1]GARANTIA!$C:$C,0)),"INSIRA N° SERIE")</f>
        <v>44196</v>
      </c>
      <c r="D285" s="33" t="str">
        <f>IFERROR(IF(INDEX([1]GARANTIA!$M:$M,MATCH(A285,[1]GARANTIA!$C:$C,0))&gt;=I285,"DENTRO DA GARANTIA","FORA DE GARANTIA"),"INSIRA N° SERIE")</f>
        <v>DENTRO DA GARANTIA</v>
      </c>
      <c r="E285" s="148"/>
      <c r="F285" s="109">
        <f>IFERROR(MAX(0,IF(I285-(INDEX([1]GARANTIA!$J:$J,MATCH(A285,[1]GARANTIA!$C:$C,0)))&gt;=0,I285-(INDEX([1]GARANTIA!$L:$L,MATCH(A285,[1]GARANTIA!$C:$C,0))),"INSIRA DATA CHAMADO")),"INSIRA N° SERIE")</f>
        <v>70</v>
      </c>
      <c r="G285" s="98">
        <v>20210697</v>
      </c>
      <c r="H285" s="35" t="str">
        <f t="shared" si="24"/>
        <v>AGO</v>
      </c>
      <c r="I285" s="89">
        <v>44421</v>
      </c>
      <c r="J285" s="90">
        <v>44421</v>
      </c>
      <c r="K285" s="91">
        <v>44431</v>
      </c>
      <c r="L285" s="92" t="s">
        <v>11</v>
      </c>
      <c r="M285" s="92" t="s">
        <v>8</v>
      </c>
      <c r="N285" s="92" t="s">
        <v>42</v>
      </c>
      <c r="O285" s="42" t="str">
        <f>IFERROR(INDEX([1]GARANTIA!$E:$E,MATCH(A285,[1]GARANTIA!$C:$C,0)),"INSIRA N° SERIE")</f>
        <v>MTI - 1.000GTS</v>
      </c>
      <c r="P285" s="101" t="s">
        <v>585</v>
      </c>
      <c r="Q285" s="94" t="s">
        <v>328</v>
      </c>
      <c r="R285" s="93" t="s">
        <v>584</v>
      </c>
      <c r="S285" s="44" t="s">
        <v>638</v>
      </c>
      <c r="T285" s="95" t="s">
        <v>144</v>
      </c>
      <c r="U285" s="96"/>
      <c r="V285" s="41" t="str">
        <f>IFERROR(INDEX([1]GARANTIA!$G:$G,MATCH(A285,[1]GARANTIA!$C:$C,0)),"INSIRA N° SERIE")</f>
        <v>DIAMANTINA</v>
      </c>
      <c r="W285" s="41" t="str">
        <f>IFERROR(INDEX([1]GARANTIA!$H:$H,MATCH(A285,[1]GARANTIA!$C:$C,0)),"INSIRA N° SERIE")</f>
        <v>MG</v>
      </c>
      <c r="X285" s="41" t="str">
        <f>IFERROR(INDEX([1]GARANTIA!$F:$F,MATCH(A285,[1]GARANTIA!$C:$C,0)),"INSIRA N° SERIE")</f>
        <v>SUDESTE</v>
      </c>
      <c r="Y285" s="46">
        <f t="shared" si="26"/>
        <v>0</v>
      </c>
      <c r="Z285" s="47">
        <f t="shared" si="25"/>
        <v>10</v>
      </c>
      <c r="AA285" s="46">
        <f t="shared" si="27"/>
        <v>10</v>
      </c>
      <c r="AB285" s="46" t="str" cm="1">
        <f t="array" ref="AB285">IFERROR(_xlfn.IFS(L285="FINALIZADO PRESENCIAL",IF(AA285&gt;10,"FORA","DENTRO"),L285="FINALIZADO REMOTO",IF(AA285&gt;5,"FORA","DENTRO")),"-")</f>
        <v>DENTRO</v>
      </c>
      <c r="AC285" s="41" t="s">
        <v>1671</v>
      </c>
      <c r="AD285" s="41" t="s">
        <v>1671</v>
      </c>
      <c r="AE285" s="48" cm="1">
        <f t="array" ref="AE285">SUMPRODUCT(IFERROR(('[2]PEÇAS GARANTIA'!$A$3:$A$5993=G285)*('[2]PEÇAS GARANTIA'!$A$3:$A$5993&lt;&gt;"")*('[2]PEÇAS GARANTIA'!$R$3:$R$5993),0))</f>
        <v>3173.12</v>
      </c>
      <c r="AF285" s="178">
        <v>0</v>
      </c>
    </row>
    <row r="286" spans="1:32" ht="40.15" customHeight="1" x14ac:dyDescent="0.25">
      <c r="A286" s="82">
        <v>81650</v>
      </c>
      <c r="B286" s="41" t="str">
        <f>IFERROR(INDEX([1]GARANTIA!$B:$B,MATCH(A286,[1]GARANTIA!$C:$C,0)),"INSIRA N° SERIE")</f>
        <v>TESTE 322</v>
      </c>
      <c r="C286" s="33">
        <f>IFERROR(INDEX([1]GARANTIA!$J:$J,MATCH(A286,[1]GARANTIA!$C:$C,0)),"INSIRA N° SERIE")</f>
        <v>44236</v>
      </c>
      <c r="D286" s="33" t="str">
        <f>IFERROR(IF(INDEX([1]GARANTIA!$M:$M,MATCH(A286,[1]GARANTIA!$C:$C,0))&gt;=I286,"DENTRO DA GARANTIA","FORA DE GARANTIA"),"INSIRA N° SERIE")</f>
        <v>DENTRO DA GARANTIA</v>
      </c>
      <c r="E286" s="148"/>
      <c r="F286" s="109">
        <f>IFERROR(MAX(0,IF(I286-(INDEX([1]GARANTIA!$J:$J,MATCH(A286,[1]GARANTIA!$C:$C,0)))&gt;=0,I286-(INDEX([1]GARANTIA!$L:$L,MATCH(A286,[1]GARANTIA!$C:$C,0))),"INSIRA DATA CHAMADO")),"INSIRA N° SERIE")</f>
        <v>42</v>
      </c>
      <c r="G286" s="98">
        <v>20210698</v>
      </c>
      <c r="H286" s="35" t="str">
        <f t="shared" si="24"/>
        <v>AGO</v>
      </c>
      <c r="I286" s="89">
        <v>44431</v>
      </c>
      <c r="J286" s="90">
        <v>44431</v>
      </c>
      <c r="K286" s="91">
        <v>44431</v>
      </c>
      <c r="L286" s="92" t="s">
        <v>23</v>
      </c>
      <c r="M286" s="92" t="s">
        <v>8</v>
      </c>
      <c r="N286" s="92" t="s">
        <v>28</v>
      </c>
      <c r="O286" s="42" t="str">
        <f>IFERROR(INDEX([1]GARANTIA!$E:$E,MATCH(A286,[1]GARANTIA!$C:$C,0)),"INSIRA N° SERIE")</f>
        <v>MTI - 2.500GTS</v>
      </c>
      <c r="P286" s="101" t="s">
        <v>586</v>
      </c>
      <c r="Q286" s="94" t="s">
        <v>328</v>
      </c>
      <c r="R286" s="93" t="s">
        <v>587</v>
      </c>
      <c r="S286" s="95" t="s">
        <v>101</v>
      </c>
      <c r="T286" s="95" t="s">
        <v>142</v>
      </c>
      <c r="U286" s="96"/>
      <c r="V286" s="41" t="str">
        <f>IFERROR(INDEX([1]GARANTIA!$G:$G,MATCH(A286,[1]GARANTIA!$C:$C,0)),"INSIRA N° SERIE")</f>
        <v>SINOP</v>
      </c>
      <c r="W286" s="41" t="str">
        <f>IFERROR(INDEX([1]GARANTIA!$H:$H,MATCH(A286,[1]GARANTIA!$C:$C,0)),"INSIRA N° SERIE")</f>
        <v>MT</v>
      </c>
      <c r="X286" s="41" t="str">
        <f>IFERROR(INDEX([1]GARANTIA!$F:$F,MATCH(A286,[1]GARANTIA!$C:$C,0)),"INSIRA N° SERIE")</f>
        <v>CENTROESTE</v>
      </c>
      <c r="Y286" s="46">
        <f t="shared" si="26"/>
        <v>0</v>
      </c>
      <c r="Z286" s="47">
        <f t="shared" si="25"/>
        <v>0</v>
      </c>
      <c r="AA286" s="46">
        <f t="shared" si="27"/>
        <v>0</v>
      </c>
      <c r="AB286" s="46" t="str" cm="1">
        <f t="array" ref="AB286">IFERROR(_xlfn.IFS(L286="FINALIZADO PRESENCIAL",IF(AA286&gt;10,"FORA","DENTRO"),L286="FINALIZADO REMOTO",IF(AA286&gt;5,"FORA","DENTRO")),"-")</f>
        <v>DENTRO</v>
      </c>
      <c r="AC286" s="41" t="s">
        <v>1671</v>
      </c>
      <c r="AD286" s="41" t="s">
        <v>1671</v>
      </c>
      <c r="AE286" s="48" cm="1">
        <f t="array" ref="AE286">SUMPRODUCT(IFERROR(('[2]PEÇAS GARANTIA'!$A$3:$A$5993=G286)*('[2]PEÇAS GARANTIA'!$A$3:$A$5993&lt;&gt;"")*('[2]PEÇAS GARANTIA'!$R$3:$R$5993),0))</f>
        <v>0</v>
      </c>
      <c r="AF286" s="178">
        <v>0</v>
      </c>
    </row>
    <row r="287" spans="1:32" ht="40.15" customHeight="1" x14ac:dyDescent="0.25">
      <c r="A287" s="82">
        <v>82866</v>
      </c>
      <c r="B287" s="41" t="str">
        <f>IFERROR(INDEX([1]GARANTIA!$B:$B,MATCH(A287,[1]GARANTIA!$C:$C,0)),"INSIRA N° SERIE")</f>
        <v>TESTE 309</v>
      </c>
      <c r="C287" s="33">
        <f>IFERROR(INDEX([1]GARANTIA!$J:$J,MATCH(A287,[1]GARANTIA!$C:$C,0)),"INSIRA N° SERIE")</f>
        <v>44158</v>
      </c>
      <c r="D287" s="33" t="str">
        <f>IFERROR(IF(INDEX([1]GARANTIA!$M:$M,MATCH(A287,[1]GARANTIA!$C:$C,0))&gt;=I287,"DENTRO DA GARANTIA","FORA DE GARANTIA"),"INSIRA N° SERIE")</f>
        <v>DENTRO DA GARANTIA</v>
      </c>
      <c r="E287" s="148"/>
      <c r="F287" s="109">
        <f>IFERROR(MAX(0,IF(I287-(INDEX([1]GARANTIA!$J:$J,MATCH(A287,[1]GARANTIA!$C:$C,0)))&gt;=0,I287-(INDEX([1]GARANTIA!$L:$L,MATCH(A287,[1]GARANTIA!$C:$C,0))),"INSIRA DATA CHAMADO")),"INSIRA N° SERIE")</f>
        <v>172</v>
      </c>
      <c r="G287" s="98">
        <v>20210699</v>
      </c>
      <c r="H287" s="35" t="str">
        <f t="shared" si="24"/>
        <v>AGO</v>
      </c>
      <c r="I287" s="89">
        <v>44432</v>
      </c>
      <c r="J287" s="90">
        <v>44432</v>
      </c>
      <c r="K287" s="91">
        <v>44439</v>
      </c>
      <c r="L287" s="92" t="s">
        <v>11</v>
      </c>
      <c r="M287" s="92" t="s">
        <v>8</v>
      </c>
      <c r="N287" s="92" t="s">
        <v>42</v>
      </c>
      <c r="O287" s="42" t="str">
        <f>IFERROR(INDEX([1]GARANTIA!$E:$E,MATCH(A287,[1]GARANTIA!$C:$C,0)),"INSIRA N° SERIE")</f>
        <v>MTI - 1.000GTS</v>
      </c>
      <c r="P287" s="101" t="s">
        <v>597</v>
      </c>
      <c r="Q287" s="94" t="s">
        <v>326</v>
      </c>
      <c r="R287" s="93" t="s">
        <v>591</v>
      </c>
      <c r="S287" s="95" t="s">
        <v>325</v>
      </c>
      <c r="T287" s="95" t="s">
        <v>142</v>
      </c>
      <c r="U287" s="96"/>
      <c r="V287" s="41" t="str">
        <f>IFERROR(INDEX([1]GARANTIA!$G:$G,MATCH(A287,[1]GARANTIA!$C:$C,0)),"INSIRA N° SERIE")</f>
        <v>SÃO JOSE DEL REI</v>
      </c>
      <c r="W287" s="41" t="str">
        <f>IFERROR(INDEX([1]GARANTIA!$H:$H,MATCH(A287,[1]GARANTIA!$C:$C,0)),"INSIRA N° SERIE")</f>
        <v>MG</v>
      </c>
      <c r="X287" s="41" t="str">
        <f>IFERROR(INDEX([1]GARANTIA!$F:$F,MATCH(A287,[1]GARANTIA!$C:$C,0)),"INSIRA N° SERIE")</f>
        <v>SUDESTE</v>
      </c>
      <c r="Y287" s="46">
        <f t="shared" si="26"/>
        <v>0</v>
      </c>
      <c r="Z287" s="47">
        <f t="shared" si="25"/>
        <v>7</v>
      </c>
      <c r="AA287" s="46">
        <f t="shared" si="27"/>
        <v>7</v>
      </c>
      <c r="AB287" s="46" t="str" cm="1">
        <f t="array" ref="AB287">IFERROR(_xlfn.IFS(L287="FINALIZADO PRESENCIAL",IF(AA287&gt;10,"FORA","DENTRO"),L287="FINALIZADO REMOTO",IF(AA287&gt;5,"FORA","DENTRO")),"-")</f>
        <v>DENTRO</v>
      </c>
      <c r="AC287" s="41" t="s">
        <v>1671</v>
      </c>
      <c r="AD287" s="41" t="s">
        <v>1671</v>
      </c>
      <c r="AE287" s="48" cm="1">
        <f t="array" ref="AE287">SUMPRODUCT(IFERROR(('[2]PEÇAS GARANTIA'!$A$3:$A$5993=G287)*('[2]PEÇAS GARANTIA'!$A$3:$A$5993&lt;&gt;"")*('[2]PEÇAS GARANTIA'!$R$3:$R$5993),0))</f>
        <v>906.5</v>
      </c>
      <c r="AF287" s="178">
        <v>0</v>
      </c>
    </row>
    <row r="288" spans="1:32" ht="40.15" customHeight="1" x14ac:dyDescent="0.25">
      <c r="A288" s="82">
        <v>73892</v>
      </c>
      <c r="B288" s="41" t="str">
        <f>IFERROR(INDEX([1]GARANTIA!$B:$B,MATCH(A288,[1]GARANTIA!$C:$C,0)),"INSIRA N° SERIE")</f>
        <v>TESTE 240</v>
      </c>
      <c r="C288" s="33">
        <f>IFERROR(INDEX([1]GARANTIA!$J:$J,MATCH(A288,[1]GARANTIA!$C:$C,0)),"INSIRA N° SERIE")</f>
        <v>44298</v>
      </c>
      <c r="D288" s="33" t="str">
        <f>IFERROR(IF(INDEX([1]GARANTIA!$M:$M,MATCH(A288,[1]GARANTIA!$C:$C,0))&gt;=I288,"DENTRO DA GARANTIA","FORA DE GARANTIA"),"INSIRA N° SERIE")</f>
        <v>DENTRO DA GARANTIA</v>
      </c>
      <c r="E288" s="148"/>
      <c r="F288" s="109">
        <f>IFERROR(MAX(0,IF(I288-(INDEX([1]GARANTIA!$J:$J,MATCH(A288,[1]GARANTIA!$C:$C,0)))&gt;=0,I288-(INDEX([1]GARANTIA!$L:$L,MATCH(A288,[1]GARANTIA!$C:$C,0))),"INSIRA DATA CHAMADO")),"INSIRA N° SERIE")</f>
        <v>96</v>
      </c>
      <c r="G288" s="98">
        <v>20210700</v>
      </c>
      <c r="H288" s="35" t="str">
        <f t="shared" si="24"/>
        <v>AGO</v>
      </c>
      <c r="I288" s="89">
        <v>44432</v>
      </c>
      <c r="J288" s="90">
        <v>44432</v>
      </c>
      <c r="K288" s="91">
        <v>44434</v>
      </c>
      <c r="L288" s="92" t="s">
        <v>11</v>
      </c>
      <c r="M288" s="92" t="s">
        <v>8</v>
      </c>
      <c r="N288" s="92" t="s">
        <v>28</v>
      </c>
      <c r="O288" s="42" t="str">
        <f>IFERROR(INDEX([1]GARANTIA!$E:$E,MATCH(A288,[1]GARANTIA!$C:$C,0)),"INSIRA N° SERIE")</f>
        <v>MTI - 1.000GTS</v>
      </c>
      <c r="P288" s="101" t="s">
        <v>588</v>
      </c>
      <c r="Q288" s="94" t="s">
        <v>328</v>
      </c>
      <c r="R288" s="93" t="s">
        <v>589</v>
      </c>
      <c r="S288" s="44" t="s">
        <v>638</v>
      </c>
      <c r="T288" s="95" t="s">
        <v>142</v>
      </c>
      <c r="U288" s="96"/>
      <c r="V288" s="41" t="str">
        <f>IFERROR(INDEX([1]GARANTIA!$G:$G,MATCH(A288,[1]GARANTIA!$C:$C,0)),"INSIRA N° SERIE")</f>
        <v>FORMOSA</v>
      </c>
      <c r="W288" s="41" t="str">
        <f>IFERROR(INDEX([1]GARANTIA!$H:$H,MATCH(A288,[1]GARANTIA!$C:$C,0)),"INSIRA N° SERIE")</f>
        <v>GO</v>
      </c>
      <c r="X288" s="41" t="str">
        <f>IFERROR(INDEX([1]GARANTIA!$F:$F,MATCH(A288,[1]GARANTIA!$C:$C,0)),"INSIRA N° SERIE")</f>
        <v>CENTROESTE</v>
      </c>
      <c r="Y288" s="46">
        <f t="shared" si="26"/>
        <v>0</v>
      </c>
      <c r="Z288" s="47">
        <f t="shared" si="25"/>
        <v>2</v>
      </c>
      <c r="AA288" s="46">
        <f t="shared" si="27"/>
        <v>2</v>
      </c>
      <c r="AB288" s="46" t="str" cm="1">
        <f t="array" ref="AB288">IFERROR(_xlfn.IFS(L288="FINALIZADO PRESENCIAL",IF(AA288&gt;10,"FORA","DENTRO"),L288="FINALIZADO REMOTO",IF(AA288&gt;5,"FORA","DENTRO")),"-")</f>
        <v>DENTRO</v>
      </c>
      <c r="AC288" s="41" t="s">
        <v>1671</v>
      </c>
      <c r="AD288" s="41" t="s">
        <v>1671</v>
      </c>
      <c r="AE288" s="48" cm="1">
        <f t="array" ref="AE288">SUMPRODUCT(IFERROR(('[2]PEÇAS GARANTIA'!$A$3:$A$5993=G288)*('[2]PEÇAS GARANTIA'!$A$3:$A$5993&lt;&gt;"")*('[2]PEÇAS GARANTIA'!$R$3:$R$5993),0))</f>
        <v>0</v>
      </c>
      <c r="AF288" s="178">
        <v>0</v>
      </c>
    </row>
    <row r="289" spans="1:32" ht="64.5" customHeight="1" x14ac:dyDescent="0.25">
      <c r="A289" s="82">
        <v>42353</v>
      </c>
      <c r="B289" s="144" t="str">
        <f>IFERROR(INDEX([1]GARANTIA!$B:$B,MATCH(A289,[1]GARANTIA!$C:$C,0)),"INSIRA N° SERIE")</f>
        <v>TESTE 272</v>
      </c>
      <c r="C289" s="33">
        <f>IFERROR(INDEX([1]GARANTIA!$J:$J,MATCH(A289,[1]GARANTIA!$C:$C,0)),"INSIRA N° SERIE")</f>
        <v>44078</v>
      </c>
      <c r="D289" s="33" t="str">
        <f>IFERROR(IF(INDEX([1]GARANTIA!$M:$M,MATCH(A289,[1]GARANTIA!$C:$C,0))&gt;=I289,"DENTRO DA GARANTIA","FORA DE GARANTIA"),"INSIRA N° SERIE")</f>
        <v>DENTRO DA GARANTIA</v>
      </c>
      <c r="E289" s="148"/>
      <c r="F289" s="109">
        <f>IFERROR(MAX(0,IF(I289-(INDEX([1]GARANTIA!$J:$J,MATCH(A289,[1]GARANTIA!$C:$C,0)))&gt;=0,I289-(INDEX([1]GARANTIA!$L:$L,MATCH(A289,[1]GARANTIA!$C:$C,0))),"INSIRA DATA CHAMADO")),"INSIRA N° SERIE")</f>
        <v>150</v>
      </c>
      <c r="G289" s="98">
        <v>20210717</v>
      </c>
      <c r="H289" s="35" t="str">
        <f t="shared" si="24"/>
        <v>AGO</v>
      </c>
      <c r="I289" s="89">
        <v>44431</v>
      </c>
      <c r="J289" s="90">
        <v>44431</v>
      </c>
      <c r="K289" s="91">
        <v>44448</v>
      </c>
      <c r="L289" s="92" t="s">
        <v>11</v>
      </c>
      <c r="M289" s="92" t="s">
        <v>8</v>
      </c>
      <c r="N289" s="92" t="s">
        <v>62</v>
      </c>
      <c r="O289" s="42" t="str">
        <f>IFERROR(INDEX([1]GARANTIA!$E:$E,MATCH(A289,[1]GARANTIA!$C:$C,0)),"INSIRA N° SERIE")</f>
        <v>MTI - 20.000GE</v>
      </c>
      <c r="P289" s="101" t="s">
        <v>648</v>
      </c>
      <c r="Q289" s="94" t="s">
        <v>62</v>
      </c>
      <c r="R289" s="93" t="s">
        <v>617</v>
      </c>
      <c r="S289" s="95" t="s">
        <v>325</v>
      </c>
      <c r="T289" s="95" t="s">
        <v>640</v>
      </c>
      <c r="U289" s="96"/>
      <c r="V289" s="41" t="str">
        <f>IFERROR(INDEX([1]GARANTIA!$G:$G,MATCH(A289,[1]GARANTIA!$C:$C,0)),"INSIRA N° SERIE")</f>
        <v>MAXARANGUAPE</v>
      </c>
      <c r="W289" s="41" t="str">
        <f>IFERROR(INDEX([1]GARANTIA!$H:$H,MATCH(A289,[1]GARANTIA!$C:$C,0)),"INSIRA N° SERIE")</f>
        <v>RN</v>
      </c>
      <c r="X289" s="41" t="str">
        <f>IFERROR(INDEX([1]GARANTIA!$F:$F,MATCH(A289,[1]GARANTIA!$C:$C,0)),"INSIRA N° SERIE")</f>
        <v>NORDESTE</v>
      </c>
      <c r="Y289" s="46">
        <f t="shared" si="26"/>
        <v>0</v>
      </c>
      <c r="Z289" s="47">
        <f t="shared" si="25"/>
        <v>17</v>
      </c>
      <c r="AA289" s="46">
        <f t="shared" si="27"/>
        <v>17</v>
      </c>
      <c r="AB289" s="46" t="str" cm="1">
        <f t="array" ref="AB289">IFERROR(_xlfn.IFS(L289="FINALIZADO PRESENCIAL",IF(AA289&gt;10,"FORA","DENTRO"),L289="FINALIZADO REMOTO",IF(AA289&gt;5,"FORA","DENTRO")),"-")</f>
        <v>FORA</v>
      </c>
      <c r="AC289" s="41" t="s">
        <v>1671</v>
      </c>
      <c r="AD289" s="41" t="s">
        <v>1671</v>
      </c>
      <c r="AE289" s="48" cm="1">
        <f t="array" ref="AE289">SUMPRODUCT(IFERROR(('[2]PEÇAS GARANTIA'!$A$3:$A$5993=G289)*('[2]PEÇAS GARANTIA'!$A$3:$A$5993&lt;&gt;"")*('[2]PEÇAS GARANTIA'!$R$3:$R$5993),0))</f>
        <v>149.6</v>
      </c>
      <c r="AF289" s="178">
        <v>2000</v>
      </c>
    </row>
    <row r="290" spans="1:32" ht="60.75" customHeight="1" x14ac:dyDescent="0.25">
      <c r="A290" s="108">
        <v>69918</v>
      </c>
      <c r="B290" s="41" t="str">
        <f>IFERROR(INDEX([1]GARANTIA!$B:$B,MATCH(A290,[1]GARANTIA!$C:$C,0)),"INSIRA N° SERIE")</f>
        <v>TESTE 247</v>
      </c>
      <c r="C290" s="33">
        <f>IFERROR(INDEX([1]GARANTIA!$J:$J,MATCH(A290,[1]GARANTIA!$C:$C,0)),"INSIRA N° SERIE")</f>
        <v>44196</v>
      </c>
      <c r="D290" s="33" t="str">
        <f>IFERROR(IF(INDEX([1]GARANTIA!$M:$M,MATCH(A290,[1]GARANTIA!$C:$C,0))&gt;=I290,"DENTRO DA GARANTIA","FORA DE GARANTIA"),"INSIRA N° SERIE")</f>
        <v>DENTRO DA GARANTIA</v>
      </c>
      <c r="E290" s="148"/>
      <c r="F290" s="109">
        <f>IFERROR(MAX(0,IF(I290-(INDEX([1]GARANTIA!$J:$J,MATCH(A290,[1]GARANTIA!$C:$C,0)))&gt;=0,I290-(INDEX([1]GARANTIA!$L:$L,MATCH(A290,[1]GARANTIA!$C:$C,0))),"INSIRA DATA CHAMADO")),"INSIRA N° SERIE")</f>
        <v>83</v>
      </c>
      <c r="G290" s="98">
        <v>20210701</v>
      </c>
      <c r="H290" s="35" t="str">
        <f t="shared" si="24"/>
        <v>AGO</v>
      </c>
      <c r="I290" s="89">
        <v>44434</v>
      </c>
      <c r="J290" s="90">
        <v>44434</v>
      </c>
      <c r="K290" s="91">
        <v>44439</v>
      </c>
      <c r="L290" s="92" t="s">
        <v>11</v>
      </c>
      <c r="M290" s="92" t="s">
        <v>8</v>
      </c>
      <c r="N290" s="92" t="s">
        <v>27</v>
      </c>
      <c r="O290" s="42" t="str">
        <f>IFERROR(INDEX([1]GARANTIA!$E:$E,MATCH(A290,[1]GARANTIA!$C:$C,0)),"INSIRA N° SERIE")</f>
        <v>MTI - 1.000GTS</v>
      </c>
      <c r="P290" s="101" t="s">
        <v>592</v>
      </c>
      <c r="Q290" s="94" t="s">
        <v>328</v>
      </c>
      <c r="R290" s="93" t="s">
        <v>598</v>
      </c>
      <c r="S290" s="95" t="s">
        <v>638</v>
      </c>
      <c r="T290" s="95" t="s">
        <v>97</v>
      </c>
      <c r="U290" s="96"/>
      <c r="V290" s="41" t="str">
        <f>IFERROR(INDEX([1]GARANTIA!$G:$G,MATCH(A290,[1]GARANTIA!$C:$C,0)),"INSIRA N° SERIE")</f>
        <v>DIAMANTINA</v>
      </c>
      <c r="W290" s="41" t="str">
        <f>IFERROR(INDEX([1]GARANTIA!$H:$H,MATCH(A290,[1]GARANTIA!$C:$C,0)),"INSIRA N° SERIE")</f>
        <v>MG</v>
      </c>
      <c r="X290" s="41" t="str">
        <f>IFERROR(INDEX([1]GARANTIA!$F:$F,MATCH(A290,[1]GARANTIA!$C:$C,0)),"INSIRA N° SERIE")</f>
        <v>SUDESTE</v>
      </c>
      <c r="Y290" s="46">
        <f t="shared" si="26"/>
        <v>0</v>
      </c>
      <c r="Z290" s="47">
        <f t="shared" si="25"/>
        <v>5</v>
      </c>
      <c r="AA290" s="46">
        <f t="shared" si="27"/>
        <v>5</v>
      </c>
      <c r="AB290" s="46" t="str" cm="1">
        <f t="array" ref="AB290">IFERROR(_xlfn.IFS(L290="FINALIZADO PRESENCIAL",IF(AA290&gt;10,"FORA","DENTRO"),L290="FINALIZADO REMOTO",IF(AA290&gt;5,"FORA","DENTRO")),"-")</f>
        <v>DENTRO</v>
      </c>
      <c r="AC290" s="41" t="s">
        <v>1671</v>
      </c>
      <c r="AD290" s="41" t="s">
        <v>1671</v>
      </c>
      <c r="AE290" s="48" cm="1">
        <f t="array" ref="AE290">SUMPRODUCT(IFERROR(('[2]PEÇAS GARANTIA'!$A$3:$A$5993=G290)*('[2]PEÇAS GARANTIA'!$A$3:$A$5993&lt;&gt;"")*('[2]PEÇAS GARANTIA'!$R$3:$R$5993),0))</f>
        <v>345.71</v>
      </c>
      <c r="AF290" s="178">
        <v>0</v>
      </c>
    </row>
    <row r="291" spans="1:32" ht="72" customHeight="1" x14ac:dyDescent="0.25">
      <c r="A291" s="82">
        <v>83536</v>
      </c>
      <c r="B291" s="41" t="str">
        <f>IFERROR(INDEX([1]GARANTIA!$B:$B,MATCH(A291,[1]GARANTIA!$C:$C,0)),"INSIRA N° SERIE")</f>
        <v>TESTE 98</v>
      </c>
      <c r="C291" s="33">
        <f>IFERROR(INDEX([1]GARANTIA!$J:$J,MATCH(A291,[1]GARANTIA!$C:$C,0)),"INSIRA N° SERIE")</f>
        <v>44175</v>
      </c>
      <c r="D291" s="33" t="str">
        <f>IFERROR(IF(INDEX([1]GARANTIA!$M:$M,MATCH(A291,[1]GARANTIA!$C:$C,0))&gt;=I291,"DENTRO DA GARANTIA","FORA DE GARANTIA"),"INSIRA N° SERIE")</f>
        <v>DENTRO DA GARANTIA</v>
      </c>
      <c r="E291" s="148"/>
      <c r="F291" s="109">
        <f>IFERROR(MAX(0,IF(I291-(INDEX([1]GARANTIA!$J:$J,MATCH(A291,[1]GARANTIA!$C:$C,0)))&gt;=0,I291-(INDEX([1]GARANTIA!$L:$L,MATCH(A291,[1]GARANTIA!$C:$C,0))),"INSIRA DATA CHAMADO")),"INSIRA N° SERIE")</f>
        <v>30</v>
      </c>
      <c r="G291" s="98">
        <v>20210702</v>
      </c>
      <c r="H291" s="35" t="str">
        <f t="shared" si="24"/>
        <v>AGO</v>
      </c>
      <c r="I291" s="89">
        <v>44438</v>
      </c>
      <c r="J291" s="90">
        <v>44438</v>
      </c>
      <c r="K291" s="91">
        <v>44439</v>
      </c>
      <c r="L291" s="92" t="s">
        <v>11</v>
      </c>
      <c r="M291" s="92" t="s">
        <v>8</v>
      </c>
      <c r="N291" s="92" t="s">
        <v>28</v>
      </c>
      <c r="O291" s="42" t="str">
        <f>IFERROR(INDEX([1]GARANTIA!$E:$E,MATCH(A291,[1]GARANTIA!$C:$C,0)),"INSIRA N° SERIE")</f>
        <v>MTI - 12.000GTS</v>
      </c>
      <c r="P291" s="101" t="s">
        <v>593</v>
      </c>
      <c r="Q291" s="94" t="s">
        <v>333</v>
      </c>
      <c r="R291" s="93" t="s">
        <v>594</v>
      </c>
      <c r="S291" s="44" t="s">
        <v>638</v>
      </c>
      <c r="T291" s="95" t="s">
        <v>142</v>
      </c>
      <c r="U291" s="96"/>
      <c r="V291" s="41" t="str">
        <f>IFERROR(INDEX([1]GARANTIA!$G:$G,MATCH(A291,[1]GARANTIA!$C:$C,0)),"INSIRA N° SERIE")</f>
        <v>RONDONÓPOLIS</v>
      </c>
      <c r="W291" s="41" t="str">
        <f>IFERROR(INDEX([1]GARANTIA!$H:$H,MATCH(A291,[1]GARANTIA!$C:$C,0)),"INSIRA N° SERIE")</f>
        <v>MT</v>
      </c>
      <c r="X291" s="41" t="str">
        <f>IFERROR(INDEX([1]GARANTIA!$F:$F,MATCH(A291,[1]GARANTIA!$C:$C,0)),"INSIRA N° SERIE")</f>
        <v>CENTROESTE</v>
      </c>
      <c r="Y291" s="46">
        <f t="shared" si="26"/>
        <v>0</v>
      </c>
      <c r="Z291" s="47">
        <f t="shared" si="25"/>
        <v>1</v>
      </c>
      <c r="AA291" s="46">
        <f t="shared" si="27"/>
        <v>1</v>
      </c>
      <c r="AB291" s="46" t="str" cm="1">
        <f t="array" ref="AB291">IFERROR(_xlfn.IFS(L291="FINALIZADO PRESENCIAL",IF(AA291&gt;10,"FORA","DENTRO"),L291="FINALIZADO REMOTO",IF(AA291&gt;5,"FORA","DENTRO")),"-")</f>
        <v>DENTRO</v>
      </c>
      <c r="AC291" s="41" t="s">
        <v>1671</v>
      </c>
      <c r="AD291" s="41" t="s">
        <v>1671</v>
      </c>
      <c r="AE291" s="48" cm="1">
        <f t="array" ref="AE291">SUMPRODUCT(IFERROR(('[2]PEÇAS GARANTIA'!$A$3:$A$5993=G291)*('[2]PEÇAS GARANTIA'!$A$3:$A$5993&lt;&gt;"")*('[2]PEÇAS GARANTIA'!$R$3:$R$5993),0))</f>
        <v>4440.92</v>
      </c>
      <c r="AF291" s="178">
        <v>0</v>
      </c>
    </row>
    <row r="292" spans="1:32" ht="60.75" customHeight="1" x14ac:dyDescent="0.25">
      <c r="A292" s="82">
        <v>27393</v>
      </c>
      <c r="B292" s="41" t="str">
        <f>IFERROR(INDEX([1]GARANTIA!$B:$B,MATCH(A292,[1]GARANTIA!$C:$C,0)),"INSIRA N° SERIE")</f>
        <v>TESTE 255</v>
      </c>
      <c r="C292" s="33">
        <f>IFERROR(INDEX([1]GARANTIA!$J:$J,MATCH(A292,[1]GARANTIA!$C:$C,0)),"INSIRA N° SERIE")</f>
        <v>44207</v>
      </c>
      <c r="D292" s="33" t="str">
        <f>IFERROR(IF(INDEX([1]GARANTIA!$M:$M,MATCH(A292,[1]GARANTIA!$C:$C,0))&gt;=I292,"DENTRO DA GARANTIA","FORA DE GARANTIA"),"INSIRA N° SERIE")</f>
        <v>DENTRO DA GARANTIA</v>
      </c>
      <c r="E292" s="148"/>
      <c r="F292" s="109">
        <f>IFERROR(MAX(0,IF(I292-(INDEX([1]GARANTIA!$J:$J,MATCH(A292,[1]GARANTIA!$C:$C,0)))&gt;=0,I292-(INDEX([1]GARANTIA!$L:$L,MATCH(A292,[1]GARANTIA!$C:$C,0))),"INSIRA DATA CHAMADO")),"INSIRA N° SERIE")</f>
        <v>75</v>
      </c>
      <c r="G292" s="98">
        <v>20210703</v>
      </c>
      <c r="H292" s="35" t="str">
        <f t="shared" si="24"/>
        <v>AGO</v>
      </c>
      <c r="I292" s="89">
        <v>44439</v>
      </c>
      <c r="J292" s="90">
        <v>44439</v>
      </c>
      <c r="K292" s="91">
        <v>44440</v>
      </c>
      <c r="L292" s="92" t="s">
        <v>23</v>
      </c>
      <c r="M292" s="92" t="s">
        <v>8</v>
      </c>
      <c r="N292" s="92" t="s">
        <v>28</v>
      </c>
      <c r="O292" s="42" t="str">
        <f>IFERROR(INDEX([1]GARANTIA!$E:$E,MATCH(A292,[1]GARANTIA!$C:$C,0)),"INSIRA N° SERIE")</f>
        <v>MTI - 1.000GTS</v>
      </c>
      <c r="P292" s="101" t="s">
        <v>549</v>
      </c>
      <c r="Q292" s="94" t="s">
        <v>328</v>
      </c>
      <c r="R292" s="93" t="s">
        <v>595</v>
      </c>
      <c r="S292" s="95" t="s">
        <v>101</v>
      </c>
      <c r="T292" s="95" t="s">
        <v>142</v>
      </c>
      <c r="U292" s="96"/>
      <c r="V292" s="41" t="str">
        <f>IFERROR(INDEX([1]GARANTIA!$G:$G,MATCH(A292,[1]GARANTIA!$C:$C,0)),"INSIRA N° SERIE")</f>
        <v>NATAL</v>
      </c>
      <c r="W292" s="41" t="str">
        <f>IFERROR(INDEX([1]GARANTIA!$H:$H,MATCH(A292,[1]GARANTIA!$C:$C,0)),"INSIRA N° SERIE")</f>
        <v>RN</v>
      </c>
      <c r="X292" s="41" t="str">
        <f>IFERROR(INDEX([1]GARANTIA!$F:$F,MATCH(A292,[1]GARANTIA!$C:$C,0)),"INSIRA N° SERIE")</f>
        <v>NORDESTE</v>
      </c>
      <c r="Y292" s="46">
        <f t="shared" si="26"/>
        <v>0</v>
      </c>
      <c r="Z292" s="47">
        <f t="shared" si="25"/>
        <v>1</v>
      </c>
      <c r="AA292" s="46">
        <f t="shared" si="27"/>
        <v>1</v>
      </c>
      <c r="AB292" s="46" t="str" cm="1">
        <f t="array" ref="AB292">IFERROR(_xlfn.IFS(L292="FINALIZADO PRESENCIAL",IF(AA292&gt;10,"FORA","DENTRO"),L292="FINALIZADO REMOTO",IF(AA292&gt;5,"FORA","DENTRO")),"-")</f>
        <v>DENTRO</v>
      </c>
      <c r="AC292" s="41" t="s">
        <v>1671</v>
      </c>
      <c r="AD292" s="41" t="s">
        <v>1671</v>
      </c>
      <c r="AE292" s="48" cm="1">
        <f t="array" ref="AE292">SUMPRODUCT(IFERROR(('[2]PEÇAS GARANTIA'!$A$3:$A$5993=G292)*('[2]PEÇAS GARANTIA'!$A$3:$A$5993&lt;&gt;"")*('[2]PEÇAS GARANTIA'!$R$3:$R$5993),0))</f>
        <v>0</v>
      </c>
      <c r="AF292" s="178">
        <v>0</v>
      </c>
    </row>
    <row r="293" spans="1:32" ht="66" customHeight="1" x14ac:dyDescent="0.25">
      <c r="A293" s="82">
        <v>71327</v>
      </c>
      <c r="B293" s="41" t="str">
        <f>IFERROR(INDEX([1]GARANTIA!$B:$B,MATCH(A293,[1]GARANTIA!$C:$C,0)),"INSIRA N° SERIE")</f>
        <v>TESTE 323</v>
      </c>
      <c r="C293" s="33">
        <f>IFERROR(INDEX([1]GARANTIA!$J:$J,MATCH(A293,[1]GARANTIA!$C:$C,0)),"INSIRA N° SERIE")</f>
        <v>44236</v>
      </c>
      <c r="D293" s="33" t="str">
        <f>IFERROR(IF(INDEX([1]GARANTIA!$M:$M,MATCH(A293,[1]GARANTIA!$C:$C,0))&gt;=I293,"DENTRO DA GARANTIA","FORA DE GARANTIA"),"INSIRA N° SERIE")</f>
        <v>DENTRO DA GARANTIA</v>
      </c>
      <c r="E293" s="148"/>
      <c r="F293" s="109">
        <f>IFERROR(MAX(0,IF(I293-(INDEX([1]GARANTIA!$J:$J,MATCH(A293,[1]GARANTIA!$C:$C,0)))&gt;=0,I293-(INDEX([1]GARANTIA!$L:$L,MATCH(A293,[1]GARANTIA!$C:$C,0))),"INSIRA DATA CHAMADO")),"INSIRA N° SERIE")</f>
        <v>52</v>
      </c>
      <c r="G293" s="98">
        <v>20210704</v>
      </c>
      <c r="H293" s="35" t="str">
        <f t="shared" si="24"/>
        <v>SET</v>
      </c>
      <c r="I293" s="89">
        <v>44441</v>
      </c>
      <c r="J293" s="90">
        <v>44441</v>
      </c>
      <c r="K293" s="91">
        <v>44442</v>
      </c>
      <c r="L293" s="92" t="s">
        <v>23</v>
      </c>
      <c r="M293" s="92" t="s">
        <v>8</v>
      </c>
      <c r="N293" s="92" t="s">
        <v>50</v>
      </c>
      <c r="O293" s="42" t="str">
        <f>IFERROR(INDEX([1]GARANTIA!$E:$E,MATCH(A293,[1]GARANTIA!$C:$C,0)),"INSIRA N° SERIE")</f>
        <v>E - 300</v>
      </c>
      <c r="P293" s="101" t="s">
        <v>599</v>
      </c>
      <c r="Q293" s="94" t="s">
        <v>642</v>
      </c>
      <c r="R293" s="93" t="s">
        <v>600</v>
      </c>
      <c r="S293" s="95" t="s">
        <v>102</v>
      </c>
      <c r="T293" s="95" t="s">
        <v>296</v>
      </c>
      <c r="U293" s="96"/>
      <c r="V293" s="41" t="str">
        <f>IFERROR(INDEX([1]GARANTIA!$G:$G,MATCH(A293,[1]GARANTIA!$C:$C,0)),"INSIRA N° SERIE")</f>
        <v>SINOP</v>
      </c>
      <c r="W293" s="41" t="str">
        <f>IFERROR(INDEX([1]GARANTIA!$H:$H,MATCH(A293,[1]GARANTIA!$C:$C,0)),"INSIRA N° SERIE")</f>
        <v>MT</v>
      </c>
      <c r="X293" s="41" t="str">
        <f>IFERROR(INDEX([1]GARANTIA!$F:$F,MATCH(A293,[1]GARANTIA!$C:$C,0)),"INSIRA N° SERIE")</f>
        <v>CENTROESTE</v>
      </c>
      <c r="Y293" s="46">
        <f t="shared" si="26"/>
        <v>0</v>
      </c>
      <c r="Z293" s="47">
        <f t="shared" si="25"/>
        <v>1</v>
      </c>
      <c r="AA293" s="46">
        <f t="shared" si="27"/>
        <v>1</v>
      </c>
      <c r="AB293" s="46" t="str" cm="1">
        <f t="array" ref="AB293">IFERROR(_xlfn.IFS(L293="FINALIZADO PRESENCIAL",IF(AA293&gt;10,"FORA","DENTRO"),L293="FINALIZADO REMOTO",IF(AA293&gt;5,"FORA","DENTRO")),"-")</f>
        <v>DENTRO</v>
      </c>
      <c r="AC293" s="41" t="s">
        <v>1671</v>
      </c>
      <c r="AD293" s="41" t="s">
        <v>1671</v>
      </c>
      <c r="AE293" s="48" cm="1">
        <f t="array" ref="AE293">SUMPRODUCT(IFERROR(('[2]PEÇAS GARANTIA'!$A$3:$A$5993=G293)*('[2]PEÇAS GARANTIA'!$A$3:$A$5993&lt;&gt;"")*('[2]PEÇAS GARANTIA'!$R$3:$R$5993),0))</f>
        <v>0</v>
      </c>
      <c r="AF293" s="178">
        <v>0</v>
      </c>
    </row>
    <row r="294" spans="1:32" ht="51.75" customHeight="1" x14ac:dyDescent="0.25">
      <c r="A294" s="82">
        <v>82866</v>
      </c>
      <c r="B294" s="41" t="str">
        <f>IFERROR(INDEX([1]GARANTIA!$B:$B,MATCH(A294,[1]GARANTIA!$C:$C,0)),"INSIRA N° SERIE")</f>
        <v>TESTE 309</v>
      </c>
      <c r="C294" s="33">
        <f>IFERROR(INDEX([1]GARANTIA!$J:$J,MATCH(A294,[1]GARANTIA!$C:$C,0)),"INSIRA N° SERIE")</f>
        <v>44158</v>
      </c>
      <c r="D294" s="33" t="str">
        <f>IFERROR(IF(INDEX([1]GARANTIA!$M:$M,MATCH(A294,[1]GARANTIA!$C:$C,0))&gt;=I294,"DENTRO DA GARANTIA","FORA DE GARANTIA"),"INSIRA N° SERIE")</f>
        <v>DENTRO DA GARANTIA</v>
      </c>
      <c r="E294" s="148"/>
      <c r="F294" s="109">
        <f>IFERROR(MAX(0,IF(I294-(INDEX([1]GARANTIA!$J:$J,MATCH(A294,[1]GARANTIA!$C:$C,0)))&gt;=0,I294-(INDEX([1]GARANTIA!$L:$L,MATCH(A294,[1]GARANTIA!$C:$C,0))),"INSIRA DATA CHAMADO")),"INSIRA N° SERIE")</f>
        <v>181</v>
      </c>
      <c r="G294" s="98">
        <v>20210705</v>
      </c>
      <c r="H294" s="35" t="str">
        <f t="shared" si="24"/>
        <v>SET</v>
      </c>
      <c r="I294" s="89">
        <v>44441</v>
      </c>
      <c r="J294" s="90">
        <v>44441</v>
      </c>
      <c r="K294" s="91">
        <v>44442</v>
      </c>
      <c r="L294" s="92" t="s">
        <v>11</v>
      </c>
      <c r="M294" s="92" t="s">
        <v>8</v>
      </c>
      <c r="N294" s="92" t="s">
        <v>42</v>
      </c>
      <c r="O294" s="42" t="str">
        <f>IFERROR(INDEX([1]GARANTIA!$E:$E,MATCH(A294,[1]GARANTIA!$C:$C,0)),"INSIRA N° SERIE")</f>
        <v>MTI - 1.000GTS</v>
      </c>
      <c r="P294" s="101" t="s">
        <v>601</v>
      </c>
      <c r="Q294" s="94" t="s">
        <v>54</v>
      </c>
      <c r="R294" s="93" t="s">
        <v>608</v>
      </c>
      <c r="S294" s="44" t="s">
        <v>638</v>
      </c>
      <c r="T294" s="95" t="s">
        <v>142</v>
      </c>
      <c r="U294" s="96"/>
      <c r="V294" s="41" t="str">
        <f>IFERROR(INDEX([1]GARANTIA!$G:$G,MATCH(A294,[1]GARANTIA!$C:$C,0)),"INSIRA N° SERIE")</f>
        <v>SÃO JOSE DEL REI</v>
      </c>
      <c r="W294" s="41" t="str">
        <f>IFERROR(INDEX([1]GARANTIA!$H:$H,MATCH(A294,[1]GARANTIA!$C:$C,0)),"INSIRA N° SERIE")</f>
        <v>MG</v>
      </c>
      <c r="X294" s="41" t="str">
        <f>IFERROR(INDEX([1]GARANTIA!$F:$F,MATCH(A294,[1]GARANTIA!$C:$C,0)),"INSIRA N° SERIE")</f>
        <v>SUDESTE</v>
      </c>
      <c r="Y294" s="46">
        <f t="shared" si="26"/>
        <v>0</v>
      </c>
      <c r="Z294" s="47">
        <f t="shared" si="25"/>
        <v>1</v>
      </c>
      <c r="AA294" s="46">
        <f t="shared" si="27"/>
        <v>1</v>
      </c>
      <c r="AB294" s="46" t="str" cm="1">
        <f t="array" ref="AB294">IFERROR(_xlfn.IFS(L294="FINALIZADO PRESENCIAL",IF(AA294&gt;10,"FORA","DENTRO"),L294="FINALIZADO REMOTO",IF(AA294&gt;5,"FORA","DENTRO")),"-")</f>
        <v>DENTRO</v>
      </c>
      <c r="AC294" s="41" t="s">
        <v>1671</v>
      </c>
      <c r="AD294" s="41" t="s">
        <v>1671</v>
      </c>
      <c r="AE294" s="48" cm="1">
        <f t="array" ref="AE294">SUMPRODUCT(IFERROR(('[2]PEÇAS GARANTIA'!$A$3:$A$5993=G294)*('[2]PEÇAS GARANTIA'!$A$3:$A$5993&lt;&gt;"")*('[2]PEÇAS GARANTIA'!$R$3:$R$5993),0))</f>
        <v>0</v>
      </c>
      <c r="AF294" s="178">
        <v>0</v>
      </c>
    </row>
    <row r="295" spans="1:32" ht="46.5" customHeight="1" x14ac:dyDescent="0.25">
      <c r="A295" s="82">
        <v>50354</v>
      </c>
      <c r="B295" s="41" t="str">
        <f>IFERROR(INDEX([1]GARANTIA!$B:$B,MATCH(A295,[1]GARANTIA!$C:$C,0)),"INSIRA N° SERIE")</f>
        <v>TESTE 10</v>
      </c>
      <c r="C295" s="33">
        <f>IFERROR(INDEX([1]GARANTIA!$J:$J,MATCH(A295,[1]GARANTIA!$C:$C,0)),"INSIRA N° SERIE")</f>
        <v>44074</v>
      </c>
      <c r="D295" s="33" t="str">
        <f>IFERROR(IF(INDEX([1]GARANTIA!$M:$M,MATCH(A295,[1]GARANTIA!$C:$C,0))&gt;=I295,"DENTRO DA GARANTIA","FORA DE GARANTIA"),"INSIRA N° SERIE")</f>
        <v>DENTRO DA GARANTIA</v>
      </c>
      <c r="E295" s="148"/>
      <c r="F295" s="109">
        <f>IFERROR(MAX(0,IF(I295-(INDEX([1]GARANTIA!$J:$J,MATCH(A295,[1]GARANTIA!$C:$C,0)))&gt;=0,I295-(INDEX([1]GARANTIA!$L:$L,MATCH(A295,[1]GARANTIA!$C:$C,0))),"INSIRA DATA CHAMADO")),"INSIRA N° SERIE")</f>
        <v>299</v>
      </c>
      <c r="G295" s="98">
        <v>20210706</v>
      </c>
      <c r="H295" s="35" t="str">
        <f t="shared" si="24"/>
        <v>SET</v>
      </c>
      <c r="I295" s="89">
        <v>44442</v>
      </c>
      <c r="J295" s="90">
        <v>44442</v>
      </c>
      <c r="K295" s="91">
        <v>44454</v>
      </c>
      <c r="L295" s="92" t="s">
        <v>11</v>
      </c>
      <c r="M295" s="92" t="s">
        <v>8</v>
      </c>
      <c r="N295" s="92" t="s">
        <v>43</v>
      </c>
      <c r="O295" s="42" t="str">
        <f>IFERROR(INDEX([1]GARANTIA!$E:$E,MATCH(A295,[1]GARANTIA!$C:$C,0)),"INSIRA N° SERIE")</f>
        <v>MTI - 4.000GTS</v>
      </c>
      <c r="P295" s="101" t="s">
        <v>649</v>
      </c>
      <c r="Q295" s="116" t="s">
        <v>54</v>
      </c>
      <c r="R295" s="93" t="s">
        <v>620</v>
      </c>
      <c r="S295" s="95" t="s">
        <v>639</v>
      </c>
      <c r="T295" s="95" t="s">
        <v>142</v>
      </c>
      <c r="U295" s="95"/>
      <c r="V295" s="41" t="str">
        <f>IFERROR(INDEX([1]GARANTIA!$G:$G,MATCH(A295,[1]GARANTIA!$C:$C,0)),"INSIRA N° SERIE")</f>
        <v>CERQUILHO</v>
      </c>
      <c r="W295" s="41" t="str">
        <f>IFERROR(INDEX([1]GARANTIA!$H:$H,MATCH(A295,[1]GARANTIA!$C:$C,0)),"INSIRA N° SERIE")</f>
        <v>SP</v>
      </c>
      <c r="X295" s="41" t="str">
        <f>IFERROR(INDEX([1]GARANTIA!$F:$F,MATCH(A295,[1]GARANTIA!$C:$C,0)),"INSIRA N° SERIE")</f>
        <v>SUDESTE</v>
      </c>
      <c r="Y295" s="46">
        <f t="shared" si="26"/>
        <v>0</v>
      </c>
      <c r="Z295" s="47">
        <f t="shared" si="25"/>
        <v>12</v>
      </c>
      <c r="AA295" s="46">
        <f t="shared" si="27"/>
        <v>12</v>
      </c>
      <c r="AB295" s="46" t="str" cm="1">
        <f t="array" ref="AB295">IFERROR(_xlfn.IFS(L295="FINALIZADO PRESENCIAL",IF(AA295&gt;10,"FORA","DENTRO"),L295="FINALIZADO REMOTO",IF(AA295&gt;5,"FORA","DENTRO")),"-")</f>
        <v>FORA</v>
      </c>
      <c r="AC295" s="41" t="s">
        <v>1671</v>
      </c>
      <c r="AD295" s="41" t="s">
        <v>1671</v>
      </c>
      <c r="AE295" s="48" cm="1">
        <f t="array" ref="AE295">SUMPRODUCT(IFERROR(('[2]PEÇAS GARANTIA'!$A$3:$A$5993=G295)*('[2]PEÇAS GARANTIA'!$A$3:$A$5993&lt;&gt;"")*('[2]PEÇAS GARANTIA'!$R$3:$R$5993),0))</f>
        <v>0</v>
      </c>
      <c r="AF295" s="178">
        <v>0</v>
      </c>
    </row>
    <row r="296" spans="1:32" ht="57.75" customHeight="1" x14ac:dyDescent="0.25">
      <c r="A296" s="82">
        <v>60159</v>
      </c>
      <c r="B296" s="41" t="str">
        <f>IFERROR(INDEX([1]GARANTIA!$B:$B,MATCH(A296,[1]GARANTIA!$C:$C,0)),"INSIRA N° SERIE")</f>
        <v>TESTE 93</v>
      </c>
      <c r="C296" s="33">
        <f>IFERROR(INDEX([1]GARANTIA!$J:$J,MATCH(A296,[1]GARANTIA!$C:$C,0)),"INSIRA N° SERIE")</f>
        <v>44343</v>
      </c>
      <c r="D296" s="33" t="str">
        <f>IFERROR(IF(INDEX([1]GARANTIA!$M:$M,MATCH(A296,[1]GARANTIA!$C:$C,0))&gt;=I296,"DENTRO DA GARANTIA","FORA DE GARANTIA"),"INSIRA N° SERIE")</f>
        <v>DENTRO DA GARANTIA</v>
      </c>
      <c r="E296" s="148"/>
      <c r="F296" s="109">
        <f>IFERROR(MAX(0,IF(I296-(INDEX([1]GARANTIA!$J:$J,MATCH(A296,[1]GARANTIA!$C:$C,0)))&gt;=0,I296-(INDEX([1]GARANTIA!$L:$L,MATCH(A296,[1]GARANTIA!$C:$C,0))),"INSIRA DATA CHAMADO")),"INSIRA N° SERIE")</f>
        <v>8</v>
      </c>
      <c r="G296" s="98">
        <v>20210707</v>
      </c>
      <c r="H296" s="35" t="str">
        <f t="shared" si="24"/>
        <v>SET</v>
      </c>
      <c r="I296" s="89">
        <v>44443</v>
      </c>
      <c r="J296" s="90">
        <v>44443</v>
      </c>
      <c r="K296" s="91">
        <v>44449</v>
      </c>
      <c r="L296" s="92" t="s">
        <v>11</v>
      </c>
      <c r="M296" s="92" t="s">
        <v>8</v>
      </c>
      <c r="N296" s="92" t="s">
        <v>40</v>
      </c>
      <c r="O296" s="42" t="str">
        <f>IFERROR(INDEX([1]GARANTIA!$E:$E,MATCH(A296,[1]GARANTIA!$C:$C,0)),"INSIRA N° SERIE")</f>
        <v>MTI - 1.000GTS</v>
      </c>
      <c r="P296" s="101" t="s">
        <v>602</v>
      </c>
      <c r="Q296" s="94" t="s">
        <v>326</v>
      </c>
      <c r="R296" s="93" t="s">
        <v>609</v>
      </c>
      <c r="S296" s="95" t="s">
        <v>325</v>
      </c>
      <c r="T296" s="95" t="s">
        <v>142</v>
      </c>
      <c r="U296" s="95"/>
      <c r="V296" s="41" t="str">
        <f>IFERROR(INDEX([1]GARANTIA!$G:$G,MATCH(A296,[1]GARANTIA!$C:$C,0)),"INSIRA N° SERIE")</f>
        <v>FARROUPILHA</v>
      </c>
      <c r="W296" s="41" t="str">
        <f>IFERROR(INDEX([1]GARANTIA!$H:$H,MATCH(A296,[1]GARANTIA!$C:$C,0)),"INSIRA N° SERIE")</f>
        <v>RS</v>
      </c>
      <c r="X296" s="41" t="str">
        <f>IFERROR(INDEX([1]GARANTIA!$F:$F,MATCH(A296,[1]GARANTIA!$C:$C,0)),"INSIRA N° SERIE")</f>
        <v>SUDESTE</v>
      </c>
      <c r="Y296" s="46">
        <f t="shared" ref="Y296:Y315" si="28">IF(G296&lt;&gt;"",J296-I296,"INSIRA N° OS")</f>
        <v>0</v>
      </c>
      <c r="Z296" s="47">
        <f t="shared" si="25"/>
        <v>6</v>
      </c>
      <c r="AA296" s="46">
        <f t="shared" ref="AA296:AA297" si="29">IF(Z296="NÃO FINALIZADO","",Z296+Y296)</f>
        <v>6</v>
      </c>
      <c r="AB296" s="46" t="str" cm="1">
        <f t="array" ref="AB296">IFERROR(_xlfn.IFS(L296="FINALIZADO PRESENCIAL",IF(AA296&gt;10,"FORA","DENTRO"),L296="FINALIZADO REMOTO",IF(AA296&gt;5,"FORA","DENTRO")),"-")</f>
        <v>DENTRO</v>
      </c>
      <c r="AC296" s="41" t="s">
        <v>1671</v>
      </c>
      <c r="AD296" s="41" t="s">
        <v>1671</v>
      </c>
      <c r="AE296" s="48" cm="1">
        <f t="array" ref="AE296">SUMPRODUCT(IFERROR(('[2]PEÇAS GARANTIA'!$A$3:$A$5993=G296)*('[2]PEÇAS GARANTIA'!$A$3:$A$5993&lt;&gt;"")*('[2]PEÇAS GARANTIA'!$R$3:$R$5993),0))</f>
        <v>92.93</v>
      </c>
      <c r="AF296" s="178">
        <v>1413.4</v>
      </c>
    </row>
    <row r="297" spans="1:32" ht="47.25" customHeight="1" x14ac:dyDescent="0.25">
      <c r="A297" s="82">
        <v>33385</v>
      </c>
      <c r="B297" s="41" t="str">
        <f>IFERROR(INDEX([1]GARANTIA!$B:$B,MATCH(A297,[1]GARANTIA!$C:$C,0)),"INSIRA N° SERIE")</f>
        <v>TESTE 17</v>
      </c>
      <c r="C297" s="33">
        <f>IFERROR(INDEX([1]GARANTIA!$J:$J,MATCH(A297,[1]GARANTIA!$C:$C,0)),"INSIRA N° SERIE")</f>
        <v>43980</v>
      </c>
      <c r="D297" s="33" t="str">
        <f>IFERROR(IF(INDEX([1]GARANTIA!$M:$M,MATCH(A297,[1]GARANTIA!$C:$C,0))&gt;=I297,"DENTRO DA GARANTIA","FORA DE GARANTIA"),"INSIRA N° SERIE")</f>
        <v>DENTRO DA GARANTIA</v>
      </c>
      <c r="E297" s="148"/>
      <c r="F297" s="109">
        <f>IFERROR(MAX(0,IF(I297-(INDEX([1]GARANTIA!$J:$J,MATCH(A297,[1]GARANTIA!$C:$C,0)))&gt;=0,I297-(INDEX([1]GARANTIA!$L:$L,MATCH(A297,[1]GARANTIA!$C:$C,0))),"INSIRA DATA CHAMADO")),"INSIRA N° SERIE")</f>
        <v>109</v>
      </c>
      <c r="G297" s="98">
        <v>20210708</v>
      </c>
      <c r="H297" s="35" t="str">
        <f t="shared" si="24"/>
        <v>SET</v>
      </c>
      <c r="I297" s="89">
        <v>44444</v>
      </c>
      <c r="J297" s="90">
        <v>44444</v>
      </c>
      <c r="K297" s="91">
        <v>44445</v>
      </c>
      <c r="L297" s="92" t="s">
        <v>23</v>
      </c>
      <c r="M297" s="92" t="s">
        <v>8</v>
      </c>
      <c r="N297" s="92" t="s">
        <v>28</v>
      </c>
      <c r="O297" s="42" t="str">
        <f>IFERROR(INDEX([1]GARANTIA!$E:$E,MATCH(A297,[1]GARANTIA!$C:$C,0)),"INSIRA N° SERIE")</f>
        <v>MTI - 2.500GES</v>
      </c>
      <c r="P297" s="101" t="s">
        <v>603</v>
      </c>
      <c r="Q297" s="94" t="s">
        <v>328</v>
      </c>
      <c r="R297" s="93" t="s">
        <v>604</v>
      </c>
      <c r="S297" s="95" t="s">
        <v>101</v>
      </c>
      <c r="T297" s="95" t="s">
        <v>142</v>
      </c>
      <c r="U297" s="95"/>
      <c r="V297" s="41" t="str">
        <f>IFERROR(INDEX([1]GARANTIA!$G:$G,MATCH(A297,[1]GARANTIA!$C:$C,0)),"INSIRA N° SERIE")</f>
        <v xml:space="preserve">ARAGUARI </v>
      </c>
      <c r="W297" s="41" t="str">
        <f>IFERROR(INDEX([1]GARANTIA!$H:$H,MATCH(A297,[1]GARANTIA!$C:$C,0)),"INSIRA N° SERIE")</f>
        <v>MG</v>
      </c>
      <c r="X297" s="41" t="str">
        <f>IFERROR(INDEX([1]GARANTIA!$F:$F,MATCH(A297,[1]GARANTIA!$C:$C,0)),"INSIRA N° SERIE")</f>
        <v>SUDESTE</v>
      </c>
      <c r="Y297" s="46">
        <f t="shared" si="28"/>
        <v>0</v>
      </c>
      <c r="Z297" s="47">
        <f t="shared" si="25"/>
        <v>1</v>
      </c>
      <c r="AA297" s="46">
        <f t="shared" si="29"/>
        <v>1</v>
      </c>
      <c r="AB297" s="46" t="str" cm="1">
        <f t="array" ref="AB297">IFERROR(_xlfn.IFS(L297="FINALIZADO PRESENCIAL",IF(AA297&gt;10,"FORA","DENTRO"),L297="FINALIZADO REMOTO",IF(AA297&gt;5,"FORA","DENTRO")),"-")</f>
        <v>DENTRO</v>
      </c>
      <c r="AC297" s="41" t="s">
        <v>1671</v>
      </c>
      <c r="AD297" s="41" t="s">
        <v>1671</v>
      </c>
      <c r="AE297" s="48" cm="1">
        <f t="array" ref="AE297">SUMPRODUCT(IFERROR(('[2]PEÇAS GARANTIA'!$A$3:$A$5993=G297)*('[2]PEÇAS GARANTIA'!$A$3:$A$5993&lt;&gt;"")*('[2]PEÇAS GARANTIA'!$R$3:$R$5993),0))</f>
        <v>0</v>
      </c>
      <c r="AF297" s="178">
        <v>0</v>
      </c>
    </row>
    <row r="298" spans="1:32" ht="54.75" customHeight="1" x14ac:dyDescent="0.25">
      <c r="A298" s="82">
        <v>86746</v>
      </c>
      <c r="B298" s="41" t="str">
        <f>IFERROR(INDEX([1]GARANTIA!$B:$B,MATCH(A298,[1]GARANTIA!$C:$C,0)),"INSIRA N° SERIE")</f>
        <v>TESTE 320</v>
      </c>
      <c r="C298" s="33">
        <f>IFERROR(INDEX([1]GARANTIA!$J:$J,MATCH(A298,[1]GARANTIA!$C:$C,0)),"INSIRA N° SERIE")</f>
        <v>44104</v>
      </c>
      <c r="D298" s="33" t="str">
        <f>IFERROR(IF(INDEX([1]GARANTIA!$M:$M,MATCH(A298,[1]GARANTIA!$C:$C,0))&gt;=I298,"DENTRO DA GARANTIA","FORA DE GARANTIA"),"INSIRA N° SERIE")</f>
        <v>DENTRO DA GARANTIA</v>
      </c>
      <c r="E298" s="148"/>
      <c r="F298" s="109">
        <f>IFERROR(MAX(0,IF(I298-(INDEX([1]GARANTIA!$J:$J,MATCH(A298,[1]GARANTIA!$C:$C,0)))&gt;=0,I298-(INDEX([1]GARANTIA!$L:$L,MATCH(A298,[1]GARANTIA!$C:$C,0))),"INSIRA DATA CHAMADO")),"INSIRA N° SERIE")</f>
        <v>190</v>
      </c>
      <c r="G298" s="98">
        <v>20210709</v>
      </c>
      <c r="H298" s="35" t="str">
        <f t="shared" si="24"/>
        <v>SET</v>
      </c>
      <c r="I298" s="89">
        <v>44443</v>
      </c>
      <c r="J298" s="90">
        <v>44443</v>
      </c>
      <c r="K298" s="91">
        <v>44447</v>
      </c>
      <c r="L298" s="92" t="s">
        <v>23</v>
      </c>
      <c r="M298" s="92" t="s">
        <v>8</v>
      </c>
      <c r="N298" s="92" t="s">
        <v>40</v>
      </c>
      <c r="O298" s="42" t="str">
        <f>IFERROR(INDEX([1]GARANTIA!$E:$E,MATCH(A298,[1]GARANTIA!$C:$C,0)),"INSIRA N° SERIE")</f>
        <v>MTI - 1.000GTS</v>
      </c>
      <c r="P298" s="101" t="s">
        <v>610</v>
      </c>
      <c r="Q298" s="94" t="s">
        <v>611</v>
      </c>
      <c r="R298" s="93" t="s">
        <v>612</v>
      </c>
      <c r="S298" s="44" t="s">
        <v>638</v>
      </c>
      <c r="T298" s="95" t="s">
        <v>144</v>
      </c>
      <c r="U298" s="95"/>
      <c r="V298" s="41" t="str">
        <f>IFERROR(INDEX([1]GARANTIA!$G:$G,MATCH(A298,[1]GARANTIA!$C:$C,0)),"INSIRA N° SERIE")</f>
        <v>CORRENTE</v>
      </c>
      <c r="W298" s="41" t="str">
        <f>IFERROR(INDEX([1]GARANTIA!$H:$H,MATCH(A298,[1]GARANTIA!$C:$C,0)),"INSIRA N° SERIE")</f>
        <v>PI</v>
      </c>
      <c r="X298" s="41" t="str">
        <f>IFERROR(INDEX([1]GARANTIA!$F:$F,MATCH(A298,[1]GARANTIA!$C:$C,0)),"INSIRA N° SERIE")</f>
        <v>NORDESTE</v>
      </c>
      <c r="Y298" s="46">
        <f t="shared" si="28"/>
        <v>0</v>
      </c>
      <c r="Z298" s="47">
        <f t="shared" si="25"/>
        <v>4</v>
      </c>
      <c r="AA298" s="46">
        <f t="shared" ref="AA298:AA299" si="30">IF(Z298="NÃO FINALIZADO","",Z298+Y298)</f>
        <v>4</v>
      </c>
      <c r="AB298" s="46" t="str" cm="1">
        <f t="array" ref="AB298">IFERROR(_xlfn.IFS(L298="FINALIZADO PRESENCIAL",IF(AA298&gt;10,"FORA","DENTRO"),L298="FINALIZADO REMOTO",IF(AA298&gt;5,"FORA","DENTRO")),"-")</f>
        <v>DENTRO</v>
      </c>
      <c r="AC298" s="41" t="s">
        <v>1671</v>
      </c>
      <c r="AD298" s="41" t="s">
        <v>1671</v>
      </c>
      <c r="AE298" s="48" cm="1">
        <f t="array" ref="AE298">SUMPRODUCT(IFERROR(('[2]PEÇAS GARANTIA'!$A$3:$A$5993=G298)*('[2]PEÇAS GARANTIA'!$A$3:$A$5993&lt;&gt;"")*('[2]PEÇAS GARANTIA'!$R$3:$R$5993),0))</f>
        <v>0</v>
      </c>
      <c r="AF298" s="178">
        <v>0</v>
      </c>
    </row>
    <row r="299" spans="1:32" ht="46.5" customHeight="1" x14ac:dyDescent="0.25">
      <c r="A299" s="82">
        <v>50869</v>
      </c>
      <c r="B299" s="41" t="str">
        <f>IFERROR(INDEX([1]GARANTIA!$B:$B,MATCH(A299,[1]GARANTIA!$C:$C,0)),"INSIRA N° SERIE")</f>
        <v>TESTE 417</v>
      </c>
      <c r="C299" s="33">
        <f>IFERROR(INDEX([1]GARANTIA!$J:$J,MATCH(A299,[1]GARANTIA!$C:$C,0)),"INSIRA N° SERIE")</f>
        <v>44552</v>
      </c>
      <c r="D299" s="33" t="str">
        <f>IFERROR(IF(INDEX([1]GARANTIA!$M:$M,MATCH(A299,[1]GARANTIA!$C:$C,0))&gt;=I299,"DENTRO DA GARANTIA","FORA DE GARANTIA"),"INSIRA N° SERIE")</f>
        <v>FORA DE GARANTIA</v>
      </c>
      <c r="E299" s="148"/>
      <c r="F299" s="109" t="str">
        <f>IFERROR(MAX(0,IF(I299-(INDEX([1]GARANTIA!$J:$J,MATCH(A299,[1]GARANTIA!$C:$C,0)))&gt;=0,I299-(INDEX([1]GARANTIA!$L:$L,MATCH(A299,[1]GARANTIA!$C:$C,0))),"INSIRA DATA CHAMADO")),"INSIRA N° SERIE")</f>
        <v>INSIRA N° SERIE</v>
      </c>
      <c r="G299" s="98">
        <v>20210710</v>
      </c>
      <c r="H299" s="35" t="str">
        <f t="shared" si="24"/>
        <v>SET</v>
      </c>
      <c r="I299" s="89">
        <v>44446</v>
      </c>
      <c r="J299" s="90">
        <v>44446</v>
      </c>
      <c r="K299" s="91">
        <v>44448</v>
      </c>
      <c r="L299" s="92" t="s">
        <v>11</v>
      </c>
      <c r="M299" s="92" t="s">
        <v>8</v>
      </c>
      <c r="N299" s="92" t="s">
        <v>42</v>
      </c>
      <c r="O299" s="42" t="str">
        <f>IFERROR(INDEX([1]GARANTIA!$E:$E,MATCH(A299,[1]GARANTIA!$C:$C,0)),"INSIRA N° SERIE")</f>
        <v>MTI-1.000GTS</v>
      </c>
      <c r="P299" s="101" t="s">
        <v>650</v>
      </c>
      <c r="Q299" s="94" t="s">
        <v>647</v>
      </c>
      <c r="R299" s="93" t="s">
        <v>613</v>
      </c>
      <c r="S299" s="44" t="s">
        <v>638</v>
      </c>
      <c r="T299" s="95" t="s">
        <v>144</v>
      </c>
      <c r="U299" s="95"/>
      <c r="V299" s="41" t="str">
        <f>IFERROR(INDEX([1]GARANTIA!$G:$G,MATCH(A299,[1]GARANTIA!$C:$C,0)),"INSIRA N° SERIE")</f>
        <v>CAMPO GRANDE</v>
      </c>
      <c r="W299" s="41" t="str">
        <f>IFERROR(INDEX([1]GARANTIA!$H:$H,MATCH(A299,[1]GARANTIA!$C:$C,0)),"INSIRA N° SERIE")</f>
        <v xml:space="preserve">MS </v>
      </c>
      <c r="X299" s="41" t="str">
        <f>IFERROR(INDEX([1]GARANTIA!$F:$F,MATCH(A299,[1]GARANTIA!$C:$C,0)),"INSIRA N° SERIE")</f>
        <v>CENTRO-OESTE</v>
      </c>
      <c r="Y299" s="46">
        <f t="shared" si="28"/>
        <v>0</v>
      </c>
      <c r="Z299" s="47">
        <f t="shared" si="25"/>
        <v>2</v>
      </c>
      <c r="AA299" s="46">
        <f t="shared" si="30"/>
        <v>2</v>
      </c>
      <c r="AB299" s="46" t="str" cm="1">
        <f t="array" ref="AB299">IFERROR(_xlfn.IFS(L299="FINALIZADO PRESENCIAL",IF(AA299&gt;10,"FORA","DENTRO"),L299="FINALIZADO REMOTO",IF(AA299&gt;5,"FORA","DENTRO")),"-")</f>
        <v>DENTRO</v>
      </c>
      <c r="AC299" s="41" t="s">
        <v>1671</v>
      </c>
      <c r="AD299" s="41" t="s">
        <v>1671</v>
      </c>
      <c r="AE299" s="48" cm="1">
        <f t="array" ref="AE299">SUMPRODUCT(IFERROR(('[2]PEÇAS GARANTIA'!$A$3:$A$5993=G299)*('[2]PEÇAS GARANTIA'!$A$3:$A$5993&lt;&gt;"")*('[2]PEÇAS GARANTIA'!$R$3:$R$5993),0))</f>
        <v>0</v>
      </c>
      <c r="AF299" s="178">
        <v>0</v>
      </c>
    </row>
    <row r="300" spans="1:32" ht="56.25" customHeight="1" x14ac:dyDescent="0.25">
      <c r="A300" s="82">
        <v>40976</v>
      </c>
      <c r="B300" s="41" t="str">
        <f>IFERROR(INDEX([1]GARANTIA!$B:$B,MATCH(A300,[1]GARANTIA!$C:$C,0)),"INSIRA N° SERIE")</f>
        <v>TESTE 347</v>
      </c>
      <c r="C300" s="33">
        <f>IFERROR(INDEX([1]GARANTIA!$J:$J,MATCH(A300,[1]GARANTIA!$C:$C,0)),"INSIRA N° SERIE")</f>
        <v>44345</v>
      </c>
      <c r="D300" s="33" t="str">
        <f>IFERROR(IF(INDEX([1]GARANTIA!$M:$M,MATCH(A300,[1]GARANTIA!$C:$C,0))&gt;=I300,"DENTRO DA GARANTIA","FORA DE GARANTIA"),"INSIRA N° SERIE")</f>
        <v>DENTRO DA GARANTIA</v>
      </c>
      <c r="E300" s="148"/>
      <c r="F300" s="109">
        <f>IFERROR(MAX(0,IF(I300-(INDEX([1]GARANTIA!$J:$J,MATCH(A300,[1]GARANTIA!$C:$C,0)))&gt;=0,I300-(INDEX([1]GARANTIA!$L:$L,MATCH(A300,[1]GARANTIA!$C:$C,0))),"INSIRA DATA CHAMADO")),"INSIRA N° SERIE")</f>
        <v>0</v>
      </c>
      <c r="G300" s="98">
        <v>20210718</v>
      </c>
      <c r="H300" s="35" t="str">
        <f t="shared" si="24"/>
        <v>SET</v>
      </c>
      <c r="I300" s="89">
        <v>44447</v>
      </c>
      <c r="J300" s="90">
        <v>44447</v>
      </c>
      <c r="K300" s="91">
        <v>44447</v>
      </c>
      <c r="L300" s="92" t="s">
        <v>11</v>
      </c>
      <c r="M300" s="92" t="s">
        <v>164</v>
      </c>
      <c r="N300" s="92" t="s">
        <v>42</v>
      </c>
      <c r="O300" s="42" t="str">
        <f>IFERROR(INDEX([1]GARANTIA!$E:$E,MATCH(A300,[1]GARANTIA!$C:$C,0)),"INSIRA N° SERIE")</f>
        <v>MTI - 10.000GTS</v>
      </c>
      <c r="P300" s="101" t="s">
        <v>636</v>
      </c>
      <c r="Q300" s="94" t="s">
        <v>644</v>
      </c>
      <c r="R300" s="93" t="s">
        <v>637</v>
      </c>
      <c r="S300" s="44" t="s">
        <v>638</v>
      </c>
      <c r="T300" s="95" t="s">
        <v>142</v>
      </c>
      <c r="U300" s="111"/>
      <c r="V300" s="41" t="str">
        <f>IFERROR(INDEX([1]GARANTIA!$G:$G,MATCH(A300,[1]GARANTIA!$C:$C,0)),"INSIRA N° SERIE")</f>
        <v>BOA VISTA</v>
      </c>
      <c r="W300" s="41" t="str">
        <f>IFERROR(INDEX([1]GARANTIA!$H:$H,MATCH(A300,[1]GARANTIA!$C:$C,0)),"INSIRA N° SERIE")</f>
        <v>RR</v>
      </c>
      <c r="X300" s="41"/>
      <c r="Y300" s="46">
        <f t="shared" si="28"/>
        <v>0</v>
      </c>
      <c r="Z300" s="47">
        <f t="shared" si="25"/>
        <v>0</v>
      </c>
      <c r="AA300" s="46">
        <f t="shared" ref="AA300:AA315" si="31">IF(Z300="NÃO FINALIZADO","",Z300+Y300)</f>
        <v>0</v>
      </c>
      <c r="AB300" s="46" t="str" cm="1">
        <f t="array" ref="AB300">IFERROR(_xlfn.IFS(L300="FINALIZADO PRESENCIAL",IF(AA300&gt;10,"FORA","DENTRO"),L300="FINALIZADO REMOTO",IF(AA300&gt;5,"FORA","DENTRO")),"-")</f>
        <v>DENTRO</v>
      </c>
      <c r="AC300" s="41" t="s">
        <v>1671</v>
      </c>
      <c r="AD300" s="41" t="s">
        <v>1671</v>
      </c>
      <c r="AE300" s="48" cm="1">
        <f t="array" ref="AE300">SUMPRODUCT(IFERROR(('[2]PEÇAS GARANTIA'!$A$3:$A$5993=G300)*('[2]PEÇAS GARANTIA'!$A$3:$A$5993&lt;&gt;"")*('[2]PEÇAS GARANTIA'!$R$3:$R$5993),0))</f>
        <v>24369.82</v>
      </c>
      <c r="AF300" s="178">
        <v>0</v>
      </c>
    </row>
    <row r="301" spans="1:32" ht="58.5" customHeight="1" x14ac:dyDescent="0.25">
      <c r="A301" s="82">
        <v>50875</v>
      </c>
      <c r="B301" s="41" t="str">
        <f>IFERROR(INDEX([1]GARANTIA!$B:$B,MATCH(A301,[1]GARANTIA!$C:$C,0)),"INSIRA N° SERIE")</f>
        <v>TESTE 186</v>
      </c>
      <c r="C301" s="33">
        <f>IFERROR(INDEX([1]GARANTIA!$J:$J,MATCH(A301,[1]GARANTIA!$C:$C,0)),"INSIRA N° SERIE")</f>
        <v>44075</v>
      </c>
      <c r="D301" s="33" t="str">
        <f>IFERROR(IF(INDEX([1]GARANTIA!$M:$M,MATCH(A301,[1]GARANTIA!$C:$C,0))&gt;=I301,"DENTRO DA GARANTIA","FORA DE GARANTIA"),"INSIRA N° SERIE")</f>
        <v>DENTRO DA GARANTIA</v>
      </c>
      <c r="E301" s="148"/>
      <c r="F301" s="109">
        <f>IFERROR(MAX(0,IF(I301-(INDEX([1]GARANTIA!$J:$J,MATCH(A301,[1]GARANTIA!$C:$C,0)))&gt;=0,I301-(INDEX([1]GARANTIA!$L:$L,MATCH(A301,[1]GARANTIA!$C:$C,0))),"INSIRA DATA CHAMADO")),"INSIRA N° SERIE")</f>
        <v>259</v>
      </c>
      <c r="G301" s="98">
        <v>20210712</v>
      </c>
      <c r="H301" s="35" t="str">
        <f t="shared" si="24"/>
        <v>SET</v>
      </c>
      <c r="I301" s="89">
        <v>44447</v>
      </c>
      <c r="J301" s="90">
        <v>44447</v>
      </c>
      <c r="K301" s="91">
        <v>44448</v>
      </c>
      <c r="L301" s="92" t="s">
        <v>23</v>
      </c>
      <c r="M301" s="92" t="s">
        <v>8</v>
      </c>
      <c r="N301" s="92" t="s">
        <v>75</v>
      </c>
      <c r="O301" s="42" t="str">
        <f>IFERROR(INDEX([1]GARANTIA!$E:$E,MATCH(A301,[1]GARANTIA!$C:$C,0)),"INSIRA N° SERIE")</f>
        <v>MTI - 7.000GTS</v>
      </c>
      <c r="P301" s="101" t="s">
        <v>651</v>
      </c>
      <c r="Q301" s="94" t="s">
        <v>646</v>
      </c>
      <c r="R301" s="93" t="s">
        <v>614</v>
      </c>
      <c r="S301" s="95" t="s">
        <v>102</v>
      </c>
      <c r="T301" s="95" t="s">
        <v>296</v>
      </c>
      <c r="U301" s="96"/>
      <c r="V301" s="41" t="str">
        <f>IFERROR(INDEX([1]GARANTIA!$G:$G,MATCH(A301,[1]GARANTIA!$C:$C,0)),"INSIRA N° SERIE")</f>
        <v>NOVA SERRANA</v>
      </c>
      <c r="W301" s="41" t="str">
        <f>IFERROR(INDEX([1]GARANTIA!$H:$H,MATCH(A301,[1]GARANTIA!$C:$C,0)),"INSIRA N° SERIE")</f>
        <v>MG</v>
      </c>
      <c r="X301" s="41" t="str">
        <f>IFERROR(INDEX([1]GARANTIA!$F:$F,MATCH(A301,[1]GARANTIA!$C:$C,0)),"INSIRA N° SERIE")</f>
        <v>SUDESTE</v>
      </c>
      <c r="Y301" s="46">
        <f t="shared" si="28"/>
        <v>0</v>
      </c>
      <c r="Z301" s="47">
        <f t="shared" si="25"/>
        <v>1</v>
      </c>
      <c r="AA301" s="46">
        <f t="shared" si="31"/>
        <v>1</v>
      </c>
      <c r="AB301" s="46" t="str" cm="1">
        <f t="array" ref="AB301">IFERROR(_xlfn.IFS(L301="FINALIZADO PRESENCIAL",IF(AA301&gt;10,"FORA","DENTRO"),L301="FINALIZADO REMOTO",IF(AA301&gt;5,"FORA","DENTRO")),"-")</f>
        <v>DENTRO</v>
      </c>
      <c r="AC301" s="41" t="s">
        <v>1671</v>
      </c>
      <c r="AD301" s="41" t="s">
        <v>1671</v>
      </c>
      <c r="AE301" s="48" cm="1">
        <f t="array" ref="AE301">SUMPRODUCT(IFERROR(('[2]PEÇAS GARANTIA'!$A$3:$A$5993=G301)*('[2]PEÇAS GARANTIA'!$A$3:$A$5993&lt;&gt;"")*('[2]PEÇAS GARANTIA'!$R$3:$R$5993),0))</f>
        <v>0</v>
      </c>
      <c r="AF301" s="178">
        <v>0</v>
      </c>
    </row>
    <row r="302" spans="1:32" ht="56.25" customHeight="1" x14ac:dyDescent="0.25">
      <c r="A302" s="82">
        <v>23329</v>
      </c>
      <c r="B302" s="41" t="str">
        <f>IFERROR(INDEX([1]GARANTIA!$B:$B,MATCH(A302,[1]GARANTIA!$C:$C,0)),"INSIRA N° SERIE")</f>
        <v>TESTE 131</v>
      </c>
      <c r="C302" s="33">
        <f>IFERROR(INDEX([1]GARANTIA!$J:$J,MATCH(A302,[1]GARANTIA!$C:$C,0)),"INSIRA N° SERIE")</f>
        <v>44097</v>
      </c>
      <c r="D302" s="33" t="str">
        <f>IFERROR(IF(INDEX([1]GARANTIA!$M:$M,MATCH(A302,[1]GARANTIA!$C:$C,0))&gt;=I302,"DENTRO DA GARANTIA","FORA DE GARANTIA"),"INSIRA N° SERIE")</f>
        <v>DENTRO DA GARANTIA</v>
      </c>
      <c r="E302" s="148"/>
      <c r="F302" s="109">
        <f>IFERROR(MAX(0,IF(I302-(INDEX([1]GARANTIA!$J:$J,MATCH(A302,[1]GARANTIA!$C:$C,0)))&gt;=0,I302-(INDEX([1]GARANTIA!$L:$L,MATCH(A302,[1]GARANTIA!$C:$C,0))),"INSIRA DATA CHAMADO")),"INSIRA N° SERIE")</f>
        <v>174</v>
      </c>
      <c r="G302" s="98">
        <v>20210713</v>
      </c>
      <c r="H302" s="35" t="str">
        <f t="shared" si="24"/>
        <v>SET</v>
      </c>
      <c r="I302" s="89">
        <v>44447</v>
      </c>
      <c r="J302" s="90">
        <v>44447</v>
      </c>
      <c r="K302" s="91">
        <v>44448</v>
      </c>
      <c r="L302" s="92" t="s">
        <v>23</v>
      </c>
      <c r="M302" s="92" t="s">
        <v>8</v>
      </c>
      <c r="N302" s="92" t="s">
        <v>30</v>
      </c>
      <c r="O302" s="42" t="str">
        <f>IFERROR(INDEX([1]GARANTIA!$E:$E,MATCH(A302,[1]GARANTIA!$C:$C,0)),"INSIRA N° SERIE")</f>
        <v>MTI - 4.000GTS</v>
      </c>
      <c r="P302" s="101" t="s">
        <v>605</v>
      </c>
      <c r="Q302" s="110" t="s">
        <v>85</v>
      </c>
      <c r="R302" s="93" t="s">
        <v>606</v>
      </c>
      <c r="S302" s="110" t="s">
        <v>102</v>
      </c>
      <c r="T302" s="110" t="s">
        <v>296</v>
      </c>
      <c r="U302" s="96"/>
      <c r="V302" s="41" t="str">
        <f>IFERROR(INDEX([1]GARANTIA!$G:$G,MATCH(A302,[1]GARANTIA!$C:$C,0)),"INSIRA N° SERIE")</f>
        <v>CAJURU</v>
      </c>
      <c r="W302" s="41" t="str">
        <f>IFERROR(INDEX([1]GARANTIA!$H:$H,MATCH(A302,[1]GARANTIA!$C:$C,0)),"INSIRA N° SERIE")</f>
        <v>SP</v>
      </c>
      <c r="X302" s="41" t="str">
        <f>IFERROR(INDEX([1]GARANTIA!$F:$F,MATCH(A302,[1]GARANTIA!$C:$C,0)),"INSIRA N° SERIE")</f>
        <v>SUDESTE</v>
      </c>
      <c r="Y302" s="46">
        <f t="shared" si="28"/>
        <v>0</v>
      </c>
      <c r="Z302" s="47">
        <f t="shared" si="25"/>
        <v>1</v>
      </c>
      <c r="AA302" s="46">
        <f t="shared" si="31"/>
        <v>1</v>
      </c>
      <c r="AB302" s="46" t="str" cm="1">
        <f t="array" ref="AB302">IFERROR(_xlfn.IFS(L302="FINALIZADO PRESENCIAL",IF(AA302&gt;10,"FORA","DENTRO"),L302="FINALIZADO REMOTO",IF(AA302&gt;5,"FORA","DENTRO")),"-")</f>
        <v>DENTRO</v>
      </c>
      <c r="AC302" s="41" t="s">
        <v>1671</v>
      </c>
      <c r="AD302" s="41" t="s">
        <v>1671</v>
      </c>
      <c r="AE302" s="48" cm="1">
        <f t="array" ref="AE302">SUMPRODUCT(IFERROR(('[2]PEÇAS GARANTIA'!$A$3:$A$5993=G302)*('[2]PEÇAS GARANTIA'!$A$3:$A$5993&lt;&gt;"")*('[2]PEÇAS GARANTIA'!$R$3:$R$5993),0))</f>
        <v>0</v>
      </c>
      <c r="AF302" s="178">
        <v>0</v>
      </c>
    </row>
    <row r="303" spans="1:32" ht="57.75" customHeight="1" x14ac:dyDescent="0.25">
      <c r="A303" s="82">
        <v>81650</v>
      </c>
      <c r="B303" s="41" t="str">
        <f>IFERROR(INDEX([1]GARANTIA!$B:$B,MATCH(A303,[1]GARANTIA!$C:$C,0)),"INSIRA N° SERIE")</f>
        <v>TESTE 322</v>
      </c>
      <c r="C303" s="33">
        <f>IFERROR(INDEX([1]GARANTIA!$J:$J,MATCH(A303,[1]GARANTIA!$C:$C,0)),"INSIRA N° SERIE")</f>
        <v>44236</v>
      </c>
      <c r="D303" s="33" t="str">
        <f>IFERROR(IF(INDEX([1]GARANTIA!$M:$M,MATCH(A303,[1]GARANTIA!$C:$C,0))&gt;=I303,"DENTRO DA GARANTIA","FORA DE GARANTIA"),"INSIRA N° SERIE")</f>
        <v>DENTRO DA GARANTIA</v>
      </c>
      <c r="E303" s="148"/>
      <c r="F303" s="109">
        <f>IFERROR(MAX(0,IF(I303-(INDEX([1]GARANTIA!$J:$J,MATCH(A303,[1]GARANTIA!$C:$C,0)))&gt;=0,I303-(INDEX([1]GARANTIA!$L:$L,MATCH(A303,[1]GARANTIA!$C:$C,0))),"INSIRA DATA CHAMADO")),"INSIRA N° SERIE")</f>
        <v>58</v>
      </c>
      <c r="G303" s="98">
        <v>20210714</v>
      </c>
      <c r="H303" s="35" t="str">
        <f t="shared" si="24"/>
        <v>SET</v>
      </c>
      <c r="I303" s="89">
        <v>44447</v>
      </c>
      <c r="J303" s="90">
        <v>44447</v>
      </c>
      <c r="K303" s="91">
        <v>44448</v>
      </c>
      <c r="L303" s="92" t="s">
        <v>23</v>
      </c>
      <c r="M303" s="92" t="s">
        <v>8</v>
      </c>
      <c r="N303" s="92" t="s">
        <v>30</v>
      </c>
      <c r="O303" s="42" t="str">
        <f>IFERROR(INDEX([1]GARANTIA!$E:$E,MATCH(A303,[1]GARANTIA!$C:$C,0)),"INSIRA N° SERIE")</f>
        <v>MTI - 2.500GTS</v>
      </c>
      <c r="P303" s="101" t="s">
        <v>607</v>
      </c>
      <c r="Q303" s="110" t="s">
        <v>85</v>
      </c>
      <c r="R303" s="93" t="s">
        <v>606</v>
      </c>
      <c r="S303" s="110" t="s">
        <v>102</v>
      </c>
      <c r="T303" s="110" t="s">
        <v>296</v>
      </c>
      <c r="U303" s="96"/>
      <c r="V303" s="41" t="str">
        <f>IFERROR(INDEX([1]GARANTIA!$G:$G,MATCH(A303,[1]GARANTIA!$C:$C,0)),"INSIRA N° SERIE")</f>
        <v>SINOP</v>
      </c>
      <c r="W303" s="41" t="str">
        <f>IFERROR(INDEX([1]GARANTIA!$H:$H,MATCH(A303,[1]GARANTIA!$C:$C,0)),"INSIRA N° SERIE")</f>
        <v>MT</v>
      </c>
      <c r="X303" s="41" t="str">
        <f>IFERROR(INDEX([1]GARANTIA!$F:$F,MATCH(A303,[1]GARANTIA!$C:$C,0)),"INSIRA N° SERIE")</f>
        <v>CENTROESTE</v>
      </c>
      <c r="Y303" s="46">
        <f t="shared" si="28"/>
        <v>0</v>
      </c>
      <c r="Z303" s="47">
        <f t="shared" si="25"/>
        <v>1</v>
      </c>
      <c r="AA303" s="46">
        <f t="shared" si="31"/>
        <v>1</v>
      </c>
      <c r="AB303" s="46" t="str" cm="1">
        <f t="array" ref="AB303">IFERROR(_xlfn.IFS(L303="FINALIZADO PRESENCIAL",IF(AA303&gt;10,"FORA","DENTRO"),L303="FINALIZADO REMOTO",IF(AA303&gt;5,"FORA","DENTRO")),"-")</f>
        <v>DENTRO</v>
      </c>
      <c r="AC303" s="41" t="s">
        <v>1671</v>
      </c>
      <c r="AD303" s="41" t="s">
        <v>1671</v>
      </c>
      <c r="AE303" s="48" cm="1">
        <f t="array" ref="AE303">SUMPRODUCT(IFERROR(('[2]PEÇAS GARANTIA'!$A$3:$A$5993=G303)*('[2]PEÇAS GARANTIA'!$A$3:$A$5993&lt;&gt;"")*('[2]PEÇAS GARANTIA'!$R$3:$R$5993),0))</f>
        <v>0</v>
      </c>
      <c r="AF303" s="178">
        <v>0</v>
      </c>
    </row>
    <row r="304" spans="1:32" ht="54" customHeight="1" x14ac:dyDescent="0.25">
      <c r="A304" s="82">
        <v>51854</v>
      </c>
      <c r="B304" s="41" t="str">
        <f>IFERROR(INDEX([1]GARANTIA!$B:$B,MATCH(A304,[1]GARANTIA!$C:$C,0)),"INSIRA N° SERIE")</f>
        <v>TESTE 245</v>
      </c>
      <c r="C304" s="33">
        <f>IFERROR(INDEX([1]GARANTIA!$J:$J,MATCH(A304,[1]GARANTIA!$C:$C,0)),"INSIRA N° SERIE")</f>
        <v>44271</v>
      </c>
      <c r="D304" s="33" t="str">
        <f>IFERROR(IF(INDEX([1]GARANTIA!$M:$M,MATCH(A304,[1]GARANTIA!$C:$C,0))&gt;=I304,"DENTRO DA GARANTIA","FORA DE GARANTIA"),"INSIRA N° SERIE")</f>
        <v>DENTRO DA GARANTIA</v>
      </c>
      <c r="E304" s="148"/>
      <c r="F304" s="109">
        <f>IFERROR(MAX(0,IF(I304-(INDEX([1]GARANTIA!$J:$J,MATCH(A304,[1]GARANTIA!$C:$C,0)))&gt;=0,I304-(INDEX([1]GARANTIA!$L:$L,MATCH(A304,[1]GARANTIA!$C:$C,0))),"INSIRA DATA CHAMADO")),"INSIRA N° SERIE")</f>
        <v>25</v>
      </c>
      <c r="G304" s="98">
        <v>20210715</v>
      </c>
      <c r="H304" s="35" t="str">
        <f t="shared" si="24"/>
        <v>SET</v>
      </c>
      <c r="I304" s="89">
        <v>44447</v>
      </c>
      <c r="J304" s="90">
        <v>44447</v>
      </c>
      <c r="K304" s="91">
        <v>44448</v>
      </c>
      <c r="L304" s="92" t="s">
        <v>23</v>
      </c>
      <c r="M304" s="92" t="s">
        <v>8</v>
      </c>
      <c r="N304" s="92" t="s">
        <v>30</v>
      </c>
      <c r="O304" s="42" t="str">
        <f>IFERROR(INDEX([1]GARANTIA!$E:$E,MATCH(A304,[1]GARANTIA!$C:$C,0)),"INSIRA N° SERIE")</f>
        <v>MTI - 7.000GTS</v>
      </c>
      <c r="P304" s="101" t="s">
        <v>607</v>
      </c>
      <c r="Q304" s="110" t="s">
        <v>85</v>
      </c>
      <c r="R304" s="93" t="s">
        <v>606</v>
      </c>
      <c r="S304" s="110" t="s">
        <v>102</v>
      </c>
      <c r="T304" s="110" t="s">
        <v>296</v>
      </c>
      <c r="U304" s="96"/>
      <c r="V304" s="41" t="str">
        <f>IFERROR(INDEX([1]GARANTIA!$G:$G,MATCH(A304,[1]GARANTIA!$C:$C,0)),"INSIRA N° SERIE")</f>
        <v>LENÇOIS PAULISTA</v>
      </c>
      <c r="W304" s="41" t="str">
        <f>IFERROR(INDEX([1]GARANTIA!$H:$H,MATCH(A304,[1]GARANTIA!$C:$C,0)),"INSIRA N° SERIE")</f>
        <v>SP</v>
      </c>
      <c r="X304" s="41" t="str">
        <f>IFERROR(INDEX([1]GARANTIA!$F:$F,MATCH(A304,[1]GARANTIA!$C:$C,0)),"INSIRA N° SERIE")</f>
        <v>SUDESTE</v>
      </c>
      <c r="Y304" s="46">
        <f t="shared" si="28"/>
        <v>0</v>
      </c>
      <c r="Z304" s="47">
        <f t="shared" si="25"/>
        <v>1</v>
      </c>
      <c r="AA304" s="46">
        <f t="shared" si="31"/>
        <v>1</v>
      </c>
      <c r="AB304" s="46" t="str" cm="1">
        <f t="array" ref="AB304">IFERROR(_xlfn.IFS(L304="FINALIZADO PRESENCIAL",IF(AA304&gt;10,"FORA","DENTRO"),L304="FINALIZADO REMOTO",IF(AA304&gt;5,"FORA","DENTRO")),"-")</f>
        <v>DENTRO</v>
      </c>
      <c r="AC304" s="41" t="s">
        <v>1671</v>
      </c>
      <c r="AD304" s="41" t="s">
        <v>1671</v>
      </c>
      <c r="AE304" s="48" cm="1">
        <f t="array" ref="AE304">SUMPRODUCT(IFERROR(('[2]PEÇAS GARANTIA'!$A$3:$A$5993=G304)*('[2]PEÇAS GARANTIA'!$A$3:$A$5993&lt;&gt;"")*('[2]PEÇAS GARANTIA'!$R$3:$R$5993),0))</f>
        <v>0</v>
      </c>
      <c r="AF304" s="178">
        <v>0</v>
      </c>
    </row>
    <row r="305" spans="1:32" ht="39" customHeight="1" x14ac:dyDescent="0.25">
      <c r="A305" s="82">
        <v>9991</v>
      </c>
      <c r="B305" s="41" t="str">
        <f>IFERROR(INDEX([1]GARANTIA!$B:$B,MATCH(A305,[1]GARANTIA!$C:$C,0)),"INSIRA N° SERIE")</f>
        <v>TESTE 308</v>
      </c>
      <c r="C305" s="33">
        <f>IFERROR(INDEX([1]GARANTIA!$J:$J,MATCH(A305,[1]GARANTIA!$C:$C,0)),"INSIRA N° SERIE")</f>
        <v>44137</v>
      </c>
      <c r="D305" s="33" t="str">
        <f>IFERROR(IF(INDEX([1]GARANTIA!$M:$M,MATCH(A305,[1]GARANTIA!$C:$C,0))&gt;=I305,"DENTRO DA GARANTIA","FORA DE GARANTIA"),"INSIRA N° SERIE")</f>
        <v>DENTRO DA GARANTIA</v>
      </c>
      <c r="E305" s="148"/>
      <c r="F305" s="109">
        <f>IFERROR(MAX(0,IF(I305-(INDEX([1]GARANTIA!$J:$J,MATCH(A305,[1]GARANTIA!$C:$C,0)))&gt;=0,I305-(INDEX([1]GARANTIA!$L:$L,MATCH(A305,[1]GARANTIA!$C:$C,0))),"INSIRA DATA CHAMADO")),"INSIRA N° SERIE")</f>
        <v>166</v>
      </c>
      <c r="G305" s="98">
        <v>20210716</v>
      </c>
      <c r="H305" s="35" t="str">
        <f t="shared" si="24"/>
        <v>SET</v>
      </c>
      <c r="I305" s="89">
        <v>44447</v>
      </c>
      <c r="J305" s="90">
        <v>44447</v>
      </c>
      <c r="K305" s="91">
        <v>44452</v>
      </c>
      <c r="L305" s="92" t="s">
        <v>11</v>
      </c>
      <c r="M305" s="92" t="s">
        <v>8</v>
      </c>
      <c r="N305" s="92" t="s">
        <v>62</v>
      </c>
      <c r="O305" s="42" t="str">
        <f>IFERROR(INDEX([1]GARANTIA!$E:$E,MATCH(A305,[1]GARANTIA!$C:$C,0)),"INSIRA N° SERIE")</f>
        <v>MTI - 40.000GT</v>
      </c>
      <c r="P305" s="101" t="s">
        <v>615</v>
      </c>
      <c r="Q305" s="94" t="s">
        <v>645</v>
      </c>
      <c r="R305" s="93" t="s">
        <v>616</v>
      </c>
      <c r="S305" s="95" t="s">
        <v>325</v>
      </c>
      <c r="T305" s="95" t="s">
        <v>640</v>
      </c>
      <c r="U305" s="96"/>
      <c r="V305" s="41" t="str">
        <f>IFERROR(INDEX([1]GARANTIA!$G:$G,MATCH(A305,[1]GARANTIA!$C:$C,0)),"INSIRA N° SERIE")</f>
        <v>OSASCO</v>
      </c>
      <c r="W305" s="41" t="str">
        <f>IFERROR(INDEX([1]GARANTIA!$H:$H,MATCH(A305,[1]GARANTIA!$C:$C,0)),"INSIRA N° SERIE")</f>
        <v>SP</v>
      </c>
      <c r="X305" s="41" t="str">
        <f>IFERROR(INDEX([1]GARANTIA!$F:$F,MATCH(A305,[1]GARANTIA!$C:$C,0)),"INSIRA N° SERIE")</f>
        <v>SUDESTE</v>
      </c>
      <c r="Y305" s="46">
        <f t="shared" si="28"/>
        <v>0</v>
      </c>
      <c r="Z305" s="47">
        <f t="shared" si="25"/>
        <v>5</v>
      </c>
      <c r="AA305" s="46">
        <f t="shared" si="31"/>
        <v>5</v>
      </c>
      <c r="AB305" s="46" t="str" cm="1">
        <f t="array" ref="AB305">IFERROR(_xlfn.IFS(L305="FINALIZADO PRESENCIAL",IF(AA305&gt;10,"FORA","DENTRO"),L305="FINALIZADO REMOTO",IF(AA305&gt;5,"FORA","DENTRO")),"-")</f>
        <v>DENTRO</v>
      </c>
      <c r="AC305" s="41" t="s">
        <v>1671</v>
      </c>
      <c r="AD305" s="41" t="s">
        <v>1671</v>
      </c>
      <c r="AE305" s="48" cm="1">
        <f t="array" ref="AE305">SUMPRODUCT(IFERROR(('[2]PEÇAS GARANTIA'!$A$3:$A$5993=G305)*('[2]PEÇAS GARANTIA'!$A$3:$A$5993&lt;&gt;"")*('[2]PEÇAS GARANTIA'!$R$3:$R$5993),0))</f>
        <v>2370.8000000000002</v>
      </c>
      <c r="AF305" s="178">
        <v>0</v>
      </c>
    </row>
    <row r="306" spans="1:32" ht="71.25" customHeight="1" x14ac:dyDescent="0.25">
      <c r="A306" s="82">
        <v>73892</v>
      </c>
      <c r="B306" s="41" t="str">
        <f>IFERROR(INDEX([1]GARANTIA!$B:$B,MATCH(A306,[1]GARANTIA!$C:$C,0)),"INSIRA N° SERIE")</f>
        <v>TESTE 240</v>
      </c>
      <c r="C306" s="33">
        <f>IFERROR(INDEX([1]GARANTIA!$J:$J,MATCH(A306,[1]GARANTIA!$C:$C,0)),"INSIRA N° SERIE")</f>
        <v>44298</v>
      </c>
      <c r="D306" s="33" t="str">
        <f>IFERROR(IF(INDEX([1]GARANTIA!$M:$M,MATCH(A306,[1]GARANTIA!$C:$C,0))&gt;=I306,"DENTRO DA GARANTIA","FORA DE GARANTIA"),"INSIRA N° SERIE")</f>
        <v>DENTRO DA GARANTIA</v>
      </c>
      <c r="E306" s="148"/>
      <c r="F306" s="109">
        <f>IFERROR(MAX(0,IF(I306-(INDEX([1]GARANTIA!$J:$J,MATCH(A306,[1]GARANTIA!$C:$C,0)))&gt;=0,I306-(INDEX([1]GARANTIA!$L:$L,MATCH(A306,[1]GARANTIA!$C:$C,0))),"INSIRA DATA CHAMADO")),"INSIRA N° SERIE")</f>
        <v>116</v>
      </c>
      <c r="G306" s="98">
        <v>20210719</v>
      </c>
      <c r="H306" s="35" t="str">
        <f t="shared" si="24"/>
        <v>SET</v>
      </c>
      <c r="I306" s="89">
        <v>44452</v>
      </c>
      <c r="J306" s="90">
        <v>44452</v>
      </c>
      <c r="K306" s="91">
        <v>44460</v>
      </c>
      <c r="L306" s="92" t="s">
        <v>11</v>
      </c>
      <c r="M306" s="92" t="s">
        <v>8</v>
      </c>
      <c r="N306" s="92" t="s">
        <v>27</v>
      </c>
      <c r="O306" s="42" t="str">
        <f>IFERROR(INDEX([1]GARANTIA!$E:$E,MATCH(A306,[1]GARANTIA!$C:$C,0)),"INSIRA N° SERIE")</f>
        <v>MTI - 1.000GTS</v>
      </c>
      <c r="P306" s="101" t="s">
        <v>632</v>
      </c>
      <c r="Q306" s="94" t="s">
        <v>645</v>
      </c>
      <c r="R306" s="93" t="s">
        <v>631</v>
      </c>
      <c r="S306" s="95" t="s">
        <v>325</v>
      </c>
      <c r="T306" s="95" t="s">
        <v>640</v>
      </c>
      <c r="U306" s="96"/>
      <c r="V306" s="41" t="str">
        <f>IFERROR(INDEX([1]GARANTIA!$G:$G,MATCH(A306,[1]GARANTIA!$C:$C,0)),"INSIRA N° SERIE")</f>
        <v>FORMOSA</v>
      </c>
      <c r="W306" s="41" t="str">
        <f>IFERROR(INDEX([1]GARANTIA!$H:$H,MATCH(A306,[1]GARANTIA!$C:$C,0)),"INSIRA N° SERIE")</f>
        <v>GO</v>
      </c>
      <c r="X306" s="41" t="str">
        <f>IFERROR(INDEX([1]GARANTIA!$F:$F,MATCH(A306,[1]GARANTIA!$C:$C,0)),"INSIRA N° SERIE")</f>
        <v>CENTROESTE</v>
      </c>
      <c r="Y306" s="46">
        <f t="shared" si="28"/>
        <v>0</v>
      </c>
      <c r="Z306" s="47">
        <f t="shared" si="25"/>
        <v>8</v>
      </c>
      <c r="AA306" s="46">
        <f t="shared" si="31"/>
        <v>8</v>
      </c>
      <c r="AB306" s="46" t="str" cm="1">
        <f t="array" ref="AB306">IFERROR(_xlfn.IFS(L306="FINALIZADO PRESENCIAL",IF(AA306&gt;10,"FORA","DENTRO"),L306="FINALIZADO REMOTO",IF(AA306&gt;5,"FORA","DENTRO")),"-")</f>
        <v>DENTRO</v>
      </c>
      <c r="AC306" s="41" t="s">
        <v>1671</v>
      </c>
      <c r="AD306" s="41" t="s">
        <v>1671</v>
      </c>
      <c r="AE306" s="48" cm="1">
        <f t="array" ref="AE306">SUMPRODUCT(IFERROR(('[2]PEÇAS GARANTIA'!$A$3:$A$5993=G306)*('[2]PEÇAS GARANTIA'!$A$3:$A$5993&lt;&gt;"")*('[2]PEÇAS GARANTIA'!$R$3:$R$5993),0))</f>
        <v>16475.690000000002</v>
      </c>
      <c r="AF306" s="178">
        <v>0</v>
      </c>
    </row>
    <row r="307" spans="1:32" ht="54" customHeight="1" x14ac:dyDescent="0.25">
      <c r="A307" s="82">
        <v>69918</v>
      </c>
      <c r="B307" s="41" t="str">
        <f>IFERROR(INDEX([1]GARANTIA!$B:$B,MATCH(A307,[1]GARANTIA!$C:$C,0)),"INSIRA N° SERIE")</f>
        <v>TESTE 247</v>
      </c>
      <c r="C307" s="33">
        <f>IFERROR(INDEX([1]GARANTIA!$J:$J,MATCH(A307,[1]GARANTIA!$C:$C,0)),"INSIRA N° SERIE")</f>
        <v>44196</v>
      </c>
      <c r="D307" s="33" t="str">
        <f>IFERROR(IF(INDEX([1]GARANTIA!$M:$M,MATCH(A307,[1]GARANTIA!$C:$C,0))&gt;=I307,"DENTRO DA GARANTIA","FORA DE GARANTIA"),"INSIRA N° SERIE")</f>
        <v>DENTRO DA GARANTIA</v>
      </c>
      <c r="E307" s="148"/>
      <c r="F307" s="109">
        <f>IFERROR(MAX(0,IF(I307-(INDEX([1]GARANTIA!$J:$J,MATCH(A307,[1]GARANTIA!$C:$C,0)))&gt;=0,I307-(INDEX([1]GARANTIA!$L:$L,MATCH(A307,[1]GARANTIA!$C:$C,0))),"INSIRA DATA CHAMADO")),"INSIRA N° SERIE")</f>
        <v>104</v>
      </c>
      <c r="G307" s="98">
        <v>20210720</v>
      </c>
      <c r="H307" s="35" t="str">
        <f t="shared" si="24"/>
        <v>SET</v>
      </c>
      <c r="I307" s="89">
        <v>44455</v>
      </c>
      <c r="J307" s="90">
        <v>44455</v>
      </c>
      <c r="K307" s="91">
        <v>44456</v>
      </c>
      <c r="L307" s="92" t="s">
        <v>23</v>
      </c>
      <c r="M307" s="92" t="s">
        <v>8</v>
      </c>
      <c r="N307" s="92" t="s">
        <v>28</v>
      </c>
      <c r="O307" s="42" t="str">
        <f>IFERROR(INDEX([1]GARANTIA!$E:$E,MATCH(A307,[1]GARANTIA!$C:$C,0)),"INSIRA N° SERIE")</f>
        <v>MTI - 1.000GTS</v>
      </c>
      <c r="P307" s="101" t="s">
        <v>621</v>
      </c>
      <c r="Q307" s="94" t="s">
        <v>611</v>
      </c>
      <c r="R307" s="93" t="s">
        <v>622</v>
      </c>
      <c r="S307" s="95" t="s">
        <v>101</v>
      </c>
      <c r="T307" s="95" t="s">
        <v>142</v>
      </c>
      <c r="U307" s="96"/>
      <c r="V307" s="41" t="str">
        <f>IFERROR(INDEX([1]GARANTIA!$G:$G,MATCH(A307,[1]GARANTIA!$C:$C,0)),"INSIRA N° SERIE")</f>
        <v>DIAMANTINA</v>
      </c>
      <c r="W307" s="41" t="str">
        <f>IFERROR(INDEX([1]GARANTIA!$H:$H,MATCH(A307,[1]GARANTIA!$C:$C,0)),"INSIRA N° SERIE")</f>
        <v>MG</v>
      </c>
      <c r="X307" s="41" t="str">
        <f>IFERROR(INDEX([1]GARANTIA!$F:$F,MATCH(A307,[1]GARANTIA!$C:$C,0)),"INSIRA N° SERIE")</f>
        <v>SUDESTE</v>
      </c>
      <c r="Y307" s="46">
        <f t="shared" si="28"/>
        <v>0</v>
      </c>
      <c r="Z307" s="47">
        <f t="shared" si="25"/>
        <v>1</v>
      </c>
      <c r="AA307" s="46">
        <f t="shared" si="31"/>
        <v>1</v>
      </c>
      <c r="AB307" s="46" t="str" cm="1">
        <f t="array" ref="AB307">IFERROR(_xlfn.IFS(L307="FINALIZADO PRESENCIAL",IF(AA307&gt;10,"FORA","DENTRO"),L307="FINALIZADO REMOTO",IF(AA307&gt;5,"FORA","DENTRO")),"-")</f>
        <v>DENTRO</v>
      </c>
      <c r="AC307" s="41" t="s">
        <v>1671</v>
      </c>
      <c r="AD307" s="41" t="s">
        <v>1671</v>
      </c>
      <c r="AE307" s="48" cm="1">
        <f t="array" ref="AE307">SUMPRODUCT(IFERROR(('[2]PEÇAS GARANTIA'!$A$3:$A$5993=G307)*('[2]PEÇAS GARANTIA'!$A$3:$A$5993&lt;&gt;"")*('[2]PEÇAS GARANTIA'!$R$3:$R$5993),0))</f>
        <v>0</v>
      </c>
      <c r="AF307" s="178">
        <v>0</v>
      </c>
    </row>
    <row r="308" spans="1:32" ht="60" customHeight="1" x14ac:dyDescent="0.25">
      <c r="A308" s="82">
        <v>86746</v>
      </c>
      <c r="B308" s="41" t="str">
        <f>IFERROR(INDEX([1]GARANTIA!$B:$B,MATCH(A308,[1]GARANTIA!$C:$C,0)),"INSIRA N° SERIE")</f>
        <v>TESTE 320</v>
      </c>
      <c r="C308" s="33">
        <f>IFERROR(INDEX([1]GARANTIA!$J:$J,MATCH(A308,[1]GARANTIA!$C:$C,0)),"INSIRA N° SERIE")</f>
        <v>44104</v>
      </c>
      <c r="D308" s="33" t="str">
        <f>IFERROR(IF(INDEX([1]GARANTIA!$M:$M,MATCH(A308,[1]GARANTIA!$C:$C,0))&gt;=I308,"DENTRO DA GARANTIA","FORA DE GARANTIA"),"INSIRA N° SERIE")</f>
        <v>DENTRO DA GARANTIA</v>
      </c>
      <c r="E308" s="148"/>
      <c r="F308" s="109">
        <f>IFERROR(MAX(0,IF(I308-(INDEX([1]GARANTIA!$J:$J,MATCH(A308,[1]GARANTIA!$C:$C,0)))&gt;=0,I308-(INDEX([1]GARANTIA!$L:$L,MATCH(A308,[1]GARANTIA!$C:$C,0))),"INSIRA DATA CHAMADO")),"INSIRA N° SERIE")</f>
        <v>203</v>
      </c>
      <c r="G308" s="98">
        <v>20210721</v>
      </c>
      <c r="H308" s="35" t="str">
        <f t="shared" si="24"/>
        <v>SET</v>
      </c>
      <c r="I308" s="89">
        <v>44456</v>
      </c>
      <c r="J308" s="90">
        <v>44456</v>
      </c>
      <c r="K308" s="91">
        <v>44459</v>
      </c>
      <c r="L308" s="92" t="s">
        <v>23</v>
      </c>
      <c r="M308" s="92" t="s">
        <v>8</v>
      </c>
      <c r="N308" s="92" t="s">
        <v>40</v>
      </c>
      <c r="O308" s="42" t="str">
        <f>IFERROR(INDEX([1]GARANTIA!$E:$E,MATCH(A308,[1]GARANTIA!$C:$C,0)),"INSIRA N° SERIE")</f>
        <v>MTI - 1.000GTS</v>
      </c>
      <c r="P308" s="101" t="s">
        <v>623</v>
      </c>
      <c r="Q308" s="94" t="s">
        <v>611</v>
      </c>
      <c r="R308" s="93" t="s">
        <v>624</v>
      </c>
      <c r="S308" s="95" t="s">
        <v>101</v>
      </c>
      <c r="T308" s="95" t="s">
        <v>142</v>
      </c>
      <c r="U308" s="96"/>
      <c r="V308" s="41" t="str">
        <f>IFERROR(INDEX([1]GARANTIA!$G:$G,MATCH(A308,[1]GARANTIA!$C:$C,0)),"INSIRA N° SERIE")</f>
        <v>CORRENTE</v>
      </c>
      <c r="W308" s="41" t="str">
        <f>IFERROR(INDEX([1]GARANTIA!$H:$H,MATCH(A308,[1]GARANTIA!$C:$C,0)),"INSIRA N° SERIE")</f>
        <v>PI</v>
      </c>
      <c r="X308" s="41" t="str">
        <f>IFERROR(INDEX([1]GARANTIA!$F:$F,MATCH(A308,[1]GARANTIA!$C:$C,0)),"INSIRA N° SERIE")</f>
        <v>NORDESTE</v>
      </c>
      <c r="Y308" s="46">
        <f t="shared" si="28"/>
        <v>0</v>
      </c>
      <c r="Z308" s="47">
        <f t="shared" si="25"/>
        <v>3</v>
      </c>
      <c r="AA308" s="46">
        <f t="shared" si="31"/>
        <v>3</v>
      </c>
      <c r="AB308" s="46" t="str" cm="1">
        <f t="array" ref="AB308">IFERROR(_xlfn.IFS(L308="FINALIZADO PRESENCIAL",IF(AA308&gt;10,"FORA","DENTRO"),L308="FINALIZADO REMOTO",IF(AA308&gt;5,"FORA","DENTRO")),"-")</f>
        <v>DENTRO</v>
      </c>
      <c r="AC308" s="41" t="s">
        <v>1671</v>
      </c>
      <c r="AD308" s="41" t="s">
        <v>1671</v>
      </c>
      <c r="AE308" s="48" cm="1">
        <f t="array" ref="AE308">SUMPRODUCT(IFERROR(('[2]PEÇAS GARANTIA'!$A$3:$A$5993=G308)*('[2]PEÇAS GARANTIA'!$A$3:$A$5993&lt;&gt;"")*('[2]PEÇAS GARANTIA'!$R$3:$R$5993),0))</f>
        <v>0</v>
      </c>
      <c r="AF308" s="178">
        <v>0</v>
      </c>
    </row>
    <row r="309" spans="1:32" ht="72.75" customHeight="1" x14ac:dyDescent="0.25">
      <c r="A309" s="82">
        <v>50869</v>
      </c>
      <c r="B309" s="41" t="str">
        <f>IFERROR(INDEX([1]GARANTIA!$B:$B,MATCH(A309,[1]GARANTIA!$C:$C,0)),"INSIRA N° SERIE")</f>
        <v>TESTE 417</v>
      </c>
      <c r="C309" s="33">
        <f>IFERROR(INDEX([1]GARANTIA!$J:$J,MATCH(A309,[1]GARANTIA!$C:$C,0)),"INSIRA N° SERIE")</f>
        <v>44552</v>
      </c>
      <c r="D309" s="33" t="str">
        <f>IFERROR(IF(INDEX([1]GARANTIA!$M:$M,MATCH(A309,[1]GARANTIA!$C:$C,0))&gt;=I309,"DENTRO DA GARANTIA","FORA DE GARANTIA"),"INSIRA N° SERIE")</f>
        <v>FORA DE GARANTIA</v>
      </c>
      <c r="E309" s="148"/>
      <c r="F309" s="109" t="str">
        <f>IFERROR(MAX(0,IF(I309-(INDEX([1]GARANTIA!$J:$J,MATCH(A309,[1]GARANTIA!$C:$C,0)))&gt;=0,I309-(INDEX([1]GARANTIA!$L:$L,MATCH(A309,[1]GARANTIA!$C:$C,0))),"INSIRA DATA CHAMADO")),"INSIRA N° SERIE")</f>
        <v>INSIRA N° SERIE</v>
      </c>
      <c r="G309" s="98">
        <v>20210722</v>
      </c>
      <c r="H309" s="35" t="str">
        <f t="shared" si="24"/>
        <v>SET</v>
      </c>
      <c r="I309" s="89">
        <v>44456</v>
      </c>
      <c r="J309" s="90">
        <v>44456</v>
      </c>
      <c r="K309" s="91">
        <v>44460</v>
      </c>
      <c r="L309" s="92" t="s">
        <v>11</v>
      </c>
      <c r="M309" s="92" t="s">
        <v>8</v>
      </c>
      <c r="N309" s="92" t="s">
        <v>43</v>
      </c>
      <c r="O309" s="42" t="str">
        <f>IFERROR(INDEX([1]GARANTIA!$E:$E,MATCH(A309,[1]GARANTIA!$C:$C,0)),"INSIRA N° SERIE")</f>
        <v>MTI-1.000GTS</v>
      </c>
      <c r="P309" s="101" t="s">
        <v>627</v>
      </c>
      <c r="Q309" s="94" t="s">
        <v>305</v>
      </c>
      <c r="R309" s="93" t="s">
        <v>630</v>
      </c>
      <c r="S309" s="44" t="s">
        <v>638</v>
      </c>
      <c r="T309" s="95" t="s">
        <v>143</v>
      </c>
      <c r="U309" s="96"/>
      <c r="V309" s="41" t="str">
        <f>IFERROR(INDEX([1]GARANTIA!$G:$G,MATCH(A309,[1]GARANTIA!$C:$C,0)),"INSIRA N° SERIE")</f>
        <v>CAMPO GRANDE</v>
      </c>
      <c r="W309" s="41" t="str">
        <f>IFERROR(INDEX([1]GARANTIA!$H:$H,MATCH(A309,[1]GARANTIA!$C:$C,0)),"INSIRA N° SERIE")</f>
        <v xml:space="preserve">MS </v>
      </c>
      <c r="X309" s="41" t="str">
        <f>IFERROR(INDEX([1]GARANTIA!$F:$F,MATCH(A309,[1]GARANTIA!$C:$C,0)),"INSIRA N° SERIE")</f>
        <v>CENTRO-OESTE</v>
      </c>
      <c r="Y309" s="46">
        <f t="shared" si="28"/>
        <v>0</v>
      </c>
      <c r="Z309" s="47">
        <f t="shared" si="25"/>
        <v>4</v>
      </c>
      <c r="AA309" s="46">
        <f t="shared" si="31"/>
        <v>4</v>
      </c>
      <c r="AB309" s="46" t="str" cm="1">
        <f t="array" ref="AB309">IFERROR(_xlfn.IFS(L309="FINALIZADO PRESENCIAL",IF(AA309&gt;10,"FORA","DENTRO"),L309="FINALIZADO REMOTO",IF(AA309&gt;5,"FORA","DENTRO")),"-")</f>
        <v>DENTRO</v>
      </c>
      <c r="AC309" s="41" t="s">
        <v>1671</v>
      </c>
      <c r="AD309" s="41" t="s">
        <v>1671</v>
      </c>
      <c r="AE309" s="48" cm="1">
        <f t="array" ref="AE309">SUMPRODUCT(IFERROR(('[2]PEÇAS GARANTIA'!$A$3:$A$5993=G309)*('[2]PEÇAS GARANTIA'!$A$3:$A$5993&lt;&gt;"")*('[2]PEÇAS GARANTIA'!$R$3:$R$5993),0))</f>
        <v>0</v>
      </c>
      <c r="AF309" s="178">
        <v>0</v>
      </c>
    </row>
    <row r="310" spans="1:32" ht="57.75" customHeight="1" x14ac:dyDescent="0.25">
      <c r="A310" s="82">
        <v>74384</v>
      </c>
      <c r="B310" s="41" t="str">
        <f>IFERROR(INDEX([1]GARANTIA!$B:$B,MATCH(A310,[1]GARANTIA!$C:$C,0)),"INSIRA N° SERIE")</f>
        <v>TESTE 8</v>
      </c>
      <c r="C310" s="33">
        <f>IFERROR(INDEX([1]GARANTIA!$J:$J,MATCH(A310,[1]GARANTIA!$C:$C,0)),"INSIRA N° SERIE")</f>
        <v>44064</v>
      </c>
      <c r="D310" s="33" t="str">
        <f>IFERROR(IF(INDEX([1]GARANTIA!$M:$M,MATCH(A310,[1]GARANTIA!$C:$C,0))&gt;=I310,"DENTRO DA GARANTIA","FORA DE GARANTIA"),"INSIRA N° SERIE")</f>
        <v>DENTRO DA GARANTIA</v>
      </c>
      <c r="E310" s="148"/>
      <c r="F310" s="109">
        <f>IFERROR(MAX(0,IF(I310-(INDEX([1]GARANTIA!$J:$J,MATCH(A310,[1]GARANTIA!$C:$C,0)))&gt;=0,I310-(INDEX([1]GARANTIA!$L:$L,MATCH(A310,[1]GARANTIA!$C:$C,0))),"INSIRA DATA CHAMADO")),"INSIRA N° SERIE")</f>
        <v>171</v>
      </c>
      <c r="G310" s="98">
        <v>20210723</v>
      </c>
      <c r="H310" s="35" t="str">
        <f t="shared" si="24"/>
        <v>SET</v>
      </c>
      <c r="I310" s="89">
        <v>44457</v>
      </c>
      <c r="J310" s="90">
        <v>44457</v>
      </c>
      <c r="K310" s="91">
        <v>44459</v>
      </c>
      <c r="L310" s="92" t="s">
        <v>23</v>
      </c>
      <c r="M310" s="92" t="s">
        <v>8</v>
      </c>
      <c r="N310" s="92" t="s">
        <v>30</v>
      </c>
      <c r="O310" s="42" t="str">
        <f>IFERROR(INDEX([1]GARANTIA!$E:$E,MATCH(A310,[1]GARANTIA!$C:$C,0)),"INSIRA N° SERIE")</f>
        <v>MTI - 10.000GE</v>
      </c>
      <c r="P310" s="101" t="s">
        <v>628</v>
      </c>
      <c r="Q310" s="94" t="s">
        <v>646</v>
      </c>
      <c r="R310" s="93" t="s">
        <v>652</v>
      </c>
      <c r="S310" s="95" t="s">
        <v>639</v>
      </c>
      <c r="T310" s="95" t="s">
        <v>641</v>
      </c>
      <c r="U310" s="96"/>
      <c r="V310" s="41" t="str">
        <f>IFERROR(INDEX([1]GARANTIA!$G:$G,MATCH(A310,[1]GARANTIA!$C:$C,0)),"INSIRA N° SERIE")</f>
        <v xml:space="preserve">SÃO PAULO </v>
      </c>
      <c r="W310" s="41" t="str">
        <f>IFERROR(INDEX([1]GARANTIA!$H:$H,MATCH(A310,[1]GARANTIA!$C:$C,0)),"INSIRA N° SERIE")</f>
        <v xml:space="preserve">SP </v>
      </c>
      <c r="X310" s="41" t="str">
        <f>IFERROR(INDEX([1]GARANTIA!$F:$F,MATCH(A310,[1]GARANTIA!$C:$C,0)),"INSIRA N° SERIE")</f>
        <v>SUDESTE</v>
      </c>
      <c r="Y310" s="46">
        <f t="shared" si="28"/>
        <v>0</v>
      </c>
      <c r="Z310" s="47">
        <f t="shared" si="25"/>
        <v>2</v>
      </c>
      <c r="AA310" s="46">
        <f t="shared" si="31"/>
        <v>2</v>
      </c>
      <c r="AB310" s="46" t="str" cm="1">
        <f t="array" ref="AB310">IFERROR(_xlfn.IFS(L310="FINALIZADO PRESENCIAL",IF(AA310&gt;10,"FORA","DENTRO"),L310="FINALIZADO REMOTO",IF(AA310&gt;5,"FORA","DENTRO")),"-")</f>
        <v>DENTRO</v>
      </c>
      <c r="AC310" s="41" t="s">
        <v>1671</v>
      </c>
      <c r="AD310" s="41" t="s">
        <v>1671</v>
      </c>
      <c r="AE310" s="48" cm="1">
        <f t="array" ref="AE310">SUMPRODUCT(IFERROR(('[2]PEÇAS GARANTIA'!$A$3:$A$5993=G310)*('[2]PEÇAS GARANTIA'!$A$3:$A$5993&lt;&gt;"")*('[2]PEÇAS GARANTIA'!$R$3:$R$5993),0))</f>
        <v>0</v>
      </c>
      <c r="AF310" s="178">
        <v>0</v>
      </c>
    </row>
    <row r="311" spans="1:32" ht="51.75" customHeight="1" x14ac:dyDescent="0.25">
      <c r="A311" s="82">
        <v>25628</v>
      </c>
      <c r="B311" s="41" t="str">
        <f>IFERROR(INDEX([1]GARANTIA!$B:$B,MATCH(A311,[1]GARANTIA!$C:$C,0)),"INSIRA N° SERIE")</f>
        <v>TESTE 70</v>
      </c>
      <c r="C311" s="33">
        <f>IFERROR(INDEX([1]GARANTIA!$J:$J,MATCH(A311,[1]GARANTIA!$C:$C,0)),"INSIRA N° SERIE")</f>
        <v>44043</v>
      </c>
      <c r="D311" s="33" t="str">
        <f>IFERROR(IF(INDEX([1]GARANTIA!$M:$M,MATCH(A311,[1]GARANTIA!$C:$C,0))&gt;=I311,"DENTRO DA GARANTIA","FORA DE GARANTIA"),"INSIRA N° SERIE")</f>
        <v>DENTRO DA GARANTIA</v>
      </c>
      <c r="E311" s="148"/>
      <c r="F311" s="109">
        <f>IFERROR(MAX(0,IF(I311-(INDEX([1]GARANTIA!$J:$J,MATCH(A311,[1]GARANTIA!$C:$C,0)))&gt;=0,I311-(INDEX([1]GARANTIA!$L:$L,MATCH(A311,[1]GARANTIA!$C:$C,0))),"INSIRA DATA CHAMADO")),"INSIRA N° SERIE")</f>
        <v>281</v>
      </c>
      <c r="G311" s="98">
        <v>20210724</v>
      </c>
      <c r="H311" s="35" t="str">
        <f t="shared" si="24"/>
        <v>SET</v>
      </c>
      <c r="I311" s="89">
        <v>44457</v>
      </c>
      <c r="J311" s="90">
        <v>44457</v>
      </c>
      <c r="K311" s="91">
        <v>44459</v>
      </c>
      <c r="L311" s="92" t="s">
        <v>23</v>
      </c>
      <c r="M311" s="92" t="s">
        <v>8</v>
      </c>
      <c r="N311" s="92" t="s">
        <v>28</v>
      </c>
      <c r="O311" s="42" t="str">
        <f>IFERROR(INDEX([1]GARANTIA!$E:$E,MATCH(A311,[1]GARANTIA!$C:$C,0)),"INSIRA N° SERIE")</f>
        <v>MTI - 1.000GTS</v>
      </c>
      <c r="P311" s="101" t="s">
        <v>625</v>
      </c>
      <c r="Q311" s="94" t="s">
        <v>611</v>
      </c>
      <c r="R311" s="93" t="s">
        <v>626</v>
      </c>
      <c r="S311" s="95" t="s">
        <v>101</v>
      </c>
      <c r="T311" s="95" t="s">
        <v>142</v>
      </c>
      <c r="U311" s="96"/>
      <c r="V311" s="41" t="str">
        <f>IFERROR(INDEX([1]GARANTIA!$G:$G,MATCH(A311,[1]GARANTIA!$C:$C,0)),"INSIRA N° SERIE")</f>
        <v>ARAPUTANGA</v>
      </c>
      <c r="W311" s="41" t="str">
        <f>IFERROR(INDEX([1]GARANTIA!$H:$H,MATCH(A311,[1]GARANTIA!$C:$C,0)),"INSIRA N° SERIE")</f>
        <v>MT</v>
      </c>
      <c r="X311" s="41" t="str">
        <f>IFERROR(INDEX([1]GARANTIA!$F:$F,MATCH(A311,[1]GARANTIA!$C:$C,0)),"INSIRA N° SERIE")</f>
        <v>CENTROESTE</v>
      </c>
      <c r="Y311" s="46">
        <f t="shared" si="28"/>
        <v>0</v>
      </c>
      <c r="Z311" s="47">
        <f t="shared" si="25"/>
        <v>2</v>
      </c>
      <c r="AA311" s="46">
        <f t="shared" si="31"/>
        <v>2</v>
      </c>
      <c r="AB311" s="46" t="str" cm="1">
        <f t="array" ref="AB311">IFERROR(_xlfn.IFS(L311="FINALIZADO PRESENCIAL",IF(AA311&gt;10,"FORA","DENTRO"),L311="FINALIZADO REMOTO",IF(AA311&gt;5,"FORA","DENTRO")),"-")</f>
        <v>DENTRO</v>
      </c>
      <c r="AC311" s="41" t="s">
        <v>1671</v>
      </c>
      <c r="AD311" s="41" t="s">
        <v>1671</v>
      </c>
      <c r="AE311" s="48" cm="1">
        <f t="array" ref="AE311">SUMPRODUCT(IFERROR(('[2]PEÇAS GARANTIA'!$A$3:$A$5993=G311)*('[2]PEÇAS GARANTIA'!$A$3:$A$5993&lt;&gt;"")*('[2]PEÇAS GARANTIA'!$R$3:$R$5993),0))</f>
        <v>0</v>
      </c>
      <c r="AF311" s="178">
        <v>0</v>
      </c>
    </row>
    <row r="312" spans="1:32" ht="62.25" customHeight="1" x14ac:dyDescent="0.25">
      <c r="A312" s="82">
        <v>35159</v>
      </c>
      <c r="B312" s="41" t="str">
        <f>IFERROR(INDEX([1]GARANTIA!$B:$B,MATCH(A312,[1]GARANTIA!$C:$C,0)),"INSIRA N° SERIE")</f>
        <v>TESTE 223</v>
      </c>
      <c r="C312" s="33">
        <f>IFERROR(INDEX([1]GARANTIA!$J:$J,MATCH(A312,[1]GARANTIA!$C:$C,0)),"INSIRA N° SERIE")</f>
        <v>43936</v>
      </c>
      <c r="D312" s="33" t="str">
        <f>IFERROR(IF(INDEX([1]GARANTIA!$M:$M,MATCH(A312,[1]GARANTIA!$C:$C,0))&gt;=I312,"DENTRO DA GARANTIA","FORA DE GARANTIA"),"INSIRA N° SERIE")</f>
        <v>DENTRO DA GARANTIA</v>
      </c>
      <c r="E312" s="148"/>
      <c r="F312" s="109">
        <f>IFERROR(MAX(0,IF(I312-(INDEX([1]GARANTIA!$J:$J,MATCH(A312,[1]GARANTIA!$C:$C,0)))&gt;=0,I312-(INDEX([1]GARANTIA!$L:$L,MATCH(A312,[1]GARANTIA!$C:$C,0))),"INSIRA DATA CHAMADO")),"INSIRA N° SERIE")</f>
        <v>347</v>
      </c>
      <c r="G312" s="98">
        <v>20210725</v>
      </c>
      <c r="H312" s="35" t="str">
        <f t="shared" si="24"/>
        <v>SET</v>
      </c>
      <c r="I312" s="89">
        <v>44459</v>
      </c>
      <c r="J312" s="90">
        <v>44459</v>
      </c>
      <c r="K312" s="91">
        <v>44460</v>
      </c>
      <c r="L312" s="92" t="s">
        <v>23</v>
      </c>
      <c r="M312" s="92" t="s">
        <v>8</v>
      </c>
      <c r="N312" s="92" t="s">
        <v>28</v>
      </c>
      <c r="O312" s="42" t="str">
        <f>IFERROR(INDEX([1]GARANTIA!$E:$E,MATCH(A312,[1]GARANTIA!$C:$C,0)),"INSIRA N° SERIE")</f>
        <v>MTI - 1.000GTS</v>
      </c>
      <c r="P312" s="101" t="s">
        <v>653</v>
      </c>
      <c r="Q312" s="94" t="s">
        <v>611</v>
      </c>
      <c r="R312" s="93" t="s">
        <v>629</v>
      </c>
      <c r="S312" s="95" t="s">
        <v>101</v>
      </c>
      <c r="T312" s="95" t="s">
        <v>142</v>
      </c>
      <c r="U312" s="96"/>
      <c r="V312" s="41" t="str">
        <f>IFERROR(INDEX([1]GARANTIA!$G:$G,MATCH(A312,[1]GARANTIA!$C:$C,0)),"INSIRA N° SERIE")</f>
        <v xml:space="preserve">ITAJAI </v>
      </c>
      <c r="W312" s="41" t="str">
        <f>IFERROR(INDEX([1]GARANTIA!$H:$H,MATCH(A312,[1]GARANTIA!$C:$C,0)),"INSIRA N° SERIE")</f>
        <v>SC</v>
      </c>
      <c r="X312" s="41" t="str">
        <f>IFERROR(INDEX([1]GARANTIA!$F:$F,MATCH(A312,[1]GARANTIA!$C:$C,0)),"INSIRA N° SERIE")</f>
        <v>SUL</v>
      </c>
      <c r="Y312" s="46">
        <f t="shared" si="28"/>
        <v>0</v>
      </c>
      <c r="Z312" s="47">
        <f t="shared" si="25"/>
        <v>1</v>
      </c>
      <c r="AA312" s="46">
        <f t="shared" si="31"/>
        <v>1</v>
      </c>
      <c r="AB312" s="46" t="str" cm="1">
        <f t="array" ref="AB312">IFERROR(_xlfn.IFS(L312="FINALIZADO PRESENCIAL",IF(AA312&gt;10,"FORA","DENTRO"),L312="FINALIZADO REMOTO",IF(AA312&gt;5,"FORA","DENTRO")),"-")</f>
        <v>DENTRO</v>
      </c>
      <c r="AC312" s="41" t="s">
        <v>1671</v>
      </c>
      <c r="AD312" s="41" t="s">
        <v>1671</v>
      </c>
      <c r="AE312" s="48" cm="1">
        <f t="array" ref="AE312">SUMPRODUCT(IFERROR(('[2]PEÇAS GARANTIA'!$A$3:$A$5993=G312)*('[2]PEÇAS GARANTIA'!$A$3:$A$5993&lt;&gt;"")*('[2]PEÇAS GARANTIA'!$R$3:$R$5993),0))</f>
        <v>0</v>
      </c>
      <c r="AF312" s="178">
        <v>0</v>
      </c>
    </row>
    <row r="313" spans="1:32" ht="58.5" customHeight="1" x14ac:dyDescent="0.25">
      <c r="A313" s="82">
        <v>78008</v>
      </c>
      <c r="B313" s="41" t="str">
        <f>IFERROR(INDEX([1]GARANTIA!$B:$B,MATCH(A313,[1]GARANTIA!$C:$C,0)),"INSIRA N° SERIE")</f>
        <v>TESTE 345</v>
      </c>
      <c r="C313" s="33">
        <f>IFERROR(INDEX([1]GARANTIA!$J:$J,MATCH(A313,[1]GARANTIA!$C:$C,0)),"INSIRA N° SERIE")</f>
        <v>44331</v>
      </c>
      <c r="D313" s="33" t="str">
        <f>IFERROR(IF(INDEX([1]GARANTIA!$M:$M,MATCH(A313,[1]GARANTIA!$C:$C,0))&gt;=I313,"DENTRO DA GARANTIA","FORA DE GARANTIA"),"INSIRA N° SERIE")</f>
        <v>DENTRO DA GARANTIA</v>
      </c>
      <c r="E313" s="148"/>
      <c r="F313" s="109">
        <f>IFERROR(MAX(0,IF(I313-(INDEX([1]GARANTIA!$J:$J,MATCH(A313,[1]GARANTIA!$C:$C,0)))&gt;=0,I313-(INDEX([1]GARANTIA!$L:$L,MATCH(A313,[1]GARANTIA!$C:$C,0))),"INSIRA DATA CHAMADO")),"INSIRA N° SERIE")</f>
        <v>0</v>
      </c>
      <c r="G313" s="98">
        <v>20210726</v>
      </c>
      <c r="H313" s="35" t="str">
        <f t="shared" si="24"/>
        <v>SET</v>
      </c>
      <c r="I313" s="89">
        <v>44454</v>
      </c>
      <c r="J313" s="90">
        <v>44454</v>
      </c>
      <c r="K313" s="91">
        <v>44454</v>
      </c>
      <c r="L313" s="92" t="s">
        <v>11</v>
      </c>
      <c r="M313" s="92" t="s">
        <v>164</v>
      </c>
      <c r="N313" s="92" t="s">
        <v>41</v>
      </c>
      <c r="O313" s="42" t="str">
        <f>IFERROR(INDEX([1]GARANTIA!$E:$E,MATCH(A313,[1]GARANTIA!$C:$C,0)),"INSIRA N° SERIE")</f>
        <v>MTI - 3.200GES</v>
      </c>
      <c r="P313" s="101" t="s">
        <v>634</v>
      </c>
      <c r="Q313" s="94" t="s">
        <v>144</v>
      </c>
      <c r="R313" s="93" t="s">
        <v>635</v>
      </c>
      <c r="S313" s="44" t="s">
        <v>638</v>
      </c>
      <c r="T313" s="95" t="s">
        <v>144</v>
      </c>
      <c r="U313" s="96"/>
      <c r="V313" s="41" t="str">
        <f>IFERROR(INDEX([1]GARANTIA!$G:$G,MATCH(A313,[1]GARANTIA!$C:$C,0)),"INSIRA N° SERIE")</f>
        <v>SÃO PAULO</v>
      </c>
      <c r="W313" s="41" t="str">
        <f>IFERROR(INDEX([1]GARANTIA!$H:$H,MATCH(A313,[1]GARANTIA!$C:$C,0)),"INSIRA N° SERIE")</f>
        <v>SP</v>
      </c>
      <c r="X313" s="41" t="str">
        <f>IFERROR(INDEX([1]GARANTIA!$F:$F,MATCH(A313,[1]GARANTIA!$C:$C,0)),"INSIRA N° SERIE")</f>
        <v>SUDESTE</v>
      </c>
      <c r="Y313" s="46">
        <f t="shared" si="28"/>
        <v>0</v>
      </c>
      <c r="Z313" s="47">
        <f t="shared" si="25"/>
        <v>0</v>
      </c>
      <c r="AA313" s="46">
        <f t="shared" si="31"/>
        <v>0</v>
      </c>
      <c r="AB313" s="46" t="str" cm="1">
        <f t="array" ref="AB313">IFERROR(_xlfn.IFS(L313="FINALIZADO PRESENCIAL",IF(AA313&gt;10,"FORA","DENTRO"),L313="FINALIZADO REMOTO",IF(AA313&gt;5,"FORA","DENTRO")),"-")</f>
        <v>DENTRO</v>
      </c>
      <c r="AC313" s="41" t="s">
        <v>1671</v>
      </c>
      <c r="AD313" s="41" t="s">
        <v>1671</v>
      </c>
      <c r="AE313" s="48" cm="1">
        <f t="array" ref="AE313">SUMPRODUCT(IFERROR(('[2]PEÇAS GARANTIA'!$A$3:$A$5993=G313)*('[2]PEÇAS GARANTIA'!$A$3:$A$5993&lt;&gt;"")*('[2]PEÇAS GARANTIA'!$R$3:$R$5993),0))</f>
        <v>0</v>
      </c>
      <c r="AF313" s="178">
        <v>0</v>
      </c>
    </row>
    <row r="314" spans="1:32" ht="62.25" customHeight="1" x14ac:dyDescent="0.25">
      <c r="A314" s="82">
        <v>50869</v>
      </c>
      <c r="B314" s="41" t="str">
        <f>IFERROR(INDEX([1]GARANTIA!$B:$B,MATCH(A314,[1]GARANTIA!$C:$C,0)),"INSIRA N° SERIE")</f>
        <v>TESTE 417</v>
      </c>
      <c r="C314" s="33">
        <f>IFERROR(INDEX([1]GARANTIA!$J:$J,MATCH(A314,[1]GARANTIA!$C:$C,0)),"INSIRA N° SERIE")</f>
        <v>44552</v>
      </c>
      <c r="D314" s="33" t="str">
        <f>IFERROR(IF(INDEX([1]GARANTIA!$M:$M,MATCH(A314,[1]GARANTIA!$C:$C,0))&gt;=I314,"DENTRO DA GARANTIA","FORA DE GARANTIA"),"INSIRA N° SERIE")</f>
        <v>FORA DE GARANTIA</v>
      </c>
      <c r="E314" s="148"/>
      <c r="F314" s="109" t="str">
        <f>IFERROR(MAX(0,IF(I314-(INDEX([1]GARANTIA!$J:$J,MATCH(A314,[1]GARANTIA!$C:$C,0)))&gt;=0,I314-(INDEX([1]GARANTIA!$L:$L,MATCH(A314,[1]GARANTIA!$C:$C,0))),"INSIRA DATA CHAMADO")),"INSIRA N° SERIE")</f>
        <v>INSIRA N° SERIE</v>
      </c>
      <c r="G314" s="98">
        <v>20210727</v>
      </c>
      <c r="H314" s="35" t="str">
        <f t="shared" si="24"/>
        <v>SET</v>
      </c>
      <c r="I314" s="89">
        <v>44462</v>
      </c>
      <c r="J314" s="90">
        <v>44462</v>
      </c>
      <c r="K314" s="91">
        <v>44463</v>
      </c>
      <c r="L314" s="92" t="s">
        <v>11</v>
      </c>
      <c r="M314" s="92" t="s">
        <v>8</v>
      </c>
      <c r="N314" s="92" t="s">
        <v>42</v>
      </c>
      <c r="O314" s="42" t="str">
        <f>IFERROR(INDEX([1]GARANTIA!$E:$E,MATCH(A314,[1]GARANTIA!$C:$C,0)),"INSIRA N° SERIE")</f>
        <v>MTI-1.000GTS</v>
      </c>
      <c r="P314" s="101" t="s">
        <v>633</v>
      </c>
      <c r="Q314" s="94" t="s">
        <v>328</v>
      </c>
      <c r="R314" s="93" t="s">
        <v>654</v>
      </c>
      <c r="S314" s="95" t="s">
        <v>101</v>
      </c>
      <c r="T314" s="95" t="s">
        <v>142</v>
      </c>
      <c r="U314" s="96"/>
      <c r="V314" s="41" t="str">
        <f>IFERROR(INDEX([1]GARANTIA!$G:$G,MATCH(A314,[1]GARANTIA!$C:$C,0)),"INSIRA N° SERIE")</f>
        <v>CAMPO GRANDE</v>
      </c>
      <c r="W314" s="41" t="str">
        <f>IFERROR(INDEX([1]GARANTIA!$H:$H,MATCH(A314,[1]GARANTIA!$C:$C,0)),"INSIRA N° SERIE")</f>
        <v xml:space="preserve">MS </v>
      </c>
      <c r="X314" s="41" t="str">
        <f>IFERROR(INDEX([1]GARANTIA!$F:$F,MATCH(A314,[1]GARANTIA!$C:$C,0)),"INSIRA N° SERIE")</f>
        <v>CENTRO-OESTE</v>
      </c>
      <c r="Y314" s="46">
        <f t="shared" si="28"/>
        <v>0</v>
      </c>
      <c r="Z314" s="47">
        <f t="shared" si="25"/>
        <v>1</v>
      </c>
      <c r="AA314" s="46">
        <f t="shared" si="31"/>
        <v>1</v>
      </c>
      <c r="AB314" s="46" t="str" cm="1">
        <f t="array" ref="AB314">IFERROR(_xlfn.IFS(L314="FINALIZADO PRESENCIAL",IF(AA314&gt;10,"FORA","DENTRO"),L314="FINALIZADO REMOTO",IF(AA314&gt;5,"FORA","DENTRO")),"-")</f>
        <v>DENTRO</v>
      </c>
      <c r="AC314" s="41" t="s">
        <v>1671</v>
      </c>
      <c r="AD314" s="41" t="s">
        <v>1671</v>
      </c>
      <c r="AE314" s="48" cm="1">
        <f t="array" ref="AE314">SUMPRODUCT(IFERROR(('[2]PEÇAS GARANTIA'!$A$3:$A$5993=G314)*('[2]PEÇAS GARANTIA'!$A$3:$A$5993&lt;&gt;"")*('[2]PEÇAS GARANTIA'!$R$3:$R$5993),0))</f>
        <v>0</v>
      </c>
      <c r="AF314" s="178">
        <v>0</v>
      </c>
    </row>
    <row r="315" spans="1:32" ht="44.25" customHeight="1" x14ac:dyDescent="0.25">
      <c r="A315" s="82">
        <v>28435</v>
      </c>
      <c r="B315" s="41" t="str">
        <f>IFERROR(INDEX([1]GARANTIA!$B:$B,MATCH(A315,[1]GARANTIA!$C:$C,0)),"INSIRA N° SERIE")</f>
        <v>TESTE 101</v>
      </c>
      <c r="C315" s="33">
        <f>IFERROR(INDEX([1]GARANTIA!$J:$J,MATCH(A315,[1]GARANTIA!$C:$C,0)),"INSIRA N° SERIE")</f>
        <v>44180</v>
      </c>
      <c r="D315" s="33" t="str">
        <f>IFERROR(IF(INDEX([1]GARANTIA!$M:$M,MATCH(A315,[1]GARANTIA!$C:$C,0))&gt;=I315,"DENTRO DA GARANTIA","FORA DE GARANTIA"),"INSIRA N° SERIE")</f>
        <v>DENTRO DA GARANTIA</v>
      </c>
      <c r="E315" s="148"/>
      <c r="F315" s="109">
        <f>IFERROR(MAX(0,IF(I315-(INDEX([1]GARANTIA!$J:$J,MATCH(A315,[1]GARANTIA!$C:$C,0)))&gt;=0,I315-(INDEX([1]GARANTIA!$L:$L,MATCH(A315,[1]GARANTIA!$C:$C,0))),"INSIRA DATA CHAMADO")),"INSIRA N° SERIE")</f>
        <v>79</v>
      </c>
      <c r="G315" s="98">
        <v>20210728</v>
      </c>
      <c r="H315" s="35" t="str">
        <f t="shared" si="24"/>
        <v>SET</v>
      </c>
      <c r="I315" s="89">
        <v>44467</v>
      </c>
      <c r="J315" s="90">
        <v>44467</v>
      </c>
      <c r="K315" s="91">
        <v>44470</v>
      </c>
      <c r="L315" s="92" t="s">
        <v>23</v>
      </c>
      <c r="M315" s="92" t="s">
        <v>8</v>
      </c>
      <c r="N315" s="92" t="s">
        <v>28</v>
      </c>
      <c r="O315" s="42" t="str">
        <f>IFERROR(INDEX([1]GARANTIA!$E:$E,MATCH(A315,[1]GARANTIA!$C:$C,0)),"INSIRA N° SERIE")</f>
        <v>MTI - 10.000GTS</v>
      </c>
      <c r="P315" s="101" t="s">
        <v>658</v>
      </c>
      <c r="Q315" s="94" t="s">
        <v>611</v>
      </c>
      <c r="R315" s="93" t="s">
        <v>662</v>
      </c>
      <c r="S315" s="95" t="s">
        <v>101</v>
      </c>
      <c r="T315" s="95" t="s">
        <v>142</v>
      </c>
      <c r="U315" s="96"/>
      <c r="V315" s="41" t="str">
        <f>IFERROR(INDEX([1]GARANTIA!$G:$G,MATCH(A315,[1]GARANTIA!$C:$C,0)),"INSIRA N° SERIE")</f>
        <v xml:space="preserve">PIRANHAS </v>
      </c>
      <c r="W315" s="41" t="str">
        <f>IFERROR(INDEX([1]GARANTIA!$H:$H,MATCH(A315,[1]GARANTIA!$C:$C,0)),"INSIRA N° SERIE")</f>
        <v>GO</v>
      </c>
      <c r="X315" s="41" t="str">
        <f>IFERROR(INDEX([1]GARANTIA!$F:$F,MATCH(A315,[1]GARANTIA!$C:$C,0)),"INSIRA N° SERIE")</f>
        <v>CENTROESTE</v>
      </c>
      <c r="Y315" s="46">
        <f t="shared" si="28"/>
        <v>0</v>
      </c>
      <c r="Z315" s="47">
        <f t="shared" si="25"/>
        <v>3</v>
      </c>
      <c r="AA315" s="46">
        <f t="shared" si="31"/>
        <v>3</v>
      </c>
      <c r="AB315" s="46" t="str" cm="1">
        <f t="array" ref="AB315">IFERROR(_xlfn.IFS(L315="FINALIZADO PRESENCIAL",IF(AA315&gt;10,"FORA","DENTRO"),L315="FINALIZADO REMOTO",IF(AA315&gt;5,"FORA","DENTRO")),"-")</f>
        <v>DENTRO</v>
      </c>
      <c r="AC315" s="41" t="s">
        <v>1671</v>
      </c>
      <c r="AD315" s="41" t="s">
        <v>1671</v>
      </c>
      <c r="AE315" s="48" cm="1">
        <f t="array" ref="AE315">SUMPRODUCT(IFERROR(('[2]PEÇAS GARANTIA'!$A$3:$A$5993=G315)*('[2]PEÇAS GARANTIA'!$A$3:$A$5993&lt;&gt;"")*('[2]PEÇAS GARANTIA'!$R$3:$R$5993),0))</f>
        <v>0</v>
      </c>
      <c r="AF315" s="178">
        <v>0</v>
      </c>
    </row>
    <row r="316" spans="1:32" ht="66" customHeight="1" x14ac:dyDescent="0.25">
      <c r="A316" s="82">
        <v>50875</v>
      </c>
      <c r="B316" s="41" t="str">
        <f>IFERROR(INDEX([1]GARANTIA!$B:$B,MATCH(A316,[1]GARANTIA!$C:$C,0)),"INSIRA N° SERIE")</f>
        <v>TESTE 186</v>
      </c>
      <c r="C316" s="33">
        <f>IFERROR(INDEX([1]GARANTIA!$J:$J,MATCH(A316,[1]GARANTIA!$C:$C,0)),"INSIRA N° SERIE")</f>
        <v>44075</v>
      </c>
      <c r="D316" s="33" t="str">
        <f>IFERROR(IF(INDEX([1]GARANTIA!$M:$M,MATCH(A316,[1]GARANTIA!$C:$C,0))&gt;=I316,"DENTRO DA GARANTIA","FORA DE GARANTIA"),"INSIRA N° SERIE")</f>
        <v>DENTRO DA GARANTIA</v>
      </c>
      <c r="E316" s="148"/>
      <c r="F316" s="109">
        <f>IFERROR(MAX(0,IF(I316-(INDEX([1]GARANTIA!$J:$J,MATCH(A316,[1]GARANTIA!$C:$C,0)))&gt;=0,I316-(INDEX([1]GARANTIA!$L:$L,MATCH(A316,[1]GARANTIA!$C:$C,0))),"INSIRA DATA CHAMADO")),"INSIRA N° SERIE")</f>
        <v>279</v>
      </c>
      <c r="G316" s="98">
        <v>20210729</v>
      </c>
      <c r="H316" s="35" t="str">
        <f t="shared" si="24"/>
        <v>SET</v>
      </c>
      <c r="I316" s="89">
        <v>44467</v>
      </c>
      <c r="J316" s="90">
        <v>44467</v>
      </c>
      <c r="K316" s="91">
        <v>44469</v>
      </c>
      <c r="L316" s="92" t="s">
        <v>23</v>
      </c>
      <c r="M316" s="92" t="s">
        <v>8</v>
      </c>
      <c r="N316" s="92" t="s">
        <v>28</v>
      </c>
      <c r="O316" s="42" t="str">
        <f>IFERROR(INDEX([1]GARANTIA!$E:$E,MATCH(A316,[1]GARANTIA!$C:$C,0)),"INSIRA N° SERIE")</f>
        <v>MTI - 7.000GTS</v>
      </c>
      <c r="P316" s="101" t="s">
        <v>659</v>
      </c>
      <c r="Q316" s="94" t="s">
        <v>611</v>
      </c>
      <c r="R316" s="93" t="s">
        <v>660</v>
      </c>
      <c r="S316" s="95" t="s">
        <v>101</v>
      </c>
      <c r="T316" s="95" t="s">
        <v>142</v>
      </c>
      <c r="U316" s="96"/>
      <c r="V316" s="41" t="str">
        <f>IFERROR(INDEX([1]GARANTIA!$G:$G,MATCH(A316,[1]GARANTIA!$C:$C,0)),"INSIRA N° SERIE")</f>
        <v>NOVA SERRANA</v>
      </c>
      <c r="W316" s="41" t="str">
        <f>IFERROR(INDEX([1]GARANTIA!$H:$H,MATCH(A316,[1]GARANTIA!$C:$C,0)),"INSIRA N° SERIE")</f>
        <v>MG</v>
      </c>
      <c r="X316" s="41" t="str">
        <f>IFERROR(INDEX([1]GARANTIA!$F:$F,MATCH(A316,[1]GARANTIA!$C:$C,0)),"INSIRA N° SERIE")</f>
        <v>SUDESTE</v>
      </c>
      <c r="Y316" s="46">
        <f t="shared" ref="Y316:Y317" si="32">IF(G316&lt;&gt;"",J316-I316,"INSIRA N° OS")</f>
        <v>0</v>
      </c>
      <c r="Z316" s="47">
        <f t="shared" si="25"/>
        <v>2</v>
      </c>
      <c r="AA316" s="46">
        <f t="shared" ref="AA316:AA317" si="33">IF(Z316="NÃO FINALIZADO","",Z316+Y316)</f>
        <v>2</v>
      </c>
      <c r="AB316" s="46" t="str" cm="1">
        <f t="array" ref="AB316">IFERROR(_xlfn.IFS(L316="FINALIZADO PRESENCIAL",IF(AA316&gt;10,"FORA","DENTRO"),L316="FINALIZADO REMOTO",IF(AA316&gt;5,"FORA","DENTRO")),"-")</f>
        <v>DENTRO</v>
      </c>
      <c r="AC316" s="41" t="s">
        <v>1671</v>
      </c>
      <c r="AD316" s="41" t="s">
        <v>1671</v>
      </c>
      <c r="AE316" s="48" cm="1">
        <f t="array" ref="AE316">SUMPRODUCT(IFERROR(('[2]PEÇAS GARANTIA'!$A$3:$A$5993=G316)*('[2]PEÇAS GARANTIA'!$A$3:$A$5993&lt;&gt;"")*('[2]PEÇAS GARANTIA'!$R$3:$R$5993),0))</f>
        <v>0</v>
      </c>
      <c r="AF316" s="178">
        <v>0</v>
      </c>
    </row>
    <row r="317" spans="1:32" ht="48" customHeight="1" x14ac:dyDescent="0.25">
      <c r="A317" s="82">
        <v>68730</v>
      </c>
      <c r="B317" s="41" t="str">
        <f>IFERROR(INDEX([1]GARANTIA!$B:$B,MATCH(A317,[1]GARANTIA!$C:$C,0)),"INSIRA N° SERIE")</f>
        <v>TESTE 302</v>
      </c>
      <c r="C317" s="33">
        <f>IFERROR(INDEX([1]GARANTIA!$J:$J,MATCH(A317,[1]GARANTIA!$C:$C,0)),"INSIRA N° SERIE")</f>
        <v>44204</v>
      </c>
      <c r="D317" s="33" t="str">
        <f>IFERROR(IF(INDEX([1]GARANTIA!$M:$M,MATCH(A317,[1]GARANTIA!$C:$C,0))&gt;=I317,"DENTRO DA GARANTIA","FORA DE GARANTIA"),"INSIRA N° SERIE")</f>
        <v>DENTRO DA GARANTIA</v>
      </c>
      <c r="E317" s="148"/>
      <c r="F317" s="109">
        <f>IFERROR(MAX(0,IF(I317-(INDEX([1]GARANTIA!$J:$J,MATCH(A317,[1]GARANTIA!$C:$C,0)))&gt;=0,I317-(INDEX([1]GARANTIA!$L:$L,MATCH(A317,[1]GARANTIA!$C:$C,0))),"INSIRA DATA CHAMADO")),"INSIRA N° SERIE")</f>
        <v>103</v>
      </c>
      <c r="G317" s="98">
        <v>20210730</v>
      </c>
      <c r="H317" s="35" t="str">
        <f t="shared" si="24"/>
        <v>SET</v>
      </c>
      <c r="I317" s="89">
        <v>44467</v>
      </c>
      <c r="J317" s="90">
        <v>44467</v>
      </c>
      <c r="K317" s="91">
        <v>44470</v>
      </c>
      <c r="L317" s="92" t="s">
        <v>11</v>
      </c>
      <c r="M317" s="92" t="s">
        <v>8</v>
      </c>
      <c r="N317" s="92" t="s">
        <v>31</v>
      </c>
      <c r="O317" s="42" t="str">
        <f>IFERROR(INDEX([1]GARANTIA!$E:$E,MATCH(A317,[1]GARANTIA!$C:$C,0)),"INSIRA N° SERIE")</f>
        <v>MTI - 1.000GTS</v>
      </c>
      <c r="P317" s="101" t="s">
        <v>661</v>
      </c>
      <c r="Q317" s="94" t="s">
        <v>645</v>
      </c>
      <c r="R317" s="93" t="s">
        <v>663</v>
      </c>
      <c r="S317" s="95" t="s">
        <v>98</v>
      </c>
      <c r="T317" s="95" t="s">
        <v>640</v>
      </c>
      <c r="U317" s="96"/>
      <c r="V317" s="41" t="str">
        <f>IFERROR(INDEX([1]GARANTIA!$G:$G,MATCH(A317,[1]GARANTIA!$C:$C,0)),"INSIRA N° SERIE")</f>
        <v>CUNHA</v>
      </c>
      <c r="W317" s="41" t="str">
        <f>IFERROR(INDEX([1]GARANTIA!$H:$H,MATCH(A317,[1]GARANTIA!$C:$C,0)),"INSIRA N° SERIE")</f>
        <v>SP</v>
      </c>
      <c r="X317" s="41" t="str">
        <f>IFERROR(INDEX([1]GARANTIA!$F:$F,MATCH(A317,[1]GARANTIA!$C:$C,0)),"INSIRA N° SERIE")</f>
        <v>SUDESTE</v>
      </c>
      <c r="Y317" s="46">
        <f t="shared" si="32"/>
        <v>0</v>
      </c>
      <c r="Z317" s="47">
        <f t="shared" si="25"/>
        <v>3</v>
      </c>
      <c r="AA317" s="46">
        <f t="shared" si="33"/>
        <v>3</v>
      </c>
      <c r="AB317" s="46" t="str" cm="1">
        <f t="array" ref="AB317">IFERROR(_xlfn.IFS(L317="FINALIZADO PRESENCIAL",IF(AA317&gt;10,"FORA","DENTRO"),L317="FINALIZADO REMOTO",IF(AA317&gt;5,"FORA","DENTRO")),"-")</f>
        <v>DENTRO</v>
      </c>
      <c r="AC317" s="41" t="s">
        <v>1671</v>
      </c>
      <c r="AD317" s="41" t="s">
        <v>1671</v>
      </c>
      <c r="AE317" s="48" cm="1">
        <f t="array" ref="AE317">SUMPRODUCT(IFERROR(('[2]PEÇAS GARANTIA'!$A$3:$A$5993=G317)*('[2]PEÇAS GARANTIA'!$A$3:$A$5993&lt;&gt;"")*('[2]PEÇAS GARANTIA'!$R$3:$R$5993),0))</f>
        <v>692.07</v>
      </c>
      <c r="AF317" s="178">
        <v>0</v>
      </c>
    </row>
    <row r="318" spans="1:32" ht="83.25" customHeight="1" x14ac:dyDescent="0.25">
      <c r="A318" s="143">
        <v>90486</v>
      </c>
      <c r="B318" s="41" t="str">
        <f>IFERROR(INDEX([1]GARANTIA!$B:$B,MATCH(A318,[1]GARANTIA!$C:$C,0)),"INSIRA N° SERIE")</f>
        <v>TESTE 277</v>
      </c>
      <c r="C318" s="33">
        <f>IFERROR(INDEX([1]GARANTIA!$J:$J,MATCH(A318,[1]GARANTIA!$C:$C,0)),"INSIRA N° SERIE")</f>
        <v>44189</v>
      </c>
      <c r="D318" s="33" t="str">
        <f>IFERROR(IF(INDEX([1]GARANTIA!$M:$M,MATCH(A318,[1]GARANTIA!$C:$C,0))&gt;=I318,"DENTRO DA GARANTIA","FORA DE GARANTIA"),"INSIRA N° SERIE")</f>
        <v>DENTRO DA GARANTIA</v>
      </c>
      <c r="E318" s="148"/>
      <c r="F318" s="109">
        <f>IFERROR(MAX(0,IF(I318-(INDEX([1]GARANTIA!$J:$J,MATCH(A318,[1]GARANTIA!$C:$C,0)))&gt;=0,I318-(INDEX([1]GARANTIA!$L:$L,MATCH(A318,[1]GARANTIA!$C:$C,0))),"INSIRA DATA CHAMADO")),"INSIRA N° SERIE")</f>
        <v>0</v>
      </c>
      <c r="G318" s="98">
        <v>20210731</v>
      </c>
      <c r="H318" s="35" t="str">
        <f t="shared" si="24"/>
        <v>SET</v>
      </c>
      <c r="I318" s="89">
        <v>44468</v>
      </c>
      <c r="J318" s="90">
        <v>44468</v>
      </c>
      <c r="K318" s="91">
        <v>44468</v>
      </c>
      <c r="L318" s="92" t="s">
        <v>11</v>
      </c>
      <c r="M318" s="92" t="s">
        <v>164</v>
      </c>
      <c r="N318" s="92" t="s">
        <v>42</v>
      </c>
      <c r="O318" s="42" t="str">
        <f>IFERROR(INDEX([1]GARANTIA!$E:$E,MATCH(A318,[1]GARANTIA!$C:$C,0)),"INSIRA N° SERIE")</f>
        <v>MTI - 40.000GE</v>
      </c>
      <c r="P318" s="101" t="s">
        <v>664</v>
      </c>
      <c r="Q318" s="94" t="s">
        <v>306</v>
      </c>
      <c r="R318" s="93" t="s">
        <v>665</v>
      </c>
      <c r="S318" s="95" t="s">
        <v>101</v>
      </c>
      <c r="T318" s="95" t="s">
        <v>306</v>
      </c>
      <c r="U318" s="96"/>
      <c r="V318" s="41" t="str">
        <f>IFERROR(INDEX([1]GARANTIA!$G:$G,MATCH(A318,[1]GARANTIA!$C:$C,0)),"INSIRA N° SERIE")</f>
        <v>MACAÍBA</v>
      </c>
      <c r="W318" s="41" t="str">
        <f>IFERROR(INDEX([1]GARANTIA!$H:$H,MATCH(A318,[1]GARANTIA!$C:$C,0)),"INSIRA N° SERIE")</f>
        <v>RN</v>
      </c>
      <c r="X318" s="41" t="str">
        <f>IFERROR(INDEX([1]GARANTIA!$F:$F,MATCH(A318,[1]GARANTIA!$C:$C,0)),"INSIRA N° SERIE")</f>
        <v>NORDESTE</v>
      </c>
      <c r="Y318" s="46">
        <f t="shared" ref="Y318:Y319" si="34">IF(G318&lt;&gt;"",J318-I318,"INSIRA N° OS")</f>
        <v>0</v>
      </c>
      <c r="Z318" s="47">
        <f t="shared" si="25"/>
        <v>0</v>
      </c>
      <c r="AA318" s="46">
        <f t="shared" ref="AA318:AA319" si="35">IF(Z318="NÃO FINALIZADO","",Z318+Y318)</f>
        <v>0</v>
      </c>
      <c r="AB318" s="46" t="str" cm="1">
        <f t="array" ref="AB318">IFERROR(_xlfn.IFS(L318="FINALIZADO PRESENCIAL",IF(AA318&gt;10,"FORA","DENTRO"),L318="FINALIZADO REMOTO",IF(AA318&gt;5,"FORA","DENTRO")),"-")</f>
        <v>DENTRO</v>
      </c>
      <c r="AC318" s="41" t="s">
        <v>1671</v>
      </c>
      <c r="AD318" s="41" t="s">
        <v>1671</v>
      </c>
      <c r="AE318" s="48" cm="1">
        <f t="array" ref="AE318">SUMPRODUCT(IFERROR(('[2]PEÇAS GARANTIA'!$A$3:$A$5993=G318)*('[2]PEÇAS GARANTIA'!$A$3:$A$5993&lt;&gt;"")*('[2]PEÇAS GARANTIA'!$R$3:$R$5993),0))</f>
        <v>0</v>
      </c>
      <c r="AF318" s="178">
        <v>0</v>
      </c>
    </row>
    <row r="319" spans="1:32" ht="69.75" customHeight="1" x14ac:dyDescent="0.25">
      <c r="A319" s="82">
        <v>24822</v>
      </c>
      <c r="B319" s="41" t="str">
        <f>IFERROR(INDEX([1]GARANTIA!$B:$B,MATCH(A319,[1]GARANTIA!$C:$C,0)),"INSIRA N° SERIE")</f>
        <v>TESTE 350</v>
      </c>
      <c r="C319" s="33">
        <f>IFERROR(INDEX([1]GARANTIA!$J:$J,MATCH(A319,[1]GARANTIA!$C:$C,0)),"INSIRA N° SERIE")</f>
        <v>44271</v>
      </c>
      <c r="D319" s="33" t="str">
        <f>IFERROR(IF(INDEX([1]GARANTIA!$M:$M,MATCH(A319,[1]GARANTIA!$C:$C,0))&gt;=I319,"DENTRO DA GARANTIA","FORA DE GARANTIA"),"INSIRA N° SERIE")</f>
        <v>DENTRO DA GARANTIA</v>
      </c>
      <c r="E319" s="148"/>
      <c r="F319" s="109">
        <f>IFERROR(MAX(0,IF(I319-(INDEX([1]GARANTIA!$J:$J,MATCH(A319,[1]GARANTIA!$C:$C,0)))&gt;=0,I319-(INDEX([1]GARANTIA!$L:$L,MATCH(A319,[1]GARANTIA!$C:$C,0))),"INSIRA DATA CHAMADO")),"INSIRA N° SERIE")</f>
        <v>0</v>
      </c>
      <c r="G319" s="98">
        <v>20210732</v>
      </c>
      <c r="H319" s="35" t="str">
        <f t="shared" si="24"/>
        <v>SET</v>
      </c>
      <c r="I319" s="89">
        <v>44466</v>
      </c>
      <c r="J319" s="90">
        <v>44466</v>
      </c>
      <c r="K319" s="91">
        <v>44466</v>
      </c>
      <c r="L319" s="92" t="s">
        <v>11</v>
      </c>
      <c r="M319" s="92" t="s">
        <v>164</v>
      </c>
      <c r="N319" s="92" t="s">
        <v>42</v>
      </c>
      <c r="O319" s="42" t="str">
        <f>IFERROR(INDEX([1]GARANTIA!$E:$E,MATCH(A319,[1]GARANTIA!$C:$C,0)),"INSIRA N° SERIE")</f>
        <v>MTI - 4.000GTS</v>
      </c>
      <c r="P319" s="101" t="s">
        <v>667</v>
      </c>
      <c r="Q319" s="94" t="s">
        <v>645</v>
      </c>
      <c r="R319" s="93" t="s">
        <v>668</v>
      </c>
      <c r="S319" s="95" t="s">
        <v>325</v>
      </c>
      <c r="T319" s="95" t="s">
        <v>142</v>
      </c>
      <c r="U319" s="96"/>
      <c r="V319" s="41" t="str">
        <f>IFERROR(INDEX([1]GARANTIA!$G:$G,MATCH(A319,[1]GARANTIA!$C:$C,0)),"INSIRA N° SERIE")</f>
        <v>ITAUNA</v>
      </c>
      <c r="W319" s="41" t="str">
        <f>IFERROR(INDEX([1]GARANTIA!$H:$H,MATCH(A319,[1]GARANTIA!$C:$C,0)),"INSIRA N° SERIE")</f>
        <v>MG</v>
      </c>
      <c r="X319" s="41" t="str">
        <f>IFERROR(INDEX([1]GARANTIA!$F:$F,MATCH(A319,[1]GARANTIA!$C:$C,0)),"INSIRA N° SERIE")</f>
        <v>SUDESTE</v>
      </c>
      <c r="Y319" s="46">
        <f t="shared" si="34"/>
        <v>0</v>
      </c>
      <c r="Z319" s="47">
        <f t="shared" si="25"/>
        <v>0</v>
      </c>
      <c r="AA319" s="46">
        <f t="shared" si="35"/>
        <v>0</v>
      </c>
      <c r="AB319" s="46" t="str" cm="1">
        <f t="array" ref="AB319">IFERROR(_xlfn.IFS(L319="FINALIZADO PRESENCIAL",IF(AA319&gt;10,"FORA","DENTRO"),L319="FINALIZADO REMOTO",IF(AA319&gt;5,"FORA","DENTRO")),"-")</f>
        <v>DENTRO</v>
      </c>
      <c r="AC319" s="41" t="s">
        <v>1671</v>
      </c>
      <c r="AD319" s="41" t="s">
        <v>1671</v>
      </c>
      <c r="AE319" s="48" cm="1">
        <f t="array" ref="AE319">SUMPRODUCT(IFERROR(('[2]PEÇAS GARANTIA'!$A$3:$A$5993=G319)*('[2]PEÇAS GARANTIA'!$A$3:$A$5993&lt;&gt;"")*('[2]PEÇAS GARANTIA'!$R$3:$R$5993),0))</f>
        <v>821.92</v>
      </c>
      <c r="AF319" s="178">
        <v>0</v>
      </c>
    </row>
    <row r="320" spans="1:32" ht="69.75" customHeight="1" x14ac:dyDescent="0.25">
      <c r="A320" s="82">
        <v>24822</v>
      </c>
      <c r="B320" s="41" t="str">
        <f>IFERROR(INDEX([1]GARANTIA!$B:$B,MATCH(A320,[1]GARANTIA!$C:$C,0)),"INSIRA N° SERIE")</f>
        <v>TESTE 350</v>
      </c>
      <c r="C320" s="33">
        <f>IFERROR(INDEX([1]GARANTIA!$J:$J,MATCH(A320,[1]GARANTIA!$C:$C,0)),"INSIRA N° SERIE")</f>
        <v>44271</v>
      </c>
      <c r="D320" s="33" t="str">
        <f>IFERROR(IF(INDEX([1]GARANTIA!$M:$M,MATCH(A320,[1]GARANTIA!$C:$C,0))&gt;=I320,"DENTRO DA GARANTIA","FORA DE GARANTIA"),"INSIRA N° SERIE")</f>
        <v>DENTRO DA GARANTIA</v>
      </c>
      <c r="E320" s="148"/>
      <c r="F320" s="109">
        <f>IFERROR(MAX(0,IF(I320-(INDEX([1]GARANTIA!$J:$J,MATCH(A320,[1]GARANTIA!$C:$C,0)))&gt;=0,I320-(INDEX([1]GARANTIA!$L:$L,MATCH(A320,[1]GARANTIA!$C:$C,0))),"INSIRA DATA CHAMADO")),"INSIRA N° SERIE")</f>
        <v>0</v>
      </c>
      <c r="G320" s="98">
        <v>20210733</v>
      </c>
      <c r="H320" s="35" t="str">
        <f t="shared" si="24"/>
        <v>SET</v>
      </c>
      <c r="I320" s="89">
        <v>44468</v>
      </c>
      <c r="J320" s="90">
        <v>44468</v>
      </c>
      <c r="K320" s="91">
        <v>44468</v>
      </c>
      <c r="L320" s="92" t="s">
        <v>11</v>
      </c>
      <c r="M320" s="92" t="s">
        <v>164</v>
      </c>
      <c r="N320" s="92" t="s">
        <v>28</v>
      </c>
      <c r="O320" s="42" t="str">
        <f>IFERROR(INDEX([1]GARANTIA!$E:$E,MATCH(A320,[1]GARANTIA!$C:$C,0)),"INSIRA N° SERIE")</f>
        <v>MTI - 4.000GTS</v>
      </c>
      <c r="P320" s="101" t="s">
        <v>666</v>
      </c>
      <c r="Q320" s="94" t="s">
        <v>645</v>
      </c>
      <c r="R320" s="93" t="s">
        <v>683</v>
      </c>
      <c r="S320" s="95" t="s">
        <v>325</v>
      </c>
      <c r="T320" s="95" t="s">
        <v>640</v>
      </c>
      <c r="U320" s="96"/>
      <c r="V320" s="41" t="str">
        <f>IFERROR(INDEX([1]GARANTIA!$G:$G,MATCH(A320,[1]GARANTIA!$C:$C,0)),"INSIRA N° SERIE")</f>
        <v>ITAUNA</v>
      </c>
      <c r="W320" s="41" t="str">
        <f>IFERROR(INDEX([1]GARANTIA!$H:$H,MATCH(A320,[1]GARANTIA!$C:$C,0)),"INSIRA N° SERIE")</f>
        <v>MG</v>
      </c>
      <c r="X320" s="41" t="str">
        <f>IFERROR(INDEX([1]GARANTIA!$F:$F,MATCH(A320,[1]GARANTIA!$C:$C,0)),"INSIRA N° SERIE")</f>
        <v>SUDESTE</v>
      </c>
      <c r="Y320" s="46">
        <f t="shared" ref="Y320:Y321" si="36">IF(G320&lt;&gt;"",J320-I320,"INSIRA N° OS")</f>
        <v>0</v>
      </c>
      <c r="Z320" s="47">
        <f t="shared" si="25"/>
        <v>0</v>
      </c>
      <c r="AA320" s="46">
        <f t="shared" ref="AA320:AA321" si="37">IF(Z320="NÃO FINALIZADO","",Z320+Y320)</f>
        <v>0</v>
      </c>
      <c r="AB320" s="46" t="str" cm="1">
        <f t="array" ref="AB320">IFERROR(_xlfn.IFS(L320="FINALIZADO PRESENCIAL",IF(AA320&gt;10,"FORA","DENTRO"),L320="FINALIZADO REMOTO",IF(AA320&gt;5,"FORA","DENTRO")),"-")</f>
        <v>DENTRO</v>
      </c>
      <c r="AC320" s="41" t="s">
        <v>1671</v>
      </c>
      <c r="AD320" s="41" t="s">
        <v>1671</v>
      </c>
      <c r="AE320" s="48" cm="1">
        <f t="array" ref="AE320">SUMPRODUCT(IFERROR(('[2]PEÇAS GARANTIA'!$A$3:$A$5993=G320)*('[2]PEÇAS GARANTIA'!$A$3:$A$5993&lt;&gt;"")*('[2]PEÇAS GARANTIA'!$R$3:$R$5993),0))</f>
        <v>1400</v>
      </c>
      <c r="AF320" s="178">
        <v>0</v>
      </c>
    </row>
    <row r="321" spans="1:32" ht="69.75" customHeight="1" x14ac:dyDescent="0.25">
      <c r="A321" s="82">
        <v>83536</v>
      </c>
      <c r="B321" s="41" t="str">
        <f>IFERROR(INDEX([1]GARANTIA!$B:$B,MATCH(A321,[1]GARANTIA!$C:$C,0)),"INSIRA N° SERIE")</f>
        <v>TESTE 98</v>
      </c>
      <c r="C321" s="33">
        <f>IFERROR(INDEX([1]GARANTIA!$J:$J,MATCH(A321,[1]GARANTIA!$C:$C,0)),"INSIRA N° SERIE")</f>
        <v>44175</v>
      </c>
      <c r="D321" s="33" t="str">
        <f>IFERROR(IF(INDEX([1]GARANTIA!$M:$M,MATCH(A321,[1]GARANTIA!$C:$C,0))&gt;=I321,"DENTRO DA GARANTIA","FORA DE GARANTIA"),"INSIRA N° SERIE")</f>
        <v>DENTRO DA GARANTIA</v>
      </c>
      <c r="E321" s="148"/>
      <c r="F321" s="109">
        <f>IFERROR(MAX(0,IF(I321-(INDEX([1]GARANTIA!$J:$J,MATCH(A321,[1]GARANTIA!$C:$C,0)))&gt;=0,I321-(INDEX([1]GARANTIA!$L:$L,MATCH(A321,[1]GARANTIA!$C:$C,0))),"INSIRA DATA CHAMADO")),"INSIRA N° SERIE")</f>
        <v>65</v>
      </c>
      <c r="G321" s="98">
        <v>20210734</v>
      </c>
      <c r="H321" s="35" t="str">
        <f t="shared" si="24"/>
        <v>OUT</v>
      </c>
      <c r="I321" s="89">
        <v>44473</v>
      </c>
      <c r="J321" s="90">
        <v>44473</v>
      </c>
      <c r="K321" s="91">
        <v>44476</v>
      </c>
      <c r="L321" s="92" t="s">
        <v>11</v>
      </c>
      <c r="M321" s="92" t="s">
        <v>8</v>
      </c>
      <c r="N321" s="92" t="s">
        <v>29</v>
      </c>
      <c r="O321" s="42" t="str">
        <f>IFERROR(INDEX([1]GARANTIA!$E:$E,MATCH(A321,[1]GARANTIA!$C:$C,0)),"INSIRA N° SERIE")</f>
        <v>MTI - 12.000GTS</v>
      </c>
      <c r="P321" s="101" t="s">
        <v>671</v>
      </c>
      <c r="Q321" s="94" t="s">
        <v>611</v>
      </c>
      <c r="R321" s="93" t="s">
        <v>672</v>
      </c>
      <c r="S321" s="142" t="s">
        <v>101</v>
      </c>
      <c r="T321" s="142" t="s">
        <v>142</v>
      </c>
      <c r="U321" s="96"/>
      <c r="V321" s="41" t="str">
        <f>IFERROR(INDEX([1]GARANTIA!$G:$G,MATCH(A321,[1]GARANTIA!$C:$C,0)),"INSIRA N° SERIE")</f>
        <v>RONDONÓPOLIS</v>
      </c>
      <c r="W321" s="41" t="str">
        <f>IFERROR(INDEX([1]GARANTIA!$H:$H,MATCH(A321,[1]GARANTIA!$C:$C,0)),"INSIRA N° SERIE")</f>
        <v>MT</v>
      </c>
      <c r="X321" s="41" t="str">
        <f>IFERROR(INDEX([1]GARANTIA!$F:$F,MATCH(A321,[1]GARANTIA!$C:$C,0)),"INSIRA N° SERIE")</f>
        <v>CENTROESTE</v>
      </c>
      <c r="Y321" s="46">
        <f t="shared" si="36"/>
        <v>0</v>
      </c>
      <c r="Z321" s="47">
        <f t="shared" si="25"/>
        <v>3</v>
      </c>
      <c r="AA321" s="46">
        <f t="shared" si="37"/>
        <v>3</v>
      </c>
      <c r="AB321" s="46" t="str" cm="1">
        <f t="array" ref="AB321">IFERROR(_xlfn.IFS(L321="FINALIZADO PRESENCIAL",IF(AA321&gt;10,"FORA","DENTRO"),L321="FINALIZADO REMOTO",IF(AA321&gt;5,"FORA","DENTRO")),"-")</f>
        <v>DENTRO</v>
      </c>
      <c r="AC321" s="41" t="s">
        <v>1671</v>
      </c>
      <c r="AD321" s="41" t="s">
        <v>1671</v>
      </c>
      <c r="AE321" s="48" cm="1">
        <f t="array" ref="AE321">SUMPRODUCT(IFERROR(('[2]PEÇAS GARANTIA'!$A$3:$A$5993=G321)*('[2]PEÇAS GARANTIA'!$A$3:$A$5993&lt;&gt;"")*('[2]PEÇAS GARANTIA'!$R$3:$R$5993),0))</f>
        <v>9432.869999999999</v>
      </c>
      <c r="AF321" s="178">
        <v>2466.67</v>
      </c>
    </row>
    <row r="322" spans="1:32" ht="69.75" customHeight="1" x14ac:dyDescent="0.25">
      <c r="A322" s="82">
        <v>78008</v>
      </c>
      <c r="B322" s="41" t="str">
        <f>IFERROR(INDEX([1]GARANTIA!$B:$B,MATCH(A322,[1]GARANTIA!$C:$C,0)),"INSIRA N° SERIE")</f>
        <v>TESTE 345</v>
      </c>
      <c r="C322" s="33">
        <f>IFERROR(INDEX([1]GARANTIA!$J:$J,MATCH(A322,[1]GARANTIA!$C:$C,0)),"INSIRA N° SERIE")</f>
        <v>44331</v>
      </c>
      <c r="D322" s="33" t="str">
        <f>IFERROR(IF(INDEX([1]GARANTIA!$M:$M,MATCH(A322,[1]GARANTIA!$C:$C,0))&gt;=I322,"DENTRO DA GARANTIA","FORA DE GARANTIA"),"INSIRA N° SERIE")</f>
        <v>DENTRO DA GARANTIA</v>
      </c>
      <c r="E322" s="148"/>
      <c r="F322" s="109">
        <f>IFERROR(MAX(0,IF(I322-(INDEX([1]GARANTIA!$J:$J,MATCH(A322,[1]GARANTIA!$C:$C,0)))&gt;=0,I322-(INDEX([1]GARANTIA!$L:$L,MATCH(A322,[1]GARANTIA!$C:$C,0))),"INSIRA DATA CHAMADO")),"INSIRA N° SERIE")</f>
        <v>14</v>
      </c>
      <c r="G322" s="98">
        <v>20210735</v>
      </c>
      <c r="H322" s="35" t="str">
        <f t="shared" si="24"/>
        <v>OUT</v>
      </c>
      <c r="I322" s="89">
        <v>44474</v>
      </c>
      <c r="J322" s="90">
        <v>44474</v>
      </c>
      <c r="K322" s="91">
        <v>44476</v>
      </c>
      <c r="L322" s="92" t="s">
        <v>11</v>
      </c>
      <c r="M322" s="92" t="s">
        <v>8</v>
      </c>
      <c r="N322" s="92" t="s">
        <v>31</v>
      </c>
      <c r="O322" s="42" t="str">
        <f>IFERROR(INDEX([1]GARANTIA!$E:$E,MATCH(A322,[1]GARANTIA!$C:$C,0)),"INSIRA N° SERIE")</f>
        <v>MTI - 3.200GES</v>
      </c>
      <c r="P322" s="101" t="s">
        <v>684</v>
      </c>
      <c r="Q322" s="94" t="s">
        <v>611</v>
      </c>
      <c r="R322" s="93" t="s">
        <v>673</v>
      </c>
      <c r="S322" s="142" t="s">
        <v>98</v>
      </c>
      <c r="T322" s="142" t="s">
        <v>141</v>
      </c>
      <c r="U322" s="96"/>
      <c r="V322" s="41" t="str">
        <f>IFERROR(INDEX([1]GARANTIA!$G:$G,MATCH(A322,[1]GARANTIA!$C:$C,0)),"INSIRA N° SERIE")</f>
        <v>SÃO PAULO</v>
      </c>
      <c r="W322" s="41" t="str">
        <f>IFERROR(INDEX([1]GARANTIA!$H:$H,MATCH(A322,[1]GARANTIA!$C:$C,0)),"INSIRA N° SERIE")</f>
        <v>SP</v>
      </c>
      <c r="X322" s="41" t="str">
        <f>IFERROR(INDEX([1]GARANTIA!$F:$F,MATCH(A322,[1]GARANTIA!$C:$C,0)),"INSIRA N° SERIE")</f>
        <v>SUDESTE</v>
      </c>
      <c r="Y322" s="46">
        <f t="shared" ref="Y322" si="38">IF(G322&lt;&gt;"",J322-I322,"INSIRA N° OS")</f>
        <v>0</v>
      </c>
      <c r="Z322" s="47">
        <f t="shared" si="25"/>
        <v>2</v>
      </c>
      <c r="AA322" s="46">
        <f t="shared" ref="AA322" si="39">IF(Z322="NÃO FINALIZADO","",Z322+Y322)</f>
        <v>2</v>
      </c>
      <c r="AB322" s="46" t="str" cm="1">
        <f t="array" ref="AB322">IFERROR(_xlfn.IFS(L322="FINALIZADO PRESENCIAL",IF(AA322&gt;10,"FORA","DENTRO"),L322="FINALIZADO REMOTO",IF(AA322&gt;5,"FORA","DENTRO")),"-")</f>
        <v>DENTRO</v>
      </c>
      <c r="AC322" s="41" t="s">
        <v>1671</v>
      </c>
      <c r="AD322" s="41" t="s">
        <v>1671</v>
      </c>
      <c r="AE322" s="48" cm="1">
        <f t="array" ref="AE322">SUMPRODUCT(IFERROR(('[2]PEÇAS GARANTIA'!$A$3:$A$5993=G322)*('[2]PEÇAS GARANTIA'!$A$3:$A$5993&lt;&gt;"")*('[2]PEÇAS GARANTIA'!$R$3:$R$5993),0))</f>
        <v>2711.0299999999997</v>
      </c>
      <c r="AF322" s="178">
        <v>0</v>
      </c>
    </row>
    <row r="323" spans="1:32" ht="69.75" customHeight="1" x14ac:dyDescent="0.25">
      <c r="A323" s="82">
        <v>73892</v>
      </c>
      <c r="B323" s="41" t="str">
        <f>IFERROR(INDEX([1]GARANTIA!$B:$B,MATCH(A323,[1]GARANTIA!$C:$C,0)),"INSIRA N° SERIE")</f>
        <v>TESTE 240</v>
      </c>
      <c r="C323" s="33">
        <f>IFERROR(INDEX([1]GARANTIA!$J:$J,MATCH(A323,[1]GARANTIA!$C:$C,0)),"INSIRA N° SERIE")</f>
        <v>44298</v>
      </c>
      <c r="D323" s="33" t="str">
        <f>IFERROR(IF(INDEX([1]GARANTIA!$M:$M,MATCH(A323,[1]GARANTIA!$C:$C,0))&gt;=I323,"DENTRO DA GARANTIA","FORA DE GARANTIA"),"INSIRA N° SERIE")</f>
        <v>DENTRO DA GARANTIA</v>
      </c>
      <c r="E323" s="148"/>
      <c r="F323" s="109">
        <f>IFERROR(MAX(0,IF(I323-(INDEX([1]GARANTIA!$J:$J,MATCH(A323,[1]GARANTIA!$C:$C,0)))&gt;=0,I323-(INDEX([1]GARANTIA!$L:$L,MATCH(A323,[1]GARANTIA!$C:$C,0))),"INSIRA DATA CHAMADO")),"INSIRA N° SERIE")</f>
        <v>138</v>
      </c>
      <c r="G323" s="98">
        <v>20210736</v>
      </c>
      <c r="H323" s="35" t="str">
        <f t="shared" ref="H323:H386" si="40">IF(YEAR(I323)=YEAR(I323),IF(I323&lt;&gt;"",UPPER(TEXT(I323,"MMM")),""),"")</f>
        <v>OUT</v>
      </c>
      <c r="I323" s="89">
        <v>44474</v>
      </c>
      <c r="J323" s="90">
        <v>44474</v>
      </c>
      <c r="K323" s="91">
        <v>44476</v>
      </c>
      <c r="L323" s="92" t="s">
        <v>11</v>
      </c>
      <c r="M323" s="92" t="s">
        <v>8</v>
      </c>
      <c r="N323" s="92" t="s">
        <v>40</v>
      </c>
      <c r="O323" s="42" t="str">
        <f>IFERROR(INDEX([1]GARANTIA!$E:$E,MATCH(A323,[1]GARANTIA!$C:$C,0)),"INSIRA N° SERIE")</f>
        <v>MTI - 1.000GTS</v>
      </c>
      <c r="P323" s="101" t="s">
        <v>674</v>
      </c>
      <c r="Q323" s="94" t="s">
        <v>645</v>
      </c>
      <c r="R323" s="93" t="s">
        <v>675</v>
      </c>
      <c r="S323" s="95" t="s">
        <v>325</v>
      </c>
      <c r="T323" s="95" t="s">
        <v>142</v>
      </c>
      <c r="U323" s="96"/>
      <c r="V323" s="41" t="str">
        <f>IFERROR(INDEX([1]GARANTIA!$G:$G,MATCH(A323,[1]GARANTIA!$C:$C,0)),"INSIRA N° SERIE")</f>
        <v>FORMOSA</v>
      </c>
      <c r="W323" s="41" t="str">
        <f>IFERROR(INDEX([1]GARANTIA!$H:$H,MATCH(A323,[1]GARANTIA!$C:$C,0)),"INSIRA N° SERIE")</f>
        <v>GO</v>
      </c>
      <c r="X323" s="41" t="str">
        <f>IFERROR(INDEX([1]GARANTIA!$F:$F,MATCH(A323,[1]GARANTIA!$C:$C,0)),"INSIRA N° SERIE")</f>
        <v>CENTROESTE</v>
      </c>
      <c r="Y323" s="46">
        <f t="shared" ref="Y323:Y336" si="41">IF(G323&lt;&gt;"",J323-I323,"INSIRA N° OS")</f>
        <v>0</v>
      </c>
      <c r="Z323" s="47">
        <f t="shared" ref="Z323:Z386" si="42">IF(G323&lt;&gt;"",IF(OR(A323="",K323="",Q323="",P323="",R323=""),"NÃO FINALIZADO",K323-J323),"INSIRA N° OS")</f>
        <v>2</v>
      </c>
      <c r="AA323" s="46">
        <f t="shared" ref="AA323:AA336" si="43">IF(Z323="NÃO FINALIZADO","",Z323+Y323)</f>
        <v>2</v>
      </c>
      <c r="AB323" s="46" t="str" cm="1">
        <f t="array" ref="AB323">IFERROR(_xlfn.IFS(L323="FINALIZADO PRESENCIAL",IF(AA323&gt;10,"FORA","DENTRO"),L323="FINALIZADO REMOTO",IF(AA323&gt;5,"FORA","DENTRO")),"-")</f>
        <v>DENTRO</v>
      </c>
      <c r="AC323" s="41" t="s">
        <v>1671</v>
      </c>
      <c r="AD323" s="41" t="s">
        <v>1671</v>
      </c>
      <c r="AE323" s="48" cm="1">
        <f t="array" ref="AE323">SUMPRODUCT(IFERROR(('[2]PEÇAS GARANTIA'!$A$3:$A$5993=G323)*('[2]PEÇAS GARANTIA'!$A$3:$A$5993&lt;&gt;"")*('[2]PEÇAS GARANTIA'!$R$3:$R$5993),0))</f>
        <v>0</v>
      </c>
      <c r="AF323" s="178">
        <v>0</v>
      </c>
    </row>
    <row r="324" spans="1:32" ht="54" customHeight="1" x14ac:dyDescent="0.25">
      <c r="A324" s="82">
        <v>50869</v>
      </c>
      <c r="B324" s="41" t="str">
        <f>IFERROR(INDEX([1]GARANTIA!$B:$B,MATCH(A324,[1]GARANTIA!$C:$C,0)),"INSIRA N° SERIE")</f>
        <v>TESTE 417</v>
      </c>
      <c r="C324" s="33">
        <f>IFERROR(INDEX([1]GARANTIA!$J:$J,MATCH(A324,[1]GARANTIA!$C:$C,0)),"INSIRA N° SERIE")</f>
        <v>44552</v>
      </c>
      <c r="D324" s="33" t="str">
        <f>IFERROR(IF(INDEX([1]GARANTIA!$M:$M,MATCH(A324,[1]GARANTIA!$C:$C,0))&gt;=I324,"DENTRO DA GARANTIA","FORA DE GARANTIA"),"INSIRA N° SERIE")</f>
        <v>FORA DE GARANTIA</v>
      </c>
      <c r="E324" s="148"/>
      <c r="F324" s="109" t="str">
        <f>IFERROR(MAX(0,IF(I324-(INDEX([1]GARANTIA!$J:$J,MATCH(A324,[1]GARANTIA!$C:$C,0)))&gt;=0,I324-(INDEX([1]GARANTIA!$L:$L,MATCH(A324,[1]GARANTIA!$C:$C,0))),"INSIRA DATA CHAMADO")),"INSIRA N° SERIE")</f>
        <v>INSIRA N° SERIE</v>
      </c>
      <c r="G324" s="98">
        <v>20210737</v>
      </c>
      <c r="H324" s="35" t="str">
        <f t="shared" si="40"/>
        <v>OUT</v>
      </c>
      <c r="I324" s="89">
        <v>44475</v>
      </c>
      <c r="J324" s="90">
        <v>44475</v>
      </c>
      <c r="K324" s="91">
        <v>44480</v>
      </c>
      <c r="L324" s="92" t="s">
        <v>11</v>
      </c>
      <c r="M324" s="92" t="s">
        <v>8</v>
      </c>
      <c r="N324" s="92" t="s">
        <v>43</v>
      </c>
      <c r="O324" s="42" t="str">
        <f>IFERROR(INDEX([1]GARANTIA!$E:$E,MATCH(A324,[1]GARANTIA!$C:$C,0)),"INSIRA N° SERIE")</f>
        <v>MTI-1.000GTS</v>
      </c>
      <c r="P324" s="101" t="s">
        <v>669</v>
      </c>
      <c r="Q324" s="142" t="s">
        <v>611</v>
      </c>
      <c r="R324" s="93" t="s">
        <v>692</v>
      </c>
      <c r="S324" s="142" t="s">
        <v>101</v>
      </c>
      <c r="T324" s="142" t="s">
        <v>142</v>
      </c>
      <c r="U324" s="96"/>
      <c r="V324" s="41" t="str">
        <f>IFERROR(INDEX([1]GARANTIA!$G:$G,MATCH(A324,[1]GARANTIA!$C:$C,0)),"INSIRA N° SERIE")</f>
        <v>CAMPO GRANDE</v>
      </c>
      <c r="W324" s="41" t="str">
        <f>IFERROR(INDEX([1]GARANTIA!$H:$H,MATCH(A324,[1]GARANTIA!$C:$C,0)),"INSIRA N° SERIE")</f>
        <v xml:space="preserve">MS </v>
      </c>
      <c r="X324" s="41" t="str">
        <f>IFERROR(INDEX([1]GARANTIA!$F:$F,MATCH(A324,[1]GARANTIA!$C:$C,0)),"INSIRA N° SERIE")</f>
        <v>CENTRO-OESTE</v>
      </c>
      <c r="Y324" s="46">
        <f t="shared" si="41"/>
        <v>0</v>
      </c>
      <c r="Z324" s="47">
        <f t="shared" si="42"/>
        <v>5</v>
      </c>
      <c r="AA324" s="46">
        <f t="shared" si="43"/>
        <v>5</v>
      </c>
      <c r="AB324" s="46" t="str" cm="1">
        <f t="array" ref="AB324">IFERROR(_xlfn.IFS(L324="FINALIZADO PRESENCIAL",IF(AA324&gt;10,"FORA","DENTRO"),L324="FINALIZADO REMOTO",IF(AA324&gt;5,"FORA","DENTRO")),"-")</f>
        <v>DENTRO</v>
      </c>
      <c r="AC324" s="41" t="s">
        <v>1671</v>
      </c>
      <c r="AD324" s="41" t="s">
        <v>1671</v>
      </c>
      <c r="AE324" s="48" cm="1">
        <f t="array" ref="AE324">SUMPRODUCT(IFERROR(('[2]PEÇAS GARANTIA'!$A$3:$A$5993=G324)*('[2]PEÇAS GARANTIA'!$A$3:$A$5993&lt;&gt;"")*('[2]PEÇAS GARANTIA'!$R$3:$R$5993),0))</f>
        <v>6991.4000000000005</v>
      </c>
      <c r="AF324" s="178">
        <v>0</v>
      </c>
    </row>
    <row r="325" spans="1:32" ht="57.75" customHeight="1" x14ac:dyDescent="0.25">
      <c r="A325" s="82">
        <v>52520</v>
      </c>
      <c r="B325" s="41" t="str">
        <f>IFERROR(INDEX([1]GARANTIA!$B:$B,MATCH(A325,[1]GARANTIA!$C:$C,0)),"INSIRA N° SERIE")</f>
        <v>TESTE 353</v>
      </c>
      <c r="C325" s="33">
        <f>IFERROR(INDEX([1]GARANTIA!$J:$J,MATCH(A325,[1]GARANTIA!$C:$C,0)),"INSIRA N° SERIE")</f>
        <v>44371</v>
      </c>
      <c r="D325" s="33" t="str">
        <f>IFERROR(IF(INDEX([1]GARANTIA!$M:$M,MATCH(A325,[1]GARANTIA!$C:$C,0))&gt;=I325,"DENTRO DA GARANTIA","FORA DE GARANTIA"),"INSIRA N° SERIE")</f>
        <v>DENTRO DA GARANTIA</v>
      </c>
      <c r="E325" s="148"/>
      <c r="F325" s="109">
        <f>IFERROR(MAX(0,IF(I325-(INDEX([1]GARANTIA!$J:$J,MATCH(A325,[1]GARANTIA!$C:$C,0)))&gt;=0,I325-(INDEX([1]GARANTIA!$L:$L,MATCH(A325,[1]GARANTIA!$C:$C,0))),"INSIRA DATA CHAMADO")),"INSIRA N° SERIE")</f>
        <v>1</v>
      </c>
      <c r="G325" s="98">
        <v>20210738</v>
      </c>
      <c r="H325" s="35" t="str">
        <f t="shared" si="40"/>
        <v>OUT</v>
      </c>
      <c r="I325" s="89">
        <v>44475</v>
      </c>
      <c r="J325" s="90">
        <v>44475</v>
      </c>
      <c r="K325" s="91">
        <v>44476</v>
      </c>
      <c r="L325" s="92" t="s">
        <v>23</v>
      </c>
      <c r="M325" s="92" t="s">
        <v>8</v>
      </c>
      <c r="N325" s="92" t="s">
        <v>43</v>
      </c>
      <c r="O325" s="42" t="str">
        <f>IFERROR(INDEX([1]GARANTIA!$E:$E,MATCH(A325,[1]GARANTIA!$C:$C,0)),"INSIRA N° SERIE")</f>
        <v>MTI - 2.500GTS</v>
      </c>
      <c r="P325" s="101" t="s">
        <v>670</v>
      </c>
      <c r="Q325" s="94" t="s">
        <v>643</v>
      </c>
      <c r="R325" s="93" t="s">
        <v>676</v>
      </c>
      <c r="S325" s="95" t="s">
        <v>98</v>
      </c>
      <c r="T325" s="95" t="s">
        <v>297</v>
      </c>
      <c r="U325" s="96"/>
      <c r="V325" s="41" t="str">
        <f>IFERROR(INDEX([1]GARANTIA!$G:$G,MATCH(A325,[1]GARANTIA!$C:$C,0)),"INSIRA N° SERIE")</f>
        <v>QUIRINOPOLIS</v>
      </c>
      <c r="W325" s="41" t="str">
        <f>IFERROR(INDEX([1]GARANTIA!$H:$H,MATCH(A325,[1]GARANTIA!$C:$C,0)),"INSIRA N° SERIE")</f>
        <v xml:space="preserve">GO </v>
      </c>
      <c r="X325" s="41" t="str">
        <f>IFERROR(INDEX([1]GARANTIA!$F:$F,MATCH(A325,[1]GARANTIA!$C:$C,0)),"INSIRA N° SERIE")</f>
        <v>SUDESTE</v>
      </c>
      <c r="Y325" s="46">
        <f t="shared" si="41"/>
        <v>0</v>
      </c>
      <c r="Z325" s="47">
        <f t="shared" si="42"/>
        <v>1</v>
      </c>
      <c r="AA325" s="46">
        <f t="shared" si="43"/>
        <v>1</v>
      </c>
      <c r="AB325" s="46" t="str" cm="1">
        <f t="array" ref="AB325">IFERROR(_xlfn.IFS(L325="FINALIZADO PRESENCIAL",IF(AA325&gt;10,"FORA","DENTRO"),L325="FINALIZADO REMOTO",IF(AA325&gt;5,"FORA","DENTRO")),"-")</f>
        <v>DENTRO</v>
      </c>
      <c r="AC325" s="41" t="s">
        <v>1671</v>
      </c>
      <c r="AD325" s="41" t="s">
        <v>1671</v>
      </c>
      <c r="AE325" s="48" cm="1">
        <f t="array" ref="AE325">SUMPRODUCT(IFERROR(('[2]PEÇAS GARANTIA'!$A$3:$A$5993=G325)*('[2]PEÇAS GARANTIA'!$A$3:$A$5993&lt;&gt;"")*('[2]PEÇAS GARANTIA'!$R$3:$R$5993),0))</f>
        <v>0</v>
      </c>
      <c r="AF325" s="178">
        <v>0</v>
      </c>
    </row>
    <row r="326" spans="1:32" ht="51.75" customHeight="1" x14ac:dyDescent="0.25">
      <c r="A326" s="82">
        <v>38373</v>
      </c>
      <c r="B326" s="41" t="str">
        <f>IFERROR(INDEX([1]GARANTIA!$B:$B,MATCH(A326,[1]GARANTIA!$C:$C,0)),"INSIRA N° SERIE")</f>
        <v>TESTE 40</v>
      </c>
      <c r="C326" s="33">
        <f>IFERROR(INDEX([1]GARANTIA!$J:$J,MATCH(A326,[1]GARANTIA!$C:$C,0)),"INSIRA N° SERIE")</f>
        <v>44165</v>
      </c>
      <c r="D326" s="33" t="str">
        <f>IFERROR(IF(INDEX([1]GARANTIA!$M:$M,MATCH(A326,[1]GARANTIA!$C:$C,0))&gt;=I326,"DENTRO DA GARANTIA","FORA DE GARANTIA"),"INSIRA N° SERIE")</f>
        <v>DENTRO DA GARANTIA</v>
      </c>
      <c r="E326" s="148"/>
      <c r="F326" s="109">
        <f>IFERROR(MAX(0,IF(I326-(INDEX([1]GARANTIA!$J:$J,MATCH(A326,[1]GARANTIA!$C:$C,0)))&gt;=0,I326-(INDEX([1]GARANTIA!$L:$L,MATCH(A326,[1]GARANTIA!$C:$C,0))),"INSIRA DATA CHAMADO")),"INSIRA N° SERIE")</f>
        <v>177</v>
      </c>
      <c r="G326" s="98">
        <v>20210739</v>
      </c>
      <c r="H326" s="35" t="str">
        <f t="shared" si="40"/>
        <v>OUT</v>
      </c>
      <c r="I326" s="89">
        <v>44476</v>
      </c>
      <c r="J326" s="90">
        <v>44476</v>
      </c>
      <c r="K326" s="91">
        <v>44477</v>
      </c>
      <c r="L326" s="92" t="s">
        <v>11</v>
      </c>
      <c r="M326" s="92" t="s">
        <v>8</v>
      </c>
      <c r="N326" s="92" t="s">
        <v>31</v>
      </c>
      <c r="O326" s="42" t="str">
        <f>IFERROR(INDEX([1]GARANTIA!$E:$E,MATCH(A326,[1]GARANTIA!$C:$C,0)),"INSIRA N° SERIE")</f>
        <v>MTI - 1.000GTS</v>
      </c>
      <c r="P326" s="101" t="s">
        <v>677</v>
      </c>
      <c r="Q326" s="94" t="s">
        <v>645</v>
      </c>
      <c r="R326" s="93" t="s">
        <v>679</v>
      </c>
      <c r="S326" s="95" t="s">
        <v>325</v>
      </c>
      <c r="T326" s="95" t="s">
        <v>640</v>
      </c>
      <c r="U326" s="96"/>
      <c r="V326" s="41" t="str">
        <f>IFERROR(INDEX([1]GARANTIA!$G:$G,MATCH(A326,[1]GARANTIA!$C:$C,0)),"INSIRA N° SERIE")</f>
        <v>ITABERAÍ</v>
      </c>
      <c r="W326" s="41" t="str">
        <f>IFERROR(INDEX([1]GARANTIA!$H:$H,MATCH(A326,[1]GARANTIA!$C:$C,0)),"INSIRA N° SERIE")</f>
        <v>GO</v>
      </c>
      <c r="X326" s="41" t="str">
        <f>IFERROR(INDEX([1]GARANTIA!$F:$F,MATCH(A326,[1]GARANTIA!$C:$C,0)),"INSIRA N° SERIE")</f>
        <v>CENTROESTE</v>
      </c>
      <c r="Y326" s="46">
        <f t="shared" ref="Y326:Y330" si="44">IF(G326&lt;&gt;"",J326-I326,"INSIRA N° OS")</f>
        <v>0</v>
      </c>
      <c r="Z326" s="47">
        <f t="shared" si="42"/>
        <v>1</v>
      </c>
      <c r="AA326" s="46">
        <f t="shared" ref="AA326:AA329" si="45">IF(Z326="NÃO FINALIZADO","",Z326+Y326)</f>
        <v>1</v>
      </c>
      <c r="AB326" s="46" t="str" cm="1">
        <f t="array" ref="AB326">IFERROR(_xlfn.IFS(L326="FINALIZADO PRESENCIAL",IF(AA326&gt;10,"FORA","DENTRO"),L326="FINALIZADO REMOTO",IF(AA326&gt;5,"FORA","DENTRO")),"-")</f>
        <v>DENTRO</v>
      </c>
      <c r="AC326" s="41" t="s">
        <v>1671</v>
      </c>
      <c r="AD326" s="41" t="s">
        <v>1671</v>
      </c>
      <c r="AE326" s="48" cm="1">
        <f t="array" ref="AE326">SUMPRODUCT(IFERROR(('[2]PEÇAS GARANTIA'!$A$3:$A$5993=G326)*('[2]PEÇAS GARANTIA'!$A$3:$A$5993&lt;&gt;"")*('[2]PEÇAS GARANTIA'!$R$3:$R$5993),0))</f>
        <v>0</v>
      </c>
      <c r="AF326" s="178">
        <v>0</v>
      </c>
    </row>
    <row r="327" spans="1:32" ht="96.75" customHeight="1" x14ac:dyDescent="0.25">
      <c r="A327" s="82">
        <v>47823</v>
      </c>
      <c r="B327" s="41" t="str">
        <f>IFERROR(INDEX([1]GARANTIA!$B:$B,MATCH(A327,[1]GARANTIA!$C:$C,0)),"INSIRA N° SERIE")</f>
        <v>TESTE 295</v>
      </c>
      <c r="C327" s="33">
        <f>IFERROR(INDEX([1]GARANTIA!$J:$J,MATCH(A327,[1]GARANTIA!$C:$C,0)),"INSIRA N° SERIE")</f>
        <v>43830</v>
      </c>
      <c r="D327" s="33" t="str">
        <f>IFERROR(IF(INDEX([1]GARANTIA!$M:$M,MATCH(A327,[1]GARANTIA!$C:$C,0))&gt;=I327,"DENTRO DA GARANTIA","FORA DE GARANTIA"),"INSIRA N° SERIE")</f>
        <v>DENTRO DA GARANTIA</v>
      </c>
      <c r="E327" s="148"/>
      <c r="F327" s="109">
        <f>IFERROR(MAX(0,IF(I327-(INDEX([1]GARANTIA!$J:$J,MATCH(A327,[1]GARANTIA!$C:$C,0)))&gt;=0,I327-(INDEX([1]GARANTIA!$L:$L,MATCH(A327,[1]GARANTIA!$C:$C,0))),"INSIRA DATA CHAMADO")),"INSIRA N° SERIE")</f>
        <v>363</v>
      </c>
      <c r="G327" s="98">
        <v>20210740</v>
      </c>
      <c r="H327" s="35" t="str">
        <f t="shared" si="40"/>
        <v>OUT</v>
      </c>
      <c r="I327" s="89">
        <v>44476</v>
      </c>
      <c r="J327" s="90">
        <v>44476</v>
      </c>
      <c r="K327" s="91">
        <v>44500</v>
      </c>
      <c r="L327" s="92" t="s">
        <v>11</v>
      </c>
      <c r="M327" s="92" t="s">
        <v>8</v>
      </c>
      <c r="N327" s="42" t="s">
        <v>28</v>
      </c>
      <c r="O327" s="42" t="str">
        <f>IFERROR(INDEX([1]GARANTIA!$E:$E,MATCH(A327,[1]GARANTIA!$C:$C,0)),"INSIRA N° SERIE")</f>
        <v>MTI - 12.000GTS</v>
      </c>
      <c r="P327" s="101" t="s">
        <v>741</v>
      </c>
      <c r="Q327" s="94" t="s">
        <v>645</v>
      </c>
      <c r="R327" s="93" t="s">
        <v>742</v>
      </c>
      <c r="S327" s="95" t="s">
        <v>101</v>
      </c>
      <c r="T327" s="95" t="s">
        <v>142</v>
      </c>
      <c r="U327" s="96"/>
      <c r="V327" s="41" t="str">
        <f>IFERROR(INDEX([1]GARANTIA!$G:$G,MATCH(A327,[1]GARANTIA!$C:$C,0)),"INSIRA N° SERIE")</f>
        <v xml:space="preserve">LUIS EDUARDO MAGALHAES </v>
      </c>
      <c r="W327" s="41" t="str">
        <f>IFERROR(INDEX([1]GARANTIA!$H:$H,MATCH(A327,[1]GARANTIA!$C:$C,0)),"INSIRA N° SERIE")</f>
        <v>BA</v>
      </c>
      <c r="X327" s="41" t="str">
        <f>IFERROR(INDEX([1]GARANTIA!$F:$F,MATCH(A327,[1]GARANTIA!$C:$C,0)),"INSIRA N° SERIE")</f>
        <v>NORDESTE</v>
      </c>
      <c r="Y327" s="46">
        <f t="shared" si="44"/>
        <v>0</v>
      </c>
      <c r="Z327" s="47">
        <f t="shared" si="42"/>
        <v>24</v>
      </c>
      <c r="AA327" s="46">
        <f>IF(Z327="NÃO FINALIZADO","",Z327+Y327)</f>
        <v>24</v>
      </c>
      <c r="AB327" s="46" t="str" cm="1">
        <f t="array" ref="AB327">IFERROR(_xlfn.IFS(L327="FINALIZADO PRESENCIAL",IF(AA327&gt;10,"FORA","DENTRO"),L327="FINALIZADO REMOTO",IF(AA327&gt;5,"FORA","DENTRO")),"-")</f>
        <v>FORA</v>
      </c>
      <c r="AC327" s="41" t="s">
        <v>1671</v>
      </c>
      <c r="AD327" s="41" t="s">
        <v>1671</v>
      </c>
      <c r="AE327" s="48" cm="1">
        <f t="array" ref="AE327">SUMPRODUCT(IFERROR(('[2]PEÇAS GARANTIA'!$A$3:$A$5993=G327)*('[2]PEÇAS GARANTIA'!$A$3:$A$5993&lt;&gt;"")*('[2]PEÇAS GARANTIA'!$R$3:$R$5993),0))</f>
        <v>35720.25</v>
      </c>
      <c r="AF327" s="178">
        <v>0</v>
      </c>
    </row>
    <row r="328" spans="1:32" ht="51.75" customHeight="1" x14ac:dyDescent="0.25">
      <c r="A328" s="82">
        <v>44524</v>
      </c>
      <c r="B328" s="41" t="str">
        <f>IFERROR(INDEX([1]GARANTIA!$B:$B,MATCH(A328,[1]GARANTIA!$C:$C,0)),"INSIRA N° SERIE")</f>
        <v>TESTE 173</v>
      </c>
      <c r="C328" s="33">
        <f>IFERROR(INDEX([1]GARANTIA!$J:$J,MATCH(A328,[1]GARANTIA!$C:$C,0)),"INSIRA N° SERIE")</f>
        <v>44119</v>
      </c>
      <c r="D328" s="33" t="str">
        <f>IFERROR(IF(INDEX([1]GARANTIA!$M:$M,MATCH(A328,[1]GARANTIA!$C:$C,0))&gt;=I328,"DENTRO DA GARANTIA","FORA DE GARANTIA"),"INSIRA N° SERIE")</f>
        <v>DENTRO DA GARANTIA</v>
      </c>
      <c r="E328" s="148"/>
      <c r="F328" s="109">
        <f>IFERROR(MAX(0,IF(I328-(INDEX([1]GARANTIA!$J:$J,MATCH(A328,[1]GARANTIA!$C:$C,0)))&gt;=0,I328-(INDEX([1]GARANTIA!$L:$L,MATCH(A328,[1]GARANTIA!$C:$C,0))),"INSIRA DATA CHAMADO")),"INSIRA N° SERIE")</f>
        <v>230</v>
      </c>
      <c r="G328" s="98">
        <v>20210741</v>
      </c>
      <c r="H328" s="35" t="str">
        <f t="shared" si="40"/>
        <v>OUT</v>
      </c>
      <c r="I328" s="89">
        <v>44476</v>
      </c>
      <c r="J328" s="90">
        <v>44476</v>
      </c>
      <c r="K328" s="91">
        <v>44480</v>
      </c>
      <c r="L328" s="92" t="s">
        <v>11</v>
      </c>
      <c r="M328" s="92" t="s">
        <v>8</v>
      </c>
      <c r="N328" s="92" t="s">
        <v>37</v>
      </c>
      <c r="O328" s="42" t="str">
        <f>IFERROR(INDEX([1]GARANTIA!$E:$E,MATCH(A328,[1]GARANTIA!$C:$C,0)),"INSIRA N° SERIE")</f>
        <v>MTI - 4.000GTS</v>
      </c>
      <c r="P328" s="101" t="s">
        <v>678</v>
      </c>
      <c r="Q328" s="94" t="s">
        <v>645</v>
      </c>
      <c r="R328" s="93" t="s">
        <v>690</v>
      </c>
      <c r="S328" s="95" t="s">
        <v>325</v>
      </c>
      <c r="T328" s="95" t="s">
        <v>640</v>
      </c>
      <c r="U328" s="96"/>
      <c r="V328" s="41" t="str">
        <f>IFERROR(INDEX([1]GARANTIA!$G:$G,MATCH(A328,[1]GARANTIA!$C:$C,0)),"INSIRA N° SERIE")</f>
        <v>QUIRINOPOLIS</v>
      </c>
      <c r="W328" s="41" t="str">
        <f>IFERROR(INDEX([1]GARANTIA!$H:$H,MATCH(A328,[1]GARANTIA!$C:$C,0)),"INSIRA N° SERIE")</f>
        <v>GO</v>
      </c>
      <c r="X328" s="41" t="str">
        <f>IFERROR(INDEX([1]GARANTIA!$F:$F,MATCH(A328,[1]GARANTIA!$C:$C,0)),"INSIRA N° SERIE")</f>
        <v>CENTROESTE</v>
      </c>
      <c r="Y328" s="46">
        <f t="shared" si="44"/>
        <v>0</v>
      </c>
      <c r="Z328" s="47">
        <f t="shared" si="42"/>
        <v>4</v>
      </c>
      <c r="AA328" s="46">
        <f t="shared" si="45"/>
        <v>4</v>
      </c>
      <c r="AB328" s="46" t="str" cm="1">
        <f t="array" ref="AB328">IFERROR(_xlfn.IFS(L328="FINALIZADO PRESENCIAL",IF(AA328&gt;10,"FORA","DENTRO"),L328="FINALIZADO REMOTO",IF(AA328&gt;5,"FORA","DENTRO")),"-")</f>
        <v>DENTRO</v>
      </c>
      <c r="AC328" s="41" t="s">
        <v>1671</v>
      </c>
      <c r="AD328" s="41" t="s">
        <v>1671</v>
      </c>
      <c r="AE328" s="48" cm="1">
        <f t="array" ref="AE328">SUMPRODUCT(IFERROR(('[2]PEÇAS GARANTIA'!$A$3:$A$5993=G328)*('[2]PEÇAS GARANTIA'!$A$3:$A$5993&lt;&gt;"")*('[2]PEÇAS GARANTIA'!$R$3:$R$5993),0))</f>
        <v>0</v>
      </c>
      <c r="AF328" s="178">
        <v>0</v>
      </c>
    </row>
    <row r="329" spans="1:32" ht="41.25" customHeight="1" x14ac:dyDescent="0.25">
      <c r="A329" s="82">
        <v>23329</v>
      </c>
      <c r="B329" s="41" t="s">
        <v>680</v>
      </c>
      <c r="C329" s="33">
        <v>44097</v>
      </c>
      <c r="D329" s="33" t="s">
        <v>122</v>
      </c>
      <c r="E329" s="148"/>
      <c r="F329" s="109">
        <v>203</v>
      </c>
      <c r="G329" s="98">
        <v>20210742</v>
      </c>
      <c r="H329" s="35" t="str">
        <f t="shared" si="40"/>
        <v>OUT</v>
      </c>
      <c r="I329" s="89">
        <v>44476</v>
      </c>
      <c r="J329" s="90">
        <v>44476</v>
      </c>
      <c r="K329" s="91">
        <v>44477</v>
      </c>
      <c r="L329" s="92" t="s">
        <v>23</v>
      </c>
      <c r="M329" s="92" t="s">
        <v>8</v>
      </c>
      <c r="N329" s="92" t="s">
        <v>76</v>
      </c>
      <c r="O329" s="42" t="str">
        <f>IFERROR(INDEX([1]GARANTIA!$E:$E,MATCH(A329,[1]GARANTIA!$C:$C,0)),"INSIRA N° SERIE")</f>
        <v>MTI - 4.000GTS</v>
      </c>
      <c r="P329" s="101" t="s">
        <v>681</v>
      </c>
      <c r="Q329" s="94" t="s">
        <v>296</v>
      </c>
      <c r="R329" s="93" t="s">
        <v>682</v>
      </c>
      <c r="S329" s="95" t="s">
        <v>102</v>
      </c>
      <c r="T329" s="95" t="s">
        <v>296</v>
      </c>
      <c r="U329" s="96"/>
      <c r="V329" s="41" t="str">
        <f>IFERROR(INDEX([1]GARANTIA!$G:$G,MATCH(A329,[1]GARANTIA!$C:$C,0)),"INSIRA N° SERIE")</f>
        <v>CAJURU</v>
      </c>
      <c r="W329" s="41" t="str">
        <f>IFERROR(INDEX([1]GARANTIA!$H:$H,MATCH(A329,[1]GARANTIA!$C:$C,0)),"INSIRA N° SERIE")</f>
        <v>SP</v>
      </c>
      <c r="X329" s="41" t="str">
        <f>IFERROR(INDEX([1]GARANTIA!$F:$F,MATCH(A329,[1]GARANTIA!$C:$C,0)),"INSIRA N° SERIE")</f>
        <v>SUDESTE</v>
      </c>
      <c r="Y329" s="46">
        <f t="shared" si="44"/>
        <v>0</v>
      </c>
      <c r="Z329" s="47">
        <f t="shared" si="42"/>
        <v>1</v>
      </c>
      <c r="AA329" s="46">
        <f t="shared" si="45"/>
        <v>1</v>
      </c>
      <c r="AB329" s="46" t="str" cm="1">
        <f t="array" ref="AB329">IFERROR(_xlfn.IFS(L329="FINALIZADO PRESENCIAL",IF(AA329&gt;10,"FORA","DENTRO"),L329="FINALIZADO REMOTO",IF(AA329&gt;5,"FORA","DENTRO")),"-")</f>
        <v>DENTRO</v>
      </c>
      <c r="AC329" s="41" t="s">
        <v>1671</v>
      </c>
      <c r="AD329" s="41" t="s">
        <v>1671</v>
      </c>
      <c r="AE329" s="48" cm="1">
        <f t="array" ref="AE329">SUMPRODUCT(IFERROR(('[2]PEÇAS GARANTIA'!$A$3:$A$5993=G329)*('[2]PEÇAS GARANTIA'!$A$3:$A$5993&lt;&gt;"")*('[2]PEÇAS GARANTIA'!$R$3:$R$5993),0))</f>
        <v>0</v>
      </c>
      <c r="AF329" s="178">
        <v>0</v>
      </c>
    </row>
    <row r="330" spans="1:32" ht="66" customHeight="1" x14ac:dyDescent="0.25">
      <c r="A330" s="82">
        <v>28435</v>
      </c>
      <c r="B330" s="41" t="str">
        <f>IFERROR(INDEX([1]GARANTIA!$B:$B,MATCH(A330,[1]GARANTIA!$C:$C,0)),"INSIRA N° SERIE")</f>
        <v>TESTE 101</v>
      </c>
      <c r="C330" s="33">
        <f>IFERROR(INDEX([1]GARANTIA!$J:$J,MATCH(A330,[1]GARANTIA!$C:$C,0)),"INSIRA N° SERIE")</f>
        <v>44180</v>
      </c>
      <c r="D330" s="33" t="str">
        <f>IFERROR(IF(INDEX([1]GARANTIA!$M:$M,MATCH(A330,[1]GARANTIA!$C:$C,0))&gt;=I330,"DENTRO DA GARANTIA","FORA DE GARANTIA"),"INSIRA N° SERIE")</f>
        <v>DENTRO DA GARANTIA</v>
      </c>
      <c r="E330" s="148"/>
      <c r="F330" s="109">
        <f>IFERROR(MAX(0,IF(I330-(INDEX([1]GARANTIA!$J:$J,MATCH(A330,[1]GARANTIA!$C:$C,0)))&gt;=0,I330-(INDEX([1]GARANTIA!$L:$L,MATCH(A330,[1]GARANTIA!$C:$C,0))),"INSIRA DATA CHAMADO")),"INSIRA N° SERIE")</f>
        <v>89</v>
      </c>
      <c r="G330" s="98">
        <v>20210743</v>
      </c>
      <c r="H330" s="35" t="str">
        <f t="shared" si="40"/>
        <v>OUT</v>
      </c>
      <c r="I330" s="89">
        <v>44477</v>
      </c>
      <c r="J330" s="90">
        <v>44477</v>
      </c>
      <c r="K330" s="91">
        <v>44480</v>
      </c>
      <c r="L330" s="92" t="s">
        <v>11</v>
      </c>
      <c r="M330" s="92" t="s">
        <v>8</v>
      </c>
      <c r="N330" s="92" t="s">
        <v>27</v>
      </c>
      <c r="O330" s="42" t="str">
        <f>IFERROR(INDEX([1]GARANTIA!$E:$E,MATCH(A330,[1]GARANTIA!$C:$C,0)),"INSIRA N° SERIE")</f>
        <v>MTI - 10.000GTS</v>
      </c>
      <c r="P330" s="101" t="s">
        <v>685</v>
      </c>
      <c r="Q330" s="94" t="s">
        <v>645</v>
      </c>
      <c r="R330" s="93" t="s">
        <v>686</v>
      </c>
      <c r="S330" s="95" t="s">
        <v>325</v>
      </c>
      <c r="T330" s="95" t="s">
        <v>640</v>
      </c>
      <c r="U330" s="96"/>
      <c r="V330" s="41" t="str">
        <f>IFERROR(INDEX([1]GARANTIA!$G:$G,MATCH(A330,[1]GARANTIA!$C:$C,0)),"INSIRA N° SERIE")</f>
        <v xml:space="preserve">PIRANHAS </v>
      </c>
      <c r="W330" s="41" t="str">
        <f>IFERROR(INDEX([1]GARANTIA!$H:$H,MATCH(A330,[1]GARANTIA!$C:$C,0)),"INSIRA N° SERIE")</f>
        <v>GO</v>
      </c>
      <c r="X330" s="41" t="str">
        <f>IFERROR(INDEX([1]GARANTIA!$F:$F,MATCH(A330,[1]GARANTIA!$C:$C,0)),"INSIRA N° SERIE")</f>
        <v>CENTROESTE</v>
      </c>
      <c r="Y330" s="46">
        <f t="shared" si="44"/>
        <v>0</v>
      </c>
      <c r="Z330" s="47">
        <f t="shared" si="42"/>
        <v>3</v>
      </c>
      <c r="AA330" s="46">
        <f t="shared" ref="AA330" si="46">IF(Z330="NÃO FINALIZADO","",Z330+Y330)</f>
        <v>3</v>
      </c>
      <c r="AB330" s="46" t="str" cm="1">
        <f t="array" ref="AB330">IFERROR(_xlfn.IFS(L330="FINALIZADO PRESENCIAL",IF(AA330&gt;10,"FORA","DENTRO"),L330="FINALIZADO REMOTO",IF(AA330&gt;5,"FORA","DENTRO")),"-")</f>
        <v>DENTRO</v>
      </c>
      <c r="AC330" s="41" t="s">
        <v>1671</v>
      </c>
      <c r="AD330" s="41" t="s">
        <v>1671</v>
      </c>
      <c r="AE330" s="48" cm="1">
        <f t="array" ref="AE330">SUMPRODUCT(IFERROR(('[2]PEÇAS GARANTIA'!$A$3:$A$5993=G330)*('[2]PEÇAS GARANTIA'!$A$3:$A$5993&lt;&gt;"")*('[2]PEÇAS GARANTIA'!$R$3:$R$5993),0))</f>
        <v>0</v>
      </c>
      <c r="AF330" s="178">
        <v>0</v>
      </c>
    </row>
    <row r="331" spans="1:32" ht="55.5" customHeight="1" x14ac:dyDescent="0.25">
      <c r="A331" s="82">
        <v>69918</v>
      </c>
      <c r="B331" s="41" t="str">
        <f>IFERROR(INDEX([1]GARANTIA!$B:$B,MATCH(A331,[1]GARANTIA!$C:$C,0)),"INSIRA N° SERIE")</f>
        <v>TESTE 247</v>
      </c>
      <c r="C331" s="33">
        <f>IFERROR(INDEX([1]GARANTIA!$J:$J,MATCH(A331,[1]GARANTIA!$C:$C,0)),"INSIRA N° SERIE")</f>
        <v>44196</v>
      </c>
      <c r="D331" s="33" t="str">
        <f>IFERROR(IF(INDEX([1]GARANTIA!$M:$M,MATCH(A331,[1]GARANTIA!$C:$C,0))&gt;=I331,"DENTRO DA GARANTIA","FORA DE GARANTIA"),"INSIRA N° SERIE")</f>
        <v>DENTRO DA GARANTIA</v>
      </c>
      <c r="E331" s="148"/>
      <c r="F331" s="109">
        <f>IFERROR(MAX(0,IF(I331-(INDEX([1]GARANTIA!$J:$J,MATCH(A331,[1]GARANTIA!$C:$C,0)))&gt;=0,I331-(INDEX([1]GARANTIA!$L:$L,MATCH(A331,[1]GARANTIA!$C:$C,0))),"INSIRA DATA CHAMADO")),"INSIRA N° SERIE")</f>
        <v>129</v>
      </c>
      <c r="G331" s="98">
        <v>20210744</v>
      </c>
      <c r="H331" s="35" t="str">
        <f t="shared" si="40"/>
        <v>OUT</v>
      </c>
      <c r="I331" s="89">
        <v>44480</v>
      </c>
      <c r="J331" s="90">
        <v>44480</v>
      </c>
      <c r="K331" s="91">
        <v>44483</v>
      </c>
      <c r="L331" s="92" t="s">
        <v>11</v>
      </c>
      <c r="M331" s="92" t="s">
        <v>8</v>
      </c>
      <c r="N331" s="92" t="s">
        <v>42</v>
      </c>
      <c r="O331" s="42" t="str">
        <f>IFERROR(INDEX([1]GARANTIA!$E:$E,MATCH(A331,[1]GARANTIA!$C:$C,0)),"INSIRA N° SERIE")</f>
        <v>MTI - 1.000GTS</v>
      </c>
      <c r="P331" s="101" t="s">
        <v>691</v>
      </c>
      <c r="Q331" s="142" t="s">
        <v>611</v>
      </c>
      <c r="R331" s="93" t="s">
        <v>693</v>
      </c>
      <c r="S331" s="95" t="s">
        <v>638</v>
      </c>
      <c r="T331" s="95" t="s">
        <v>97</v>
      </c>
      <c r="U331" s="96"/>
      <c r="V331" s="41" t="str">
        <f>IFERROR(INDEX([1]GARANTIA!$G:$G,MATCH(A331,[1]GARANTIA!$C:$C,0)),"INSIRA N° SERIE")</f>
        <v>DIAMANTINA</v>
      </c>
      <c r="W331" s="41" t="str">
        <f>IFERROR(INDEX([1]GARANTIA!$H:$H,MATCH(A331,[1]GARANTIA!$C:$C,0)),"INSIRA N° SERIE")</f>
        <v>MG</v>
      </c>
      <c r="X331" s="41" t="str">
        <f>IFERROR(INDEX([1]GARANTIA!$F:$F,MATCH(A331,[1]GARANTIA!$C:$C,0)),"INSIRA N° SERIE")</f>
        <v>SUDESTE</v>
      </c>
      <c r="Y331" s="46">
        <f t="shared" si="41"/>
        <v>0</v>
      </c>
      <c r="Z331" s="47">
        <f t="shared" si="42"/>
        <v>3</v>
      </c>
      <c r="AA331" s="46">
        <f t="shared" si="43"/>
        <v>3</v>
      </c>
      <c r="AB331" s="46" t="str" cm="1">
        <f t="array" ref="AB331">IFERROR(_xlfn.IFS(L331="FINALIZADO PRESENCIAL",IF(AA331&gt;10,"FORA","DENTRO"),L331="FINALIZADO REMOTO",IF(AA331&gt;5,"FORA","DENTRO")),"-")</f>
        <v>DENTRO</v>
      </c>
      <c r="AC331" s="41" t="s">
        <v>1671</v>
      </c>
      <c r="AD331" s="41" t="s">
        <v>1671</v>
      </c>
      <c r="AE331" s="48" cm="1">
        <f t="array" ref="AE331">SUMPRODUCT(IFERROR(('[2]PEÇAS GARANTIA'!$A$3:$A$5993=G331)*('[2]PEÇAS GARANTIA'!$A$3:$A$5993&lt;&gt;"")*('[2]PEÇAS GARANTIA'!$R$3:$R$5993),0))</f>
        <v>9150.4100000010003</v>
      </c>
      <c r="AF331" s="178">
        <v>0</v>
      </c>
    </row>
    <row r="332" spans="1:32" ht="59.25" customHeight="1" x14ac:dyDescent="0.25">
      <c r="A332" s="82">
        <v>74384</v>
      </c>
      <c r="B332" s="41" t="str">
        <f>IFERROR(INDEX([1]GARANTIA!$B:$B,MATCH(A332,[1]GARANTIA!$C:$C,0)),"INSIRA N° SERIE")</f>
        <v>TESTE 8</v>
      </c>
      <c r="C332" s="33">
        <f>IFERROR(INDEX([1]GARANTIA!$J:$J,MATCH(A332,[1]GARANTIA!$C:$C,0)),"INSIRA N° SERIE")</f>
        <v>44064</v>
      </c>
      <c r="D332" s="33" t="str">
        <f>IFERROR(IF(INDEX([1]GARANTIA!$M:$M,MATCH(A332,[1]GARANTIA!$C:$C,0))&gt;=I332,"DENTRO DA GARANTIA","FORA DE GARANTIA"),"INSIRA N° SERIE")</f>
        <v>DENTRO DA GARANTIA</v>
      </c>
      <c r="E332" s="148"/>
      <c r="F332" s="109">
        <f>IFERROR(MAX(0,IF(I332-(INDEX([1]GARANTIA!$J:$J,MATCH(A332,[1]GARANTIA!$C:$C,0)))&gt;=0,I332-(INDEX([1]GARANTIA!$L:$L,MATCH(A332,[1]GARANTIA!$C:$C,0))),"INSIRA DATA CHAMADO")),"INSIRA N° SERIE")</f>
        <v>194</v>
      </c>
      <c r="G332" s="98">
        <v>20210745</v>
      </c>
      <c r="H332" s="35" t="str">
        <f t="shared" si="40"/>
        <v>OUT</v>
      </c>
      <c r="I332" s="89">
        <v>44480</v>
      </c>
      <c r="J332" s="90">
        <v>44480</v>
      </c>
      <c r="K332" s="91">
        <v>44482</v>
      </c>
      <c r="L332" s="92" t="s">
        <v>23</v>
      </c>
      <c r="M332" s="92" t="s">
        <v>8</v>
      </c>
      <c r="N332" s="92" t="s">
        <v>29</v>
      </c>
      <c r="O332" s="42" t="str">
        <f>IFERROR(INDEX([1]GARANTIA!$E:$E,MATCH(A332,[1]GARANTIA!$C:$C,0)),"INSIRA N° SERIE")</f>
        <v>MTI - 10.000GE</v>
      </c>
      <c r="P332" s="101" t="s">
        <v>694</v>
      </c>
      <c r="Q332" s="94" t="s">
        <v>646</v>
      </c>
      <c r="R332" s="93" t="s">
        <v>689</v>
      </c>
      <c r="S332" s="95" t="s">
        <v>102</v>
      </c>
      <c r="T332" s="95" t="s">
        <v>296</v>
      </c>
      <c r="U332" s="96"/>
      <c r="V332" s="41" t="str">
        <f>IFERROR(INDEX([1]GARANTIA!$G:$G,MATCH(A332,[1]GARANTIA!$C:$C,0)),"INSIRA N° SERIE")</f>
        <v xml:space="preserve">SÃO PAULO </v>
      </c>
      <c r="W332" s="41" t="str">
        <f>IFERROR(INDEX([1]GARANTIA!$H:$H,MATCH(A332,[1]GARANTIA!$C:$C,0)),"INSIRA N° SERIE")</f>
        <v xml:space="preserve">SP </v>
      </c>
      <c r="X332" s="41" t="str">
        <f>IFERROR(INDEX([1]GARANTIA!$F:$F,MATCH(A332,[1]GARANTIA!$C:$C,0)),"INSIRA N° SERIE")</f>
        <v>SUDESTE</v>
      </c>
      <c r="Y332" s="46">
        <f t="shared" si="41"/>
        <v>0</v>
      </c>
      <c r="Z332" s="47">
        <f t="shared" si="42"/>
        <v>2</v>
      </c>
      <c r="AA332" s="46">
        <f t="shared" si="43"/>
        <v>2</v>
      </c>
      <c r="AB332" s="46" t="str" cm="1">
        <f t="array" ref="AB332">IFERROR(_xlfn.IFS(L332="FINALIZADO PRESENCIAL",IF(AA332&gt;10,"FORA","DENTRO"),L332="FINALIZADO REMOTO",IF(AA332&gt;5,"FORA","DENTRO")),"-")</f>
        <v>DENTRO</v>
      </c>
      <c r="AC332" s="41" t="s">
        <v>1671</v>
      </c>
      <c r="AD332" s="41" t="s">
        <v>1671</v>
      </c>
      <c r="AE332" s="48" cm="1">
        <f t="array" ref="AE332">SUMPRODUCT(IFERROR(('[2]PEÇAS GARANTIA'!$A$3:$A$5993=G332)*('[2]PEÇAS GARANTIA'!$A$3:$A$5993&lt;&gt;"")*('[2]PEÇAS GARANTIA'!$R$3:$R$5993),0))</f>
        <v>0</v>
      </c>
      <c r="AF332" s="178">
        <v>0</v>
      </c>
    </row>
    <row r="333" spans="1:32" ht="63" customHeight="1" x14ac:dyDescent="0.25">
      <c r="A333" s="82">
        <v>50869</v>
      </c>
      <c r="B333" s="41" t="str">
        <f>IFERROR(INDEX([1]GARANTIA!$B:$B,MATCH(A333,[1]GARANTIA!$C:$C,0)),"INSIRA N° SERIE")</f>
        <v>TESTE 417</v>
      </c>
      <c r="C333" s="33">
        <f>IFERROR(INDEX([1]GARANTIA!$J:$J,MATCH(A333,[1]GARANTIA!$C:$C,0)),"INSIRA N° SERIE")</f>
        <v>44552</v>
      </c>
      <c r="D333" s="33" t="str">
        <f>IFERROR(IF(INDEX([1]GARANTIA!$M:$M,MATCH(A333,[1]GARANTIA!$C:$C,0))&gt;=I333,"DENTRO DA GARANTIA","FORA DE GARANTIA"),"INSIRA N° SERIE")</f>
        <v>FORA DE GARANTIA</v>
      </c>
      <c r="E333" s="148"/>
      <c r="F333" s="109" t="str">
        <f>IFERROR(MAX(0,IF(I333-(INDEX([1]GARANTIA!$J:$J,MATCH(A333,[1]GARANTIA!$C:$C,0)))&gt;=0,I333-(INDEX([1]GARANTIA!$L:$L,MATCH(A333,[1]GARANTIA!$C:$C,0))),"INSIRA DATA CHAMADO")),"INSIRA N° SERIE")</f>
        <v>INSIRA N° SERIE</v>
      </c>
      <c r="G333" s="98">
        <v>20210746</v>
      </c>
      <c r="H333" s="35" t="str">
        <f t="shared" si="40"/>
        <v>OUT</v>
      </c>
      <c r="I333" s="89">
        <v>44480</v>
      </c>
      <c r="J333" s="90">
        <v>44480</v>
      </c>
      <c r="K333" s="91">
        <v>44482</v>
      </c>
      <c r="L333" s="92" t="s">
        <v>11</v>
      </c>
      <c r="M333" s="92" t="s">
        <v>8</v>
      </c>
      <c r="N333" s="92" t="s">
        <v>26</v>
      </c>
      <c r="O333" s="42" t="str">
        <f>IFERROR(INDEX([1]GARANTIA!$E:$E,MATCH(A333,[1]GARANTIA!$C:$C,0)),"INSIRA N° SERIE")</f>
        <v>MTI-1.000GTS</v>
      </c>
      <c r="P333" s="101" t="s">
        <v>687</v>
      </c>
      <c r="Q333" s="94" t="s">
        <v>645</v>
      </c>
      <c r="R333" s="93" t="s">
        <v>688</v>
      </c>
      <c r="S333" s="95" t="s">
        <v>325</v>
      </c>
      <c r="T333" s="95" t="s">
        <v>640</v>
      </c>
      <c r="U333" s="96"/>
      <c r="V333" s="41" t="str">
        <f>IFERROR(INDEX([1]GARANTIA!$G:$G,MATCH(A333,[1]GARANTIA!$C:$C,0)),"INSIRA N° SERIE")</f>
        <v>CAMPO GRANDE</v>
      </c>
      <c r="W333" s="41" t="str">
        <f>IFERROR(INDEX([1]GARANTIA!$H:$H,MATCH(A333,[1]GARANTIA!$C:$C,0)),"INSIRA N° SERIE")</f>
        <v xml:space="preserve">MS </v>
      </c>
      <c r="X333" s="41" t="str">
        <f>IFERROR(INDEX([1]GARANTIA!$F:$F,MATCH(A333,[1]GARANTIA!$C:$C,0)),"INSIRA N° SERIE")</f>
        <v>CENTRO-OESTE</v>
      </c>
      <c r="Y333" s="46">
        <f t="shared" si="41"/>
        <v>0</v>
      </c>
      <c r="Z333" s="47">
        <f t="shared" si="42"/>
        <v>2</v>
      </c>
      <c r="AA333" s="46">
        <f t="shared" si="43"/>
        <v>2</v>
      </c>
      <c r="AB333" s="46" t="str" cm="1">
        <f t="array" ref="AB333">IFERROR(_xlfn.IFS(L333="FINALIZADO PRESENCIAL",IF(AA333&gt;10,"FORA","DENTRO"),L333="FINALIZADO REMOTO",IF(AA333&gt;5,"FORA","DENTRO")),"-")</f>
        <v>DENTRO</v>
      </c>
      <c r="AC333" s="41" t="s">
        <v>1671</v>
      </c>
      <c r="AD333" s="41" t="s">
        <v>1671</v>
      </c>
      <c r="AE333" s="48" cm="1">
        <f t="array" ref="AE333">SUMPRODUCT(IFERROR(('[2]PEÇAS GARANTIA'!$A$3:$A$5993=G333)*('[2]PEÇAS GARANTIA'!$A$3:$A$5993&lt;&gt;"")*('[2]PEÇAS GARANTIA'!$R$3:$R$5993),0))</f>
        <v>0</v>
      </c>
      <c r="AF333" s="178">
        <v>0</v>
      </c>
    </row>
    <row r="334" spans="1:32" ht="66.75" customHeight="1" x14ac:dyDescent="0.25">
      <c r="A334" s="82">
        <v>50875</v>
      </c>
      <c r="B334" s="41" t="str">
        <f>IFERROR(INDEX([1]GARANTIA!$B:$B,MATCH(A334,[1]GARANTIA!$C:$C,0)),"INSIRA N° SERIE")</f>
        <v>TESTE 186</v>
      </c>
      <c r="C334" s="33">
        <f>IFERROR(INDEX([1]GARANTIA!$J:$J,MATCH(A334,[1]GARANTIA!$C:$C,0)),"INSIRA N° SERIE")</f>
        <v>44075</v>
      </c>
      <c r="D334" s="33" t="str">
        <f>IFERROR(IF(INDEX([1]GARANTIA!$M:$M,MATCH(A334,[1]GARANTIA!$C:$C,0))&gt;=I334,"DENTRO DA GARANTIA","FORA DE GARANTIA"),"INSIRA N° SERIE")</f>
        <v>DENTRO DA GARANTIA</v>
      </c>
      <c r="E334" s="148"/>
      <c r="F334" s="109">
        <f>IFERROR(MAX(0,IF(I334-(INDEX([1]GARANTIA!$J:$J,MATCH(A334,[1]GARANTIA!$C:$C,0)))&gt;=0,I334-(INDEX([1]GARANTIA!$L:$L,MATCH(A334,[1]GARANTIA!$C:$C,0))),"INSIRA DATA CHAMADO")),"INSIRA N° SERIE")</f>
        <v>294</v>
      </c>
      <c r="G334" s="98">
        <v>20210747</v>
      </c>
      <c r="H334" s="35" t="str">
        <f t="shared" si="40"/>
        <v>OUT</v>
      </c>
      <c r="I334" s="89">
        <v>44482</v>
      </c>
      <c r="J334" s="90">
        <v>44482</v>
      </c>
      <c r="K334" s="91">
        <v>44484</v>
      </c>
      <c r="L334" s="92" t="s">
        <v>23</v>
      </c>
      <c r="M334" s="92" t="s">
        <v>8</v>
      </c>
      <c r="N334" s="92" t="s">
        <v>28</v>
      </c>
      <c r="O334" s="42" t="str">
        <f>IFERROR(INDEX([1]GARANTIA!$E:$E,MATCH(A334,[1]GARANTIA!$C:$C,0)),"INSIRA N° SERIE")</f>
        <v>MTI - 7.000GTS</v>
      </c>
      <c r="P334" s="101" t="s">
        <v>695</v>
      </c>
      <c r="Q334" s="94" t="s">
        <v>611</v>
      </c>
      <c r="R334" s="93" t="s">
        <v>696</v>
      </c>
      <c r="S334" s="95" t="s">
        <v>101</v>
      </c>
      <c r="T334" s="95" t="s">
        <v>142</v>
      </c>
      <c r="U334" s="96"/>
      <c r="V334" s="41" t="str">
        <f>IFERROR(INDEX([1]GARANTIA!$G:$G,MATCH(A334,[1]GARANTIA!$C:$C,0)),"INSIRA N° SERIE")</f>
        <v>NOVA SERRANA</v>
      </c>
      <c r="W334" s="41" t="str">
        <f>IFERROR(INDEX([1]GARANTIA!$H:$H,MATCH(A334,[1]GARANTIA!$C:$C,0)),"INSIRA N° SERIE")</f>
        <v>MG</v>
      </c>
      <c r="X334" s="41" t="str">
        <f>IFERROR(INDEX([1]GARANTIA!$F:$F,MATCH(A334,[1]GARANTIA!$C:$C,0)),"INSIRA N° SERIE")</f>
        <v>SUDESTE</v>
      </c>
      <c r="Y334" s="46">
        <f t="shared" si="41"/>
        <v>0</v>
      </c>
      <c r="Z334" s="47">
        <f t="shared" si="42"/>
        <v>2</v>
      </c>
      <c r="AA334" s="46">
        <f t="shared" si="43"/>
        <v>2</v>
      </c>
      <c r="AB334" s="46" t="str" cm="1">
        <f t="array" ref="AB334">IFERROR(_xlfn.IFS(L334="FINALIZADO PRESENCIAL",IF(AA334&gt;10,"FORA","DENTRO"),L334="FINALIZADO REMOTO",IF(AA334&gt;5,"FORA","DENTRO")),"-")</f>
        <v>DENTRO</v>
      </c>
      <c r="AC334" s="41" t="s">
        <v>1671</v>
      </c>
      <c r="AD334" s="41" t="s">
        <v>1671</v>
      </c>
      <c r="AE334" s="48" cm="1">
        <f t="array" ref="AE334">SUMPRODUCT(IFERROR(('[2]PEÇAS GARANTIA'!$A$3:$A$5993=G334)*('[2]PEÇAS GARANTIA'!$A$3:$A$5993&lt;&gt;"")*('[2]PEÇAS GARANTIA'!$R$3:$R$5993),0))</f>
        <v>0</v>
      </c>
      <c r="AF334" s="178">
        <v>0</v>
      </c>
    </row>
    <row r="335" spans="1:32" ht="87" customHeight="1" x14ac:dyDescent="0.25">
      <c r="A335" s="82">
        <v>79251</v>
      </c>
      <c r="B335" s="41" t="str">
        <f>IFERROR(INDEX([1]GARANTIA!$B:$B,MATCH(A335,[1]GARANTIA!$C:$C,0)),"INSIRA N° SERIE")</f>
        <v>TESTE 333</v>
      </c>
      <c r="C335" s="33">
        <f>IFERROR(INDEX([1]GARANTIA!$J:$J,MATCH(A335,[1]GARANTIA!$C:$C,0)),"INSIRA N° SERIE")</f>
        <v>44134</v>
      </c>
      <c r="D335" s="33" t="str">
        <f>IFERROR(IF(INDEX([1]GARANTIA!$M:$M,MATCH(A335,[1]GARANTIA!$C:$C,0))&gt;=I335,"DENTRO DA GARANTIA","FORA DE GARANTIA"),"INSIRA N° SERIE")</f>
        <v>DENTRO DA GARANTIA</v>
      </c>
      <c r="E335" s="148"/>
      <c r="F335" s="109">
        <f>IFERROR(MAX(0,IF(I335-(INDEX([1]GARANTIA!$J:$J,MATCH(A335,[1]GARANTIA!$C:$C,0)))&gt;=0,I335-(INDEX([1]GARANTIA!$L:$L,MATCH(A335,[1]GARANTIA!$C:$C,0))),"INSIRA DATA CHAMADO")),"INSIRA N° SERIE")</f>
        <v>137</v>
      </c>
      <c r="G335" s="98">
        <v>20210748</v>
      </c>
      <c r="H335" s="35" t="str">
        <f t="shared" si="40"/>
        <v>OUT</v>
      </c>
      <c r="I335" s="89">
        <v>44482</v>
      </c>
      <c r="J335" s="90">
        <v>44482</v>
      </c>
      <c r="K335" s="91">
        <v>44486</v>
      </c>
      <c r="L335" s="92" t="s">
        <v>11</v>
      </c>
      <c r="M335" s="92" t="s">
        <v>8</v>
      </c>
      <c r="N335" s="92" t="s">
        <v>28</v>
      </c>
      <c r="O335" s="42" t="str">
        <f>IFERROR(INDEX([1]GARANTIA!$E:$E,MATCH(A335,[1]GARANTIA!$C:$C,0)),"INSIRA N° SERIE")</f>
        <v>MTI - 12.000GTS</v>
      </c>
      <c r="P335" s="101" t="s">
        <v>697</v>
      </c>
      <c r="Q335" s="94" t="s">
        <v>645</v>
      </c>
      <c r="R335" s="93" t="s">
        <v>698</v>
      </c>
      <c r="S335" s="95" t="s">
        <v>325</v>
      </c>
      <c r="T335" s="95" t="s">
        <v>640</v>
      </c>
      <c r="U335" s="96"/>
      <c r="V335" s="41" t="str">
        <f>IFERROR(INDEX([1]GARANTIA!$G:$G,MATCH(A335,[1]GARANTIA!$C:$C,0)),"INSIRA N° SERIE")</f>
        <v xml:space="preserve">TRES LAGOAS </v>
      </c>
      <c r="W335" s="41" t="str">
        <f>IFERROR(INDEX([1]GARANTIA!$H:$H,MATCH(A335,[1]GARANTIA!$C:$C,0)),"INSIRA N° SERIE")</f>
        <v xml:space="preserve">MS </v>
      </c>
      <c r="X335" s="41" t="str">
        <f>IFERROR(INDEX([1]GARANTIA!$F:$F,MATCH(A335,[1]GARANTIA!$C:$C,0)),"INSIRA N° SERIE")</f>
        <v>CENTROESTE</v>
      </c>
      <c r="Y335" s="46">
        <f t="shared" si="41"/>
        <v>0</v>
      </c>
      <c r="Z335" s="47">
        <f t="shared" si="42"/>
        <v>4</v>
      </c>
      <c r="AA335" s="46">
        <f t="shared" si="43"/>
        <v>4</v>
      </c>
      <c r="AB335" s="46" t="str" cm="1">
        <f t="array" ref="AB335">IFERROR(_xlfn.IFS(L335="FINALIZADO PRESENCIAL",IF(AA335&gt;10,"FORA","DENTRO"),L335="FINALIZADO REMOTO",IF(AA335&gt;5,"FORA","DENTRO")),"-")</f>
        <v>DENTRO</v>
      </c>
      <c r="AC335" s="41" t="s">
        <v>1671</v>
      </c>
      <c r="AD335" s="41" t="s">
        <v>1671</v>
      </c>
      <c r="AE335" s="48" cm="1">
        <f t="array" ref="AE335">SUMPRODUCT(IFERROR(('[2]PEÇAS GARANTIA'!$A$3:$A$5993=G335)*('[2]PEÇAS GARANTIA'!$A$3:$A$5993&lt;&gt;"")*('[2]PEÇAS GARANTIA'!$R$3:$R$5993),0))</f>
        <v>1309.04</v>
      </c>
      <c r="AF335" s="178">
        <v>0</v>
      </c>
    </row>
    <row r="336" spans="1:32" ht="57" customHeight="1" x14ac:dyDescent="0.25">
      <c r="A336" s="82">
        <v>35159</v>
      </c>
      <c r="B336" s="41" t="str">
        <f>IFERROR(INDEX([1]GARANTIA!$B:$B,MATCH(A336,[1]GARANTIA!$C:$C,0)),"INSIRA N° SERIE")</f>
        <v>TESTE 223</v>
      </c>
      <c r="C336" s="33">
        <f>IFERROR(INDEX([1]GARANTIA!$J:$J,MATCH(A336,[1]GARANTIA!$C:$C,0)),"INSIRA N° SERIE")</f>
        <v>43936</v>
      </c>
      <c r="D336" s="33" t="str">
        <f>IFERROR(IF(INDEX([1]GARANTIA!$M:$M,MATCH(A336,[1]GARANTIA!$C:$C,0))&gt;=I336,"DENTRO DA GARANTIA","FORA DE GARANTIA"),"INSIRA N° SERIE")</f>
        <v>FORA DE GARANTIA</v>
      </c>
      <c r="E336" s="148"/>
      <c r="F336" s="109">
        <f>IFERROR(MAX(0,IF(I336-(INDEX([1]GARANTIA!$J:$J,MATCH(A336,[1]GARANTIA!$C:$C,0)))&gt;=0,I336-(INDEX([1]GARANTIA!$L:$L,MATCH(A336,[1]GARANTIA!$C:$C,0))),"INSIRA DATA CHAMADO")),"INSIRA N° SERIE")</f>
        <v>374</v>
      </c>
      <c r="G336" s="98">
        <v>20210749</v>
      </c>
      <c r="H336" s="35" t="str">
        <f t="shared" si="40"/>
        <v>OUT</v>
      </c>
      <c r="I336" s="89">
        <v>44486</v>
      </c>
      <c r="J336" s="90">
        <v>44486</v>
      </c>
      <c r="K336" s="91">
        <v>44490</v>
      </c>
      <c r="L336" s="92" t="s">
        <v>11</v>
      </c>
      <c r="M336" s="92" t="s">
        <v>8</v>
      </c>
      <c r="N336" s="92" t="s">
        <v>43</v>
      </c>
      <c r="O336" s="42" t="str">
        <f>IFERROR(INDEX([1]GARANTIA!$E:$E,MATCH(A336,[1]GARANTIA!$C:$C,0)),"INSIRA N° SERIE")</f>
        <v>MTI - 1.000GTS</v>
      </c>
      <c r="P336" s="101" t="s">
        <v>709</v>
      </c>
      <c r="Q336" s="94" t="s">
        <v>647</v>
      </c>
      <c r="R336" s="93" t="s">
        <v>706</v>
      </c>
      <c r="S336" s="95" t="s">
        <v>101</v>
      </c>
      <c r="T336" s="95" t="s">
        <v>142</v>
      </c>
      <c r="U336" s="96"/>
      <c r="V336" s="41" t="str">
        <f>IFERROR(INDEX([1]GARANTIA!$G:$G,MATCH(A336,[1]GARANTIA!$C:$C,0)),"INSIRA N° SERIE")</f>
        <v xml:space="preserve">ITAJAI </v>
      </c>
      <c r="W336" s="41" t="str">
        <f>IFERROR(INDEX([1]GARANTIA!$H:$H,MATCH(A336,[1]GARANTIA!$C:$C,0)),"INSIRA N° SERIE")</f>
        <v>SC</v>
      </c>
      <c r="X336" s="41" t="str">
        <f>IFERROR(INDEX([1]GARANTIA!$F:$F,MATCH(A336,[1]GARANTIA!$C:$C,0)),"INSIRA N° SERIE")</f>
        <v>SUL</v>
      </c>
      <c r="Y336" s="46">
        <f t="shared" si="41"/>
        <v>0</v>
      </c>
      <c r="Z336" s="47">
        <f t="shared" si="42"/>
        <v>4</v>
      </c>
      <c r="AA336" s="46">
        <f t="shared" si="43"/>
        <v>4</v>
      </c>
      <c r="AB336" s="46" t="str" cm="1">
        <f t="array" ref="AB336">IFERROR(_xlfn.IFS(L336="FINALIZADO PRESENCIAL",IF(AA336&gt;10,"FORA","DENTRO"),L336="FINALIZADO REMOTO",IF(AA336&gt;5,"FORA","DENTRO")),"-")</f>
        <v>DENTRO</v>
      </c>
      <c r="AC336" s="41" t="s">
        <v>1671</v>
      </c>
      <c r="AD336" s="41" t="s">
        <v>1671</v>
      </c>
      <c r="AE336" s="48" cm="1">
        <f t="array" ref="AE336">SUMPRODUCT(IFERROR(('[2]PEÇAS GARANTIA'!$A$3:$A$5993=G336)*('[2]PEÇAS GARANTIA'!$A$3:$A$5993&lt;&gt;"")*('[2]PEÇAS GARANTIA'!$R$3:$R$5993),0))</f>
        <v>8416.1699999800003</v>
      </c>
      <c r="AF336" s="178">
        <v>0</v>
      </c>
    </row>
    <row r="337" spans="1:32" ht="54.75" customHeight="1" x14ac:dyDescent="0.25">
      <c r="A337" s="82">
        <v>9991</v>
      </c>
      <c r="B337" s="41" t="str">
        <f>IFERROR(INDEX([1]GARANTIA!$B:$B,MATCH(A337,[1]GARANTIA!$C:$C,0)),"INSIRA N° SERIE")</f>
        <v>TESTE 308</v>
      </c>
      <c r="C337" s="33">
        <f>IFERROR(INDEX([1]GARANTIA!$J:$J,MATCH(A337,[1]GARANTIA!$C:$C,0)),"INSIRA N° SERIE")</f>
        <v>44137</v>
      </c>
      <c r="D337" s="33" t="str">
        <f>IFERROR(IF(INDEX([1]GARANTIA!$M:$M,MATCH(A337,[1]GARANTIA!$C:$C,0))&gt;=I337,"DENTRO DA GARANTIA","FORA DE GARANTIA"),"INSIRA N° SERIE")</f>
        <v>DENTRO DA GARANTIA</v>
      </c>
      <c r="E337" s="148"/>
      <c r="F337" s="109">
        <f>IFERROR(MAX(0,IF(I337-(INDEX([1]GARANTIA!$J:$J,MATCH(A337,[1]GARANTIA!$C:$C,0)))&gt;=0,I337-(INDEX([1]GARANTIA!$L:$L,MATCH(A337,[1]GARANTIA!$C:$C,0))),"INSIRA DATA CHAMADO")),"INSIRA N° SERIE")</f>
        <v>206</v>
      </c>
      <c r="G337" s="98">
        <v>20210750</v>
      </c>
      <c r="H337" s="35" t="str">
        <f t="shared" si="40"/>
        <v>OUT</v>
      </c>
      <c r="I337" s="89">
        <v>44487</v>
      </c>
      <c r="J337" s="90">
        <v>44487</v>
      </c>
      <c r="K337" s="91">
        <v>44495</v>
      </c>
      <c r="L337" s="92" t="s">
        <v>11</v>
      </c>
      <c r="M337" s="92" t="s">
        <v>8</v>
      </c>
      <c r="N337" s="42" t="s">
        <v>28</v>
      </c>
      <c r="O337" s="42" t="str">
        <f>IFERROR(INDEX([1]GARANTIA!$E:$E,MATCH(A337,[1]GARANTIA!$C:$C,0)),"INSIRA N° SERIE")</f>
        <v>MTI - 40.000GT</v>
      </c>
      <c r="P337" s="101" t="s">
        <v>729</v>
      </c>
      <c r="Q337" s="94" t="s">
        <v>645</v>
      </c>
      <c r="R337" s="93" t="s">
        <v>745</v>
      </c>
      <c r="S337" s="95" t="s">
        <v>325</v>
      </c>
      <c r="T337" s="95" t="s">
        <v>142</v>
      </c>
      <c r="U337" s="96"/>
      <c r="V337" s="41" t="str">
        <f>IFERROR(INDEX([1]GARANTIA!$G:$G,MATCH(A337,[1]GARANTIA!$C:$C,0)),"INSIRA N° SERIE")</f>
        <v>OSASCO</v>
      </c>
      <c r="W337" s="41" t="str">
        <f>IFERROR(INDEX([1]GARANTIA!$H:$H,MATCH(A337,[1]GARANTIA!$C:$C,0)),"INSIRA N° SERIE")</f>
        <v>SP</v>
      </c>
      <c r="X337" s="41" t="str">
        <f>IFERROR(INDEX([1]GARANTIA!$F:$F,MATCH(A337,[1]GARANTIA!$C:$C,0)),"INSIRA N° SERIE")</f>
        <v>SUDESTE</v>
      </c>
      <c r="Y337" s="46">
        <f t="shared" ref="Y337:Y339" si="47">IF(G337&lt;&gt;"",J337-I337,"INSIRA N° OS")</f>
        <v>0</v>
      </c>
      <c r="Z337" s="47">
        <f t="shared" si="42"/>
        <v>8</v>
      </c>
      <c r="AA337" s="46">
        <f t="shared" ref="AA337:AA339" si="48">IF(Z337="NÃO FINALIZADO","",Z337+Y337)</f>
        <v>8</v>
      </c>
      <c r="AB337" s="46" t="str" cm="1">
        <f t="array" ref="AB337">IFERROR(_xlfn.IFS(L337="FINALIZADO PRESENCIAL",IF(AA337&gt;10,"FORA","DENTRO"),L337="FINALIZADO REMOTO",IF(AA337&gt;5,"FORA","DENTRO")),"-")</f>
        <v>DENTRO</v>
      </c>
      <c r="AC337" s="41" t="s">
        <v>1671</v>
      </c>
      <c r="AD337" s="41" t="s">
        <v>1671</v>
      </c>
      <c r="AE337" s="48" cm="1">
        <f t="array" ref="AE337">SUMPRODUCT(IFERROR(('[2]PEÇAS GARANTIA'!$A$3:$A$5993=G337)*('[2]PEÇAS GARANTIA'!$A$3:$A$5993&lt;&gt;"")*('[2]PEÇAS GARANTIA'!$R$3:$R$5993),0))</f>
        <v>1429</v>
      </c>
      <c r="AF337" s="178">
        <v>0</v>
      </c>
    </row>
    <row r="338" spans="1:32" ht="61.5" customHeight="1" x14ac:dyDescent="0.25">
      <c r="A338" s="82">
        <v>78008</v>
      </c>
      <c r="B338" s="41" t="str">
        <f>IFERROR(INDEX([1]GARANTIA!$B:$B,MATCH(A338,[1]GARANTIA!$C:$C,0)),"INSIRA N° SERIE")</f>
        <v>TESTE 345</v>
      </c>
      <c r="C338" s="33">
        <f>IFERROR(INDEX([1]GARANTIA!$J:$J,MATCH(A338,[1]GARANTIA!$C:$C,0)),"INSIRA N° SERIE")</f>
        <v>44331</v>
      </c>
      <c r="D338" s="33" t="str">
        <f>IFERROR(IF(INDEX([1]GARANTIA!$M:$M,MATCH(A338,[1]GARANTIA!$C:$C,0))&gt;=I338,"DENTRO DA GARANTIA","FORA DE GARANTIA"),"INSIRA N° SERIE")</f>
        <v>DENTRO DA GARANTIA</v>
      </c>
      <c r="E338" s="148"/>
      <c r="F338" s="109">
        <f>IFERROR(MAX(0,IF(I338-(INDEX([1]GARANTIA!$J:$J,MATCH(A338,[1]GARANTIA!$C:$C,0)))&gt;=0,I338-(INDEX([1]GARANTIA!$L:$L,MATCH(A338,[1]GARANTIA!$C:$C,0))),"INSIRA DATA CHAMADO")),"INSIRA N° SERIE")</f>
        <v>26</v>
      </c>
      <c r="G338" s="98">
        <v>20210751</v>
      </c>
      <c r="H338" s="35" t="str">
        <f t="shared" si="40"/>
        <v>OUT</v>
      </c>
      <c r="I338" s="89">
        <v>44486</v>
      </c>
      <c r="J338" s="90">
        <v>44486</v>
      </c>
      <c r="K338" s="91">
        <v>44488</v>
      </c>
      <c r="L338" s="92" t="s">
        <v>11</v>
      </c>
      <c r="M338" s="92" t="s">
        <v>8</v>
      </c>
      <c r="N338" s="92" t="s">
        <v>27</v>
      </c>
      <c r="O338" s="42" t="str">
        <f>IFERROR(INDEX([1]GARANTIA!$E:$E,MATCH(A338,[1]GARANTIA!$C:$C,0)),"INSIRA N° SERIE")</f>
        <v>MTI - 3.200GES</v>
      </c>
      <c r="P338" s="101" t="s">
        <v>699</v>
      </c>
      <c r="Q338" s="94" t="s">
        <v>642</v>
      </c>
      <c r="R338" s="93" t="s">
        <v>700</v>
      </c>
      <c r="S338" s="95" t="s">
        <v>98</v>
      </c>
      <c r="T338" s="95" t="s">
        <v>141</v>
      </c>
      <c r="U338" s="96"/>
      <c r="V338" s="41" t="str">
        <f>IFERROR(INDEX([1]GARANTIA!$G:$G,MATCH(A338,[1]GARANTIA!$C:$C,0)),"INSIRA N° SERIE")</f>
        <v>SÃO PAULO</v>
      </c>
      <c r="W338" s="41" t="str">
        <f>IFERROR(INDEX([1]GARANTIA!$H:$H,MATCH(A338,[1]GARANTIA!$C:$C,0)),"INSIRA N° SERIE")</f>
        <v>SP</v>
      </c>
      <c r="X338" s="41" t="str">
        <f>IFERROR(INDEX([1]GARANTIA!$F:$F,MATCH(A338,[1]GARANTIA!$C:$C,0)),"INSIRA N° SERIE")</f>
        <v>SUDESTE</v>
      </c>
      <c r="Y338" s="46">
        <f t="shared" si="47"/>
        <v>0</v>
      </c>
      <c r="Z338" s="47">
        <f t="shared" si="42"/>
        <v>2</v>
      </c>
      <c r="AA338" s="46">
        <f t="shared" si="48"/>
        <v>2</v>
      </c>
      <c r="AB338" s="46" t="str" cm="1">
        <f t="array" ref="AB338">IFERROR(_xlfn.IFS(L338="FINALIZADO PRESENCIAL",IF(AA338&gt;10,"FORA","DENTRO"),L338="FINALIZADO REMOTO",IF(AA338&gt;5,"FORA","DENTRO")),"-")</f>
        <v>DENTRO</v>
      </c>
      <c r="AC338" s="41" t="s">
        <v>1671</v>
      </c>
      <c r="AD338" s="41" t="s">
        <v>1671</v>
      </c>
      <c r="AE338" s="48" cm="1">
        <f t="array" ref="AE338">SUMPRODUCT(IFERROR(('[2]PEÇAS GARANTIA'!$A$3:$A$5993=G338)*('[2]PEÇAS GARANTIA'!$A$3:$A$5993&lt;&gt;"")*('[2]PEÇAS GARANTIA'!$R$3:$R$5993),0))</f>
        <v>0</v>
      </c>
      <c r="AF338" s="178">
        <v>0</v>
      </c>
    </row>
    <row r="339" spans="1:32" ht="54.75" customHeight="1" x14ac:dyDescent="0.25">
      <c r="A339" s="82">
        <v>9993</v>
      </c>
      <c r="B339" s="41" t="str">
        <f>IFERROR(INDEX([1]GARANTIA!$B:$B,MATCH(A339,[1]GARANTIA!$C:$C,0)),"INSIRA N° SERIE")</f>
        <v>TESTE 121</v>
      </c>
      <c r="C339" s="33">
        <f>IFERROR(INDEX([1]GARANTIA!$J:$J,MATCH(A339,[1]GARANTIA!$C:$C,0)),"INSIRA N° SERIE")</f>
        <v>42979</v>
      </c>
      <c r="D339" s="33" t="str">
        <f>IFERROR(IF(INDEX([1]GARANTIA!$M:$M,MATCH(A339,[1]GARANTIA!$C:$C,0))&gt;=I339,"DENTRO DA GARANTIA","FORA DE GARANTIA"),"INSIRA N° SERIE")</f>
        <v>FORA DE GARANTIA</v>
      </c>
      <c r="E339" s="148"/>
      <c r="F339" s="109">
        <f>IFERROR(MAX(0,IF(I339-(INDEX([1]GARANTIA!$J:$J,MATCH(A339,[1]GARANTIA!$C:$C,0)))&gt;=0,I339-(INDEX([1]GARANTIA!$L:$L,MATCH(A339,[1]GARANTIA!$C:$C,0))),"INSIRA DATA CHAMADO")),"INSIRA N° SERIE")</f>
        <v>413</v>
      </c>
      <c r="G339" s="98">
        <v>20210752</v>
      </c>
      <c r="H339" s="35" t="str">
        <f t="shared" si="40"/>
        <v>OUT</v>
      </c>
      <c r="I339" s="89">
        <v>44487</v>
      </c>
      <c r="J339" s="90">
        <v>44487</v>
      </c>
      <c r="K339" s="91">
        <v>44495</v>
      </c>
      <c r="L339" s="92" t="s">
        <v>11</v>
      </c>
      <c r="M339" s="92" t="s">
        <v>8</v>
      </c>
      <c r="N339" s="92" t="s">
        <v>37</v>
      </c>
      <c r="O339" s="42" t="str">
        <f>IFERROR(INDEX([1]GARANTIA!$E:$E,MATCH(A339,[1]GARANTIA!$C:$C,0)),"INSIRA N° SERIE")</f>
        <v>MAC 32.000 GT</v>
      </c>
      <c r="P339" s="101" t="s">
        <v>701</v>
      </c>
      <c r="Q339" s="94" t="s">
        <v>99</v>
      </c>
      <c r="R339" s="93" t="s">
        <v>730</v>
      </c>
      <c r="S339" s="95" t="s">
        <v>99</v>
      </c>
      <c r="T339" s="95" t="s">
        <v>360</v>
      </c>
      <c r="U339" s="96"/>
      <c r="V339" s="41" t="str">
        <f>IFERROR(INDEX([1]GARANTIA!$G:$G,MATCH(A339,[1]GARANTIA!$C:$C,0)),"INSIRA N° SERIE")</f>
        <v>SÃO PAULO</v>
      </c>
      <c r="W339" s="41" t="str">
        <f>IFERROR(INDEX([1]GARANTIA!$H:$H,MATCH(A339,[1]GARANTIA!$C:$C,0)),"INSIRA N° SERIE")</f>
        <v>SP</v>
      </c>
      <c r="X339" s="41" t="str">
        <f>IFERROR(INDEX([1]GARANTIA!$F:$F,MATCH(A339,[1]GARANTIA!$C:$C,0)),"INSIRA N° SERIE")</f>
        <v>SUDESTE</v>
      </c>
      <c r="Y339" s="46">
        <f t="shared" si="47"/>
        <v>0</v>
      </c>
      <c r="Z339" s="47">
        <f t="shared" si="42"/>
        <v>8</v>
      </c>
      <c r="AA339" s="46">
        <f t="shared" si="48"/>
        <v>8</v>
      </c>
      <c r="AB339" s="46" t="str" cm="1">
        <f t="array" ref="AB339">IFERROR(_xlfn.IFS(L339="FINALIZADO PRESENCIAL",IF(AA339&gt;10,"FORA","DENTRO"),L339="FINALIZADO REMOTO",IF(AA339&gt;5,"FORA","DENTRO")),"-")</f>
        <v>DENTRO</v>
      </c>
      <c r="AC339" s="41" t="s">
        <v>1671</v>
      </c>
      <c r="AD339" s="41" t="s">
        <v>1671</v>
      </c>
      <c r="AE339" s="48" cm="1">
        <f t="array" ref="AE339">SUMPRODUCT(IFERROR(('[2]PEÇAS GARANTIA'!$A$3:$A$5993=G339)*('[2]PEÇAS GARANTIA'!$A$3:$A$5993&lt;&gt;"")*('[2]PEÇAS GARANTIA'!$R$3:$R$5993),0))</f>
        <v>3580</v>
      </c>
      <c r="AF339" s="178">
        <v>0</v>
      </c>
    </row>
    <row r="340" spans="1:32" ht="54.75" customHeight="1" x14ac:dyDescent="0.25">
      <c r="A340" s="82">
        <v>42353</v>
      </c>
      <c r="B340" s="41" t="str">
        <f>IFERROR(INDEX([1]GARANTIA!$B:$B,MATCH(A340,[1]GARANTIA!$C:$C,0)),"INSIRA N° SERIE")</f>
        <v>TESTE 272</v>
      </c>
      <c r="C340" s="33">
        <f>IFERROR(INDEX([1]GARANTIA!$J:$J,MATCH(A340,[1]GARANTIA!$C:$C,0)),"INSIRA N° SERIE")</f>
        <v>44078</v>
      </c>
      <c r="D340" s="33" t="str">
        <f>IFERROR(IF(INDEX([1]GARANTIA!$M:$M,MATCH(A340,[1]GARANTIA!$C:$C,0))&gt;=I340,"DENTRO DA GARANTIA","FORA DE GARANTIA"),"INSIRA N° SERIE")</f>
        <v>DENTRO DA GARANTIA</v>
      </c>
      <c r="E340" s="148"/>
      <c r="F340" s="109">
        <f>IFERROR(MAX(0,IF(I340-(INDEX([1]GARANTIA!$J:$J,MATCH(A340,[1]GARANTIA!$C:$C,0)))&gt;=0,I340-(INDEX([1]GARANTIA!$L:$L,MATCH(A340,[1]GARANTIA!$C:$C,0))),"INSIRA DATA CHAMADO")),"INSIRA N° SERIE")</f>
        <v>206</v>
      </c>
      <c r="G340" s="98">
        <v>20210753</v>
      </c>
      <c r="H340" s="35" t="str">
        <f t="shared" si="40"/>
        <v>OUT</v>
      </c>
      <c r="I340" s="89">
        <v>44487</v>
      </c>
      <c r="J340" s="90">
        <v>44487</v>
      </c>
      <c r="K340" s="91">
        <v>44497</v>
      </c>
      <c r="L340" s="92" t="s">
        <v>11</v>
      </c>
      <c r="M340" s="92" t="s">
        <v>8</v>
      </c>
      <c r="N340" s="92" t="s">
        <v>62</v>
      </c>
      <c r="O340" s="42" t="str">
        <f>IFERROR(INDEX([1]GARANTIA!$E:$E,MATCH(A340,[1]GARANTIA!$C:$C,0)),"INSIRA N° SERIE")</f>
        <v>MTI - 20.000GE</v>
      </c>
      <c r="P340" s="101" t="s">
        <v>731</v>
      </c>
      <c r="Q340" s="94" t="s">
        <v>305</v>
      </c>
      <c r="R340" s="93" t="s">
        <v>732</v>
      </c>
      <c r="S340" s="95" t="s">
        <v>98</v>
      </c>
      <c r="T340" s="95" t="s">
        <v>143</v>
      </c>
      <c r="U340" s="96"/>
      <c r="V340" s="41" t="str">
        <f>IFERROR(INDEX([1]GARANTIA!$G:$G,MATCH(A340,[1]GARANTIA!$C:$C,0)),"INSIRA N° SERIE")</f>
        <v>MAXARANGUAPE</v>
      </c>
      <c r="W340" s="41" t="str">
        <f>IFERROR(INDEX([1]GARANTIA!$H:$H,MATCH(A340,[1]GARANTIA!$C:$C,0)),"INSIRA N° SERIE")</f>
        <v>RN</v>
      </c>
      <c r="X340" s="41" t="str">
        <f>IFERROR(INDEX([1]GARANTIA!$F:$F,MATCH(A340,[1]GARANTIA!$C:$C,0)),"INSIRA N° SERIE")</f>
        <v>NORDESTE</v>
      </c>
      <c r="Y340" s="46">
        <f t="shared" ref="Y340:Y343" si="49">IF(G340&lt;&gt;"",J340-I340,"INSIRA N° OS")</f>
        <v>0</v>
      </c>
      <c r="Z340" s="47">
        <f t="shared" si="42"/>
        <v>10</v>
      </c>
      <c r="AA340" s="46">
        <f t="shared" ref="AA340:AA343" si="50">IF(Z340="NÃO FINALIZADO","",Z340+Y340)</f>
        <v>10</v>
      </c>
      <c r="AB340" s="46" t="str" cm="1">
        <f t="array" ref="AB340">IFERROR(_xlfn.IFS(L340="FINALIZADO PRESENCIAL",IF(AA340&gt;10,"FORA","DENTRO"),L340="FINALIZADO REMOTO",IF(AA340&gt;5,"FORA","DENTRO")),"-")</f>
        <v>DENTRO</v>
      </c>
      <c r="AC340" s="41" t="s">
        <v>1671</v>
      </c>
      <c r="AD340" s="41" t="s">
        <v>1671</v>
      </c>
      <c r="AE340" s="48" cm="1">
        <f t="array" ref="AE340">SUMPRODUCT(IFERROR(('[2]PEÇAS GARANTIA'!$A$3:$A$5993=G340)*('[2]PEÇAS GARANTIA'!$A$3:$A$5993&lt;&gt;"")*('[2]PEÇAS GARANTIA'!$R$3:$R$5993),0))</f>
        <v>0</v>
      </c>
      <c r="AF340" s="178">
        <v>0</v>
      </c>
    </row>
    <row r="341" spans="1:32" ht="49.5" customHeight="1" x14ac:dyDescent="0.25">
      <c r="A341" s="82">
        <v>76725</v>
      </c>
      <c r="B341" s="41" t="str">
        <f>IFERROR(INDEX([1]GARANTIA!$B:$B,MATCH(A341,[1]GARANTIA!$C:$C,0)),"INSIRA N° SERIE")</f>
        <v>TESTE 65</v>
      </c>
      <c r="C341" s="33">
        <f>IFERROR(INDEX([1]GARANTIA!$J:$J,MATCH(A341,[1]GARANTIA!$C:$C,0)),"INSIRA N° SERIE")</f>
        <v>43882</v>
      </c>
      <c r="D341" s="33" t="str">
        <f>IFERROR(IF(INDEX([1]GARANTIA!$M:$M,MATCH(A341,[1]GARANTIA!$C:$C,0))&gt;=I341,"DENTRO DA GARANTIA","FORA DE GARANTIA"),"INSIRA N° SERIE")</f>
        <v>DENTRO DA GARANTIA</v>
      </c>
      <c r="E341" s="148"/>
      <c r="F341" s="109">
        <f>IFERROR(MAX(0,IF(I341-(INDEX([1]GARANTIA!$J:$J,MATCH(A341,[1]GARANTIA!$C:$C,0)))&gt;=0,I341-(INDEX([1]GARANTIA!$L:$L,MATCH(A341,[1]GARANTIA!$C:$C,0))),"INSIRA DATA CHAMADO")),"INSIRA N° SERIE")</f>
        <v>150</v>
      </c>
      <c r="G341" s="98">
        <v>20210754</v>
      </c>
      <c r="H341" s="35" t="str">
        <f t="shared" si="40"/>
        <v>OUT</v>
      </c>
      <c r="I341" s="89">
        <v>44488</v>
      </c>
      <c r="J341" s="90">
        <v>44488</v>
      </c>
      <c r="K341" s="91">
        <v>44489</v>
      </c>
      <c r="L341" s="92" t="s">
        <v>23</v>
      </c>
      <c r="M341" s="92" t="s">
        <v>8</v>
      </c>
      <c r="N341" s="92" t="s">
        <v>28</v>
      </c>
      <c r="O341" s="42" t="str">
        <f>IFERROR(INDEX([1]GARANTIA!$E:$E,MATCH(A341,[1]GARANTIA!$C:$C,0)),"INSIRA N° SERIE")</f>
        <v>MTI - 12.000GTS</v>
      </c>
      <c r="P341" s="101" t="s">
        <v>702</v>
      </c>
      <c r="Q341" s="94" t="s">
        <v>305</v>
      </c>
      <c r="R341" s="93" t="s">
        <v>703</v>
      </c>
      <c r="S341" s="44" t="s">
        <v>638</v>
      </c>
      <c r="T341" s="95" t="s">
        <v>143</v>
      </c>
      <c r="U341" s="96"/>
      <c r="V341" s="41" t="str">
        <f>IFERROR(INDEX([1]GARANTIA!$G:$G,MATCH(A341,[1]GARANTIA!$C:$C,0)),"INSIRA N° SERIE")</f>
        <v xml:space="preserve">ITAIPU </v>
      </c>
      <c r="W341" s="41" t="str">
        <f>IFERROR(INDEX([1]GARANTIA!$H:$H,MATCH(A341,[1]GARANTIA!$C:$C,0)),"INSIRA N° SERIE")</f>
        <v xml:space="preserve">SP </v>
      </c>
      <c r="X341" s="41" t="str">
        <f>IFERROR(INDEX([1]GARANTIA!$F:$F,MATCH(A341,[1]GARANTIA!$C:$C,0)),"INSIRA N° SERIE")</f>
        <v>SUDESTE</v>
      </c>
      <c r="Y341" s="46">
        <f t="shared" si="49"/>
        <v>0</v>
      </c>
      <c r="Z341" s="47">
        <f t="shared" si="42"/>
        <v>1</v>
      </c>
      <c r="AA341" s="46">
        <f t="shared" si="50"/>
        <v>1</v>
      </c>
      <c r="AB341" s="46" t="str" cm="1">
        <f t="array" ref="AB341">IFERROR(_xlfn.IFS(L341="FINALIZADO PRESENCIAL",IF(AA341&gt;10,"FORA","DENTRO"),L341="FINALIZADO REMOTO",IF(AA341&gt;5,"FORA","DENTRO")),"-")</f>
        <v>DENTRO</v>
      </c>
      <c r="AC341" s="41" t="s">
        <v>1671</v>
      </c>
      <c r="AD341" s="41" t="s">
        <v>1671</v>
      </c>
      <c r="AE341" s="48" cm="1">
        <f t="array" ref="AE341">SUMPRODUCT(IFERROR(('[2]PEÇAS GARANTIA'!$A$3:$A$5993=G341)*('[2]PEÇAS GARANTIA'!$A$3:$A$5993&lt;&gt;"")*('[2]PEÇAS GARANTIA'!$R$3:$R$5993),0))</f>
        <v>0</v>
      </c>
      <c r="AF341" s="178">
        <v>0</v>
      </c>
    </row>
    <row r="342" spans="1:32" ht="63" customHeight="1" x14ac:dyDescent="0.25">
      <c r="A342" s="82">
        <v>33481</v>
      </c>
      <c r="B342" s="41" t="str">
        <f>IFERROR(INDEX([1]GARANTIA!$B:$B,MATCH(A342,[1]GARANTIA!$C:$C,0)),"INSIRA N° SERIE")</f>
        <v>TESTE 88</v>
      </c>
      <c r="C342" s="33">
        <f>IFERROR(INDEX([1]GARANTIA!$J:$J,MATCH(A342,[1]GARANTIA!$C:$C,0)),"INSIRA N° SERIE")</f>
        <v>44165</v>
      </c>
      <c r="D342" s="33" t="str">
        <f>IFERROR(IF(INDEX([1]GARANTIA!$M:$M,MATCH(A342,[1]GARANTIA!$C:$C,0))&gt;=I342,"DENTRO DA GARANTIA","FORA DE GARANTIA"),"INSIRA N° SERIE")</f>
        <v>DENTRO DA GARANTIA</v>
      </c>
      <c r="E342" s="148"/>
      <c r="F342" s="109">
        <f>IFERROR(MAX(0,IF(I342-(INDEX([1]GARANTIA!$J:$J,MATCH(A342,[1]GARANTIA!$C:$C,0)))&gt;=0,I342-(INDEX([1]GARANTIA!$L:$L,MATCH(A342,[1]GARANTIA!$C:$C,0))),"INSIRA DATA CHAMADO")),"INSIRA N° SERIE")</f>
        <v>72</v>
      </c>
      <c r="G342" s="98">
        <v>20210755</v>
      </c>
      <c r="H342" s="35" t="str">
        <f t="shared" si="40"/>
        <v>OUT</v>
      </c>
      <c r="I342" s="89">
        <v>44488</v>
      </c>
      <c r="J342" s="90">
        <v>44488</v>
      </c>
      <c r="K342" s="91">
        <v>44492</v>
      </c>
      <c r="L342" s="92" t="s">
        <v>11</v>
      </c>
      <c r="M342" s="92" t="s">
        <v>8</v>
      </c>
      <c r="N342" s="92" t="s">
        <v>43</v>
      </c>
      <c r="O342" s="42" t="str">
        <f>IFERROR(INDEX([1]GARANTIA!$E:$E,MATCH(A342,[1]GARANTIA!$C:$C,0)),"INSIRA N° SERIE")</f>
        <v>MTI - 7.000GES</v>
      </c>
      <c r="P342" s="101" t="s">
        <v>704</v>
      </c>
      <c r="Q342" s="94" t="s">
        <v>305</v>
      </c>
      <c r="R342" s="93" t="s">
        <v>711</v>
      </c>
      <c r="S342" s="44" t="s">
        <v>638</v>
      </c>
      <c r="T342" s="95" t="s">
        <v>143</v>
      </c>
      <c r="U342" s="96"/>
      <c r="V342" s="41" t="str">
        <f>IFERROR(INDEX([1]GARANTIA!$G:$G,MATCH(A342,[1]GARANTIA!$C:$C,0)),"INSIRA N° SERIE")</f>
        <v>CORUMBA</v>
      </c>
      <c r="W342" s="41" t="str">
        <f>IFERROR(INDEX([1]GARANTIA!$H:$H,MATCH(A342,[1]GARANTIA!$C:$C,0)),"INSIRA N° SERIE")</f>
        <v>MS</v>
      </c>
      <c r="X342" s="41" t="str">
        <f>IFERROR(INDEX([1]GARANTIA!$F:$F,MATCH(A342,[1]GARANTIA!$C:$C,0)),"INSIRA N° SERIE")</f>
        <v>CENTROESTE</v>
      </c>
      <c r="Y342" s="46">
        <f t="shared" si="49"/>
        <v>0</v>
      </c>
      <c r="Z342" s="47">
        <f t="shared" si="42"/>
        <v>4</v>
      </c>
      <c r="AA342" s="46">
        <f t="shared" si="50"/>
        <v>4</v>
      </c>
      <c r="AB342" s="46" t="str" cm="1">
        <f t="array" ref="AB342">IFERROR(_xlfn.IFS(L342="FINALIZADO PRESENCIAL",IF(AA342&gt;10,"FORA","DENTRO"),L342="FINALIZADO REMOTO",IF(AA342&gt;5,"FORA","DENTRO")),"-")</f>
        <v>DENTRO</v>
      </c>
      <c r="AC342" s="41" t="s">
        <v>1671</v>
      </c>
      <c r="AD342" s="41" t="s">
        <v>1671</v>
      </c>
      <c r="AE342" s="48" cm="1">
        <f t="array" ref="AE342">SUMPRODUCT(IFERROR(('[2]PEÇAS GARANTIA'!$A$3:$A$5993=G342)*('[2]PEÇAS GARANTIA'!$A$3:$A$5993&lt;&gt;"")*('[2]PEÇAS GARANTIA'!$R$3:$R$5993),0))</f>
        <v>150</v>
      </c>
      <c r="AF342" s="178">
        <v>0</v>
      </c>
    </row>
    <row r="343" spans="1:32" ht="43.5" customHeight="1" x14ac:dyDescent="0.25">
      <c r="A343" s="82">
        <v>57868</v>
      </c>
      <c r="B343" s="41" t="str">
        <f>IFERROR(INDEX([1]GARANTIA!$B:$B,MATCH(A343,[1]GARANTIA!$C:$C,0)),"INSIRA N° SERIE")</f>
        <v>TESTE 252</v>
      </c>
      <c r="C343" s="33">
        <f>IFERROR(INDEX([1]GARANTIA!$J:$J,MATCH(A343,[1]GARANTIA!$C:$C,0)),"INSIRA N° SERIE")</f>
        <v>44043</v>
      </c>
      <c r="D343" s="33" t="str">
        <f>IFERROR(IF(INDEX([1]GARANTIA!$M:$M,MATCH(A343,[1]GARANTIA!$C:$C,0))&gt;=I343,"DENTRO DA GARANTIA","FORA DE GARANTIA"),"INSIRA N° SERIE")</f>
        <v>DENTRO DA GARANTIA</v>
      </c>
      <c r="E343" s="148"/>
      <c r="F343" s="109">
        <f>IFERROR(MAX(0,IF(I343-(INDEX([1]GARANTIA!$J:$J,MATCH(A343,[1]GARANTIA!$C:$C,0)))&gt;=0,I343-(INDEX([1]GARANTIA!$L:$L,MATCH(A343,[1]GARANTIA!$C:$C,0))),"INSIRA DATA CHAMADO")),"INSIRA N° SERIE")</f>
        <v>355</v>
      </c>
      <c r="G343" s="98">
        <v>20210756</v>
      </c>
      <c r="H343" s="35" t="str">
        <f t="shared" si="40"/>
        <v>OUT</v>
      </c>
      <c r="I343" s="89">
        <v>44489</v>
      </c>
      <c r="J343" s="90">
        <v>44489</v>
      </c>
      <c r="K343" s="91">
        <v>44519</v>
      </c>
      <c r="L343" s="92" t="s">
        <v>11</v>
      </c>
      <c r="M343" s="92" t="s">
        <v>8</v>
      </c>
      <c r="N343" s="92" t="s">
        <v>57</v>
      </c>
      <c r="O343" s="42" t="str">
        <f>IFERROR(INDEX([1]GARANTIA!$E:$E,MATCH(A343,[1]GARANTIA!$C:$C,0)),"INSIRA N° SERIE")</f>
        <v>GERADOR DE 32.000 GT</v>
      </c>
      <c r="P343" s="101" t="s">
        <v>813</v>
      </c>
      <c r="Q343" s="94" t="s">
        <v>641</v>
      </c>
      <c r="R343" s="93" t="s">
        <v>812</v>
      </c>
      <c r="S343" s="95" t="s">
        <v>102</v>
      </c>
      <c r="T343" s="95" t="s">
        <v>641</v>
      </c>
      <c r="U343" s="96"/>
      <c r="V343" s="41" t="str">
        <f>IFERROR(INDEX([1]GARANTIA!$G:$G,MATCH(A343,[1]GARANTIA!$C:$C,0)),"INSIRA N° SERIE")</f>
        <v>MANAUS</v>
      </c>
      <c r="W343" s="41" t="str">
        <f>IFERROR(INDEX([1]GARANTIA!$H:$H,MATCH(A343,[1]GARANTIA!$C:$C,0)),"INSIRA N° SERIE")</f>
        <v xml:space="preserve">AM </v>
      </c>
      <c r="X343" s="41" t="str">
        <f>IFERROR(INDEX([1]GARANTIA!$F:$F,MATCH(A343,[1]GARANTIA!$C:$C,0)),"INSIRA N° SERIE")</f>
        <v>NORTE</v>
      </c>
      <c r="Y343" s="46">
        <f t="shared" si="49"/>
        <v>0</v>
      </c>
      <c r="Z343" s="47">
        <f t="shared" si="42"/>
        <v>30</v>
      </c>
      <c r="AA343" s="46">
        <f t="shared" si="50"/>
        <v>30</v>
      </c>
      <c r="AB343" s="46" t="str" cm="1">
        <f t="array" ref="AB343">IFERROR(_xlfn.IFS(L343="FINALIZADO PRESENCIAL",IF(AA343&gt;10,"FORA","DENTRO"),L343="FINALIZADO REMOTO",IF(AA343&gt;5,"FORA","DENTRO")),"-")</f>
        <v>FORA</v>
      </c>
      <c r="AC343" s="41" t="s">
        <v>1671</v>
      </c>
      <c r="AD343" s="41" t="s">
        <v>1671</v>
      </c>
      <c r="AE343" s="48" cm="1">
        <f t="array" ref="AE343">SUMPRODUCT(IFERROR(('[2]PEÇAS GARANTIA'!$A$3:$A$5993=G343)*('[2]PEÇAS GARANTIA'!$A$3:$A$5993&lt;&gt;"")*('[2]PEÇAS GARANTIA'!$R$3:$R$5993),0))</f>
        <v>4570.3900000000003</v>
      </c>
      <c r="AF343" s="178">
        <v>0</v>
      </c>
    </row>
    <row r="344" spans="1:32" ht="64.5" customHeight="1" x14ac:dyDescent="0.25">
      <c r="A344" s="82">
        <v>78008</v>
      </c>
      <c r="B344" s="41" t="str">
        <f>IFERROR(INDEX([1]GARANTIA!$B:$B,MATCH(A344,[1]GARANTIA!$C:$C,0)),"INSIRA N° SERIE")</f>
        <v>TESTE 345</v>
      </c>
      <c r="C344" s="33">
        <f>IFERROR(INDEX([1]GARANTIA!$J:$J,MATCH(A344,[1]GARANTIA!$C:$C,0)),"INSIRA N° SERIE")</f>
        <v>44331</v>
      </c>
      <c r="D344" s="33" t="str">
        <f>IFERROR(IF(INDEX([1]GARANTIA!$M:$M,MATCH(A344,[1]GARANTIA!$C:$C,0))&gt;=I344,"DENTRO DA GARANTIA","FORA DE GARANTIA"),"INSIRA N° SERIE")</f>
        <v>DENTRO DA GARANTIA</v>
      </c>
      <c r="E344" s="148"/>
      <c r="F344" s="109">
        <f>IFERROR(MAX(0,IF(I344-(INDEX([1]GARANTIA!$J:$J,MATCH(A344,[1]GARANTIA!$C:$C,0)))&gt;=0,I344-(INDEX([1]GARANTIA!$L:$L,MATCH(A344,[1]GARANTIA!$C:$C,0))),"INSIRA DATA CHAMADO")),"INSIRA N° SERIE")</f>
        <v>29</v>
      </c>
      <c r="G344" s="98">
        <v>20210757</v>
      </c>
      <c r="H344" s="35" t="str">
        <f t="shared" si="40"/>
        <v>OUT</v>
      </c>
      <c r="I344" s="89">
        <v>44489</v>
      </c>
      <c r="J344" s="90">
        <v>44489</v>
      </c>
      <c r="K344" s="91">
        <v>44490</v>
      </c>
      <c r="L344" s="92" t="s">
        <v>23</v>
      </c>
      <c r="M344" s="92" t="s">
        <v>8</v>
      </c>
      <c r="N344" s="92" t="s">
        <v>28</v>
      </c>
      <c r="O344" s="42" t="str">
        <f>IFERROR(INDEX([1]GARANTIA!$E:$E,MATCH(A344,[1]GARANTIA!$C:$C,0)),"INSIRA N° SERIE")</f>
        <v>MTI - 3.200GES</v>
      </c>
      <c r="P344" s="101" t="s">
        <v>708</v>
      </c>
      <c r="Q344" s="94" t="s">
        <v>305</v>
      </c>
      <c r="R344" s="93" t="s">
        <v>707</v>
      </c>
      <c r="S344" s="44" t="s">
        <v>638</v>
      </c>
      <c r="T344" s="95" t="s">
        <v>143</v>
      </c>
      <c r="U344" s="96"/>
      <c r="V344" s="41" t="str">
        <f>IFERROR(INDEX([1]GARANTIA!$G:$G,MATCH(A344,[1]GARANTIA!$C:$C,0)),"INSIRA N° SERIE")</f>
        <v>SÃO PAULO</v>
      </c>
      <c r="W344" s="41" t="str">
        <f>IFERROR(INDEX([1]GARANTIA!$H:$H,MATCH(A344,[1]GARANTIA!$C:$C,0)),"INSIRA N° SERIE")</f>
        <v>SP</v>
      </c>
      <c r="X344" s="41" t="str">
        <f>IFERROR(INDEX([1]GARANTIA!$F:$F,MATCH(A344,[1]GARANTIA!$C:$C,0)),"INSIRA N° SERIE")</f>
        <v>SUDESTE</v>
      </c>
      <c r="Y344" s="46">
        <f t="shared" ref="Y344:Y347" si="51">IF(G344&lt;&gt;"",J344-I344,"INSIRA N° OS")</f>
        <v>0</v>
      </c>
      <c r="Z344" s="47">
        <f t="shared" si="42"/>
        <v>1</v>
      </c>
      <c r="AA344" s="46">
        <f t="shared" ref="AA344:AA347" si="52">IF(Z344="NÃO FINALIZADO","",Z344+Y344)</f>
        <v>1</v>
      </c>
      <c r="AB344" s="46" t="str" cm="1">
        <f t="array" ref="AB344">IFERROR(_xlfn.IFS(L344="FINALIZADO PRESENCIAL",IF(AA344&gt;10,"FORA","DENTRO"),L344="FINALIZADO REMOTO",IF(AA344&gt;5,"FORA","DENTRO")),"-")</f>
        <v>DENTRO</v>
      </c>
      <c r="AC344" s="41" t="s">
        <v>1671</v>
      </c>
      <c r="AD344" s="41" t="s">
        <v>1671</v>
      </c>
      <c r="AE344" s="48" cm="1">
        <f t="array" ref="AE344">SUMPRODUCT(IFERROR(('[2]PEÇAS GARANTIA'!$A$3:$A$5993=G344)*('[2]PEÇAS GARANTIA'!$A$3:$A$5993&lt;&gt;"")*('[2]PEÇAS GARANTIA'!$R$3:$R$5993),0))</f>
        <v>0</v>
      </c>
      <c r="AF344" s="178">
        <v>0</v>
      </c>
    </row>
    <row r="345" spans="1:32" ht="54.75" customHeight="1" x14ac:dyDescent="0.25">
      <c r="A345" s="82">
        <v>12963</v>
      </c>
      <c r="B345" s="41" t="str">
        <f>IFERROR(INDEX([1]GARANTIA!$B:$B,MATCH(A345,[1]GARANTIA!$C:$C,0)),"INSIRA N° SERIE")</f>
        <v>TESTE 354</v>
      </c>
      <c r="C345" s="33">
        <f>IFERROR(INDEX([1]GARANTIA!$J:$J,MATCH(A345,[1]GARANTIA!$C:$C,0)),"INSIRA N° SERIE")</f>
        <v>44127</v>
      </c>
      <c r="D345" s="33" t="str">
        <f>IFERROR(IF(INDEX([1]GARANTIA!$M:$M,MATCH(A345,[1]GARANTIA!$C:$C,0))&gt;=I345,"DENTRO DA GARANTIA","FORA DE GARANTIA"),"INSIRA N° SERIE")</f>
        <v>DENTRO DA GARANTIA</v>
      </c>
      <c r="E345" s="148"/>
      <c r="F345" s="109">
        <f>IFERROR(MAX(0,IF(I345-(INDEX([1]GARANTIA!$J:$J,MATCH(A345,[1]GARANTIA!$C:$C,0)))&gt;=0,I345-(INDEX([1]GARANTIA!$L:$L,MATCH(A345,[1]GARANTIA!$C:$C,0))),"INSIRA DATA CHAMADO")),"INSIRA N° SERIE")</f>
        <v>3</v>
      </c>
      <c r="G345" s="98">
        <v>20210758</v>
      </c>
      <c r="H345" s="35" t="str">
        <f t="shared" si="40"/>
        <v>OUT</v>
      </c>
      <c r="I345" s="89">
        <v>44487</v>
      </c>
      <c r="J345" s="90">
        <v>44487</v>
      </c>
      <c r="K345" s="91"/>
      <c r="L345" s="92" t="s">
        <v>24</v>
      </c>
      <c r="M345" s="92" t="s">
        <v>8</v>
      </c>
      <c r="N345" s="92" t="s">
        <v>43</v>
      </c>
      <c r="O345" s="42" t="str">
        <f>IFERROR(INDEX([1]GARANTIA!$E:$E,MATCH(A345,[1]GARANTIA!$C:$C,0)),"INSIRA N° SERIE")</f>
        <v>PGM 40.000 GTS</v>
      </c>
      <c r="P345" s="101"/>
      <c r="Q345" s="94"/>
      <c r="R345" s="93"/>
      <c r="S345" s="95"/>
      <c r="T345" s="95"/>
      <c r="U345" s="96"/>
      <c r="V345" s="41" t="str">
        <f>IFERROR(INDEX([1]GARANTIA!$G:$G,MATCH(A345,[1]GARANTIA!$C:$C,0)),"INSIRA N° SERIE")</f>
        <v>PALMAS</v>
      </c>
      <c r="W345" s="41" t="str">
        <f>IFERROR(INDEX([1]GARANTIA!$H:$H,MATCH(A345,[1]GARANTIA!$C:$C,0)),"INSIRA N° SERIE")</f>
        <v>TO</v>
      </c>
      <c r="X345" s="41" t="str">
        <f>IFERROR(INDEX([1]GARANTIA!$F:$F,MATCH(A345,[1]GARANTIA!$C:$C,0)),"INSIRA N° SERIE")</f>
        <v>NORTE</v>
      </c>
      <c r="Y345" s="46">
        <f t="shared" si="51"/>
        <v>0</v>
      </c>
      <c r="Z345" s="47" t="str">
        <f t="shared" si="42"/>
        <v>NÃO FINALIZADO</v>
      </c>
      <c r="AA345" s="46" t="str">
        <f t="shared" si="52"/>
        <v/>
      </c>
      <c r="AB345" s="46" t="str" cm="1">
        <f t="array" ref="AB345">IFERROR(_xlfn.IFS(L345="FINALIZADO PRESENCIAL",IF(AA345&gt;10,"FORA","DENTRO"),L345="FINALIZADO REMOTO",IF(AA345&gt;5,"FORA","DENTRO")),"-")</f>
        <v>-</v>
      </c>
      <c r="AC345" s="41" t="s">
        <v>1671</v>
      </c>
      <c r="AD345" s="41" t="s">
        <v>1671</v>
      </c>
      <c r="AE345" s="48" cm="1">
        <f t="array" ref="AE345">SUMPRODUCT(IFERROR(('[2]PEÇAS GARANTIA'!$A$3:$A$5993=G345)*('[2]PEÇAS GARANTIA'!$A$3:$A$5993&lt;&gt;"")*('[2]PEÇAS GARANTIA'!$R$3:$R$5993),0))</f>
        <v>0</v>
      </c>
      <c r="AF345" s="178">
        <v>0</v>
      </c>
    </row>
    <row r="346" spans="1:32" ht="45" customHeight="1" x14ac:dyDescent="0.25">
      <c r="A346" s="82">
        <v>12963</v>
      </c>
      <c r="B346" s="41" t="str">
        <f>IFERROR(INDEX([1]GARANTIA!$B:$B,MATCH(A346,[1]GARANTIA!$C:$C,0)),"INSIRA N° SERIE")</f>
        <v>TESTE 354</v>
      </c>
      <c r="C346" s="33">
        <f>IFERROR(INDEX([1]GARANTIA!$J:$J,MATCH(A346,[1]GARANTIA!$C:$C,0)),"INSIRA N° SERIE")</f>
        <v>44127</v>
      </c>
      <c r="D346" s="33" t="str">
        <f>IFERROR(IF(INDEX([1]GARANTIA!$M:$M,MATCH(A346,[1]GARANTIA!$C:$C,0))&gt;=I346,"DENTRO DA GARANTIA","FORA DE GARANTIA"),"INSIRA N° SERIE")</f>
        <v>DENTRO DA GARANTIA</v>
      </c>
      <c r="E346" s="148"/>
      <c r="F346" s="109">
        <f>IFERROR(MAX(0,IF(I346-(INDEX([1]GARANTIA!$J:$J,MATCH(A346,[1]GARANTIA!$C:$C,0)))&gt;=0,I346-(INDEX([1]GARANTIA!$L:$L,MATCH(A346,[1]GARANTIA!$C:$C,0))),"INSIRA DATA CHAMADO")),"INSIRA N° SERIE")</f>
        <v>3</v>
      </c>
      <c r="G346" s="98">
        <v>20210759</v>
      </c>
      <c r="H346" s="35" t="str">
        <f t="shared" si="40"/>
        <v>OUT</v>
      </c>
      <c r="I346" s="89">
        <v>44487</v>
      </c>
      <c r="J346" s="90">
        <v>44487</v>
      </c>
      <c r="K346" s="91"/>
      <c r="L346" s="92" t="s">
        <v>24</v>
      </c>
      <c r="M346" s="92" t="s">
        <v>8</v>
      </c>
      <c r="N346" s="92" t="s">
        <v>43</v>
      </c>
      <c r="O346" s="42" t="str">
        <f>IFERROR(INDEX([1]GARANTIA!$E:$E,MATCH(A346,[1]GARANTIA!$C:$C,0)),"INSIRA N° SERIE")</f>
        <v>PGM 40.000 GTS</v>
      </c>
      <c r="P346" s="101" t="s">
        <v>840</v>
      </c>
      <c r="Q346" s="94"/>
      <c r="R346" s="93"/>
      <c r="S346" s="95"/>
      <c r="T346" s="95"/>
      <c r="U346" s="96"/>
      <c r="V346" s="41" t="str">
        <f>IFERROR(INDEX([1]GARANTIA!$G:$G,MATCH(A346,[1]GARANTIA!$C:$C,0)),"INSIRA N° SERIE")</f>
        <v>PALMAS</v>
      </c>
      <c r="W346" s="41" t="str">
        <f>IFERROR(INDEX([1]GARANTIA!$H:$H,MATCH(A346,[1]GARANTIA!$C:$C,0)),"INSIRA N° SERIE")</f>
        <v>TO</v>
      </c>
      <c r="X346" s="41" t="str">
        <f>IFERROR(INDEX([1]GARANTIA!$F:$F,MATCH(A346,[1]GARANTIA!$C:$C,0)),"INSIRA N° SERIE")</f>
        <v>NORTE</v>
      </c>
      <c r="Y346" s="46">
        <f t="shared" si="51"/>
        <v>0</v>
      </c>
      <c r="Z346" s="47" t="str">
        <f t="shared" si="42"/>
        <v>NÃO FINALIZADO</v>
      </c>
      <c r="AA346" s="46" t="str">
        <f t="shared" si="52"/>
        <v/>
      </c>
      <c r="AB346" s="46" t="str" cm="1">
        <f t="array" ref="AB346">IFERROR(_xlfn.IFS(L346="FINALIZADO PRESENCIAL",IF(AA346&gt;10,"FORA","DENTRO"),L346="FINALIZADO REMOTO",IF(AA346&gt;5,"FORA","DENTRO")),"-")</f>
        <v>-</v>
      </c>
      <c r="AC346" s="41" t="s">
        <v>1671</v>
      </c>
      <c r="AD346" s="41" t="s">
        <v>1671</v>
      </c>
      <c r="AE346" s="48" cm="1">
        <f t="array" ref="AE346">SUMPRODUCT(IFERROR(('[2]PEÇAS GARANTIA'!$A$3:$A$5993=G346)*('[2]PEÇAS GARANTIA'!$A$3:$A$5993&lt;&gt;"")*('[2]PEÇAS GARANTIA'!$R$3:$R$5993),0))</f>
        <v>16069.619999999999</v>
      </c>
      <c r="AF346" s="178">
        <v>0</v>
      </c>
    </row>
    <row r="347" spans="1:32" ht="65.25" customHeight="1" x14ac:dyDescent="0.25">
      <c r="A347" s="82">
        <v>67788</v>
      </c>
      <c r="B347" s="41" t="str">
        <f>IFERROR(INDEX([1]GARANTIA!$B:$B,MATCH(A347,[1]GARANTIA!$C:$C,0)),"INSIRA N° SERIE")</f>
        <v>TESTE 355</v>
      </c>
      <c r="C347" s="33">
        <f>IFERROR(INDEX([1]GARANTIA!$J:$J,MATCH(A347,[1]GARANTIA!$C:$C,0)),"INSIRA N° SERIE")</f>
        <v>44372</v>
      </c>
      <c r="D347" s="33" t="str">
        <f>IFERROR(IF(INDEX([1]GARANTIA!$M:$M,MATCH(A347,[1]GARANTIA!$C:$C,0))&gt;=I347,"DENTRO DA GARANTIA","FORA DE GARANTIA"),"INSIRA N° SERIE")</f>
        <v>DENTRO DA GARANTIA</v>
      </c>
      <c r="E347" s="148"/>
      <c r="F347" s="109">
        <f>IFERROR(MAX(0,IF(I347-(INDEX([1]GARANTIA!$J:$J,MATCH(A347,[1]GARANTIA!$C:$C,0)))&gt;=0,I347-(INDEX([1]GARANTIA!$L:$L,MATCH(A347,[1]GARANTIA!$C:$C,0))),"INSIRA DATA CHAMADO")),"INSIRA N° SERIE")</f>
        <v>5</v>
      </c>
      <c r="G347" s="98">
        <v>20210760</v>
      </c>
      <c r="H347" s="35" t="str">
        <f t="shared" si="40"/>
        <v>OUT</v>
      </c>
      <c r="I347" s="89">
        <v>44489</v>
      </c>
      <c r="J347" s="90">
        <v>44489</v>
      </c>
      <c r="K347" s="91">
        <v>44490</v>
      </c>
      <c r="L347" s="92" t="s">
        <v>23</v>
      </c>
      <c r="M347" s="92" t="s">
        <v>8</v>
      </c>
      <c r="N347" s="92" t="s">
        <v>33</v>
      </c>
      <c r="O347" s="42" t="str">
        <f>IFERROR(INDEX([1]GARANTIA!$E:$E,MATCH(A347,[1]GARANTIA!$C:$C,0)),"INSIRA N° SERIE")</f>
        <v>MTI - 4.000GTS</v>
      </c>
      <c r="P347" s="101" t="s">
        <v>710</v>
      </c>
      <c r="Q347" s="94" t="s">
        <v>644</v>
      </c>
      <c r="R347" s="93" t="s">
        <v>705</v>
      </c>
      <c r="S347" s="44" t="s">
        <v>638</v>
      </c>
      <c r="T347" s="95" t="s">
        <v>141</v>
      </c>
      <c r="U347" s="96"/>
      <c r="V347" s="41" t="str">
        <f>IFERROR(INDEX([1]GARANTIA!$G:$G,MATCH(A347,[1]GARANTIA!$C:$C,0)),"INSIRA N° SERIE")</f>
        <v>COMANDATUBA</v>
      </c>
      <c r="W347" s="41" t="str">
        <f>IFERROR(INDEX([1]GARANTIA!$H:$H,MATCH(A347,[1]GARANTIA!$C:$C,0)),"INSIRA N° SERIE")</f>
        <v>BA</v>
      </c>
      <c r="X347" s="41" t="str">
        <f>IFERROR(INDEX([1]GARANTIA!$F:$F,MATCH(A347,[1]GARANTIA!$C:$C,0)),"INSIRA N° SERIE")</f>
        <v>NORDESTE</v>
      </c>
      <c r="Y347" s="46">
        <f t="shared" si="51"/>
        <v>0</v>
      </c>
      <c r="Z347" s="47">
        <f t="shared" si="42"/>
        <v>1</v>
      </c>
      <c r="AA347" s="46">
        <f t="shared" si="52"/>
        <v>1</v>
      </c>
      <c r="AB347" s="46" t="str" cm="1">
        <f t="array" ref="AB347">IFERROR(_xlfn.IFS(L347="FINALIZADO PRESENCIAL",IF(AA347&gt;10,"FORA","DENTRO"),L347="FINALIZADO REMOTO",IF(AA347&gt;5,"FORA","DENTRO")),"-")</f>
        <v>DENTRO</v>
      </c>
      <c r="AC347" s="41" t="s">
        <v>1671</v>
      </c>
      <c r="AD347" s="41" t="s">
        <v>1671</v>
      </c>
      <c r="AE347" s="48" cm="1">
        <f t="array" ref="AE347">SUMPRODUCT(IFERROR(('[2]PEÇAS GARANTIA'!$A$3:$A$5993=G347)*('[2]PEÇAS GARANTIA'!$A$3:$A$5993&lt;&gt;"")*('[2]PEÇAS GARANTIA'!$R$3:$R$5993),0))</f>
        <v>0</v>
      </c>
      <c r="AF347" s="178">
        <v>0</v>
      </c>
    </row>
    <row r="348" spans="1:32" ht="84.75" customHeight="1" x14ac:dyDescent="0.25">
      <c r="A348" s="82">
        <v>86328</v>
      </c>
      <c r="B348" s="41" t="str">
        <f>IFERROR(INDEX([1]GARANTIA!$B:$B,MATCH(A348,[1]GARANTIA!$C:$C,0)),"INSIRA N° SERIE")</f>
        <v>TESTE 211</v>
      </c>
      <c r="C348" s="33">
        <f>IFERROR(INDEX([1]GARANTIA!$J:$J,MATCH(A348,[1]GARANTIA!$C:$C,0)),"INSIRA N° SERIE")</f>
        <v>44084</v>
      </c>
      <c r="D348" s="33" t="str">
        <f>IFERROR(IF(INDEX([1]GARANTIA!$M:$M,MATCH(A348,[1]GARANTIA!$C:$C,0))&gt;=I348,"DENTRO DA GARANTIA","FORA DE GARANTIA"),"INSIRA N° SERIE")</f>
        <v>DENTRO DA GARANTIA</v>
      </c>
      <c r="E348" s="148"/>
      <c r="F348" s="109">
        <f>IFERROR(MAX(0,IF(I348-(INDEX([1]GARANTIA!$J:$J,MATCH(A348,[1]GARANTIA!$C:$C,0)))&gt;=0,I348-(INDEX([1]GARANTIA!$L:$L,MATCH(A348,[1]GARANTIA!$C:$C,0))),"INSIRA DATA CHAMADO")),"INSIRA N° SERIE")</f>
        <v>310</v>
      </c>
      <c r="G348" s="98">
        <v>20210761</v>
      </c>
      <c r="H348" s="35" t="str">
        <f t="shared" si="40"/>
        <v>OUT</v>
      </c>
      <c r="I348" s="89">
        <v>44489</v>
      </c>
      <c r="J348" s="90">
        <v>44489</v>
      </c>
      <c r="K348" s="91">
        <v>44505</v>
      </c>
      <c r="L348" s="92" t="s">
        <v>11</v>
      </c>
      <c r="M348" s="92" t="s">
        <v>8</v>
      </c>
      <c r="N348" s="92" t="s">
        <v>42</v>
      </c>
      <c r="O348" s="42" t="str">
        <f>IFERROR(INDEX([1]GARANTIA!$E:$E,MATCH(A348,[1]GARANTIA!$C:$C,0)),"INSIRA N° SERIE")</f>
        <v>MTI - 1.000GTS</v>
      </c>
      <c r="P348" s="101" t="s">
        <v>743</v>
      </c>
      <c r="Q348" s="94" t="s">
        <v>645</v>
      </c>
      <c r="R348" s="93" t="s">
        <v>744</v>
      </c>
      <c r="S348" s="95" t="s">
        <v>325</v>
      </c>
      <c r="T348" s="95" t="s">
        <v>142</v>
      </c>
      <c r="U348" s="96"/>
      <c r="V348" s="41" t="str">
        <f>IFERROR(INDEX([1]GARANTIA!$G:$G,MATCH(A348,[1]GARANTIA!$C:$C,0)),"INSIRA N° SERIE")</f>
        <v xml:space="preserve">RIO BRANCO </v>
      </c>
      <c r="W348" s="41" t="str">
        <f>IFERROR(INDEX([1]GARANTIA!$H:$H,MATCH(A348,[1]GARANTIA!$C:$C,0)),"INSIRA N° SERIE")</f>
        <v>AC</v>
      </c>
      <c r="X348" s="41" t="str">
        <f>IFERROR(INDEX([1]GARANTIA!$F:$F,MATCH(A348,[1]GARANTIA!$C:$C,0)),"INSIRA N° SERIE")</f>
        <v>NORTE</v>
      </c>
      <c r="Y348" s="46">
        <f t="shared" ref="Y348:Y355" si="53">IF(G348&lt;&gt;"",J348-I348,"INSIRA N° OS")</f>
        <v>0</v>
      </c>
      <c r="Z348" s="47">
        <f t="shared" si="42"/>
        <v>16</v>
      </c>
      <c r="AA348" s="46">
        <f t="shared" ref="AA348:AA355" si="54">IF(Z348="NÃO FINALIZADO","",Z348+Y348)</f>
        <v>16</v>
      </c>
      <c r="AB348" s="46" t="str" cm="1">
        <f t="array" ref="AB348">IFERROR(_xlfn.IFS(L348="FINALIZADO PRESENCIAL",IF(AA348&gt;10,"FORA","DENTRO"),L348="FINALIZADO REMOTO",IF(AA348&gt;5,"FORA","DENTRO")),"-")</f>
        <v>FORA</v>
      </c>
      <c r="AC348" s="41" t="s">
        <v>1671</v>
      </c>
      <c r="AD348" s="41" t="s">
        <v>1671</v>
      </c>
      <c r="AE348" s="48" cm="1">
        <f t="array" ref="AE348">SUMPRODUCT(IFERROR(('[2]PEÇAS GARANTIA'!$A$3:$A$5993=G348)*('[2]PEÇAS GARANTIA'!$A$3:$A$5993&lt;&gt;"")*('[2]PEÇAS GARANTIA'!$R$3:$R$5993),0))</f>
        <v>23129.5</v>
      </c>
      <c r="AF348" s="178">
        <v>0</v>
      </c>
    </row>
    <row r="349" spans="1:32" ht="59.25" customHeight="1" x14ac:dyDescent="0.25">
      <c r="A349" s="82">
        <v>67788</v>
      </c>
      <c r="B349" s="41" t="str">
        <f>IFERROR(INDEX([1]GARANTIA!$B:$B,MATCH(A349,[1]GARANTIA!$C:$C,0)),"INSIRA N° SERIE")</f>
        <v>TESTE 355</v>
      </c>
      <c r="C349" s="33">
        <f>IFERROR(INDEX([1]GARANTIA!$J:$J,MATCH(A349,[1]GARANTIA!$C:$C,0)),"INSIRA N° SERIE")</f>
        <v>44372</v>
      </c>
      <c r="D349" s="33" t="str">
        <f>IFERROR(IF(INDEX([1]GARANTIA!$M:$M,MATCH(A349,[1]GARANTIA!$C:$C,0))&gt;=I349,"DENTRO DA GARANTIA","FORA DE GARANTIA"),"INSIRA N° SERIE")</f>
        <v>DENTRO DA GARANTIA</v>
      </c>
      <c r="E349" s="148"/>
      <c r="F349" s="109">
        <f>IFERROR(MAX(0,IF(I349-(INDEX([1]GARANTIA!$J:$J,MATCH(A349,[1]GARANTIA!$C:$C,0)))&gt;=0,I349-(INDEX([1]GARANTIA!$L:$L,MATCH(A349,[1]GARANTIA!$C:$C,0))),"INSIRA DATA CHAMADO")),"INSIRA N° SERIE")</f>
        <v>6</v>
      </c>
      <c r="G349" s="98">
        <v>20210762</v>
      </c>
      <c r="H349" s="35" t="str">
        <f t="shared" si="40"/>
        <v>OUT</v>
      </c>
      <c r="I349" s="89">
        <v>44490</v>
      </c>
      <c r="J349" s="90">
        <v>44490</v>
      </c>
      <c r="K349" s="91">
        <v>44494</v>
      </c>
      <c r="L349" s="92" t="s">
        <v>23</v>
      </c>
      <c r="M349" s="92" t="s">
        <v>8</v>
      </c>
      <c r="N349" s="92" t="s">
        <v>28</v>
      </c>
      <c r="O349" s="42" t="str">
        <f>IFERROR(INDEX([1]GARANTIA!$E:$E,MATCH(A349,[1]GARANTIA!$C:$C,0)),"INSIRA N° SERIE")</f>
        <v>MTI - 4.000GTS</v>
      </c>
      <c r="P349" s="101" t="s">
        <v>712</v>
      </c>
      <c r="Q349" s="94" t="s">
        <v>645</v>
      </c>
      <c r="R349" s="93" t="s">
        <v>714</v>
      </c>
      <c r="S349" s="95" t="s">
        <v>325</v>
      </c>
      <c r="T349" s="95" t="s">
        <v>640</v>
      </c>
      <c r="U349" s="96"/>
      <c r="V349" s="41" t="str">
        <f>IFERROR(INDEX([1]GARANTIA!$G:$G,MATCH(A349,[1]GARANTIA!$C:$C,0)),"INSIRA N° SERIE")</f>
        <v>COMANDATUBA</v>
      </c>
      <c r="W349" s="41" t="str">
        <f>IFERROR(INDEX([1]GARANTIA!$H:$H,MATCH(A349,[1]GARANTIA!$C:$C,0)),"INSIRA N° SERIE")</f>
        <v>BA</v>
      </c>
      <c r="X349" s="41" t="str">
        <f>IFERROR(INDEX([1]GARANTIA!$F:$F,MATCH(A349,[1]GARANTIA!$C:$C,0)),"INSIRA N° SERIE")</f>
        <v>NORDESTE</v>
      </c>
      <c r="Y349" s="46">
        <f t="shared" si="53"/>
        <v>0</v>
      </c>
      <c r="Z349" s="47">
        <f t="shared" si="42"/>
        <v>4</v>
      </c>
      <c r="AA349" s="46">
        <f t="shared" si="54"/>
        <v>4</v>
      </c>
      <c r="AB349" s="46" t="str" cm="1">
        <f t="array" ref="AB349">IFERROR(_xlfn.IFS(L349="FINALIZADO PRESENCIAL",IF(AA349&gt;10,"FORA","DENTRO"),L349="FINALIZADO REMOTO",IF(AA349&gt;5,"FORA","DENTRO")),"-")</f>
        <v>DENTRO</v>
      </c>
      <c r="AC349" s="41" t="s">
        <v>1671</v>
      </c>
      <c r="AD349" s="41" t="s">
        <v>1671</v>
      </c>
      <c r="AE349" s="48" cm="1">
        <f t="array" ref="AE349">SUMPRODUCT(IFERROR(('[2]PEÇAS GARANTIA'!$A$3:$A$5993=G349)*('[2]PEÇAS GARANTIA'!$A$3:$A$5993&lt;&gt;"")*('[2]PEÇAS GARANTIA'!$R$3:$R$5993),0))</f>
        <v>228.59</v>
      </c>
      <c r="AF349" s="178">
        <v>0</v>
      </c>
    </row>
    <row r="350" spans="1:32" ht="55.5" customHeight="1" x14ac:dyDescent="0.25">
      <c r="A350" s="82">
        <v>50869</v>
      </c>
      <c r="B350" s="41" t="str">
        <f>IFERROR(INDEX([1]GARANTIA!$B:$B,MATCH(A350,[1]GARANTIA!$C:$C,0)),"INSIRA N° SERIE")</f>
        <v>TESTE 417</v>
      </c>
      <c r="C350" s="33">
        <f>IFERROR(INDEX([1]GARANTIA!$J:$J,MATCH(A350,[1]GARANTIA!$C:$C,0)),"INSIRA N° SERIE")</f>
        <v>44552</v>
      </c>
      <c r="D350" s="33" t="str">
        <f>IFERROR(IF(INDEX([1]GARANTIA!$M:$M,MATCH(A350,[1]GARANTIA!$C:$C,0))&gt;=I350,"DENTRO DA GARANTIA","FORA DE GARANTIA"),"INSIRA N° SERIE")</f>
        <v>FORA DE GARANTIA</v>
      </c>
      <c r="E350" s="148"/>
      <c r="F350" s="109" t="str">
        <f>IFERROR(MAX(0,IF(I350-(INDEX([1]GARANTIA!$J:$J,MATCH(A350,[1]GARANTIA!$C:$C,0)))&gt;=0,I350-(INDEX([1]GARANTIA!$L:$L,MATCH(A350,[1]GARANTIA!$C:$C,0))),"INSIRA DATA CHAMADO")),"INSIRA N° SERIE")</f>
        <v>INSIRA N° SERIE</v>
      </c>
      <c r="G350" s="98">
        <v>20210763</v>
      </c>
      <c r="H350" s="35" t="str">
        <f t="shared" si="40"/>
        <v>OUT</v>
      </c>
      <c r="I350" s="89">
        <v>44490</v>
      </c>
      <c r="J350" s="90">
        <v>44490</v>
      </c>
      <c r="K350" s="91">
        <v>44494</v>
      </c>
      <c r="L350" s="92" t="s">
        <v>23</v>
      </c>
      <c r="M350" s="92" t="s">
        <v>8</v>
      </c>
      <c r="N350" s="92" t="s">
        <v>27</v>
      </c>
      <c r="O350" s="42" t="str">
        <f>IFERROR(INDEX([1]GARANTIA!$E:$E,MATCH(A350,[1]GARANTIA!$C:$C,0)),"INSIRA N° SERIE")</f>
        <v>MTI-1.000GTS</v>
      </c>
      <c r="P350" s="101" t="s">
        <v>713</v>
      </c>
      <c r="Q350" s="94" t="s">
        <v>645</v>
      </c>
      <c r="R350" s="93" t="s">
        <v>715</v>
      </c>
      <c r="S350" s="95" t="s">
        <v>325</v>
      </c>
      <c r="T350" s="95" t="s">
        <v>640</v>
      </c>
      <c r="U350" s="96"/>
      <c r="V350" s="41" t="str">
        <f>IFERROR(INDEX([1]GARANTIA!$G:$G,MATCH(A350,[1]GARANTIA!$C:$C,0)),"INSIRA N° SERIE")</f>
        <v>CAMPO GRANDE</v>
      </c>
      <c r="W350" s="41" t="str">
        <f>IFERROR(INDEX([1]GARANTIA!$H:$H,MATCH(A350,[1]GARANTIA!$C:$C,0)),"INSIRA N° SERIE")</f>
        <v xml:space="preserve">MS </v>
      </c>
      <c r="X350" s="41" t="str">
        <f>IFERROR(INDEX([1]GARANTIA!$F:$F,MATCH(A350,[1]GARANTIA!$C:$C,0)),"INSIRA N° SERIE")</f>
        <v>CENTRO-OESTE</v>
      </c>
      <c r="Y350" s="46">
        <f t="shared" si="53"/>
        <v>0</v>
      </c>
      <c r="Z350" s="47">
        <f t="shared" si="42"/>
        <v>4</v>
      </c>
      <c r="AA350" s="46">
        <f t="shared" si="54"/>
        <v>4</v>
      </c>
      <c r="AB350" s="46" t="str" cm="1">
        <f t="array" ref="AB350">IFERROR(_xlfn.IFS(L350="FINALIZADO PRESENCIAL",IF(AA350&gt;10,"FORA","DENTRO"),L350="FINALIZADO REMOTO",IF(AA350&gt;5,"FORA","DENTRO")),"-")</f>
        <v>DENTRO</v>
      </c>
      <c r="AC350" s="41" t="s">
        <v>1671</v>
      </c>
      <c r="AD350" s="41" t="s">
        <v>1671</v>
      </c>
      <c r="AE350" s="48" cm="1">
        <f t="array" ref="AE350">SUMPRODUCT(IFERROR(('[2]PEÇAS GARANTIA'!$A$3:$A$5993=G350)*('[2]PEÇAS GARANTIA'!$A$3:$A$5993&lt;&gt;"")*('[2]PEÇAS GARANTIA'!$R$3:$R$5993),0))</f>
        <v>0</v>
      </c>
      <c r="AF350" s="178">
        <v>0</v>
      </c>
    </row>
    <row r="351" spans="1:32" ht="45" customHeight="1" x14ac:dyDescent="0.25">
      <c r="A351" s="82">
        <v>69918</v>
      </c>
      <c r="B351" s="41" t="str">
        <f>IFERROR(INDEX([1]GARANTIA!$B:$B,MATCH(A351,[1]GARANTIA!$C:$C,0)),"INSIRA N° SERIE")</f>
        <v>TESTE 247</v>
      </c>
      <c r="C351" s="33">
        <f>IFERROR(INDEX([1]GARANTIA!$J:$J,MATCH(A351,[1]GARANTIA!$C:$C,0)),"INSIRA N° SERIE")</f>
        <v>44196</v>
      </c>
      <c r="D351" s="33" t="str">
        <f>IFERROR(IF(INDEX([1]GARANTIA!$M:$M,MATCH(A351,[1]GARANTIA!$C:$C,0))&gt;=I351,"DENTRO DA GARANTIA","FORA DE GARANTIA"),"INSIRA N° SERIE")</f>
        <v>DENTRO DA GARANTIA</v>
      </c>
      <c r="E351" s="148"/>
      <c r="F351" s="109">
        <f>IFERROR(MAX(0,IF(I351-(INDEX([1]GARANTIA!$J:$J,MATCH(A351,[1]GARANTIA!$C:$C,0)))&gt;=0,I351-(INDEX([1]GARANTIA!$L:$L,MATCH(A351,[1]GARANTIA!$C:$C,0))),"INSIRA DATA CHAMADO")),"INSIRA N° SERIE")</f>
        <v>141</v>
      </c>
      <c r="G351" s="98">
        <v>20210764</v>
      </c>
      <c r="H351" s="35" t="str">
        <f t="shared" si="40"/>
        <v>OUT</v>
      </c>
      <c r="I351" s="89">
        <v>44492</v>
      </c>
      <c r="J351" s="90">
        <v>44492</v>
      </c>
      <c r="K351" s="91">
        <v>44495</v>
      </c>
      <c r="L351" s="92" t="s">
        <v>23</v>
      </c>
      <c r="M351" s="92" t="s">
        <v>8</v>
      </c>
      <c r="N351" s="92" t="s">
        <v>28</v>
      </c>
      <c r="O351" s="42" t="str">
        <f>IFERROR(INDEX([1]GARANTIA!$E:$E,MATCH(A351,[1]GARANTIA!$C:$C,0)),"INSIRA N° SERIE")</f>
        <v>MTI - 1.000GTS</v>
      </c>
      <c r="P351" s="101" t="s">
        <v>716</v>
      </c>
      <c r="Q351" s="94" t="s">
        <v>611</v>
      </c>
      <c r="R351" s="93" t="s">
        <v>626</v>
      </c>
      <c r="S351" s="95" t="s">
        <v>101</v>
      </c>
      <c r="T351" s="95" t="s">
        <v>142</v>
      </c>
      <c r="U351" s="96"/>
      <c r="V351" s="41" t="str">
        <f>IFERROR(INDEX([1]GARANTIA!$G:$G,MATCH(A351,[1]GARANTIA!$C:$C,0)),"INSIRA N° SERIE")</f>
        <v>DIAMANTINA</v>
      </c>
      <c r="W351" s="41" t="str">
        <f>IFERROR(INDEX([1]GARANTIA!$H:$H,MATCH(A351,[1]GARANTIA!$C:$C,0)),"INSIRA N° SERIE")</f>
        <v>MG</v>
      </c>
      <c r="X351" s="41" t="str">
        <f>IFERROR(INDEX([1]GARANTIA!$F:$F,MATCH(A351,[1]GARANTIA!$C:$C,0)),"INSIRA N° SERIE")</f>
        <v>SUDESTE</v>
      </c>
      <c r="Y351" s="46">
        <f t="shared" si="53"/>
        <v>0</v>
      </c>
      <c r="Z351" s="47">
        <f t="shared" si="42"/>
        <v>3</v>
      </c>
      <c r="AA351" s="46">
        <f t="shared" si="54"/>
        <v>3</v>
      </c>
      <c r="AB351" s="46" t="str" cm="1">
        <f t="array" ref="AB351">IFERROR(_xlfn.IFS(L351="FINALIZADO PRESENCIAL",IF(AA351&gt;10,"FORA","DENTRO"),L351="FINALIZADO REMOTO",IF(AA351&gt;5,"FORA","DENTRO")),"-")</f>
        <v>DENTRO</v>
      </c>
      <c r="AC351" s="41" t="s">
        <v>1671</v>
      </c>
      <c r="AD351" s="41" t="s">
        <v>1671</v>
      </c>
      <c r="AE351" s="48" cm="1">
        <f t="array" ref="AE351">SUMPRODUCT(IFERROR(('[2]PEÇAS GARANTIA'!$A$3:$A$5993=G351)*('[2]PEÇAS GARANTIA'!$A$3:$A$5993&lt;&gt;"")*('[2]PEÇAS GARANTIA'!$R$3:$R$5993),0))</f>
        <v>0</v>
      </c>
      <c r="AF351" s="178">
        <v>0</v>
      </c>
    </row>
    <row r="352" spans="1:32" ht="47.25" customHeight="1" x14ac:dyDescent="0.25">
      <c r="A352" s="82">
        <v>76725</v>
      </c>
      <c r="B352" s="41" t="str">
        <f>IFERROR(INDEX([1]GARANTIA!$B:$B,MATCH(A352,[1]GARANTIA!$C:$C,0)),"INSIRA N° SERIE")</f>
        <v>TESTE 65</v>
      </c>
      <c r="C352" s="33">
        <f>IFERROR(INDEX([1]GARANTIA!$J:$J,MATCH(A352,[1]GARANTIA!$C:$C,0)),"INSIRA N° SERIE")</f>
        <v>43882</v>
      </c>
      <c r="D352" s="33" t="str">
        <f>IFERROR(IF(INDEX([1]GARANTIA!$M:$M,MATCH(A352,[1]GARANTIA!$C:$C,0))&gt;=I352,"DENTRO DA GARANTIA","FORA DE GARANTIA"),"INSIRA N° SERIE")</f>
        <v>DENTRO DA GARANTIA</v>
      </c>
      <c r="E352" s="148"/>
      <c r="F352" s="109">
        <f>IFERROR(MAX(0,IF(I352-(INDEX([1]GARANTIA!$J:$J,MATCH(A352,[1]GARANTIA!$C:$C,0)))&gt;=0,I352-(INDEX([1]GARANTIA!$L:$L,MATCH(A352,[1]GARANTIA!$C:$C,0))),"INSIRA DATA CHAMADO")),"INSIRA N° SERIE")</f>
        <v>156</v>
      </c>
      <c r="G352" s="98">
        <v>20210765</v>
      </c>
      <c r="H352" s="35" t="str">
        <f t="shared" si="40"/>
        <v>OUT</v>
      </c>
      <c r="I352" s="89">
        <v>44494</v>
      </c>
      <c r="J352" s="90">
        <v>44494</v>
      </c>
      <c r="K352" s="91">
        <v>44495</v>
      </c>
      <c r="L352" s="92" t="s">
        <v>23</v>
      </c>
      <c r="M352" s="92" t="s">
        <v>8</v>
      </c>
      <c r="N352" s="92" t="s">
        <v>28</v>
      </c>
      <c r="O352" s="42" t="str">
        <f>IFERROR(INDEX([1]GARANTIA!$E:$E,MATCH(A352,[1]GARANTIA!$C:$C,0)),"INSIRA N° SERIE")</f>
        <v>MTI - 12.000GTS</v>
      </c>
      <c r="P352" s="101" t="s">
        <v>717</v>
      </c>
      <c r="Q352" s="94" t="s">
        <v>645</v>
      </c>
      <c r="R352" s="93" t="s">
        <v>719</v>
      </c>
      <c r="S352" s="95" t="s">
        <v>325</v>
      </c>
      <c r="T352" s="95" t="s">
        <v>640</v>
      </c>
      <c r="U352" s="96"/>
      <c r="V352" s="41" t="str">
        <f>IFERROR(INDEX([1]GARANTIA!$G:$G,MATCH(A352,[1]GARANTIA!$C:$C,0)),"INSIRA N° SERIE")</f>
        <v xml:space="preserve">ITAIPU </v>
      </c>
      <c r="W352" s="41" t="str">
        <f>IFERROR(INDEX([1]GARANTIA!$H:$H,MATCH(A352,[1]GARANTIA!$C:$C,0)),"INSIRA N° SERIE")</f>
        <v xml:space="preserve">SP </v>
      </c>
      <c r="X352" s="41" t="str">
        <f>IFERROR(INDEX([1]GARANTIA!$F:$F,MATCH(A352,[1]GARANTIA!$C:$C,0)),"INSIRA N° SERIE")</f>
        <v>SUDESTE</v>
      </c>
      <c r="Y352" s="46">
        <f t="shared" si="53"/>
        <v>0</v>
      </c>
      <c r="Z352" s="47">
        <f t="shared" si="42"/>
        <v>1</v>
      </c>
      <c r="AA352" s="46">
        <f t="shared" si="54"/>
        <v>1</v>
      </c>
      <c r="AB352" s="46" t="str" cm="1">
        <f t="array" ref="AB352">IFERROR(_xlfn.IFS(L352="FINALIZADO PRESENCIAL",IF(AA352&gt;10,"FORA","DENTRO"),L352="FINALIZADO REMOTO",IF(AA352&gt;5,"FORA","DENTRO")),"-")</f>
        <v>DENTRO</v>
      </c>
      <c r="AC352" s="41" t="s">
        <v>1671</v>
      </c>
      <c r="AD352" s="41" t="s">
        <v>1671</v>
      </c>
      <c r="AE352" s="48" cm="1">
        <f t="array" ref="AE352">SUMPRODUCT(IFERROR(('[2]PEÇAS GARANTIA'!$A$3:$A$5993=G352)*('[2]PEÇAS GARANTIA'!$A$3:$A$5993&lt;&gt;"")*('[2]PEÇAS GARANTIA'!$R$3:$R$5993),0))</f>
        <v>2610.5</v>
      </c>
      <c r="AF352" s="178">
        <v>0</v>
      </c>
    </row>
    <row r="353" spans="1:32" ht="63.75" customHeight="1" x14ac:dyDescent="0.25">
      <c r="A353" s="82">
        <v>40046</v>
      </c>
      <c r="B353" s="41" t="str">
        <f>IFERROR(INDEX([1]GARANTIA!$B:$B,MATCH(A353,[1]GARANTIA!$C:$C,0)),"INSIRA N° SERIE")</f>
        <v>TESTE 248</v>
      </c>
      <c r="C353" s="33">
        <f>IFERROR(INDEX([1]GARANTIA!$J:$J,MATCH(A353,[1]GARANTIA!$C:$C,0)),"INSIRA N° SERIE")</f>
        <v>44078</v>
      </c>
      <c r="D353" s="33" t="str">
        <f>IFERROR(IF(INDEX([1]GARANTIA!$M:$M,MATCH(A353,[1]GARANTIA!$C:$C,0))&gt;=I353,"DENTRO DA GARANTIA","FORA DE GARANTIA"),"INSIRA N° SERIE")</f>
        <v>DENTRO DA GARANTIA</v>
      </c>
      <c r="E353" s="148"/>
      <c r="F353" s="109">
        <f>IFERROR(MAX(0,IF(I353-(INDEX([1]GARANTIA!$J:$J,MATCH(A353,[1]GARANTIA!$C:$C,0)))&gt;=0,I353-(INDEX([1]GARANTIA!$L:$L,MATCH(A353,[1]GARANTIA!$C:$C,0))),"INSIRA DATA CHAMADO")),"INSIRA N° SERIE")</f>
        <v>346</v>
      </c>
      <c r="G353" s="98">
        <v>20210766</v>
      </c>
      <c r="H353" s="35" t="str">
        <f t="shared" si="40"/>
        <v>OUT</v>
      </c>
      <c r="I353" s="89">
        <v>44494</v>
      </c>
      <c r="J353" s="90">
        <v>44494</v>
      </c>
      <c r="K353" s="91">
        <v>44497</v>
      </c>
      <c r="L353" s="92" t="s">
        <v>23</v>
      </c>
      <c r="M353" s="92" t="s">
        <v>8</v>
      </c>
      <c r="N353" s="92" t="s">
        <v>42</v>
      </c>
      <c r="O353" s="42" t="str">
        <f>IFERROR(INDEX([1]GARANTIA!$E:$E,MATCH(A353,[1]GARANTIA!$C:$C,0)),"INSIRA N° SERIE")</f>
        <v>MTI - 4.000GTS</v>
      </c>
      <c r="P353" s="101" t="s">
        <v>718</v>
      </c>
      <c r="Q353" s="94" t="s">
        <v>645</v>
      </c>
      <c r="R353" s="93" t="s">
        <v>727</v>
      </c>
      <c r="S353" s="95" t="s">
        <v>325</v>
      </c>
      <c r="T353" s="95" t="s">
        <v>142</v>
      </c>
      <c r="U353" s="96"/>
      <c r="V353" s="41" t="str">
        <f>IFERROR(INDEX([1]GARANTIA!$G:$G,MATCH(A353,[1]GARANTIA!$C:$C,0)),"INSIRA N° SERIE")</f>
        <v>PORANGATU</v>
      </c>
      <c r="W353" s="41" t="str">
        <f>IFERROR(INDEX([1]GARANTIA!$H:$H,MATCH(A353,[1]GARANTIA!$C:$C,0)),"INSIRA N° SERIE")</f>
        <v xml:space="preserve">GO </v>
      </c>
      <c r="X353" s="41" t="str">
        <f>IFERROR(INDEX([1]GARANTIA!$F:$F,MATCH(A353,[1]GARANTIA!$C:$C,0)),"INSIRA N° SERIE")</f>
        <v>CENTROESTE</v>
      </c>
      <c r="Y353" s="46">
        <f t="shared" si="53"/>
        <v>0</v>
      </c>
      <c r="Z353" s="47">
        <f t="shared" si="42"/>
        <v>3</v>
      </c>
      <c r="AA353" s="46">
        <f t="shared" si="54"/>
        <v>3</v>
      </c>
      <c r="AB353" s="46" t="str" cm="1">
        <f t="array" ref="AB353">IFERROR(_xlfn.IFS(L353="FINALIZADO PRESENCIAL",IF(AA353&gt;10,"FORA","DENTRO"),L353="FINALIZADO REMOTO",IF(AA353&gt;5,"FORA","DENTRO")),"-")</f>
        <v>DENTRO</v>
      </c>
      <c r="AC353" s="41" t="s">
        <v>1671</v>
      </c>
      <c r="AD353" s="41" t="s">
        <v>1671</v>
      </c>
      <c r="AE353" s="48" cm="1">
        <f t="array" ref="AE353">SUMPRODUCT(IFERROR(('[2]PEÇAS GARANTIA'!$A$3:$A$5993=G353)*('[2]PEÇAS GARANTIA'!$A$3:$A$5993&lt;&gt;"")*('[2]PEÇAS GARANTIA'!$R$3:$R$5993),0))</f>
        <v>0</v>
      </c>
      <c r="AF353" s="178">
        <v>0</v>
      </c>
    </row>
    <row r="354" spans="1:32" ht="59.25" customHeight="1" x14ac:dyDescent="0.25">
      <c r="A354" s="82">
        <v>50869</v>
      </c>
      <c r="B354" s="41" t="str">
        <f>IFERROR(INDEX([1]GARANTIA!$B:$B,MATCH(A354,[1]GARANTIA!$C:$C,0)),"INSIRA N° SERIE")</f>
        <v>TESTE 417</v>
      </c>
      <c r="C354" s="33">
        <f>IFERROR(INDEX([1]GARANTIA!$J:$J,MATCH(A354,[1]GARANTIA!$C:$C,0)),"INSIRA N° SERIE")</f>
        <v>44552</v>
      </c>
      <c r="D354" s="33" t="str">
        <f>IFERROR(IF(INDEX([1]GARANTIA!$M:$M,MATCH(A354,[1]GARANTIA!$C:$C,0))&gt;=I354,"DENTRO DA GARANTIA","FORA DE GARANTIA"),"INSIRA N° SERIE")</f>
        <v>FORA DE GARANTIA</v>
      </c>
      <c r="E354" s="148"/>
      <c r="F354" s="109" t="str">
        <f>IFERROR(MAX(0,IF(I354-(INDEX([1]GARANTIA!$J:$J,MATCH(A354,[1]GARANTIA!$C:$C,0)))&gt;=0,I354-(INDEX([1]GARANTIA!$L:$L,MATCH(A354,[1]GARANTIA!$C:$C,0))),"INSIRA DATA CHAMADO")),"INSIRA N° SERIE")</f>
        <v>INSIRA N° SERIE</v>
      </c>
      <c r="G354" s="98">
        <v>20210767</v>
      </c>
      <c r="H354" s="35" t="str">
        <f t="shared" si="40"/>
        <v>OUT</v>
      </c>
      <c r="I354" s="89">
        <v>44495</v>
      </c>
      <c r="J354" s="90">
        <v>44495</v>
      </c>
      <c r="K354" s="91">
        <v>44500</v>
      </c>
      <c r="L354" s="92" t="s">
        <v>11</v>
      </c>
      <c r="M354" s="92" t="s">
        <v>8</v>
      </c>
      <c r="N354" s="92" t="s">
        <v>42</v>
      </c>
      <c r="O354" s="42" t="str">
        <f>IFERROR(INDEX([1]GARANTIA!$E:$E,MATCH(A354,[1]GARANTIA!$C:$C,0)),"INSIRA N° SERIE")</f>
        <v>MTI-1.000GTS</v>
      </c>
      <c r="P354" s="101" t="s">
        <v>738</v>
      </c>
      <c r="Q354" s="94" t="s">
        <v>611</v>
      </c>
      <c r="R354" s="93" t="s">
        <v>739</v>
      </c>
      <c r="S354" s="95" t="s">
        <v>101</v>
      </c>
      <c r="T354" s="95" t="s">
        <v>142</v>
      </c>
      <c r="U354" s="96"/>
      <c r="V354" s="41" t="str">
        <f>IFERROR(INDEX([1]GARANTIA!$G:$G,MATCH(A354,[1]GARANTIA!$C:$C,0)),"INSIRA N° SERIE")</f>
        <v>CAMPO GRANDE</v>
      </c>
      <c r="W354" s="41" t="str">
        <f>IFERROR(INDEX([1]GARANTIA!$H:$H,MATCH(A354,[1]GARANTIA!$C:$C,0)),"INSIRA N° SERIE")</f>
        <v xml:space="preserve">MS </v>
      </c>
      <c r="X354" s="41" t="str">
        <f>IFERROR(INDEX([1]GARANTIA!$F:$F,MATCH(A354,[1]GARANTIA!$C:$C,0)),"INSIRA N° SERIE")</f>
        <v>CENTRO-OESTE</v>
      </c>
      <c r="Y354" s="46">
        <f t="shared" si="53"/>
        <v>0</v>
      </c>
      <c r="Z354" s="47">
        <f t="shared" si="42"/>
        <v>5</v>
      </c>
      <c r="AA354" s="46">
        <f t="shared" si="54"/>
        <v>5</v>
      </c>
      <c r="AB354" s="46" t="str" cm="1">
        <f t="array" ref="AB354">IFERROR(_xlfn.IFS(L354="FINALIZADO PRESENCIAL",IF(AA354&gt;10,"FORA","DENTRO"),L354="FINALIZADO REMOTO",IF(AA354&gt;5,"FORA","DENTRO")),"-")</f>
        <v>DENTRO</v>
      </c>
      <c r="AC354" s="41" t="s">
        <v>1671</v>
      </c>
      <c r="AD354" s="41" t="s">
        <v>1671</v>
      </c>
      <c r="AE354" s="48" cm="1">
        <f t="array" ref="AE354">SUMPRODUCT(IFERROR(('[2]PEÇAS GARANTIA'!$A$3:$A$5993=G354)*('[2]PEÇAS GARANTIA'!$A$3:$A$5993&lt;&gt;"")*('[2]PEÇAS GARANTIA'!$R$3:$R$5993),0))</f>
        <v>32895.109900000003</v>
      </c>
      <c r="AF354" s="178">
        <v>0</v>
      </c>
    </row>
    <row r="355" spans="1:32" ht="49.5" customHeight="1" x14ac:dyDescent="0.25">
      <c r="A355" s="82">
        <v>78008</v>
      </c>
      <c r="B355" s="41" t="str">
        <f>IFERROR(INDEX([1]GARANTIA!$B:$B,MATCH(A355,[1]GARANTIA!$C:$C,0)),"INSIRA N° SERIE")</f>
        <v>TESTE 345</v>
      </c>
      <c r="C355" s="33">
        <f>IFERROR(INDEX([1]GARANTIA!$J:$J,MATCH(A355,[1]GARANTIA!$C:$C,0)),"INSIRA N° SERIE")</f>
        <v>44331</v>
      </c>
      <c r="D355" s="33" t="str">
        <f>IFERROR(IF(INDEX([1]GARANTIA!$M:$M,MATCH(A355,[1]GARANTIA!$C:$C,0))&gt;=I355,"DENTRO DA GARANTIA","FORA DE GARANTIA"),"INSIRA N° SERIE")</f>
        <v>DENTRO DA GARANTIA</v>
      </c>
      <c r="E355" s="148"/>
      <c r="F355" s="109">
        <f>IFERROR(MAX(0,IF(I355-(INDEX([1]GARANTIA!$J:$J,MATCH(A355,[1]GARANTIA!$C:$C,0)))&gt;=0,I355-(INDEX([1]GARANTIA!$L:$L,MATCH(A355,[1]GARANTIA!$C:$C,0))),"INSIRA DATA CHAMADO")),"INSIRA N° SERIE")</f>
        <v>36</v>
      </c>
      <c r="G355" s="98">
        <v>20210768</v>
      </c>
      <c r="H355" s="35" t="str">
        <f t="shared" si="40"/>
        <v>OUT</v>
      </c>
      <c r="I355" s="89">
        <v>44496</v>
      </c>
      <c r="J355" s="90">
        <v>44496</v>
      </c>
      <c r="K355" s="91">
        <v>44497</v>
      </c>
      <c r="L355" s="92" t="s">
        <v>23</v>
      </c>
      <c r="M355" s="92" t="s">
        <v>8</v>
      </c>
      <c r="N355" s="92" t="s">
        <v>44</v>
      </c>
      <c r="O355" s="42" t="str">
        <f>IFERROR(INDEX([1]GARANTIA!$E:$E,MATCH(A355,[1]GARANTIA!$C:$C,0)),"INSIRA N° SERIE")</f>
        <v>MTI - 3.200GES</v>
      </c>
      <c r="P355" s="101" t="s">
        <v>720</v>
      </c>
      <c r="Q355" s="94" t="s">
        <v>296</v>
      </c>
      <c r="R355" s="93" t="s">
        <v>721</v>
      </c>
      <c r="S355" s="95" t="s">
        <v>101</v>
      </c>
      <c r="T355" s="95" t="s">
        <v>142</v>
      </c>
      <c r="U355" s="96"/>
      <c r="V355" s="41" t="str">
        <f>IFERROR(INDEX([1]GARANTIA!$G:$G,MATCH(A355,[1]GARANTIA!$C:$C,0)),"INSIRA N° SERIE")</f>
        <v>SÃO PAULO</v>
      </c>
      <c r="W355" s="41" t="str">
        <f>IFERROR(INDEX([1]GARANTIA!$H:$H,MATCH(A355,[1]GARANTIA!$C:$C,0)),"INSIRA N° SERIE")</f>
        <v>SP</v>
      </c>
      <c r="X355" s="41" t="str">
        <f>IFERROR(INDEX([1]GARANTIA!$F:$F,MATCH(A355,[1]GARANTIA!$C:$C,0)),"INSIRA N° SERIE")</f>
        <v>SUDESTE</v>
      </c>
      <c r="Y355" s="46">
        <f t="shared" si="53"/>
        <v>0</v>
      </c>
      <c r="Z355" s="47">
        <f t="shared" si="42"/>
        <v>1</v>
      </c>
      <c r="AA355" s="46">
        <f t="shared" si="54"/>
        <v>1</v>
      </c>
      <c r="AB355" s="46" t="str" cm="1">
        <f t="array" ref="AB355">IFERROR(_xlfn.IFS(L355="FINALIZADO PRESENCIAL",IF(AA355&gt;10,"FORA","DENTRO"),L355="FINALIZADO REMOTO",IF(AA355&gt;5,"FORA","DENTRO")),"-")</f>
        <v>DENTRO</v>
      </c>
      <c r="AC355" s="41" t="s">
        <v>1671</v>
      </c>
      <c r="AD355" s="41" t="s">
        <v>1671</v>
      </c>
      <c r="AE355" s="48" cm="1">
        <f t="array" ref="AE355">SUMPRODUCT(IFERROR(('[2]PEÇAS GARANTIA'!$A$3:$A$5993=G355)*('[2]PEÇAS GARANTIA'!$A$3:$A$5993&lt;&gt;"")*('[2]PEÇAS GARANTIA'!$R$3:$R$5993),0))</f>
        <v>0</v>
      </c>
      <c r="AF355" s="178">
        <v>0</v>
      </c>
    </row>
    <row r="356" spans="1:32" ht="42.75" customHeight="1" x14ac:dyDescent="0.25">
      <c r="A356" s="82">
        <v>61502</v>
      </c>
      <c r="B356" s="41" t="str">
        <f>IFERROR(INDEX([1]GARANTIA!$B:$B,MATCH(A356,[1]GARANTIA!$C:$C,0)),"INSIRA N° SERIE")</f>
        <v>TESTE 356</v>
      </c>
      <c r="C356" s="33">
        <f>IFERROR(INDEX([1]GARANTIA!$J:$J,MATCH(A356,[1]GARANTIA!$C:$C,0)),"INSIRA N° SERIE")</f>
        <v>44225</v>
      </c>
      <c r="D356" s="33" t="str">
        <f>IFERROR(IF(INDEX([1]GARANTIA!$M:$M,MATCH(A356,[1]GARANTIA!$C:$C,0))&gt;=I356,"DENTRO DA GARANTIA","FORA DE GARANTIA"),"INSIRA N° SERIE")</f>
        <v>DENTRO DA GARANTIA</v>
      </c>
      <c r="E356" s="148"/>
      <c r="F356" s="109">
        <f>IFERROR(MAX(0,IF(I356-(INDEX([1]GARANTIA!$J:$J,MATCH(A356,[1]GARANTIA!$C:$C,0)))&gt;=0,I356-(INDEX([1]GARANTIA!$L:$L,MATCH(A356,[1]GARANTIA!$C:$C,0))),"INSIRA DATA CHAMADO")),"INSIRA N° SERIE")</f>
        <v>5</v>
      </c>
      <c r="G356" s="98">
        <v>20210769</v>
      </c>
      <c r="H356" s="35" t="str">
        <f t="shared" si="40"/>
        <v>OUT</v>
      </c>
      <c r="I356" s="89">
        <v>44496</v>
      </c>
      <c r="J356" s="90">
        <v>44496</v>
      </c>
      <c r="K356" s="91">
        <v>44497</v>
      </c>
      <c r="L356" s="92" t="s">
        <v>23</v>
      </c>
      <c r="M356" s="92" t="s">
        <v>8</v>
      </c>
      <c r="N356" s="92" t="s">
        <v>27</v>
      </c>
      <c r="O356" s="42" t="str">
        <f>IFERROR(INDEX([1]GARANTIA!$E:$E,MATCH(A356,[1]GARANTIA!$C:$C,0)),"INSIRA N° SERIE")</f>
        <v>MTI - 1.000GTS</v>
      </c>
      <c r="P356" s="101" t="s">
        <v>722</v>
      </c>
      <c r="Q356" s="94" t="s">
        <v>296</v>
      </c>
      <c r="R356" s="93" t="s">
        <v>723</v>
      </c>
      <c r="S356" s="95" t="s">
        <v>102</v>
      </c>
      <c r="T356" s="95" t="s">
        <v>296</v>
      </c>
      <c r="U356" s="96"/>
      <c r="V356" s="41" t="str">
        <f>IFERROR(INDEX([1]GARANTIA!$G:$G,MATCH(A356,[1]GARANTIA!$C:$C,0)),"INSIRA N° SERIE")</f>
        <v>VILA VELHA</v>
      </c>
      <c r="W356" s="41" t="str">
        <f>IFERROR(INDEX([1]GARANTIA!$H:$H,MATCH(A356,[1]GARANTIA!$C:$C,0)),"INSIRA N° SERIE")</f>
        <v>ES</v>
      </c>
      <c r="X356" s="41" t="str">
        <f>IFERROR(INDEX([1]GARANTIA!$F:$F,MATCH(A356,[1]GARANTIA!$C:$C,0)),"INSIRA N° SERIE")</f>
        <v>SUDESTE</v>
      </c>
      <c r="Y356" s="46">
        <f t="shared" ref="Y356:Y360" si="55">IF(G356&lt;&gt;"",J356-I356,"INSIRA N° OS")</f>
        <v>0</v>
      </c>
      <c r="Z356" s="47">
        <f t="shared" si="42"/>
        <v>1</v>
      </c>
      <c r="AA356" s="46">
        <f t="shared" ref="AA356:AA360" si="56">IF(Z356="NÃO FINALIZADO","",Z356+Y356)</f>
        <v>1</v>
      </c>
      <c r="AB356" s="46" t="str" cm="1">
        <f t="array" ref="AB356">IFERROR(_xlfn.IFS(L356="FINALIZADO PRESENCIAL",IF(AA356&gt;10,"FORA","DENTRO"),L356="FINALIZADO REMOTO",IF(AA356&gt;5,"FORA","DENTRO")),"-")</f>
        <v>DENTRO</v>
      </c>
      <c r="AC356" s="41" t="s">
        <v>1671</v>
      </c>
      <c r="AD356" s="41" t="s">
        <v>1671</v>
      </c>
      <c r="AE356" s="48" cm="1">
        <f t="array" ref="AE356">SUMPRODUCT(IFERROR(('[2]PEÇAS GARANTIA'!$A$3:$A$5993=G356)*('[2]PEÇAS GARANTIA'!$A$3:$A$5993&lt;&gt;"")*('[2]PEÇAS GARANTIA'!$R$3:$R$5993),0))</f>
        <v>0</v>
      </c>
      <c r="AF356" s="178">
        <v>0</v>
      </c>
    </row>
    <row r="357" spans="1:32" ht="42.75" customHeight="1" x14ac:dyDescent="0.25">
      <c r="A357" s="82">
        <v>61502</v>
      </c>
      <c r="B357" s="41" t="str">
        <f>IFERROR(INDEX([1]GARANTIA!$B:$B,MATCH(A357,[1]GARANTIA!$C:$C,0)),"INSIRA N° SERIE")</f>
        <v>TESTE 356</v>
      </c>
      <c r="C357" s="33">
        <f>IFERROR(INDEX([1]GARANTIA!$J:$J,MATCH(A357,[1]GARANTIA!$C:$C,0)),"INSIRA N° SERIE")</f>
        <v>44225</v>
      </c>
      <c r="D357" s="33" t="str">
        <f>IFERROR(IF(INDEX([1]GARANTIA!$M:$M,MATCH(A357,[1]GARANTIA!$C:$C,0))&gt;=I357,"DENTRO DA GARANTIA","FORA DE GARANTIA"),"INSIRA N° SERIE")</f>
        <v>DENTRO DA GARANTIA</v>
      </c>
      <c r="E357" s="148"/>
      <c r="F357" s="109">
        <f>IFERROR(MAX(0,IF(I357-(INDEX([1]GARANTIA!$J:$J,MATCH(A357,[1]GARANTIA!$C:$C,0)))&gt;=0,I357-(INDEX([1]GARANTIA!$L:$L,MATCH(A357,[1]GARANTIA!$C:$C,0))),"INSIRA DATA CHAMADO")),"INSIRA N° SERIE")</f>
        <v>5</v>
      </c>
      <c r="G357" s="98">
        <v>20210770</v>
      </c>
      <c r="H357" s="35" t="str">
        <f t="shared" si="40"/>
        <v>OUT</v>
      </c>
      <c r="I357" s="89">
        <v>44496</v>
      </c>
      <c r="J357" s="90">
        <v>44496</v>
      </c>
      <c r="K357" s="91">
        <v>44497</v>
      </c>
      <c r="L357" s="92" t="s">
        <v>23</v>
      </c>
      <c r="M357" s="92" t="s">
        <v>8</v>
      </c>
      <c r="N357" s="92" t="s">
        <v>28</v>
      </c>
      <c r="O357" s="42" t="str">
        <f>IFERROR(INDEX([1]GARANTIA!$E:$E,MATCH(A357,[1]GARANTIA!$C:$C,0)),"INSIRA N° SERIE")</f>
        <v>MTI - 1.000GTS</v>
      </c>
      <c r="P357" s="101" t="s">
        <v>724</v>
      </c>
      <c r="Q357" s="94" t="s">
        <v>296</v>
      </c>
      <c r="R357" s="93" t="s">
        <v>725</v>
      </c>
      <c r="S357" s="95" t="s">
        <v>101</v>
      </c>
      <c r="T357" s="95" t="s">
        <v>296</v>
      </c>
      <c r="U357" s="96"/>
      <c r="V357" s="41" t="str">
        <f>IFERROR(INDEX([1]GARANTIA!$G:$G,MATCH(A357,[1]GARANTIA!$C:$C,0)),"INSIRA N° SERIE")</f>
        <v>VILA VELHA</v>
      </c>
      <c r="W357" s="41" t="str">
        <f>IFERROR(INDEX([1]GARANTIA!$H:$H,MATCH(A357,[1]GARANTIA!$C:$C,0)),"INSIRA N° SERIE")</f>
        <v>ES</v>
      </c>
      <c r="X357" s="41" t="str">
        <f>IFERROR(INDEX([1]GARANTIA!$F:$F,MATCH(A357,[1]GARANTIA!$C:$C,0)),"INSIRA N° SERIE")</f>
        <v>SUDESTE</v>
      </c>
      <c r="Y357" s="46">
        <f t="shared" si="55"/>
        <v>0</v>
      </c>
      <c r="Z357" s="47">
        <f t="shared" si="42"/>
        <v>1</v>
      </c>
      <c r="AA357" s="46">
        <f t="shared" si="56"/>
        <v>1</v>
      </c>
      <c r="AB357" s="46" t="str" cm="1">
        <f t="array" ref="AB357">IFERROR(_xlfn.IFS(L357="FINALIZADO PRESENCIAL",IF(AA357&gt;10,"FORA","DENTRO"),L357="FINALIZADO REMOTO",IF(AA357&gt;5,"FORA","DENTRO")),"-")</f>
        <v>DENTRO</v>
      </c>
      <c r="AC357" s="41" t="s">
        <v>1671</v>
      </c>
      <c r="AD357" s="41" t="s">
        <v>1671</v>
      </c>
      <c r="AE357" s="48" cm="1">
        <f t="array" ref="AE357">SUMPRODUCT(IFERROR(('[2]PEÇAS GARANTIA'!$A$3:$A$5993=G357)*('[2]PEÇAS GARANTIA'!$A$3:$A$5993&lt;&gt;"")*('[2]PEÇAS GARANTIA'!$R$3:$R$5993),0))</f>
        <v>0</v>
      </c>
      <c r="AF357" s="178">
        <v>0</v>
      </c>
    </row>
    <row r="358" spans="1:32" ht="66" customHeight="1" x14ac:dyDescent="0.25">
      <c r="A358" s="82">
        <v>72824</v>
      </c>
      <c r="B358" s="41" t="str">
        <f>IFERROR(INDEX([1]GARANTIA!$B:$B,MATCH(A358,[1]GARANTIA!$C:$C,0)),"INSIRA N° SERIE")</f>
        <v>TESTE 231</v>
      </c>
      <c r="C358" s="33">
        <f>IFERROR(INDEX([1]GARANTIA!$J:$J,MATCH(A358,[1]GARANTIA!$C:$C,0)),"INSIRA N° SERIE")</f>
        <v>44074</v>
      </c>
      <c r="D358" s="33" t="str">
        <f>IFERROR(IF(INDEX([1]GARANTIA!$M:$M,MATCH(A358,[1]GARANTIA!$C:$C,0))&gt;=I358,"DENTRO DA GARANTIA","FORA DE GARANTIA"),"INSIRA N° SERIE")</f>
        <v>DENTRO DA GARANTIA</v>
      </c>
      <c r="E358" s="148"/>
      <c r="F358" s="109">
        <f>IFERROR(MAX(0,IF(I358-(INDEX([1]GARANTIA!$J:$J,MATCH(A358,[1]GARANTIA!$C:$C,0)))&gt;=0,I358-(INDEX([1]GARANTIA!$L:$L,MATCH(A358,[1]GARANTIA!$C:$C,0))),"INSIRA DATA CHAMADO")),"INSIRA N° SERIE")</f>
        <v>180</v>
      </c>
      <c r="G358" s="98">
        <v>20210771</v>
      </c>
      <c r="H358" s="35" t="str">
        <f t="shared" si="40"/>
        <v>OUT</v>
      </c>
      <c r="I358" s="89">
        <v>44496</v>
      </c>
      <c r="J358" s="90">
        <v>44496</v>
      </c>
      <c r="K358" s="91">
        <v>44498</v>
      </c>
      <c r="L358" s="92" t="s">
        <v>23</v>
      </c>
      <c r="M358" s="92" t="s">
        <v>8</v>
      </c>
      <c r="N358" s="92" t="s">
        <v>42</v>
      </c>
      <c r="O358" s="42" t="str">
        <f>IFERROR(INDEX([1]GARANTIA!$E:$E,MATCH(A358,[1]GARANTIA!$C:$C,0)),"INSIRA N° SERIE")</f>
        <v>MTI - 1.000GTS</v>
      </c>
      <c r="P358" s="101" t="s">
        <v>726</v>
      </c>
      <c r="Q358" s="94" t="s">
        <v>644</v>
      </c>
      <c r="R358" s="93" t="s">
        <v>728</v>
      </c>
      <c r="S358" s="44" t="s">
        <v>638</v>
      </c>
      <c r="T358" s="95" t="s">
        <v>144</v>
      </c>
      <c r="U358" s="96"/>
      <c r="V358" s="41" t="str">
        <f>IFERROR(INDEX([1]GARANTIA!$G:$G,MATCH(A358,[1]GARANTIA!$C:$C,0)),"INSIRA N° SERIE")</f>
        <v>AIMORÉS</v>
      </c>
      <c r="W358" s="41" t="str">
        <f>IFERROR(INDEX([1]GARANTIA!$H:$H,MATCH(A358,[1]GARANTIA!$C:$C,0)),"INSIRA N° SERIE")</f>
        <v>MG</v>
      </c>
      <c r="X358" s="41" t="str">
        <f>IFERROR(INDEX([1]GARANTIA!$F:$F,MATCH(A358,[1]GARANTIA!$C:$C,0)),"INSIRA N° SERIE")</f>
        <v>SUDESTE</v>
      </c>
      <c r="Y358" s="46">
        <f t="shared" si="55"/>
        <v>0</v>
      </c>
      <c r="Z358" s="47">
        <f t="shared" si="42"/>
        <v>2</v>
      </c>
      <c r="AA358" s="46">
        <f t="shared" si="56"/>
        <v>2</v>
      </c>
      <c r="AB358" s="46" t="str" cm="1">
        <f t="array" ref="AB358">IFERROR(_xlfn.IFS(L358="FINALIZADO PRESENCIAL",IF(AA358&gt;10,"FORA","DENTRO"),L358="FINALIZADO REMOTO",IF(AA358&gt;5,"FORA","DENTRO")),"-")</f>
        <v>DENTRO</v>
      </c>
      <c r="AC358" s="41" t="s">
        <v>1671</v>
      </c>
      <c r="AD358" s="41" t="s">
        <v>1671</v>
      </c>
      <c r="AE358" s="48" cm="1">
        <f t="array" ref="AE358">SUMPRODUCT(IFERROR(('[2]PEÇAS GARANTIA'!$A$3:$A$5993=G358)*('[2]PEÇAS GARANTIA'!$A$3:$A$5993&lt;&gt;"")*('[2]PEÇAS GARANTIA'!$R$3:$R$5993),0))</f>
        <v>0</v>
      </c>
      <c r="AF358" s="178">
        <v>0</v>
      </c>
    </row>
    <row r="359" spans="1:32" ht="47.25" customHeight="1" x14ac:dyDescent="0.25">
      <c r="A359" s="82">
        <v>12963</v>
      </c>
      <c r="B359" s="41" t="str">
        <f>IFERROR(INDEX([1]GARANTIA!$B:$B,MATCH(A359,[1]GARANTIA!$C:$C,0)),"INSIRA N° SERIE")</f>
        <v>TESTE 354</v>
      </c>
      <c r="C359" s="33">
        <f>IFERROR(INDEX([1]GARANTIA!$J:$J,MATCH(A359,[1]GARANTIA!$C:$C,0)),"INSIRA N° SERIE")</f>
        <v>44127</v>
      </c>
      <c r="D359" s="33" t="str">
        <f>IFERROR(IF(INDEX([1]GARANTIA!$M:$M,MATCH(A359,[1]GARANTIA!$C:$C,0))&gt;=I359,"DENTRO DA GARANTIA","FORA DE GARANTIA"),"INSIRA N° SERIE")</f>
        <v>DENTRO DA GARANTIA</v>
      </c>
      <c r="E359" s="148"/>
      <c r="F359" s="109">
        <f>IFERROR(MAX(0,IF(I359-(INDEX([1]GARANTIA!$J:$J,MATCH(A359,[1]GARANTIA!$C:$C,0)))&gt;=0,I359-(INDEX([1]GARANTIA!$L:$L,MATCH(A359,[1]GARANTIA!$C:$C,0))),"INSIRA DATA CHAMADO")),"INSIRA N° SERIE")</f>
        <v>13</v>
      </c>
      <c r="G359" s="98">
        <v>20210772</v>
      </c>
      <c r="H359" s="35" t="str">
        <f t="shared" si="40"/>
        <v>OUT</v>
      </c>
      <c r="I359" s="89">
        <v>44497</v>
      </c>
      <c r="J359" s="90">
        <v>44497</v>
      </c>
      <c r="K359" s="91">
        <v>44498</v>
      </c>
      <c r="L359" s="92" t="s">
        <v>23</v>
      </c>
      <c r="M359" s="92" t="s">
        <v>8</v>
      </c>
      <c r="N359" s="92" t="s">
        <v>44</v>
      </c>
      <c r="O359" s="42" t="str">
        <f>IFERROR(INDEX([1]GARANTIA!$E:$E,MATCH(A359,[1]GARANTIA!$C:$C,0)),"INSIRA N° SERIE")</f>
        <v>PGM 40.000 GTS</v>
      </c>
      <c r="P359" s="101" t="s">
        <v>733</v>
      </c>
      <c r="Q359" s="94" t="s">
        <v>296</v>
      </c>
      <c r="R359" s="93" t="s">
        <v>734</v>
      </c>
      <c r="S359" s="95" t="s">
        <v>101</v>
      </c>
      <c r="T359" s="95" t="s">
        <v>296</v>
      </c>
      <c r="U359" s="96"/>
      <c r="V359" s="41" t="str">
        <f>IFERROR(INDEX([1]GARANTIA!$G:$G,MATCH(A359,[1]GARANTIA!$C:$C,0)),"INSIRA N° SERIE")</f>
        <v>PALMAS</v>
      </c>
      <c r="W359" s="41" t="str">
        <f>IFERROR(INDEX([1]GARANTIA!$H:$H,MATCH(A359,[1]GARANTIA!$C:$C,0)),"INSIRA N° SERIE")</f>
        <v>TO</v>
      </c>
      <c r="X359" s="41" t="str">
        <f>IFERROR(INDEX([1]GARANTIA!$F:$F,MATCH(A359,[1]GARANTIA!$C:$C,0)),"INSIRA N° SERIE")</f>
        <v>NORTE</v>
      </c>
      <c r="Y359" s="46">
        <f t="shared" si="55"/>
        <v>0</v>
      </c>
      <c r="Z359" s="47">
        <f t="shared" si="42"/>
        <v>1</v>
      </c>
      <c r="AA359" s="46">
        <f t="shared" si="56"/>
        <v>1</v>
      </c>
      <c r="AB359" s="46" t="str" cm="1">
        <f t="array" ref="AB359">IFERROR(_xlfn.IFS(L359="FINALIZADO PRESENCIAL",IF(AA359&gt;10,"FORA","DENTRO"),L359="FINALIZADO REMOTO",IF(AA359&gt;5,"FORA","DENTRO")),"-")</f>
        <v>DENTRO</v>
      </c>
      <c r="AC359" s="41" t="s">
        <v>1671</v>
      </c>
      <c r="AD359" s="41" t="s">
        <v>1671</v>
      </c>
      <c r="AE359" s="48" cm="1">
        <f t="array" ref="AE359">SUMPRODUCT(IFERROR(('[2]PEÇAS GARANTIA'!$A$3:$A$5993=G359)*('[2]PEÇAS GARANTIA'!$A$3:$A$5993&lt;&gt;"")*('[2]PEÇAS GARANTIA'!$R$3:$R$5993),0))</f>
        <v>0</v>
      </c>
      <c r="AF359" s="178">
        <v>0</v>
      </c>
    </row>
    <row r="360" spans="1:32" ht="44.25" customHeight="1" x14ac:dyDescent="0.25">
      <c r="A360" s="82">
        <v>12963</v>
      </c>
      <c r="B360" s="41" t="str">
        <f>IFERROR(INDEX([1]GARANTIA!$B:$B,MATCH(A360,[1]GARANTIA!$C:$C,0)),"INSIRA N° SERIE")</f>
        <v>TESTE 354</v>
      </c>
      <c r="C360" s="33">
        <f>IFERROR(INDEX([1]GARANTIA!$J:$J,MATCH(A360,[1]GARANTIA!$C:$C,0)),"INSIRA N° SERIE")</f>
        <v>44127</v>
      </c>
      <c r="D360" s="33" t="str">
        <f>IFERROR(IF(INDEX([1]GARANTIA!$M:$M,MATCH(A360,[1]GARANTIA!$C:$C,0))&gt;=I360,"DENTRO DA GARANTIA","FORA DE GARANTIA"),"INSIRA N° SERIE")</f>
        <v>DENTRO DA GARANTIA</v>
      </c>
      <c r="E360" s="148"/>
      <c r="F360" s="109">
        <f>IFERROR(MAX(0,IF(I360-(INDEX([1]GARANTIA!$J:$J,MATCH(A360,[1]GARANTIA!$C:$C,0)))&gt;=0,I360-(INDEX([1]GARANTIA!$L:$L,MATCH(A360,[1]GARANTIA!$C:$C,0))),"INSIRA DATA CHAMADO")),"INSIRA N° SERIE")</f>
        <v>13</v>
      </c>
      <c r="G360" s="98">
        <v>20210773</v>
      </c>
      <c r="H360" s="35" t="str">
        <f t="shared" si="40"/>
        <v>OUT</v>
      </c>
      <c r="I360" s="89">
        <v>44497</v>
      </c>
      <c r="J360" s="90">
        <v>44497</v>
      </c>
      <c r="K360" s="91">
        <v>44498</v>
      </c>
      <c r="L360" s="92" t="s">
        <v>23</v>
      </c>
      <c r="M360" s="92" t="s">
        <v>8</v>
      </c>
      <c r="N360" s="92" t="s">
        <v>42</v>
      </c>
      <c r="O360" s="42" t="str">
        <f>IFERROR(INDEX([1]GARANTIA!$E:$E,MATCH(A360,[1]GARANTIA!$C:$C,0)),"INSIRA N° SERIE")</f>
        <v>PGM 40.000 GTS</v>
      </c>
      <c r="P360" s="101" t="s">
        <v>735</v>
      </c>
      <c r="Q360" s="94" t="s">
        <v>645</v>
      </c>
      <c r="R360" s="93" t="s">
        <v>736</v>
      </c>
      <c r="S360" s="95" t="s">
        <v>325</v>
      </c>
      <c r="T360" s="95" t="s">
        <v>142</v>
      </c>
      <c r="U360" s="96"/>
      <c r="V360" s="41" t="str">
        <f>IFERROR(INDEX([1]GARANTIA!$G:$G,MATCH(A360,[1]GARANTIA!$C:$C,0)),"INSIRA N° SERIE")</f>
        <v>PALMAS</v>
      </c>
      <c r="W360" s="41" t="str">
        <f>IFERROR(INDEX([1]GARANTIA!$H:$H,MATCH(A360,[1]GARANTIA!$C:$C,0)),"INSIRA N° SERIE")</f>
        <v>TO</v>
      </c>
      <c r="X360" s="41" t="str">
        <f>IFERROR(INDEX([1]GARANTIA!$F:$F,MATCH(A360,[1]GARANTIA!$C:$C,0)),"INSIRA N° SERIE")</f>
        <v>NORTE</v>
      </c>
      <c r="Y360" s="46">
        <f t="shared" si="55"/>
        <v>0</v>
      </c>
      <c r="Z360" s="47">
        <f t="shared" si="42"/>
        <v>1</v>
      </c>
      <c r="AA360" s="46">
        <f t="shared" si="56"/>
        <v>1</v>
      </c>
      <c r="AB360" s="46" t="str" cm="1">
        <f t="array" ref="AB360">IFERROR(_xlfn.IFS(L360="FINALIZADO PRESENCIAL",IF(AA360&gt;10,"FORA","DENTRO"),L360="FINALIZADO REMOTO",IF(AA360&gt;5,"FORA","DENTRO")),"-")</f>
        <v>DENTRO</v>
      </c>
      <c r="AC360" s="41" t="s">
        <v>1671</v>
      </c>
      <c r="AD360" s="41" t="s">
        <v>1671</v>
      </c>
      <c r="AE360" s="48" cm="1">
        <f t="array" ref="AE360">SUMPRODUCT(IFERROR(('[2]PEÇAS GARANTIA'!$A$3:$A$5993=G360)*('[2]PEÇAS GARANTIA'!$A$3:$A$5993&lt;&gt;"")*('[2]PEÇAS GARANTIA'!$R$3:$R$5993),0))</f>
        <v>0</v>
      </c>
      <c r="AF360" s="178">
        <v>0</v>
      </c>
    </row>
    <row r="361" spans="1:32" ht="60" customHeight="1" x14ac:dyDescent="0.25">
      <c r="A361" s="82">
        <v>75845</v>
      </c>
      <c r="B361" s="41" t="str">
        <f>IFERROR(INDEX([1]GARANTIA!$B:$B,MATCH(A361,[1]GARANTIA!$C:$C,0)),"INSIRA N° SERIE")</f>
        <v>TESTE 185</v>
      </c>
      <c r="C361" s="33">
        <f>IFERROR(INDEX([1]GARANTIA!$J:$J,MATCH(A361,[1]GARANTIA!$C:$C,0)),"INSIRA N° SERIE")</f>
        <v>44201</v>
      </c>
      <c r="D361" s="33" t="str">
        <f>IFERROR(IF(INDEX([1]GARANTIA!$M:$M,MATCH(A361,[1]GARANTIA!$C:$C,0))&gt;=I361,"DENTRO DA GARANTIA","FORA DE GARANTIA"),"INSIRA N° SERIE")</f>
        <v>DENTRO DA GARANTIA</v>
      </c>
      <c r="E361" s="148"/>
      <c r="F361" s="109">
        <f>IFERROR(MAX(0,IF(I361-(INDEX([1]GARANTIA!$J:$J,MATCH(A361,[1]GARANTIA!$C:$C,0)))&gt;=0,I361-(INDEX([1]GARANTIA!$L:$L,MATCH(A361,[1]GARANTIA!$C:$C,0))),"INSIRA DATA CHAMADO")),"INSIRA N° SERIE")</f>
        <v>90</v>
      </c>
      <c r="G361" s="98">
        <v>20210774</v>
      </c>
      <c r="H361" s="35" t="str">
        <f t="shared" si="40"/>
        <v>OUT</v>
      </c>
      <c r="I361" s="89">
        <v>44497</v>
      </c>
      <c r="J361" s="90">
        <v>44497</v>
      </c>
      <c r="K361" s="91"/>
      <c r="L361" s="92" t="s">
        <v>24</v>
      </c>
      <c r="M361" s="92" t="s">
        <v>8</v>
      </c>
      <c r="N361" s="92" t="s">
        <v>43</v>
      </c>
      <c r="O361" s="42" t="str">
        <f>IFERROR(INDEX([1]GARANTIA!$E:$E,MATCH(A361,[1]GARANTIA!$C:$C,0)),"INSIRA N° SERIE")</f>
        <v>GERADOR DE GELO MTI - 22.000GT</v>
      </c>
      <c r="P361" s="101" t="s">
        <v>737</v>
      </c>
      <c r="Q361" s="94"/>
      <c r="R361" s="93"/>
      <c r="S361" s="95"/>
      <c r="T361" s="95"/>
      <c r="U361" s="96"/>
      <c r="V361" s="41" t="str">
        <f>IFERROR(INDEX([1]GARANTIA!$G:$G,MATCH(A361,[1]GARANTIA!$C:$C,0)),"INSIRA N° SERIE")</f>
        <v xml:space="preserve"> TEIXEIRA DE FREITAS</v>
      </c>
      <c r="W361" s="41" t="str">
        <f>IFERROR(INDEX([1]GARANTIA!$H:$H,MATCH(A361,[1]GARANTIA!$C:$C,0)),"INSIRA N° SERIE")</f>
        <v>BA</v>
      </c>
      <c r="X361" s="41" t="str">
        <f>IFERROR(INDEX([1]GARANTIA!$F:$F,MATCH(A361,[1]GARANTIA!$C:$C,0)),"INSIRA N° SERIE")</f>
        <v>NORDESTE</v>
      </c>
      <c r="Y361" s="46">
        <f t="shared" ref="Y361:Y363" si="57">IF(G361&lt;&gt;"",J361-I361,"INSIRA N° OS")</f>
        <v>0</v>
      </c>
      <c r="Z361" s="47" t="str">
        <f t="shared" si="42"/>
        <v>NÃO FINALIZADO</v>
      </c>
      <c r="AA361" s="46" t="str">
        <f t="shared" ref="AA361:AA363" si="58">IF(Z361="NÃO FINALIZADO","",Z361+Y361)</f>
        <v/>
      </c>
      <c r="AB361" s="46" t="str" cm="1">
        <f t="array" ref="AB361">IFERROR(_xlfn.IFS(L361="FINALIZADO PRESENCIAL",IF(AA361&gt;10,"FORA","DENTRO"),L361="FINALIZADO REMOTO",IF(AA361&gt;5,"FORA","DENTRO")),"-")</f>
        <v>-</v>
      </c>
      <c r="AC361" s="41" t="s">
        <v>1671</v>
      </c>
      <c r="AD361" s="41" t="s">
        <v>1671</v>
      </c>
      <c r="AE361" s="48" cm="1">
        <f t="array" ref="AE361">SUMPRODUCT(IFERROR(('[2]PEÇAS GARANTIA'!$A$3:$A$5993=G361)*('[2]PEÇAS GARANTIA'!$A$3:$A$5993&lt;&gt;"")*('[2]PEÇAS GARANTIA'!$R$3:$R$5993),0))</f>
        <v>0</v>
      </c>
      <c r="AF361" s="178">
        <v>2635.98</v>
      </c>
    </row>
    <row r="362" spans="1:32" ht="82.5" customHeight="1" x14ac:dyDescent="0.25">
      <c r="A362" s="82">
        <v>40046</v>
      </c>
      <c r="B362" s="41" t="str">
        <f>IFERROR(INDEX([1]GARANTIA!$B:$B,MATCH(A362,[1]GARANTIA!$C:$C,0)),"INSIRA N° SERIE")</f>
        <v>TESTE 248</v>
      </c>
      <c r="C362" s="33">
        <f>IFERROR(INDEX([1]GARANTIA!$J:$J,MATCH(A362,[1]GARANTIA!$C:$C,0)),"INSIRA N° SERIE")</f>
        <v>44078</v>
      </c>
      <c r="D362" s="33" t="str">
        <f>IFERROR(IF(INDEX([1]GARANTIA!$M:$M,MATCH(A362,[1]GARANTIA!$C:$C,0))&gt;=I362,"DENTRO DA GARANTIA","FORA DE GARANTIA"),"INSIRA N° SERIE")</f>
        <v>DENTRO DA GARANTIA</v>
      </c>
      <c r="E362" s="148"/>
      <c r="F362" s="109">
        <f>IFERROR(MAX(0,IF(I362-(INDEX([1]GARANTIA!$J:$J,MATCH(A362,[1]GARANTIA!$C:$C,0)))&gt;=0,I362-(INDEX([1]GARANTIA!$L:$L,MATCH(A362,[1]GARANTIA!$C:$C,0))),"INSIRA DATA CHAMADO")),"INSIRA N° SERIE")</f>
        <v>350</v>
      </c>
      <c r="G362" s="98">
        <v>20210775</v>
      </c>
      <c r="H362" s="35" t="str">
        <f t="shared" si="40"/>
        <v>OUT</v>
      </c>
      <c r="I362" s="89">
        <v>44498</v>
      </c>
      <c r="J362" s="90">
        <v>44498</v>
      </c>
      <c r="K362" s="91">
        <v>44505</v>
      </c>
      <c r="L362" s="92" t="s">
        <v>23</v>
      </c>
      <c r="M362" s="92" t="s">
        <v>8</v>
      </c>
      <c r="N362" s="92" t="s">
        <v>57</v>
      </c>
      <c r="O362" s="42" t="str">
        <f>IFERROR(INDEX([1]GARANTIA!$E:$E,MATCH(A362,[1]GARANTIA!$C:$C,0)),"INSIRA N° SERIE")</f>
        <v>MTI - 4.000GTS</v>
      </c>
      <c r="P362" s="101" t="s">
        <v>740</v>
      </c>
      <c r="Q362" s="94" t="s">
        <v>642</v>
      </c>
      <c r="R362" s="93" t="s">
        <v>756</v>
      </c>
      <c r="S362" s="95" t="s">
        <v>102</v>
      </c>
      <c r="T362" s="95" t="s">
        <v>297</v>
      </c>
      <c r="U362" s="96"/>
      <c r="V362" s="41" t="str">
        <f>IFERROR(INDEX([1]GARANTIA!$G:$G,MATCH(A362,[1]GARANTIA!$C:$C,0)),"INSIRA N° SERIE")</f>
        <v>PORANGATU</v>
      </c>
      <c r="W362" s="41" t="str">
        <f>IFERROR(INDEX([1]GARANTIA!$H:$H,MATCH(A362,[1]GARANTIA!$C:$C,0)),"INSIRA N° SERIE")</f>
        <v xml:space="preserve">GO </v>
      </c>
      <c r="X362" s="41" t="str">
        <f>IFERROR(INDEX([1]GARANTIA!$F:$F,MATCH(A362,[1]GARANTIA!$C:$C,0)),"INSIRA N° SERIE")</f>
        <v>CENTROESTE</v>
      </c>
      <c r="Y362" s="46">
        <f t="shared" si="57"/>
        <v>0</v>
      </c>
      <c r="Z362" s="47">
        <f t="shared" si="42"/>
        <v>7</v>
      </c>
      <c r="AA362" s="46">
        <f t="shared" si="58"/>
        <v>7</v>
      </c>
      <c r="AB362" s="46" t="str" cm="1">
        <f t="array" ref="AB362">IFERROR(_xlfn.IFS(L362="FINALIZADO PRESENCIAL",IF(AA362&gt;10,"FORA","DENTRO"),L362="FINALIZADO REMOTO",IF(AA362&gt;5,"FORA","DENTRO")),"-")</f>
        <v>FORA</v>
      </c>
      <c r="AC362" s="41" t="s">
        <v>1671</v>
      </c>
      <c r="AD362" s="41" t="s">
        <v>1671</v>
      </c>
      <c r="AE362" s="48" cm="1">
        <f t="array" ref="AE362">SUMPRODUCT(IFERROR(('[2]PEÇAS GARANTIA'!$A$3:$A$5993=G362)*('[2]PEÇAS GARANTIA'!$A$3:$A$5993&lt;&gt;"")*('[2]PEÇAS GARANTIA'!$R$3:$R$5993),0))</f>
        <v>0</v>
      </c>
      <c r="AF362" s="178">
        <v>0</v>
      </c>
    </row>
    <row r="363" spans="1:32" ht="60.75" customHeight="1" x14ac:dyDescent="0.25">
      <c r="A363" s="82">
        <v>71477</v>
      </c>
      <c r="B363" s="41" t="str">
        <f>IFERROR(INDEX([1]GARANTIA!$B:$B,MATCH(A363,[1]GARANTIA!$C:$C,0)),"INSIRA N° SERIE")</f>
        <v>TESTE 362</v>
      </c>
      <c r="C363" s="33">
        <f>IFERROR(INDEX([1]GARANTIA!$J:$J,MATCH(A363,[1]GARANTIA!$C:$C,0)),"INSIRA N° SERIE")</f>
        <v>44286</v>
      </c>
      <c r="D363" s="33" t="str">
        <f>IFERROR(IF(INDEX([1]GARANTIA!$M:$M,MATCH(A363,[1]GARANTIA!$C:$C,0))&gt;=I363,"DENTRO DA GARANTIA","FORA DE GARANTIA"),"INSIRA N° SERIE")</f>
        <v>DENTRO DA GARANTIA</v>
      </c>
      <c r="E363" s="148"/>
      <c r="F363" s="109">
        <f>IFERROR(MAX(0,IF(I363-(INDEX([1]GARANTIA!$J:$J,MATCH(A363,[1]GARANTIA!$C:$C,0)))&gt;=0,I363-(INDEX([1]GARANTIA!$L:$L,MATCH(A363,[1]GARANTIA!$C:$C,0))),"INSIRA DATA CHAMADO")),"INSIRA N° SERIE")</f>
        <v>0</v>
      </c>
      <c r="G363" s="98">
        <v>20210776</v>
      </c>
      <c r="H363" s="35" t="str">
        <f t="shared" si="40"/>
        <v>OUT</v>
      </c>
      <c r="I363" s="89">
        <v>44494</v>
      </c>
      <c r="J363" s="90">
        <v>44494</v>
      </c>
      <c r="K363" s="91">
        <v>44494</v>
      </c>
      <c r="L363" s="92" t="s">
        <v>11</v>
      </c>
      <c r="M363" s="92" t="s">
        <v>164</v>
      </c>
      <c r="N363" s="92" t="s">
        <v>42</v>
      </c>
      <c r="O363" s="42" t="str">
        <f>IFERROR(INDEX([1]GARANTIA!$E:$E,MATCH(A363,[1]GARANTIA!$C:$C,0)),"INSIRA N° SERIE")</f>
        <v>MTI - 7.000GTS</v>
      </c>
      <c r="P363" s="101" t="s">
        <v>748</v>
      </c>
      <c r="Q363" s="94" t="s">
        <v>306</v>
      </c>
      <c r="R363" s="93" t="s">
        <v>749</v>
      </c>
      <c r="S363" s="95" t="s">
        <v>101</v>
      </c>
      <c r="T363" s="95" t="s">
        <v>306</v>
      </c>
      <c r="U363" s="96"/>
      <c r="V363" s="41" t="str">
        <f>IFERROR(INDEX([1]GARANTIA!$G:$G,MATCH(A363,[1]GARANTIA!$C:$C,0)),"INSIRA N° SERIE")</f>
        <v>ITACARÉ</v>
      </c>
      <c r="W363" s="41" t="str">
        <f>IFERROR(INDEX([1]GARANTIA!$H:$H,MATCH(A363,[1]GARANTIA!$C:$C,0)),"INSIRA N° SERIE")</f>
        <v>BA</v>
      </c>
      <c r="X363" s="41" t="str">
        <f>IFERROR(INDEX([1]GARANTIA!$F:$F,MATCH(A363,[1]GARANTIA!$C:$C,0)),"INSIRA N° SERIE")</f>
        <v>NORDESTE</v>
      </c>
      <c r="Y363" s="46">
        <f t="shared" si="57"/>
        <v>0</v>
      </c>
      <c r="Z363" s="47">
        <f t="shared" si="42"/>
        <v>0</v>
      </c>
      <c r="AA363" s="46">
        <f t="shared" si="58"/>
        <v>0</v>
      </c>
      <c r="AB363" s="46" t="str" cm="1">
        <f t="array" ref="AB363">IFERROR(_xlfn.IFS(L363="FINALIZADO PRESENCIAL",IF(AA363&gt;10,"FORA","DENTRO"),L363="FINALIZADO REMOTO",IF(AA363&gt;5,"FORA","DENTRO")),"-")</f>
        <v>DENTRO</v>
      </c>
      <c r="AC363" s="41" t="s">
        <v>1671</v>
      </c>
      <c r="AD363" s="41" t="s">
        <v>1671</v>
      </c>
      <c r="AE363" s="48" cm="1">
        <f t="array" ref="AE363">SUMPRODUCT(IFERROR(('[2]PEÇAS GARANTIA'!$A$3:$A$5993=G363)*('[2]PEÇAS GARANTIA'!$A$3:$A$5993&lt;&gt;"")*('[2]PEÇAS GARANTIA'!$R$3:$R$5993),0))</f>
        <v>1289.68</v>
      </c>
      <c r="AF363" s="178">
        <v>0</v>
      </c>
    </row>
    <row r="364" spans="1:32" ht="64.5" customHeight="1" x14ac:dyDescent="0.25">
      <c r="A364" s="82">
        <v>44524</v>
      </c>
      <c r="B364" s="41" t="str">
        <f>IFERROR(INDEX([1]GARANTIA!$B:$B,MATCH(A364,[1]GARANTIA!$C:$C,0)),"INSIRA N° SERIE")</f>
        <v>TESTE 173</v>
      </c>
      <c r="C364" s="33">
        <f>IFERROR(INDEX([1]GARANTIA!$J:$J,MATCH(A364,[1]GARANTIA!$C:$C,0)),"INSIRA N° SERIE")</f>
        <v>44119</v>
      </c>
      <c r="D364" s="33" t="str">
        <f>IFERROR(IF(INDEX([1]GARANTIA!$M:$M,MATCH(A364,[1]GARANTIA!$C:$C,0))&gt;=I364,"DENTRO DA GARANTIA","FORA DE GARANTIA"),"INSIRA N° SERIE")</f>
        <v>DENTRO DA GARANTIA</v>
      </c>
      <c r="E364" s="148"/>
      <c r="F364" s="109">
        <f>IFERROR(MAX(0,IF(I364-(INDEX([1]GARANTIA!$J:$J,MATCH(A364,[1]GARANTIA!$C:$C,0)))&gt;=0,I364-(INDEX([1]GARANTIA!$L:$L,MATCH(A364,[1]GARANTIA!$C:$C,0))),"INSIRA DATA CHAMADO")),"INSIRA N° SERIE")</f>
        <v>255</v>
      </c>
      <c r="G364" s="98">
        <v>20210777</v>
      </c>
      <c r="H364" s="35" t="str">
        <f t="shared" si="40"/>
        <v>NOV</v>
      </c>
      <c r="I364" s="89">
        <v>44501</v>
      </c>
      <c r="J364" s="90">
        <v>44501</v>
      </c>
      <c r="K364" s="91">
        <v>44505</v>
      </c>
      <c r="L364" s="92" t="s">
        <v>11</v>
      </c>
      <c r="M364" s="92" t="s">
        <v>8</v>
      </c>
      <c r="N364" s="92" t="s">
        <v>42</v>
      </c>
      <c r="O364" s="42" t="str">
        <f>IFERROR(INDEX([1]GARANTIA!$E:$E,MATCH(A364,[1]GARANTIA!$C:$C,0)),"INSIRA N° SERIE")</f>
        <v>MTI - 4.000GTS</v>
      </c>
      <c r="P364" s="101" t="s">
        <v>757</v>
      </c>
      <c r="Q364" s="94" t="s">
        <v>645</v>
      </c>
      <c r="R364" s="93" t="s">
        <v>758</v>
      </c>
      <c r="S364" s="95" t="s">
        <v>325</v>
      </c>
      <c r="T364" s="95" t="s">
        <v>142</v>
      </c>
      <c r="U364" s="96"/>
      <c r="V364" s="41" t="str">
        <f>IFERROR(INDEX([1]GARANTIA!$G:$G,MATCH(A364,[1]GARANTIA!$C:$C,0)),"INSIRA N° SERIE")</f>
        <v>QUIRINOPOLIS</v>
      </c>
      <c r="W364" s="41" t="str">
        <f>IFERROR(INDEX([1]GARANTIA!$H:$H,MATCH(A364,[1]GARANTIA!$C:$C,0)),"INSIRA N° SERIE")</f>
        <v>GO</v>
      </c>
      <c r="X364" s="41" t="str">
        <f>IFERROR(INDEX([1]GARANTIA!$F:$F,MATCH(A364,[1]GARANTIA!$C:$C,0)),"INSIRA N° SERIE")</f>
        <v>CENTROESTE</v>
      </c>
      <c r="Y364" s="46">
        <f t="shared" ref="Y364:Y370" si="59">IF(G364&lt;&gt;"",J364-I364,"INSIRA N° OS")</f>
        <v>0</v>
      </c>
      <c r="Z364" s="47">
        <f t="shared" si="42"/>
        <v>4</v>
      </c>
      <c r="AA364" s="46">
        <f t="shared" ref="AA364:AA370" si="60">IF(Z364="NÃO FINALIZADO","",Z364+Y364)</f>
        <v>4</v>
      </c>
      <c r="AB364" s="46" t="str" cm="1">
        <f t="array" ref="AB364">IFERROR(_xlfn.IFS(L364="FINALIZADO PRESENCIAL",IF(AA364&gt;10,"FORA","DENTRO"),L364="FINALIZADO REMOTO",IF(AA364&gt;5,"FORA","DENTRO")),"-")</f>
        <v>DENTRO</v>
      </c>
      <c r="AC364" s="41" t="s">
        <v>1671</v>
      </c>
      <c r="AD364" s="41" t="s">
        <v>1671</v>
      </c>
      <c r="AE364" s="48" cm="1">
        <f t="array" ref="AE364">SUMPRODUCT(IFERROR(('[2]PEÇAS GARANTIA'!$A$3:$A$5993=G364)*('[2]PEÇAS GARANTIA'!$A$3:$A$5993&lt;&gt;"")*('[2]PEÇAS GARANTIA'!$R$3:$R$5993),0))</f>
        <v>0</v>
      </c>
      <c r="AF364" s="178">
        <v>0</v>
      </c>
    </row>
    <row r="365" spans="1:32" ht="57" customHeight="1" x14ac:dyDescent="0.25">
      <c r="A365" s="82">
        <v>82782</v>
      </c>
      <c r="B365" s="41" t="str">
        <f>IFERROR(INDEX([1]GARANTIA!$B:$B,MATCH(A365,[1]GARANTIA!$C:$C,0)),"INSIRA N° SERIE")</f>
        <v>TESTE 365</v>
      </c>
      <c r="C365" s="33">
        <f>IFERROR(INDEX([1]GARANTIA!$J:$J,MATCH(A365,[1]GARANTIA!$C:$C,0)),"INSIRA N° SERIE")</f>
        <v>44356</v>
      </c>
      <c r="D365" s="33" t="str">
        <f>IFERROR(IF(INDEX([1]GARANTIA!$M:$M,MATCH(A365,[1]GARANTIA!$C:$C,0))&gt;=I365,"DENTRO DA GARANTIA","FORA DE GARANTIA"),"INSIRA N° SERIE")</f>
        <v>DENTRO DA GARANTIA</v>
      </c>
      <c r="E365" s="148"/>
      <c r="F365" s="109">
        <f>IFERROR(MAX(0,IF(I365-(INDEX([1]GARANTIA!$J:$J,MATCH(A365,[1]GARANTIA!$C:$C,0)))&gt;=0,I365-(INDEX([1]GARANTIA!$L:$L,MATCH(A365,[1]GARANTIA!$C:$C,0))),"INSIRA DATA CHAMADO")),"INSIRA N° SERIE")</f>
        <v>4</v>
      </c>
      <c r="G365" s="98">
        <v>20210778</v>
      </c>
      <c r="H365" s="35" t="str">
        <f t="shared" si="40"/>
        <v>NOV</v>
      </c>
      <c r="I365" s="89">
        <v>44502</v>
      </c>
      <c r="J365" s="90">
        <v>44502</v>
      </c>
      <c r="K365" s="91">
        <v>44508</v>
      </c>
      <c r="L365" s="92" t="s">
        <v>11</v>
      </c>
      <c r="M365" s="92" t="s">
        <v>8</v>
      </c>
      <c r="N365" s="92" t="s">
        <v>28</v>
      </c>
      <c r="O365" s="42" t="str">
        <f>IFERROR(INDEX([1]GARANTIA!$E:$E,MATCH(A365,[1]GARANTIA!$C:$C,0)),"INSIRA N° SERIE")</f>
        <v>MTI - 1.000GTS</v>
      </c>
      <c r="P365" s="101" t="s">
        <v>754</v>
      </c>
      <c r="Q365" s="94" t="s">
        <v>645</v>
      </c>
      <c r="R365" s="93" t="s">
        <v>755</v>
      </c>
      <c r="S365" s="95" t="s">
        <v>101</v>
      </c>
      <c r="T365" s="95" t="s">
        <v>306</v>
      </c>
      <c r="U365" s="96"/>
      <c r="V365" s="41" t="str">
        <f>IFERROR(INDEX([1]GARANTIA!$G:$G,MATCH(A365,[1]GARANTIA!$C:$C,0)),"INSIRA N° SERIE")</f>
        <v>SÃO PAULO</v>
      </c>
      <c r="W365" s="41" t="str">
        <f>IFERROR(INDEX([1]GARANTIA!$H:$H,MATCH(A365,[1]GARANTIA!$C:$C,0)),"INSIRA N° SERIE")</f>
        <v>SP</v>
      </c>
      <c r="X365" s="41" t="str">
        <f>IFERROR(INDEX([1]GARANTIA!$F:$F,MATCH(A365,[1]GARANTIA!$C:$C,0)),"INSIRA N° SERIE")</f>
        <v>SUDESTE</v>
      </c>
      <c r="Y365" s="46">
        <f t="shared" si="59"/>
        <v>0</v>
      </c>
      <c r="Z365" s="47">
        <f t="shared" si="42"/>
        <v>6</v>
      </c>
      <c r="AA365" s="46">
        <f t="shared" si="60"/>
        <v>6</v>
      </c>
      <c r="AB365" s="46" t="str" cm="1">
        <f t="array" ref="AB365">IFERROR(_xlfn.IFS(L365="FINALIZADO PRESENCIAL",IF(AA365&gt;10,"FORA","DENTRO"),L365="FINALIZADO REMOTO",IF(AA365&gt;5,"FORA","DENTRO")),"-")</f>
        <v>DENTRO</v>
      </c>
      <c r="AC365" s="41" t="s">
        <v>1671</v>
      </c>
      <c r="AD365" s="41" t="s">
        <v>1671</v>
      </c>
      <c r="AE365" s="48" cm="1">
        <f t="array" ref="AE365">SUMPRODUCT(IFERROR(('[2]PEÇAS GARANTIA'!$A$3:$A$5993=G365)*('[2]PEÇAS GARANTIA'!$A$3:$A$5993&lt;&gt;"")*('[2]PEÇAS GARANTIA'!$R$3:$R$5993),0))</f>
        <v>0</v>
      </c>
      <c r="AF365" s="178">
        <v>0</v>
      </c>
    </row>
    <row r="366" spans="1:32" ht="53.25" customHeight="1" x14ac:dyDescent="0.25">
      <c r="A366" s="82">
        <v>90486</v>
      </c>
      <c r="B366" s="41" t="str">
        <f>IFERROR(INDEX([1]GARANTIA!$B:$B,MATCH(A366,[1]GARANTIA!$C:$C,0)),"INSIRA N° SERIE")</f>
        <v>TESTE 277</v>
      </c>
      <c r="C366" s="33">
        <f>IFERROR(INDEX([1]GARANTIA!$J:$J,MATCH(A366,[1]GARANTIA!$C:$C,0)),"INSIRA N° SERIE")</f>
        <v>44189</v>
      </c>
      <c r="D366" s="33" t="str">
        <f>IFERROR(IF(INDEX([1]GARANTIA!$M:$M,MATCH(A366,[1]GARANTIA!$C:$C,0))&gt;=I366,"DENTRO DA GARANTIA","FORA DE GARANTIA"),"INSIRA N° SERIE")</f>
        <v>DENTRO DA GARANTIA</v>
      </c>
      <c r="E366" s="148"/>
      <c r="F366" s="109">
        <f>IFERROR(MAX(0,IF(I366-(INDEX([1]GARANTIA!$J:$J,MATCH(A366,[1]GARANTIA!$C:$C,0)))&gt;=0,I366-(INDEX([1]GARANTIA!$L:$L,MATCH(A366,[1]GARANTIA!$C:$C,0))),"INSIRA DATA CHAMADO")),"INSIRA N° SERIE")</f>
        <v>35</v>
      </c>
      <c r="G366" s="98">
        <v>20210779</v>
      </c>
      <c r="H366" s="35" t="str">
        <f t="shared" si="40"/>
        <v>NOV</v>
      </c>
      <c r="I366" s="89">
        <v>44504</v>
      </c>
      <c r="J366" s="90">
        <v>44504</v>
      </c>
      <c r="K366" s="91">
        <v>44505</v>
      </c>
      <c r="L366" s="92" t="s">
        <v>11</v>
      </c>
      <c r="M366" s="92" t="s">
        <v>8</v>
      </c>
      <c r="N366" s="92" t="s">
        <v>31</v>
      </c>
      <c r="O366" s="42" t="str">
        <f>IFERROR(INDEX([1]GARANTIA!$E:$E,MATCH(A366,[1]GARANTIA!$C:$C,0)),"INSIRA N° SERIE")</f>
        <v>MTI - 40.000GE</v>
      </c>
      <c r="P366" s="101" t="s">
        <v>750</v>
      </c>
      <c r="Q366" s="94" t="s">
        <v>645</v>
      </c>
      <c r="R366" s="93" t="s">
        <v>753</v>
      </c>
      <c r="S366" s="95" t="s">
        <v>325</v>
      </c>
      <c r="T366" s="95" t="s">
        <v>296</v>
      </c>
      <c r="U366" s="96"/>
      <c r="V366" s="41" t="str">
        <f>IFERROR(INDEX([1]GARANTIA!$G:$G,MATCH(A366,[1]GARANTIA!$C:$C,0)),"INSIRA N° SERIE")</f>
        <v>MACAÍBA</v>
      </c>
      <c r="W366" s="41" t="str">
        <f>IFERROR(INDEX([1]GARANTIA!$H:$H,MATCH(A366,[1]GARANTIA!$C:$C,0)),"INSIRA N° SERIE")</f>
        <v>RN</v>
      </c>
      <c r="X366" s="41" t="str">
        <f>IFERROR(INDEX([1]GARANTIA!$F:$F,MATCH(A366,[1]GARANTIA!$C:$C,0)),"INSIRA N° SERIE")</f>
        <v>NORDESTE</v>
      </c>
      <c r="Y366" s="46">
        <f t="shared" si="59"/>
        <v>0</v>
      </c>
      <c r="Z366" s="47">
        <f t="shared" si="42"/>
        <v>1</v>
      </c>
      <c r="AA366" s="46">
        <f t="shared" si="60"/>
        <v>1</v>
      </c>
      <c r="AB366" s="46" t="str" cm="1">
        <f t="array" ref="AB366">IFERROR(_xlfn.IFS(L366="FINALIZADO PRESENCIAL",IF(AA366&gt;10,"FORA","DENTRO"),L366="FINALIZADO REMOTO",IF(AA366&gt;5,"FORA","DENTRO")),"-")</f>
        <v>DENTRO</v>
      </c>
      <c r="AC366" s="41" t="s">
        <v>1671</v>
      </c>
      <c r="AD366" s="41" t="s">
        <v>1671</v>
      </c>
      <c r="AE366" s="48" cm="1">
        <f t="array" ref="AE366">SUMPRODUCT(IFERROR(('[2]PEÇAS GARANTIA'!$A$3:$A$5993=G366)*('[2]PEÇAS GARANTIA'!$A$3:$A$5993&lt;&gt;"")*('[2]PEÇAS GARANTIA'!$R$3:$R$5993),0))</f>
        <v>2862.8</v>
      </c>
      <c r="AF366" s="178">
        <v>0</v>
      </c>
    </row>
    <row r="367" spans="1:32" ht="51" customHeight="1" x14ac:dyDescent="0.25">
      <c r="A367" s="82">
        <v>67301</v>
      </c>
      <c r="B367" s="41" t="str">
        <f>IFERROR(INDEX([1]GARANTIA!$B:$B,MATCH(A367,[1]GARANTIA!$C:$C,0)),"INSIRA N° SERIE")</f>
        <v>TESTE 59</v>
      </c>
      <c r="C367" s="33">
        <f>IFERROR(INDEX([1]GARANTIA!$J:$J,MATCH(A367,[1]GARANTIA!$C:$C,0)),"INSIRA N° SERIE")</f>
        <v>44051</v>
      </c>
      <c r="D367" s="33" t="str">
        <f>IFERROR(IF(INDEX([1]GARANTIA!$M:$M,MATCH(A367,[1]GARANTIA!$C:$C,0))&gt;=I367,"DENTRO DA GARANTIA","FORA DE GARANTIA"),"INSIRA N° SERIE")</f>
        <v>DENTRO DA GARANTIA</v>
      </c>
      <c r="E367" s="148"/>
      <c r="F367" s="109">
        <f>IFERROR(MAX(0,IF(I367-(INDEX([1]GARANTIA!$J:$J,MATCH(A367,[1]GARANTIA!$C:$C,0)))&gt;=0,I367-(INDEX([1]GARANTIA!$L:$L,MATCH(A367,[1]GARANTIA!$C:$C,0))),"INSIRA DATA CHAMADO")),"INSIRA N° SERIE")</f>
        <v>272</v>
      </c>
      <c r="G367" s="98">
        <v>20210780</v>
      </c>
      <c r="H367" s="35" t="str">
        <f t="shared" si="40"/>
        <v>NOV</v>
      </c>
      <c r="I367" s="89">
        <v>44504</v>
      </c>
      <c r="J367" s="90">
        <v>44504</v>
      </c>
      <c r="K367" s="91">
        <v>44505</v>
      </c>
      <c r="L367" s="92" t="s">
        <v>23</v>
      </c>
      <c r="M367" s="92" t="s">
        <v>8</v>
      </c>
      <c r="N367" s="92" t="s">
        <v>26</v>
      </c>
      <c r="O367" s="42" t="str">
        <f>IFERROR(INDEX([1]GARANTIA!$E:$E,MATCH(A367,[1]GARANTIA!$C:$C,0)),"INSIRA N° SERIE")</f>
        <v>MTI - 4.000GTS</v>
      </c>
      <c r="P367" s="101" t="s">
        <v>751</v>
      </c>
      <c r="Q367" s="94" t="s">
        <v>305</v>
      </c>
      <c r="R367" s="93" t="s">
        <v>776</v>
      </c>
      <c r="S367" s="44" t="s">
        <v>638</v>
      </c>
      <c r="T367" s="95" t="s">
        <v>143</v>
      </c>
      <c r="U367" s="96"/>
      <c r="V367" s="41" t="str">
        <f>IFERROR(INDEX([1]GARANTIA!$G:$G,MATCH(A367,[1]GARANTIA!$C:$C,0)),"INSIRA N° SERIE")</f>
        <v>GOVERNADOR VALADARES</v>
      </c>
      <c r="W367" s="41" t="str">
        <f>IFERROR(INDEX([1]GARANTIA!$H:$H,MATCH(A367,[1]GARANTIA!$C:$C,0)),"INSIRA N° SERIE")</f>
        <v>MG</v>
      </c>
      <c r="X367" s="41" t="str">
        <f>IFERROR(INDEX([1]GARANTIA!$F:$F,MATCH(A367,[1]GARANTIA!$C:$C,0)),"INSIRA N° SERIE")</f>
        <v>SUDESTE</v>
      </c>
      <c r="Y367" s="46">
        <f t="shared" si="59"/>
        <v>0</v>
      </c>
      <c r="Z367" s="47">
        <f t="shared" si="42"/>
        <v>1</v>
      </c>
      <c r="AA367" s="46">
        <f t="shared" si="60"/>
        <v>1</v>
      </c>
      <c r="AB367" s="46" t="str" cm="1">
        <f t="array" ref="AB367">IFERROR(_xlfn.IFS(L367="FINALIZADO PRESENCIAL",IF(AA367&gt;10,"FORA","DENTRO"),L367="FINALIZADO REMOTO",IF(AA367&gt;5,"FORA","DENTRO")),"-")</f>
        <v>DENTRO</v>
      </c>
      <c r="AC367" s="41" t="s">
        <v>1671</v>
      </c>
      <c r="AD367" s="41" t="s">
        <v>1671</v>
      </c>
      <c r="AE367" s="48" cm="1">
        <f t="array" ref="AE367">SUMPRODUCT(IFERROR(('[2]PEÇAS GARANTIA'!$A$3:$A$5993=G367)*('[2]PEÇAS GARANTIA'!$A$3:$A$5993&lt;&gt;"")*('[2]PEÇAS GARANTIA'!$R$3:$R$5993),0))</f>
        <v>0</v>
      </c>
      <c r="AF367" s="178">
        <v>0</v>
      </c>
    </row>
    <row r="368" spans="1:32" ht="54.75" customHeight="1" x14ac:dyDescent="0.25">
      <c r="A368" s="82">
        <v>71327</v>
      </c>
      <c r="B368" s="41" t="str">
        <f>IFERROR(INDEX([1]GARANTIA!$B:$B,MATCH(A368,[1]GARANTIA!$C:$C,0)),"INSIRA N° SERIE")</f>
        <v>TESTE 323</v>
      </c>
      <c r="C368" s="33">
        <f>IFERROR(INDEX([1]GARANTIA!$J:$J,MATCH(A368,[1]GARANTIA!$C:$C,0)),"INSIRA N° SERIE")</f>
        <v>44236</v>
      </c>
      <c r="D368" s="33" t="str">
        <f>IFERROR(IF(INDEX([1]GARANTIA!$M:$M,MATCH(A368,[1]GARANTIA!$C:$C,0))&gt;=I368,"DENTRO DA GARANTIA","FORA DE GARANTIA"),"INSIRA N° SERIE")</f>
        <v>DENTRO DA GARANTIA</v>
      </c>
      <c r="E368" s="148"/>
      <c r="F368" s="109">
        <f>IFERROR(MAX(0,IF(I368-(INDEX([1]GARANTIA!$J:$J,MATCH(A368,[1]GARANTIA!$C:$C,0)))&gt;=0,I368-(INDEX([1]GARANTIA!$L:$L,MATCH(A368,[1]GARANTIA!$C:$C,0))),"INSIRA DATA CHAMADO")),"INSIRA N° SERIE")</f>
        <v>115</v>
      </c>
      <c r="G368" s="98">
        <v>20210781</v>
      </c>
      <c r="H368" s="35" t="str">
        <f t="shared" si="40"/>
        <v>NOV</v>
      </c>
      <c r="I368" s="89">
        <v>44504</v>
      </c>
      <c r="J368" s="90">
        <v>44504</v>
      </c>
      <c r="K368" s="91">
        <v>44511</v>
      </c>
      <c r="L368" s="92" t="s">
        <v>11</v>
      </c>
      <c r="M368" s="92" t="s">
        <v>8</v>
      </c>
      <c r="N368" s="92" t="s">
        <v>37</v>
      </c>
      <c r="O368" s="42" t="str">
        <f>IFERROR(INDEX([1]GARANTIA!$E:$E,MATCH(A368,[1]GARANTIA!$C:$C,0)),"INSIRA N° SERIE")</f>
        <v>E - 300</v>
      </c>
      <c r="P368" s="101" t="s">
        <v>752</v>
      </c>
      <c r="Q368" s="94" t="s">
        <v>645</v>
      </c>
      <c r="R368" s="93" t="s">
        <v>782</v>
      </c>
      <c r="S368" s="44" t="s">
        <v>325</v>
      </c>
      <c r="T368" s="95" t="s">
        <v>640</v>
      </c>
      <c r="U368" s="96"/>
      <c r="V368" s="41" t="str">
        <f>IFERROR(INDEX([1]GARANTIA!$G:$G,MATCH(A368,[1]GARANTIA!$C:$C,0)),"INSIRA N° SERIE")</f>
        <v>SINOP</v>
      </c>
      <c r="W368" s="41" t="str">
        <f>IFERROR(INDEX([1]GARANTIA!$H:$H,MATCH(A368,[1]GARANTIA!$C:$C,0)),"INSIRA N° SERIE")</f>
        <v>MT</v>
      </c>
      <c r="X368" s="41" t="str">
        <f>IFERROR(INDEX([1]GARANTIA!$F:$F,MATCH(A368,[1]GARANTIA!$C:$C,0)),"INSIRA N° SERIE")</f>
        <v>CENTROESTE</v>
      </c>
      <c r="Y368" s="46">
        <f t="shared" si="59"/>
        <v>0</v>
      </c>
      <c r="Z368" s="47">
        <f t="shared" si="42"/>
        <v>7</v>
      </c>
      <c r="AA368" s="46">
        <f t="shared" si="60"/>
        <v>7</v>
      </c>
      <c r="AB368" s="46" t="str" cm="1">
        <f t="array" ref="AB368">IFERROR(_xlfn.IFS(L368="FINALIZADO PRESENCIAL",IF(AA368&gt;10,"FORA","DENTRO"),L368="FINALIZADO REMOTO",IF(AA368&gt;5,"FORA","DENTRO")),"-")</f>
        <v>DENTRO</v>
      </c>
      <c r="AC368" s="41" t="s">
        <v>1671</v>
      </c>
      <c r="AD368" s="41" t="s">
        <v>1671</v>
      </c>
      <c r="AE368" s="48" cm="1">
        <f t="array" ref="AE368">SUMPRODUCT(IFERROR(('[2]PEÇAS GARANTIA'!$A$3:$A$5993=G368)*('[2]PEÇAS GARANTIA'!$A$3:$A$5993&lt;&gt;"")*('[2]PEÇAS GARANTIA'!$R$3:$R$5993),0))</f>
        <v>382.22</v>
      </c>
      <c r="AF368" s="178">
        <v>0</v>
      </c>
    </row>
    <row r="369" spans="1:32" ht="57" customHeight="1" x14ac:dyDescent="0.25">
      <c r="A369" s="82">
        <v>82866</v>
      </c>
      <c r="B369" s="41" t="str">
        <f>IFERROR(INDEX([1]GARANTIA!$B:$B,MATCH(A369,[1]GARANTIA!$C:$C,0)),"INSIRA N° SERIE")</f>
        <v>TESTE 309</v>
      </c>
      <c r="C369" s="33">
        <f>IFERROR(INDEX([1]GARANTIA!$J:$J,MATCH(A369,[1]GARANTIA!$C:$C,0)),"INSIRA N° SERIE")</f>
        <v>44158</v>
      </c>
      <c r="D369" s="33" t="str">
        <f>IFERROR(IF(INDEX([1]GARANTIA!$M:$M,MATCH(A369,[1]GARANTIA!$C:$C,0))&gt;=I369,"DENTRO DA GARANTIA","FORA DE GARANTIA"),"INSIRA N° SERIE")</f>
        <v>DENTRO DA GARANTIA</v>
      </c>
      <c r="E369" s="148"/>
      <c r="F369" s="109">
        <f>IFERROR(MAX(0,IF(I369-(INDEX([1]GARANTIA!$J:$J,MATCH(A369,[1]GARANTIA!$C:$C,0)))&gt;=0,I369-(INDEX([1]GARANTIA!$L:$L,MATCH(A369,[1]GARANTIA!$C:$C,0))),"INSIRA DATA CHAMADO")),"INSIRA N° SERIE")</f>
        <v>246</v>
      </c>
      <c r="G369" s="98">
        <v>20210782</v>
      </c>
      <c r="H369" s="35" t="str">
        <f t="shared" si="40"/>
        <v>NOV</v>
      </c>
      <c r="I369" s="89">
        <v>44506</v>
      </c>
      <c r="J369" s="90">
        <v>44506</v>
      </c>
      <c r="K369" s="91">
        <v>44509</v>
      </c>
      <c r="L369" s="92" t="s">
        <v>23</v>
      </c>
      <c r="M369" s="92" t="s">
        <v>8</v>
      </c>
      <c r="N369" s="92" t="s">
        <v>30</v>
      </c>
      <c r="O369" s="42" t="str">
        <f>IFERROR(INDEX([1]GARANTIA!$E:$E,MATCH(A369,[1]GARANTIA!$C:$C,0)),"INSIRA N° SERIE")</f>
        <v>MTI - 1.000GTS</v>
      </c>
      <c r="P369" s="101" t="s">
        <v>760</v>
      </c>
      <c r="Q369" s="94" t="s">
        <v>645</v>
      </c>
      <c r="R369" s="93" t="s">
        <v>761</v>
      </c>
      <c r="S369" s="95" t="s">
        <v>325</v>
      </c>
      <c r="T369" s="95" t="s">
        <v>640</v>
      </c>
      <c r="U369" s="96"/>
      <c r="V369" s="41" t="str">
        <f>IFERROR(INDEX([1]GARANTIA!$G:$G,MATCH(A369,[1]GARANTIA!$C:$C,0)),"INSIRA N° SERIE")</f>
        <v>SÃO JOSE DEL REI</v>
      </c>
      <c r="W369" s="41" t="str">
        <f>IFERROR(INDEX([1]GARANTIA!$H:$H,MATCH(A369,[1]GARANTIA!$C:$C,0)),"INSIRA N° SERIE")</f>
        <v>MG</v>
      </c>
      <c r="X369" s="41" t="str">
        <f>IFERROR(INDEX([1]GARANTIA!$F:$F,MATCH(A369,[1]GARANTIA!$C:$C,0)),"INSIRA N° SERIE")</f>
        <v>SUDESTE</v>
      </c>
      <c r="Y369" s="46">
        <f t="shared" si="59"/>
        <v>0</v>
      </c>
      <c r="Z369" s="47">
        <f t="shared" si="42"/>
        <v>3</v>
      </c>
      <c r="AA369" s="46">
        <f t="shared" si="60"/>
        <v>3</v>
      </c>
      <c r="AB369" s="46" t="str" cm="1">
        <f t="array" ref="AB369">IFERROR(_xlfn.IFS(L369="FINALIZADO PRESENCIAL",IF(AA369&gt;10,"FORA","DENTRO"),L369="FINALIZADO REMOTO",IF(AA369&gt;5,"FORA","DENTRO")),"-")</f>
        <v>DENTRO</v>
      </c>
      <c r="AC369" s="41" t="s">
        <v>1671</v>
      </c>
      <c r="AD369" s="41" t="s">
        <v>1671</v>
      </c>
      <c r="AE369" s="48" cm="1">
        <f t="array" ref="AE369">SUMPRODUCT(IFERROR(('[2]PEÇAS GARANTIA'!$A$3:$A$5993=G369)*('[2]PEÇAS GARANTIA'!$A$3:$A$5993&lt;&gt;"")*('[2]PEÇAS GARANTIA'!$R$3:$R$5993),0))</f>
        <v>0</v>
      </c>
      <c r="AF369" s="178">
        <v>0</v>
      </c>
    </row>
    <row r="370" spans="1:32" ht="50.25" customHeight="1" x14ac:dyDescent="0.25">
      <c r="A370" s="82">
        <v>47823</v>
      </c>
      <c r="B370" s="41" t="str">
        <f>IFERROR(INDEX([1]GARANTIA!$B:$B,MATCH(A370,[1]GARANTIA!$C:$C,0)),"INSIRA N° SERIE")</f>
        <v>TESTE 295</v>
      </c>
      <c r="C370" s="33">
        <f>IFERROR(INDEX([1]GARANTIA!$J:$J,MATCH(A370,[1]GARANTIA!$C:$C,0)),"INSIRA N° SERIE")</f>
        <v>43830</v>
      </c>
      <c r="D370" s="33" t="str">
        <f>IFERROR(IF(INDEX([1]GARANTIA!$M:$M,MATCH(A370,[1]GARANTIA!$C:$C,0))&gt;=I370,"DENTRO DA GARANTIA","FORA DE GARANTIA"),"INSIRA N° SERIE")</f>
        <v>FORA DE GARANTIA</v>
      </c>
      <c r="E370" s="148"/>
      <c r="F370" s="109">
        <f>IFERROR(MAX(0,IF(I370-(INDEX([1]GARANTIA!$J:$J,MATCH(A370,[1]GARANTIA!$C:$C,0)))&gt;=0,I370-(INDEX([1]GARANTIA!$L:$L,MATCH(A370,[1]GARANTIA!$C:$C,0))),"INSIRA DATA CHAMADO")),"INSIRA N° SERIE")</f>
        <v>395</v>
      </c>
      <c r="G370" s="98">
        <v>20210783</v>
      </c>
      <c r="H370" s="35" t="str">
        <f t="shared" si="40"/>
        <v>NOV</v>
      </c>
      <c r="I370" s="89">
        <v>44508</v>
      </c>
      <c r="J370" s="90">
        <v>44508</v>
      </c>
      <c r="K370" s="91">
        <v>44509</v>
      </c>
      <c r="L370" s="92" t="s">
        <v>23</v>
      </c>
      <c r="M370" s="92" t="s">
        <v>8</v>
      </c>
      <c r="N370" s="92" t="s">
        <v>28</v>
      </c>
      <c r="O370" s="42" t="str">
        <f>IFERROR(INDEX([1]GARANTIA!$E:$E,MATCH(A370,[1]GARANTIA!$C:$C,0)),"INSIRA N° SERIE")</f>
        <v>MTI - 12.000GTS</v>
      </c>
      <c r="P370" s="101" t="s">
        <v>777</v>
      </c>
      <c r="Q370" s="94" t="s">
        <v>305</v>
      </c>
      <c r="R370" s="93" t="s">
        <v>762</v>
      </c>
      <c r="S370" s="95" t="s">
        <v>639</v>
      </c>
      <c r="T370" s="95" t="s">
        <v>143</v>
      </c>
      <c r="U370" s="96"/>
      <c r="V370" s="41" t="str">
        <f>IFERROR(INDEX([1]GARANTIA!$G:$G,MATCH(A370,[1]GARANTIA!$C:$C,0)),"INSIRA N° SERIE")</f>
        <v xml:space="preserve">LUIS EDUARDO MAGALHAES </v>
      </c>
      <c r="W370" s="41" t="str">
        <f>IFERROR(INDEX([1]GARANTIA!$H:$H,MATCH(A370,[1]GARANTIA!$C:$C,0)),"INSIRA N° SERIE")</f>
        <v>BA</v>
      </c>
      <c r="X370" s="41" t="str">
        <f>IFERROR(INDEX([1]GARANTIA!$F:$F,MATCH(A370,[1]GARANTIA!$C:$C,0)),"INSIRA N° SERIE")</f>
        <v>NORDESTE</v>
      </c>
      <c r="Y370" s="46">
        <f t="shared" si="59"/>
        <v>0</v>
      </c>
      <c r="Z370" s="47">
        <f t="shared" si="42"/>
        <v>1</v>
      </c>
      <c r="AA370" s="46">
        <f t="shared" si="60"/>
        <v>1</v>
      </c>
      <c r="AB370" s="46" t="str" cm="1">
        <f t="array" ref="AB370">IFERROR(_xlfn.IFS(L370="FINALIZADO PRESENCIAL",IF(AA370&gt;10,"FORA","DENTRO"),L370="FINALIZADO REMOTO",IF(AA370&gt;5,"FORA","DENTRO")),"-")</f>
        <v>DENTRO</v>
      </c>
      <c r="AC370" s="41" t="s">
        <v>1671</v>
      </c>
      <c r="AD370" s="41" t="s">
        <v>1671</v>
      </c>
      <c r="AE370" s="48" cm="1">
        <f t="array" ref="AE370">SUMPRODUCT(IFERROR(('[2]PEÇAS GARANTIA'!$A$3:$A$5993=G370)*('[2]PEÇAS GARANTIA'!$A$3:$A$5993&lt;&gt;"")*('[2]PEÇAS GARANTIA'!$R$3:$R$5993),0))</f>
        <v>0</v>
      </c>
      <c r="AF370" s="178">
        <v>0</v>
      </c>
    </row>
    <row r="371" spans="1:32" ht="60" customHeight="1" x14ac:dyDescent="0.25">
      <c r="A371" s="82">
        <v>46637</v>
      </c>
      <c r="B371" s="41" t="str">
        <f>IFERROR(INDEX([1]GARANTIA!$B:$B,MATCH(A371,[1]GARANTIA!$C:$C,0)),"INSIRA N° SERIE")</f>
        <v>TESTE 5</v>
      </c>
      <c r="C371" s="33">
        <f>IFERROR(INDEX([1]GARANTIA!$J:$J,MATCH(A371,[1]GARANTIA!$C:$C,0)),"INSIRA N° SERIE")</f>
        <v>43951</v>
      </c>
      <c r="D371" s="33" t="str">
        <f>IFERROR(IF(INDEX([1]GARANTIA!$M:$M,MATCH(A371,[1]GARANTIA!$C:$C,0))&gt;=I371,"DENTRO DA GARANTIA","FORA DE GARANTIA"),"INSIRA N° SERIE")</f>
        <v>DENTRO DA GARANTIA</v>
      </c>
      <c r="E371" s="148"/>
      <c r="F371" s="109">
        <f>IFERROR(MAX(0,IF(I371-(INDEX([1]GARANTIA!$J:$J,MATCH(A371,[1]GARANTIA!$C:$C,0)))&gt;=0,I371-(INDEX([1]GARANTIA!$L:$L,MATCH(A371,[1]GARANTIA!$C:$C,0))),"INSIRA DATA CHAMADO")),"INSIRA N° SERIE")</f>
        <v>332</v>
      </c>
      <c r="G371" s="98">
        <v>20210784</v>
      </c>
      <c r="H371" s="35" t="str">
        <f t="shared" si="40"/>
        <v>NOV</v>
      </c>
      <c r="I371" s="89">
        <v>44508</v>
      </c>
      <c r="J371" s="90">
        <v>44508</v>
      </c>
      <c r="K371" s="91">
        <v>44510</v>
      </c>
      <c r="L371" s="92" t="s">
        <v>23</v>
      </c>
      <c r="M371" s="92" t="s">
        <v>8</v>
      </c>
      <c r="N371" s="92" t="s">
        <v>42</v>
      </c>
      <c r="O371" s="42" t="str">
        <f>IFERROR(INDEX([1]GARANTIA!$E:$E,MATCH(A371,[1]GARANTIA!$C:$C,0)),"INSIRA N° SERIE")</f>
        <v>MTI - 7.000GTS</v>
      </c>
      <c r="P371" s="101" t="s">
        <v>763</v>
      </c>
      <c r="Q371" s="94" t="s">
        <v>645</v>
      </c>
      <c r="R371" s="93" t="s">
        <v>767</v>
      </c>
      <c r="S371" s="95" t="s">
        <v>325</v>
      </c>
      <c r="T371" s="95" t="s">
        <v>142</v>
      </c>
      <c r="U371" s="96"/>
      <c r="V371" s="41" t="str">
        <f>IFERROR(INDEX([1]GARANTIA!$G:$G,MATCH(A371,[1]GARANTIA!$C:$C,0)),"INSIRA N° SERIE")</f>
        <v>WENSESLAU</v>
      </c>
      <c r="W371" s="41" t="str">
        <f>IFERROR(INDEX([1]GARANTIA!$H:$H,MATCH(A371,[1]GARANTIA!$C:$C,0)),"INSIRA N° SERIE")</f>
        <v>PR</v>
      </c>
      <c r="X371" s="41" t="str">
        <f>IFERROR(INDEX([1]GARANTIA!$F:$F,MATCH(A371,[1]GARANTIA!$C:$C,0)),"INSIRA N° SERIE")</f>
        <v>SUDESTE</v>
      </c>
      <c r="Y371" s="46">
        <f t="shared" ref="Y371:Y374" si="61">IF(G371&lt;&gt;"",J371-I371,"INSIRA N° OS")</f>
        <v>0</v>
      </c>
      <c r="Z371" s="47">
        <f t="shared" si="42"/>
        <v>2</v>
      </c>
      <c r="AA371" s="46">
        <f t="shared" ref="AA371:AA374" si="62">IF(Z371="NÃO FINALIZADO","",Z371+Y371)</f>
        <v>2</v>
      </c>
      <c r="AB371" s="46" t="str" cm="1">
        <f t="array" ref="AB371">IFERROR(_xlfn.IFS(L371="FINALIZADO PRESENCIAL",IF(AA371&gt;10,"FORA","DENTRO"),L371="FINALIZADO REMOTO",IF(AA371&gt;5,"FORA","DENTRO")),"-")</f>
        <v>DENTRO</v>
      </c>
      <c r="AC371" s="41" t="s">
        <v>1671</v>
      </c>
      <c r="AD371" s="41" t="s">
        <v>1671</v>
      </c>
      <c r="AE371" s="48" cm="1">
        <f t="array" ref="AE371">SUMPRODUCT(IFERROR(('[2]PEÇAS GARANTIA'!$A$3:$A$5993=G371)*('[2]PEÇAS GARANTIA'!$A$3:$A$5993&lt;&gt;"")*('[2]PEÇAS GARANTIA'!$R$3:$R$5993),0))</f>
        <v>0</v>
      </c>
      <c r="AF371" s="178">
        <v>0</v>
      </c>
    </row>
    <row r="372" spans="1:32" ht="64.5" customHeight="1" x14ac:dyDescent="0.25">
      <c r="A372" s="82">
        <v>19607</v>
      </c>
      <c r="B372" s="41" t="str">
        <f>IFERROR(INDEX([1]GARANTIA!$B:$B,MATCH(A372,[1]GARANTIA!$C:$C,0)),"INSIRA N° SERIE")</f>
        <v>TESTE 325</v>
      </c>
      <c r="C372" s="33">
        <f>IFERROR(INDEX([1]GARANTIA!$J:$J,MATCH(A372,[1]GARANTIA!$C:$C,0)),"INSIRA N° SERIE")</f>
        <v>44019</v>
      </c>
      <c r="D372" s="33" t="str">
        <f>IFERROR(IF(INDEX([1]GARANTIA!$M:$M,MATCH(A372,[1]GARANTIA!$C:$C,0))&gt;=I372,"DENTRO DA GARANTIA","FORA DE GARANTIA"),"INSIRA N° SERIE")</f>
        <v>FORA DE GARANTIA</v>
      </c>
      <c r="E372" s="148"/>
      <c r="F372" s="109">
        <f>IFERROR(MAX(0,IF(I372-(INDEX([1]GARANTIA!$J:$J,MATCH(A372,[1]GARANTIA!$C:$C,0)))&gt;=0,I372-(INDEX([1]GARANTIA!$L:$L,MATCH(A372,[1]GARANTIA!$C:$C,0))),"INSIRA DATA CHAMADO")),"INSIRA N° SERIE")</f>
        <v>366</v>
      </c>
      <c r="G372" s="98">
        <v>20210785</v>
      </c>
      <c r="H372" s="35" t="str">
        <f t="shared" si="40"/>
        <v>NOV</v>
      </c>
      <c r="I372" s="89">
        <v>44508</v>
      </c>
      <c r="J372" s="90">
        <v>44508</v>
      </c>
      <c r="K372" s="91">
        <v>44509</v>
      </c>
      <c r="L372" s="92" t="s">
        <v>23</v>
      </c>
      <c r="M372" s="92" t="s">
        <v>8</v>
      </c>
      <c r="N372" s="92" t="s">
        <v>29</v>
      </c>
      <c r="O372" s="42" t="str">
        <f>IFERROR(INDEX([1]GARANTIA!$E:$E,MATCH(A372,[1]GARANTIA!$C:$C,0)),"INSIRA N° SERIE")</f>
        <v>MTI - 12.000GTS</v>
      </c>
      <c r="P372" s="101" t="s">
        <v>764</v>
      </c>
      <c r="Q372" s="94" t="s">
        <v>645</v>
      </c>
      <c r="R372" s="93" t="s">
        <v>765</v>
      </c>
      <c r="S372" s="95" t="s">
        <v>325</v>
      </c>
      <c r="T372" s="95" t="s">
        <v>640</v>
      </c>
      <c r="U372" s="96"/>
      <c r="V372" s="41" t="str">
        <f>IFERROR(INDEX([1]GARANTIA!$G:$G,MATCH(A372,[1]GARANTIA!$C:$C,0)),"INSIRA N° SERIE")</f>
        <v>BAURU</v>
      </c>
      <c r="W372" s="41" t="str">
        <f>IFERROR(INDEX([1]GARANTIA!$H:$H,MATCH(A372,[1]GARANTIA!$C:$C,0)),"INSIRA N° SERIE")</f>
        <v xml:space="preserve">SP </v>
      </c>
      <c r="X372" s="41" t="str">
        <f>IFERROR(INDEX([1]GARANTIA!$F:$F,MATCH(A372,[1]GARANTIA!$C:$C,0)),"INSIRA N° SERIE")</f>
        <v>SUDESTE</v>
      </c>
      <c r="Y372" s="46">
        <f t="shared" si="61"/>
        <v>0</v>
      </c>
      <c r="Z372" s="47">
        <f t="shared" si="42"/>
        <v>1</v>
      </c>
      <c r="AA372" s="46">
        <f t="shared" si="62"/>
        <v>1</v>
      </c>
      <c r="AB372" s="46" t="str" cm="1">
        <f t="array" ref="AB372">IFERROR(_xlfn.IFS(L372="FINALIZADO PRESENCIAL",IF(AA372&gt;10,"FORA","DENTRO"),L372="FINALIZADO REMOTO",IF(AA372&gt;5,"FORA","DENTRO")),"-")</f>
        <v>DENTRO</v>
      </c>
      <c r="AC372" s="41" t="s">
        <v>1671</v>
      </c>
      <c r="AD372" s="41" t="s">
        <v>1671</v>
      </c>
      <c r="AE372" s="48" cm="1">
        <f t="array" ref="AE372">SUMPRODUCT(IFERROR(('[2]PEÇAS GARANTIA'!$A$3:$A$5993=G372)*('[2]PEÇAS GARANTIA'!$A$3:$A$5993&lt;&gt;"")*('[2]PEÇAS GARANTIA'!$R$3:$R$5993),0))</f>
        <v>0</v>
      </c>
      <c r="AF372" s="178">
        <v>0</v>
      </c>
    </row>
    <row r="373" spans="1:32" ht="48" customHeight="1" x14ac:dyDescent="0.25">
      <c r="A373" s="82">
        <v>42353</v>
      </c>
      <c r="B373" s="41" t="str">
        <f>IFERROR(INDEX([1]GARANTIA!$B:$B,MATCH(A373,[1]GARANTIA!$C:$C,0)),"INSIRA N° SERIE")</f>
        <v>TESTE 272</v>
      </c>
      <c r="C373" s="33">
        <f>IFERROR(INDEX([1]GARANTIA!$J:$J,MATCH(A373,[1]GARANTIA!$C:$C,0)),"INSIRA N° SERIE")</f>
        <v>44078</v>
      </c>
      <c r="D373" s="33" t="str">
        <f>IFERROR(IF(INDEX([1]GARANTIA!$M:$M,MATCH(A373,[1]GARANTIA!$C:$C,0))&gt;=I373,"DENTRO DA GARANTIA","FORA DE GARANTIA"),"INSIRA N° SERIE")</f>
        <v>DENTRO DA GARANTIA</v>
      </c>
      <c r="E373" s="148"/>
      <c r="F373" s="109">
        <f>IFERROR(MAX(0,IF(I373-(INDEX([1]GARANTIA!$J:$J,MATCH(A373,[1]GARANTIA!$C:$C,0)))&gt;=0,I373-(INDEX([1]GARANTIA!$L:$L,MATCH(A373,[1]GARANTIA!$C:$C,0))),"INSIRA DATA CHAMADO")),"INSIRA N° SERIE")</f>
        <v>227</v>
      </c>
      <c r="G373" s="98">
        <v>20210786</v>
      </c>
      <c r="H373" s="35" t="str">
        <f t="shared" si="40"/>
        <v>NOV</v>
      </c>
      <c r="I373" s="89">
        <v>44508</v>
      </c>
      <c r="J373" s="90">
        <v>44508</v>
      </c>
      <c r="K373" s="91">
        <v>44512</v>
      </c>
      <c r="L373" s="92" t="s">
        <v>23</v>
      </c>
      <c r="M373" s="92" t="s">
        <v>8</v>
      </c>
      <c r="N373" s="92" t="s">
        <v>31</v>
      </c>
      <c r="O373" s="42" t="str">
        <f>IFERROR(INDEX([1]GARANTIA!$E:$E,MATCH(A373,[1]GARANTIA!$C:$C,0)),"INSIRA N° SERIE")</f>
        <v>MTI - 20.000GE</v>
      </c>
      <c r="P373" s="101" t="s">
        <v>766</v>
      </c>
      <c r="Q373" s="94" t="s">
        <v>645</v>
      </c>
      <c r="R373" s="93" t="s">
        <v>781</v>
      </c>
      <c r="S373" s="44" t="s">
        <v>325</v>
      </c>
      <c r="T373" s="95" t="s">
        <v>640</v>
      </c>
      <c r="U373" s="96"/>
      <c r="V373" s="41" t="str">
        <f>IFERROR(INDEX([1]GARANTIA!$G:$G,MATCH(A373,[1]GARANTIA!$C:$C,0)),"INSIRA N° SERIE")</f>
        <v>MAXARANGUAPE</v>
      </c>
      <c r="W373" s="41" t="str">
        <f>IFERROR(INDEX([1]GARANTIA!$H:$H,MATCH(A373,[1]GARANTIA!$C:$C,0)),"INSIRA N° SERIE")</f>
        <v>RN</v>
      </c>
      <c r="X373" s="41" t="str">
        <f>IFERROR(INDEX([1]GARANTIA!$F:$F,MATCH(A373,[1]GARANTIA!$C:$C,0)),"INSIRA N° SERIE")</f>
        <v>NORDESTE</v>
      </c>
      <c r="Y373" s="46">
        <f t="shared" si="61"/>
        <v>0</v>
      </c>
      <c r="Z373" s="47">
        <f t="shared" si="42"/>
        <v>4</v>
      </c>
      <c r="AA373" s="46">
        <f t="shared" si="62"/>
        <v>4</v>
      </c>
      <c r="AB373" s="46" t="str" cm="1">
        <f t="array" ref="AB373">IFERROR(_xlfn.IFS(L373="FINALIZADO PRESENCIAL",IF(AA373&gt;10,"FORA","DENTRO"),L373="FINALIZADO REMOTO",IF(AA373&gt;5,"FORA","DENTRO")),"-")</f>
        <v>DENTRO</v>
      </c>
      <c r="AC373" s="41" t="s">
        <v>1671</v>
      </c>
      <c r="AD373" s="41" t="s">
        <v>1671</v>
      </c>
      <c r="AE373" s="48" cm="1">
        <f t="array" ref="AE373">SUMPRODUCT(IFERROR(('[2]PEÇAS GARANTIA'!$A$3:$A$5993=G373)*('[2]PEÇAS GARANTIA'!$A$3:$A$5993&lt;&gt;"")*('[2]PEÇAS GARANTIA'!$R$3:$R$5993),0))</f>
        <v>850</v>
      </c>
      <c r="AF373" s="178">
        <v>0</v>
      </c>
    </row>
    <row r="374" spans="1:32" ht="66.75" customHeight="1" x14ac:dyDescent="0.25">
      <c r="A374" s="82">
        <v>9998</v>
      </c>
      <c r="B374" s="41" t="str">
        <f>IFERROR(INDEX([1]GARANTIA!$B:$B,MATCH(A374,[1]GARANTIA!$C:$C,0)),"INSIRA N° SERIE")</f>
        <v>TESTE 115</v>
      </c>
      <c r="C374" s="33">
        <f>IFERROR(INDEX([1]GARANTIA!$J:$J,MATCH(A374,[1]GARANTIA!$C:$C,0)),"INSIRA N° SERIE")</f>
        <v>43738</v>
      </c>
      <c r="D374" s="33" t="str">
        <f>IFERROR(IF(INDEX([1]GARANTIA!$M:$M,MATCH(A374,[1]GARANTIA!$C:$C,0))&gt;=I374,"DENTRO DA GARANTIA","FORA DE GARANTIA"),"INSIRA N° SERIE")</f>
        <v>FORA DE GARANTIA</v>
      </c>
      <c r="E374" s="148"/>
      <c r="F374" s="109">
        <f>IFERROR(MAX(0,IF(I374-(INDEX([1]GARANTIA!$J:$J,MATCH(A374,[1]GARANTIA!$C:$C,0)))&gt;=0,I374-(INDEX([1]GARANTIA!$L:$L,MATCH(A374,[1]GARANTIA!$C:$C,0))),"INSIRA DATA CHAMADO")),"INSIRA N° SERIE")</f>
        <v>533</v>
      </c>
      <c r="G374" s="98">
        <v>20210787</v>
      </c>
      <c r="H374" s="35" t="str">
        <f t="shared" si="40"/>
        <v>NOV</v>
      </c>
      <c r="I374" s="89">
        <v>44505</v>
      </c>
      <c r="J374" s="90">
        <v>44505</v>
      </c>
      <c r="K374" s="91">
        <v>44513</v>
      </c>
      <c r="L374" s="92" t="s">
        <v>11</v>
      </c>
      <c r="M374" s="92" t="s">
        <v>8</v>
      </c>
      <c r="N374" s="92" t="s">
        <v>27</v>
      </c>
      <c r="O374" s="42" t="str">
        <f>IFERROR(INDEX([1]GARANTIA!$E:$E,MATCH(A374,[1]GARANTIA!$C:$C,0)),"INSIRA N° SERIE")</f>
        <v>MTI - 2.500GTS</v>
      </c>
      <c r="P374" s="101" t="s">
        <v>814</v>
      </c>
      <c r="Q374" s="94" t="s">
        <v>611</v>
      </c>
      <c r="R374" s="93" t="s">
        <v>797</v>
      </c>
      <c r="S374" s="95" t="s">
        <v>101</v>
      </c>
      <c r="T374" s="95" t="s">
        <v>142</v>
      </c>
      <c r="U374" s="96"/>
      <c r="V374" s="41" t="str">
        <f>IFERROR(INDEX([1]GARANTIA!$G:$G,MATCH(A374,[1]GARANTIA!$C:$C,0)),"INSIRA N° SERIE")</f>
        <v xml:space="preserve">DOURADOS </v>
      </c>
      <c r="W374" s="41" t="str">
        <f>IFERROR(INDEX([1]GARANTIA!$H:$H,MATCH(A374,[1]GARANTIA!$C:$C,0)),"INSIRA N° SERIE")</f>
        <v>MS</v>
      </c>
      <c r="X374" s="41" t="str">
        <f>IFERROR(INDEX([1]GARANTIA!$F:$F,MATCH(A374,[1]GARANTIA!$C:$C,0)),"INSIRA N° SERIE")</f>
        <v>CENTROESTE</v>
      </c>
      <c r="Y374" s="46">
        <f t="shared" si="61"/>
        <v>0</v>
      </c>
      <c r="Z374" s="47">
        <f t="shared" si="42"/>
        <v>8</v>
      </c>
      <c r="AA374" s="46">
        <f t="shared" si="62"/>
        <v>8</v>
      </c>
      <c r="AB374" s="46" t="str" cm="1">
        <f t="array" ref="AB374">IFERROR(_xlfn.IFS(L374="FINALIZADO PRESENCIAL",IF(AA374&gt;10,"FORA","DENTRO"),L374="FINALIZADO REMOTO",IF(AA374&gt;5,"FORA","DENTRO")),"-")</f>
        <v>DENTRO</v>
      </c>
      <c r="AC374" s="41" t="s">
        <v>1671</v>
      </c>
      <c r="AD374" s="41" t="s">
        <v>1671</v>
      </c>
      <c r="AE374" s="48" cm="1">
        <f t="array" ref="AE374">SUMPRODUCT(IFERROR(('[2]PEÇAS GARANTIA'!$A$3:$A$5993=G374)*('[2]PEÇAS GARANTIA'!$A$3:$A$5993&lt;&gt;"")*('[2]PEÇAS GARANTIA'!$R$3:$R$5993),0))</f>
        <v>8054.5400000000009</v>
      </c>
      <c r="AF374" s="178">
        <v>0</v>
      </c>
    </row>
    <row r="375" spans="1:32" ht="54.75" customHeight="1" x14ac:dyDescent="0.25">
      <c r="A375" s="82">
        <v>69918</v>
      </c>
      <c r="B375" s="41" t="str">
        <f>IFERROR(INDEX([1]GARANTIA!$B:$B,MATCH(A375,[1]GARANTIA!$C:$C,0)),"INSIRA N° SERIE")</f>
        <v>TESTE 247</v>
      </c>
      <c r="C375" s="33">
        <f>IFERROR(INDEX([1]GARANTIA!$J:$J,MATCH(A375,[1]GARANTIA!$C:$C,0)),"INSIRA N° SERIE")</f>
        <v>44196</v>
      </c>
      <c r="D375" s="33" t="str">
        <f>IFERROR(IF(INDEX([1]GARANTIA!$M:$M,MATCH(A375,[1]GARANTIA!$C:$C,0))&gt;=I375,"DENTRO DA GARANTIA","FORA DE GARANTIA"),"INSIRA N° SERIE")</f>
        <v>DENTRO DA GARANTIA</v>
      </c>
      <c r="E375" s="148"/>
      <c r="F375" s="109">
        <f>IFERROR(MAX(0,IF(I375-(INDEX([1]GARANTIA!$J:$J,MATCH(A375,[1]GARANTIA!$C:$C,0)))&gt;=0,I375-(INDEX([1]GARANTIA!$L:$L,MATCH(A375,[1]GARANTIA!$C:$C,0))),"INSIRA DATA CHAMADO")),"INSIRA N° SERIE")</f>
        <v>155</v>
      </c>
      <c r="G375" s="98">
        <v>20210788</v>
      </c>
      <c r="H375" s="35" t="str">
        <f t="shared" si="40"/>
        <v>NOV</v>
      </c>
      <c r="I375" s="89">
        <v>44506</v>
      </c>
      <c r="J375" s="90">
        <v>44506</v>
      </c>
      <c r="K375" s="91">
        <v>44513</v>
      </c>
      <c r="L375" s="92" t="s">
        <v>23</v>
      </c>
      <c r="M375" s="92" t="s">
        <v>8</v>
      </c>
      <c r="N375" s="92" t="s">
        <v>43</v>
      </c>
      <c r="O375" s="42" t="str">
        <f>IFERROR(INDEX([1]GARANTIA!$E:$E,MATCH(A375,[1]GARANTIA!$C:$C,0)),"INSIRA N° SERIE")</f>
        <v>MTI - 1.000GTS</v>
      </c>
      <c r="P375" s="101" t="s">
        <v>768</v>
      </c>
      <c r="Q375" s="94" t="s">
        <v>296</v>
      </c>
      <c r="R375" s="93" t="s">
        <v>769</v>
      </c>
      <c r="S375" s="95" t="s">
        <v>102</v>
      </c>
      <c r="T375" s="95" t="s">
        <v>296</v>
      </c>
      <c r="U375" s="96"/>
      <c r="V375" s="41" t="str">
        <f>IFERROR(INDEX([1]GARANTIA!$G:$G,MATCH(A375,[1]GARANTIA!$C:$C,0)),"INSIRA N° SERIE")</f>
        <v>DIAMANTINA</v>
      </c>
      <c r="W375" s="41" t="str">
        <f>IFERROR(INDEX([1]GARANTIA!$H:$H,MATCH(A375,[1]GARANTIA!$C:$C,0)),"INSIRA N° SERIE")</f>
        <v>MG</v>
      </c>
      <c r="X375" s="41" t="str">
        <f>IFERROR(INDEX([1]GARANTIA!$F:$F,MATCH(A375,[1]GARANTIA!$C:$C,0)),"INSIRA N° SERIE")</f>
        <v>SUDESTE</v>
      </c>
      <c r="Y375" s="46">
        <f t="shared" ref="Y375:Y376" si="63">IF(G375&lt;&gt;"",J375-I375,"INSIRA N° OS")</f>
        <v>0</v>
      </c>
      <c r="Z375" s="47">
        <f t="shared" si="42"/>
        <v>7</v>
      </c>
      <c r="AA375" s="46">
        <f t="shared" ref="AA375:AA376" si="64">IF(Z375="NÃO FINALIZADO","",Z375+Y375)</f>
        <v>7</v>
      </c>
      <c r="AB375" s="46" t="str" cm="1">
        <f t="array" ref="AB375">IFERROR(_xlfn.IFS(L375="FINALIZADO PRESENCIAL",IF(AA375&gt;10,"FORA","DENTRO"),L375="FINALIZADO REMOTO",IF(AA375&gt;5,"FORA","DENTRO")),"-")</f>
        <v>FORA</v>
      </c>
      <c r="AC375" s="41" t="s">
        <v>1671</v>
      </c>
      <c r="AD375" s="41" t="s">
        <v>1671</v>
      </c>
      <c r="AE375" s="48" cm="1">
        <f t="array" ref="AE375">SUMPRODUCT(IFERROR(('[2]PEÇAS GARANTIA'!$A$3:$A$5993=G375)*('[2]PEÇAS GARANTIA'!$A$3:$A$5993&lt;&gt;"")*('[2]PEÇAS GARANTIA'!$R$3:$R$5993),0))</f>
        <v>0</v>
      </c>
      <c r="AF375" s="178">
        <v>0</v>
      </c>
    </row>
    <row r="376" spans="1:32" ht="54.75" customHeight="1" x14ac:dyDescent="0.25">
      <c r="A376" s="82">
        <v>50869</v>
      </c>
      <c r="B376" s="41" t="str">
        <f>IFERROR(INDEX([1]GARANTIA!$B:$B,MATCH(A376,[1]GARANTIA!$C:$C,0)),"INSIRA N° SERIE")</f>
        <v>TESTE 417</v>
      </c>
      <c r="C376" s="33">
        <f>IFERROR(INDEX([1]GARANTIA!$J:$J,MATCH(A376,[1]GARANTIA!$C:$C,0)),"INSIRA N° SERIE")</f>
        <v>44552</v>
      </c>
      <c r="D376" s="33" t="str">
        <f>IFERROR(IF(INDEX([1]GARANTIA!$M:$M,MATCH(A376,[1]GARANTIA!$C:$C,0))&gt;=I376,"DENTRO DA GARANTIA","FORA DE GARANTIA"),"INSIRA N° SERIE")</f>
        <v>FORA DE GARANTIA</v>
      </c>
      <c r="E376" s="148"/>
      <c r="F376" s="109" t="str">
        <f>IFERROR(MAX(0,IF(I376-(INDEX([1]GARANTIA!$J:$J,MATCH(A376,[1]GARANTIA!$C:$C,0)))&gt;=0,I376-(INDEX([1]GARANTIA!$L:$L,MATCH(A376,[1]GARANTIA!$C:$C,0))),"INSIRA DATA CHAMADO")),"INSIRA N° SERIE")</f>
        <v>INSIRA N° SERIE</v>
      </c>
      <c r="G376" s="98">
        <v>20210789</v>
      </c>
      <c r="H376" s="35" t="str">
        <f t="shared" si="40"/>
        <v>NOV</v>
      </c>
      <c r="I376" s="89">
        <v>44511</v>
      </c>
      <c r="J376" s="90">
        <v>44511</v>
      </c>
      <c r="K376" s="91">
        <v>44515</v>
      </c>
      <c r="L376" s="92" t="s">
        <v>23</v>
      </c>
      <c r="M376" s="92" t="s">
        <v>8</v>
      </c>
      <c r="N376" s="92" t="s">
        <v>27</v>
      </c>
      <c r="O376" s="42" t="str">
        <f>IFERROR(INDEX([1]GARANTIA!$E:$E,MATCH(A376,[1]GARANTIA!$C:$C,0)),"INSIRA N° SERIE")</f>
        <v>MTI-1.000GTS</v>
      </c>
      <c r="P376" s="101" t="s">
        <v>843</v>
      </c>
      <c r="Q376" s="94" t="s">
        <v>645</v>
      </c>
      <c r="R376" s="93" t="s">
        <v>824</v>
      </c>
      <c r="S376" s="95" t="s">
        <v>325</v>
      </c>
      <c r="T376" s="95" t="s">
        <v>640</v>
      </c>
      <c r="U376" s="96"/>
      <c r="V376" s="41" t="str">
        <f>IFERROR(INDEX([1]GARANTIA!$G:$G,MATCH(A376,[1]GARANTIA!$C:$C,0)),"INSIRA N° SERIE")</f>
        <v>CAMPO GRANDE</v>
      </c>
      <c r="W376" s="41" t="str">
        <f>IFERROR(INDEX([1]GARANTIA!$H:$H,MATCH(A376,[1]GARANTIA!$C:$C,0)),"INSIRA N° SERIE")</f>
        <v xml:space="preserve">MS </v>
      </c>
      <c r="X376" s="41" t="str">
        <f>IFERROR(INDEX([1]GARANTIA!$F:$F,MATCH(A376,[1]GARANTIA!$C:$C,0)),"INSIRA N° SERIE")</f>
        <v>CENTRO-OESTE</v>
      </c>
      <c r="Y376" s="46">
        <f t="shared" si="63"/>
        <v>0</v>
      </c>
      <c r="Z376" s="47">
        <f t="shared" si="42"/>
        <v>4</v>
      </c>
      <c r="AA376" s="46">
        <f t="shared" si="64"/>
        <v>4</v>
      </c>
      <c r="AB376" s="46" t="str" cm="1">
        <f t="array" ref="AB376">IFERROR(_xlfn.IFS(L376="FINALIZADO PRESENCIAL",IF(AA376&gt;10,"FORA","DENTRO"),L376="FINALIZADO REMOTO",IF(AA376&gt;5,"FORA","DENTRO")),"-")</f>
        <v>DENTRO</v>
      </c>
      <c r="AC376" s="41" t="s">
        <v>1671</v>
      </c>
      <c r="AD376" s="41" t="s">
        <v>1671</v>
      </c>
      <c r="AE376" s="48" cm="1">
        <f t="array" ref="AE376">SUMPRODUCT(IFERROR(('[2]PEÇAS GARANTIA'!$A$3:$A$5993=G376)*('[2]PEÇAS GARANTIA'!$A$3:$A$5993&lt;&gt;"")*('[2]PEÇAS GARANTIA'!$R$3:$R$5993),0))</f>
        <v>6288.7300000000014</v>
      </c>
      <c r="AF376" s="178">
        <v>0</v>
      </c>
    </row>
    <row r="377" spans="1:32" ht="45" customHeight="1" x14ac:dyDescent="0.25">
      <c r="A377" s="82">
        <v>69918</v>
      </c>
      <c r="B377" s="41" t="str">
        <f>IFERROR(INDEX([1]GARANTIA!$B:$B,MATCH(A377,[1]GARANTIA!$C:$C,0)),"INSIRA N° SERIE")</f>
        <v>TESTE 247</v>
      </c>
      <c r="C377" s="33">
        <f>IFERROR(INDEX([1]GARANTIA!$J:$J,MATCH(A377,[1]GARANTIA!$C:$C,0)),"INSIRA N° SERIE")</f>
        <v>44196</v>
      </c>
      <c r="D377" s="33" t="str">
        <f>IFERROR(IF(INDEX([1]GARANTIA!$M:$M,MATCH(A377,[1]GARANTIA!$C:$C,0))&gt;=I377,"DENTRO DA GARANTIA","FORA DE GARANTIA"),"INSIRA N° SERIE")</f>
        <v>DENTRO DA GARANTIA</v>
      </c>
      <c r="E377" s="148"/>
      <c r="F377" s="109">
        <f>IFERROR(MAX(0,IF(I377-(INDEX([1]GARANTIA!$J:$J,MATCH(A377,[1]GARANTIA!$C:$C,0)))&gt;=0,I377-(INDEX([1]GARANTIA!$L:$L,MATCH(A377,[1]GARANTIA!$C:$C,0))),"INSIRA DATA CHAMADO")),"INSIRA N° SERIE")</f>
        <v>165</v>
      </c>
      <c r="G377" s="98">
        <v>20210790</v>
      </c>
      <c r="H377" s="35" t="str">
        <f t="shared" si="40"/>
        <v>NOV</v>
      </c>
      <c r="I377" s="89">
        <v>44516</v>
      </c>
      <c r="J377" s="90">
        <v>44516</v>
      </c>
      <c r="K377" s="91">
        <v>44519</v>
      </c>
      <c r="L377" s="92" t="s">
        <v>11</v>
      </c>
      <c r="M377" s="92" t="s">
        <v>8</v>
      </c>
      <c r="N377" s="92" t="s">
        <v>57</v>
      </c>
      <c r="O377" s="42" t="str">
        <f>IFERROR(INDEX([1]GARANTIA!$E:$E,MATCH(A377,[1]GARANTIA!$C:$C,0)),"INSIRA N° SERIE")</f>
        <v>MTI - 1.000GTS</v>
      </c>
      <c r="P377" s="101" t="s">
        <v>774</v>
      </c>
      <c r="Q377" s="94" t="s">
        <v>643</v>
      </c>
      <c r="R377" s="93" t="s">
        <v>775</v>
      </c>
      <c r="S377" s="95" t="s">
        <v>639</v>
      </c>
      <c r="T377" s="95" t="s">
        <v>641</v>
      </c>
      <c r="U377" s="96"/>
      <c r="V377" s="41" t="str">
        <f>IFERROR(INDEX([1]GARANTIA!$G:$G,MATCH(A377,[1]GARANTIA!$C:$C,0)),"INSIRA N° SERIE")</f>
        <v>DIAMANTINA</v>
      </c>
      <c r="W377" s="41" t="str">
        <f>IFERROR(INDEX([1]GARANTIA!$H:$H,MATCH(A377,[1]GARANTIA!$C:$C,0)),"INSIRA N° SERIE")</f>
        <v>MG</v>
      </c>
      <c r="X377" s="41" t="str">
        <f>IFERROR(INDEX([1]GARANTIA!$F:$F,MATCH(A377,[1]GARANTIA!$C:$C,0)),"INSIRA N° SERIE")</f>
        <v>SUDESTE</v>
      </c>
      <c r="Y377" s="46">
        <f t="shared" ref="Y377:Y379" si="65">IF(G377&lt;&gt;"",J377-I377,"INSIRA N° OS")</f>
        <v>0</v>
      </c>
      <c r="Z377" s="47">
        <f t="shared" si="42"/>
        <v>3</v>
      </c>
      <c r="AA377" s="46">
        <f t="shared" ref="AA377:AA379" si="66">IF(Z377="NÃO FINALIZADO","",Z377+Y377)</f>
        <v>3</v>
      </c>
      <c r="AB377" s="46" t="str" cm="1">
        <f t="array" ref="AB377">IFERROR(_xlfn.IFS(L377="FINALIZADO PRESENCIAL",IF(AA377&gt;10,"FORA","DENTRO"),L377="FINALIZADO REMOTO",IF(AA377&gt;5,"FORA","DENTRO")),"-")</f>
        <v>DENTRO</v>
      </c>
      <c r="AC377" s="41" t="s">
        <v>1671</v>
      </c>
      <c r="AD377" s="41" t="s">
        <v>1671</v>
      </c>
      <c r="AE377" s="48" cm="1">
        <f t="array" ref="AE377">SUMPRODUCT(IFERROR(('[2]PEÇAS GARANTIA'!$A$3:$A$5993=G377)*('[2]PEÇAS GARANTIA'!$A$3:$A$5993&lt;&gt;"")*('[2]PEÇAS GARANTIA'!$R$3:$R$5993),0))</f>
        <v>0</v>
      </c>
      <c r="AF377" s="178">
        <v>0</v>
      </c>
    </row>
    <row r="378" spans="1:32" ht="61.5" customHeight="1" x14ac:dyDescent="0.25">
      <c r="A378" s="82">
        <v>82866</v>
      </c>
      <c r="B378" s="41" t="str">
        <f>IFERROR(INDEX([1]GARANTIA!$B:$B,MATCH(A378,[1]GARANTIA!$C:$C,0)),"INSIRA N° SERIE")</f>
        <v>TESTE 309</v>
      </c>
      <c r="C378" s="33">
        <f>IFERROR(INDEX([1]GARANTIA!$J:$J,MATCH(A378,[1]GARANTIA!$C:$C,0)),"INSIRA N° SERIE")</f>
        <v>44158</v>
      </c>
      <c r="D378" s="33" t="str">
        <f>IFERROR(IF(INDEX([1]GARANTIA!$M:$M,MATCH(A378,[1]GARANTIA!$C:$C,0))&gt;=I378,"DENTRO DA GARANTIA","FORA DE GARANTIA"),"INSIRA N° SERIE")</f>
        <v>DENTRO DA GARANTIA</v>
      </c>
      <c r="E378" s="148"/>
      <c r="F378" s="109">
        <f>IFERROR(MAX(0,IF(I378-(INDEX([1]GARANTIA!$J:$J,MATCH(A378,[1]GARANTIA!$C:$C,0)))&gt;=0,I378-(INDEX([1]GARANTIA!$L:$L,MATCH(A378,[1]GARANTIA!$C:$C,0))),"INSIRA DATA CHAMADO")),"INSIRA N° SERIE")</f>
        <v>257</v>
      </c>
      <c r="G378" s="98">
        <v>20210791</v>
      </c>
      <c r="H378" s="35" t="str">
        <f t="shared" si="40"/>
        <v>NOV</v>
      </c>
      <c r="I378" s="89">
        <v>44517</v>
      </c>
      <c r="J378" s="90">
        <v>44517</v>
      </c>
      <c r="K378" s="91">
        <v>44522</v>
      </c>
      <c r="L378" s="92" t="s">
        <v>23</v>
      </c>
      <c r="M378" s="92" t="s">
        <v>8</v>
      </c>
      <c r="N378" s="92" t="s">
        <v>31</v>
      </c>
      <c r="O378" s="42" t="str">
        <f>IFERROR(INDEX([1]GARANTIA!$E:$E,MATCH(A378,[1]GARANTIA!$C:$C,0)),"INSIRA N° SERIE")</f>
        <v>MTI - 1.000GTS</v>
      </c>
      <c r="P378" s="101" t="s">
        <v>779</v>
      </c>
      <c r="Q378" s="94" t="s">
        <v>645</v>
      </c>
      <c r="R378" s="93" t="s">
        <v>780</v>
      </c>
      <c r="S378" s="95" t="s">
        <v>325</v>
      </c>
      <c r="T378" s="95" t="s">
        <v>640</v>
      </c>
      <c r="U378" s="96"/>
      <c r="V378" s="41" t="str">
        <f>IFERROR(INDEX([1]GARANTIA!$G:$G,MATCH(A378,[1]GARANTIA!$C:$C,0)),"INSIRA N° SERIE")</f>
        <v>SÃO JOSE DEL REI</v>
      </c>
      <c r="W378" s="41" t="str">
        <f>IFERROR(INDEX([1]GARANTIA!$H:$H,MATCH(A378,[1]GARANTIA!$C:$C,0)),"INSIRA N° SERIE")</f>
        <v>MG</v>
      </c>
      <c r="X378" s="41" t="str">
        <f>IFERROR(INDEX([1]GARANTIA!$F:$F,MATCH(A378,[1]GARANTIA!$C:$C,0)),"INSIRA N° SERIE")</f>
        <v>SUDESTE</v>
      </c>
      <c r="Y378" s="46">
        <f t="shared" si="65"/>
        <v>0</v>
      </c>
      <c r="Z378" s="47">
        <f t="shared" si="42"/>
        <v>5</v>
      </c>
      <c r="AA378" s="46">
        <f t="shared" si="66"/>
        <v>5</v>
      </c>
      <c r="AB378" s="46" t="str" cm="1">
        <f t="array" ref="AB378">IFERROR(_xlfn.IFS(L378="FINALIZADO PRESENCIAL",IF(AA378&gt;10,"FORA","DENTRO"),L378="FINALIZADO REMOTO",IF(AA378&gt;5,"FORA","DENTRO")),"-")</f>
        <v>DENTRO</v>
      </c>
      <c r="AC378" s="41" t="s">
        <v>1671</v>
      </c>
      <c r="AD378" s="41" t="s">
        <v>1671</v>
      </c>
      <c r="AE378" s="48" cm="1">
        <f t="array" ref="AE378">SUMPRODUCT(IFERROR(('[2]PEÇAS GARANTIA'!$A$3:$A$5993=G378)*('[2]PEÇAS GARANTIA'!$A$3:$A$5993&lt;&gt;"")*('[2]PEÇAS GARANTIA'!$R$3:$R$5993),0))</f>
        <v>875.27</v>
      </c>
      <c r="AF378" s="178">
        <v>0</v>
      </c>
    </row>
    <row r="379" spans="1:32" ht="48.75" customHeight="1" x14ac:dyDescent="0.25">
      <c r="A379" s="82">
        <v>86746</v>
      </c>
      <c r="B379" s="41" t="str">
        <f>IFERROR(INDEX([1]GARANTIA!$B:$B,MATCH(A379,[1]GARANTIA!$C:$C,0)),"INSIRA N° SERIE")</f>
        <v>TESTE 320</v>
      </c>
      <c r="C379" s="33">
        <f>IFERROR(INDEX([1]GARANTIA!$J:$J,MATCH(A379,[1]GARANTIA!$C:$C,0)),"INSIRA N° SERIE")</f>
        <v>44104</v>
      </c>
      <c r="D379" s="33" t="str">
        <f>IFERROR(IF(INDEX([1]GARANTIA!$M:$M,MATCH(A379,[1]GARANTIA!$C:$C,0))&gt;=I379,"DENTRO DA GARANTIA","FORA DE GARANTIA"),"INSIRA N° SERIE")</f>
        <v>DENTRO DA GARANTIA</v>
      </c>
      <c r="E379" s="148"/>
      <c r="F379" s="109">
        <f>IFERROR(MAX(0,IF(I379-(INDEX([1]GARANTIA!$J:$J,MATCH(A379,[1]GARANTIA!$C:$C,0)))&gt;=0,I379-(INDEX([1]GARANTIA!$L:$L,MATCH(A379,[1]GARANTIA!$C:$C,0))),"INSIRA DATA CHAMADO")),"INSIRA N° SERIE")</f>
        <v>262</v>
      </c>
      <c r="G379" s="98">
        <v>20210792</v>
      </c>
      <c r="H379" s="35" t="str">
        <f t="shared" si="40"/>
        <v>NOV</v>
      </c>
      <c r="I379" s="89">
        <v>44515</v>
      </c>
      <c r="J379" s="90">
        <v>44515</v>
      </c>
      <c r="K379" s="91">
        <v>44517</v>
      </c>
      <c r="L379" s="92" t="s">
        <v>23</v>
      </c>
      <c r="M379" s="92" t="s">
        <v>8</v>
      </c>
      <c r="N379" s="92" t="s">
        <v>31</v>
      </c>
      <c r="O379" s="42" t="str">
        <f>IFERROR(INDEX([1]GARANTIA!$E:$E,MATCH(A379,[1]GARANTIA!$C:$C,0)),"INSIRA N° SERIE")</f>
        <v>MTI - 1.000GTS</v>
      </c>
      <c r="P379" s="101" t="s">
        <v>770</v>
      </c>
      <c r="Q379" s="94" t="s">
        <v>646</v>
      </c>
      <c r="R379" s="93" t="s">
        <v>771</v>
      </c>
      <c r="S379" s="95" t="s">
        <v>102</v>
      </c>
      <c r="T379" s="95" t="s">
        <v>296</v>
      </c>
      <c r="U379" s="96"/>
      <c r="V379" s="41" t="str">
        <f>IFERROR(INDEX([1]GARANTIA!$G:$G,MATCH(A379,[1]GARANTIA!$C:$C,0)),"INSIRA N° SERIE")</f>
        <v>CORRENTE</v>
      </c>
      <c r="W379" s="41" t="str">
        <f>IFERROR(INDEX([1]GARANTIA!$H:$H,MATCH(A379,[1]GARANTIA!$C:$C,0)),"INSIRA N° SERIE")</f>
        <v>PI</v>
      </c>
      <c r="X379" s="41" t="str">
        <f>IFERROR(INDEX([1]GARANTIA!$F:$F,MATCH(A379,[1]GARANTIA!$C:$C,0)),"INSIRA N° SERIE")</f>
        <v>NORDESTE</v>
      </c>
      <c r="Y379" s="46">
        <f t="shared" si="65"/>
        <v>0</v>
      </c>
      <c r="Z379" s="47">
        <f t="shared" si="42"/>
        <v>2</v>
      </c>
      <c r="AA379" s="46">
        <f t="shared" si="66"/>
        <v>2</v>
      </c>
      <c r="AB379" s="46" t="str" cm="1">
        <f t="array" ref="AB379">IFERROR(_xlfn.IFS(L379="FINALIZADO PRESENCIAL",IF(AA379&gt;10,"FORA","DENTRO"),L379="FINALIZADO REMOTO",IF(AA379&gt;5,"FORA","DENTRO")),"-")</f>
        <v>DENTRO</v>
      </c>
      <c r="AC379" s="41" t="s">
        <v>1671</v>
      </c>
      <c r="AD379" s="41" t="s">
        <v>1671</v>
      </c>
      <c r="AE379" s="48" cm="1">
        <f t="array" ref="AE379">SUMPRODUCT(IFERROR(('[2]PEÇAS GARANTIA'!$A$3:$A$5993=G379)*('[2]PEÇAS GARANTIA'!$A$3:$A$5993&lt;&gt;"")*('[2]PEÇAS GARANTIA'!$R$3:$R$5993),0))</f>
        <v>0</v>
      </c>
      <c r="AF379" s="178">
        <v>0</v>
      </c>
    </row>
    <row r="380" spans="1:32" ht="54" customHeight="1" x14ac:dyDescent="0.25">
      <c r="A380" s="82">
        <v>78008</v>
      </c>
      <c r="B380" s="41" t="str">
        <f>IFERROR(INDEX([1]GARANTIA!$B:$B,MATCH(A380,[1]GARANTIA!$C:$C,0)),"INSIRA N° SERIE")</f>
        <v>TESTE 345</v>
      </c>
      <c r="C380" s="33">
        <f>IFERROR(INDEX([1]GARANTIA!$J:$J,MATCH(A380,[1]GARANTIA!$C:$C,0)),"INSIRA N° SERIE")</f>
        <v>44331</v>
      </c>
      <c r="D380" s="33" t="str">
        <f>IFERROR(IF(INDEX([1]GARANTIA!$M:$M,MATCH(A380,[1]GARANTIA!$C:$C,0))&gt;=I380,"DENTRO DA GARANTIA","FORA DE GARANTIA"),"INSIRA N° SERIE")</f>
        <v>DENTRO DA GARANTIA</v>
      </c>
      <c r="E380" s="148"/>
      <c r="F380" s="109">
        <f>IFERROR(MAX(0,IF(I380-(INDEX([1]GARANTIA!$J:$J,MATCH(A380,[1]GARANTIA!$C:$C,0)))&gt;=0,I380-(INDEX([1]GARANTIA!$L:$L,MATCH(A380,[1]GARANTIA!$C:$C,0))),"INSIRA DATA CHAMADO")),"INSIRA N° SERIE")</f>
        <v>57</v>
      </c>
      <c r="G380" s="98">
        <v>20210793</v>
      </c>
      <c r="H380" s="35" t="str">
        <f t="shared" si="40"/>
        <v>NOV</v>
      </c>
      <c r="I380" s="89">
        <v>44517</v>
      </c>
      <c r="J380" s="90">
        <v>44517</v>
      </c>
      <c r="K380" s="91">
        <v>44519</v>
      </c>
      <c r="L380" s="92" t="s">
        <v>23</v>
      </c>
      <c r="M380" s="92" t="s">
        <v>8</v>
      </c>
      <c r="N380" s="92" t="s">
        <v>28</v>
      </c>
      <c r="O380" s="42" t="str">
        <f>IFERROR(INDEX([1]GARANTIA!$E:$E,MATCH(A380,[1]GARANTIA!$C:$C,0)),"INSIRA N° SERIE")</f>
        <v>MTI - 3.200GES</v>
      </c>
      <c r="P380" s="101" t="s">
        <v>772</v>
      </c>
      <c r="Q380" s="94" t="s">
        <v>611</v>
      </c>
      <c r="R380" s="93" t="s">
        <v>773</v>
      </c>
      <c r="S380" s="95" t="s">
        <v>101</v>
      </c>
      <c r="T380" s="95" t="s">
        <v>142</v>
      </c>
      <c r="U380" s="96"/>
      <c r="V380" s="41" t="str">
        <f>IFERROR(INDEX([1]GARANTIA!$G:$G,MATCH(A380,[1]GARANTIA!$C:$C,0)),"INSIRA N° SERIE")</f>
        <v>SÃO PAULO</v>
      </c>
      <c r="W380" s="41" t="str">
        <f>IFERROR(INDEX([1]GARANTIA!$H:$H,MATCH(A380,[1]GARANTIA!$C:$C,0)),"INSIRA N° SERIE")</f>
        <v>SP</v>
      </c>
      <c r="X380" s="41" t="str">
        <f>IFERROR(INDEX([1]GARANTIA!$F:$F,MATCH(A380,[1]GARANTIA!$C:$C,0)),"INSIRA N° SERIE")</f>
        <v>SUDESTE</v>
      </c>
      <c r="Y380" s="46">
        <f t="shared" ref="Y380:Y385" si="67">IF(G380&lt;&gt;"",J380-I380,"INSIRA N° OS")</f>
        <v>0</v>
      </c>
      <c r="Z380" s="47">
        <f t="shared" si="42"/>
        <v>2</v>
      </c>
      <c r="AA380" s="46">
        <f t="shared" ref="AA380:AA385" si="68">IF(Z380="NÃO FINALIZADO","",Z380+Y380)</f>
        <v>2</v>
      </c>
      <c r="AB380" s="46" t="str" cm="1">
        <f t="array" ref="AB380">IFERROR(_xlfn.IFS(L380="FINALIZADO PRESENCIAL",IF(AA380&gt;10,"FORA","DENTRO"),L380="FINALIZADO REMOTO",IF(AA380&gt;5,"FORA","DENTRO")),"-")</f>
        <v>DENTRO</v>
      </c>
      <c r="AC380" s="41" t="s">
        <v>1671</v>
      </c>
      <c r="AD380" s="41" t="s">
        <v>1671</v>
      </c>
      <c r="AE380" s="48" cm="1">
        <f t="array" ref="AE380">SUMPRODUCT(IFERROR(('[2]PEÇAS GARANTIA'!$A$3:$A$5993=G380)*('[2]PEÇAS GARANTIA'!$A$3:$A$5993&lt;&gt;"")*('[2]PEÇAS GARANTIA'!$R$3:$R$5993),0))</f>
        <v>0</v>
      </c>
      <c r="AF380" s="178">
        <v>0</v>
      </c>
    </row>
    <row r="381" spans="1:32" ht="52.5" customHeight="1" x14ac:dyDescent="0.25">
      <c r="A381" s="82">
        <v>46637</v>
      </c>
      <c r="B381" s="41" t="str">
        <f>IFERROR(INDEX([1]GARANTIA!$B:$B,MATCH(A381,[1]GARANTIA!$C:$C,0)),"INSIRA N° SERIE")</f>
        <v>TESTE 5</v>
      </c>
      <c r="C381" s="33">
        <f>IFERROR(INDEX([1]GARANTIA!$J:$J,MATCH(A381,[1]GARANTIA!$C:$C,0)),"INSIRA N° SERIE")</f>
        <v>43951</v>
      </c>
      <c r="D381" s="33" t="str">
        <f>IFERROR(IF(INDEX([1]GARANTIA!$M:$M,MATCH(A381,[1]GARANTIA!$C:$C,0))&gt;=I381,"DENTRO DA GARANTIA","FORA DE GARANTIA"),"INSIRA N° SERIE")</f>
        <v>DENTRO DA GARANTIA</v>
      </c>
      <c r="E381" s="148"/>
      <c r="F381" s="109">
        <f>IFERROR(MAX(0,IF(I381-(INDEX([1]GARANTIA!$J:$J,MATCH(A381,[1]GARANTIA!$C:$C,0)))&gt;=0,I381-(INDEX([1]GARANTIA!$L:$L,MATCH(A381,[1]GARANTIA!$C:$C,0))),"INSIRA DATA CHAMADO")),"INSIRA N° SERIE")</f>
        <v>341</v>
      </c>
      <c r="G381" s="98">
        <v>20210794</v>
      </c>
      <c r="H381" s="35" t="str">
        <f t="shared" si="40"/>
        <v>NOV</v>
      </c>
      <c r="I381" s="89">
        <v>44517</v>
      </c>
      <c r="J381" s="90">
        <v>44517</v>
      </c>
      <c r="K381" s="91">
        <v>44537</v>
      </c>
      <c r="L381" s="92" t="s">
        <v>23</v>
      </c>
      <c r="M381" s="92" t="s">
        <v>8</v>
      </c>
      <c r="N381" s="92" t="s">
        <v>28</v>
      </c>
      <c r="O381" s="42" t="str">
        <f>IFERROR(INDEX([1]GARANTIA!$E:$E,MATCH(A381,[1]GARANTIA!$C:$C,0)),"INSIRA N° SERIE")</f>
        <v>MTI - 7.000GTS</v>
      </c>
      <c r="P381" s="101" t="s">
        <v>857</v>
      </c>
      <c r="Q381" s="142" t="s">
        <v>611</v>
      </c>
      <c r="R381" s="93" t="s">
        <v>858</v>
      </c>
      <c r="S381" s="95" t="s">
        <v>101</v>
      </c>
      <c r="T381" s="95" t="s">
        <v>142</v>
      </c>
      <c r="U381" s="96"/>
      <c r="V381" s="41" t="str">
        <f>IFERROR(INDEX([1]GARANTIA!$G:$G,MATCH(A381,[1]GARANTIA!$C:$C,0)),"INSIRA N° SERIE")</f>
        <v>WENSESLAU</v>
      </c>
      <c r="W381" s="41" t="str">
        <f>IFERROR(INDEX([1]GARANTIA!$H:$H,MATCH(A381,[1]GARANTIA!$C:$C,0)),"INSIRA N° SERIE")</f>
        <v>PR</v>
      </c>
      <c r="X381" s="41" t="str">
        <f>IFERROR(INDEX([1]GARANTIA!$F:$F,MATCH(A381,[1]GARANTIA!$C:$C,0)),"INSIRA N° SERIE")</f>
        <v>SUDESTE</v>
      </c>
      <c r="Y381" s="46">
        <f t="shared" si="67"/>
        <v>0</v>
      </c>
      <c r="Z381" s="47">
        <f t="shared" si="42"/>
        <v>20</v>
      </c>
      <c r="AA381" s="46">
        <f t="shared" si="68"/>
        <v>20</v>
      </c>
      <c r="AB381" s="46" t="str" cm="1">
        <f t="array" ref="AB381">IFERROR(_xlfn.IFS(L381="FINALIZADO PRESENCIAL",IF(AA381&gt;10,"FORA","DENTRO"),L381="FINALIZADO REMOTO",IF(AA381&gt;5,"FORA","DENTRO")),"-")</f>
        <v>FORA</v>
      </c>
      <c r="AC381" s="41" t="s">
        <v>1671</v>
      </c>
      <c r="AD381" s="41" t="s">
        <v>1671</v>
      </c>
      <c r="AE381" s="48" cm="1">
        <f t="array" ref="AE381">SUMPRODUCT(IFERROR(('[2]PEÇAS GARANTIA'!$A$3:$A$5993=G381)*('[2]PEÇAS GARANTIA'!$A$3:$A$5993&lt;&gt;"")*('[2]PEÇAS GARANTIA'!$R$3:$R$5993),0))</f>
        <v>0</v>
      </c>
      <c r="AF381" s="178">
        <v>0</v>
      </c>
    </row>
    <row r="382" spans="1:32" ht="76.5" customHeight="1" x14ac:dyDescent="0.25">
      <c r="A382" s="82">
        <v>9998</v>
      </c>
      <c r="B382" s="41" t="str">
        <f>IFERROR(INDEX([1]GARANTIA!$B:$B,MATCH(A382,[1]GARANTIA!$C:$C,0)),"INSIRA N° SERIE")</f>
        <v>TESTE 115</v>
      </c>
      <c r="C382" s="33">
        <f>IFERROR(INDEX([1]GARANTIA!$J:$J,MATCH(A382,[1]GARANTIA!$C:$C,0)),"INSIRA N° SERIE")</f>
        <v>43738</v>
      </c>
      <c r="D382" s="33" t="str">
        <f>IFERROR(IF(INDEX([1]GARANTIA!$M:$M,MATCH(A382,[1]GARANTIA!$C:$C,0))&gt;=I382,"DENTRO DA GARANTIA","FORA DE GARANTIA"),"INSIRA N° SERIE")</f>
        <v>FORA DE GARANTIA</v>
      </c>
      <c r="E382" s="148"/>
      <c r="F382" s="109">
        <f>IFERROR(MAX(0,IF(I382-(INDEX([1]GARANTIA!$J:$J,MATCH(A382,[1]GARANTIA!$C:$C,0)))&gt;=0,I382-(INDEX([1]GARANTIA!$L:$L,MATCH(A382,[1]GARANTIA!$C:$C,0))),"INSIRA DATA CHAMADO")),"INSIRA N° SERIE")</f>
        <v>546</v>
      </c>
      <c r="G382" s="98">
        <v>20210795</v>
      </c>
      <c r="H382" s="35" t="str">
        <f t="shared" si="40"/>
        <v>NOV</v>
      </c>
      <c r="I382" s="89">
        <v>44518</v>
      </c>
      <c r="J382" s="90">
        <v>44518</v>
      </c>
      <c r="K382" s="91">
        <v>44522</v>
      </c>
      <c r="L382" s="92" t="s">
        <v>23</v>
      </c>
      <c r="M382" s="92" t="s">
        <v>8</v>
      </c>
      <c r="N382" s="92" t="s">
        <v>27</v>
      </c>
      <c r="O382" s="42" t="str">
        <f>IFERROR(INDEX([1]GARANTIA!$E:$E,MATCH(A382,[1]GARANTIA!$C:$C,0)),"INSIRA N° SERIE")</f>
        <v>MTI - 2.500GTS</v>
      </c>
      <c r="P382" s="101" t="s">
        <v>778</v>
      </c>
      <c r="Q382" s="94" t="s">
        <v>296</v>
      </c>
      <c r="R382" s="93" t="s">
        <v>793</v>
      </c>
      <c r="S382" s="95" t="s">
        <v>100</v>
      </c>
      <c r="T382" s="95" t="s">
        <v>360</v>
      </c>
      <c r="U382" s="96"/>
      <c r="V382" s="41" t="str">
        <f>IFERROR(INDEX([1]GARANTIA!$G:$G,MATCH(A382,[1]GARANTIA!$C:$C,0)),"INSIRA N° SERIE")</f>
        <v xml:space="preserve">DOURADOS </v>
      </c>
      <c r="W382" s="41" t="str">
        <f>IFERROR(INDEX([1]GARANTIA!$H:$H,MATCH(A382,[1]GARANTIA!$C:$C,0)),"INSIRA N° SERIE")</f>
        <v>MS</v>
      </c>
      <c r="X382" s="41" t="str">
        <f>IFERROR(INDEX([1]GARANTIA!$F:$F,MATCH(A382,[1]GARANTIA!$C:$C,0)),"INSIRA N° SERIE")</f>
        <v>CENTROESTE</v>
      </c>
      <c r="Y382" s="46">
        <f t="shared" si="67"/>
        <v>0</v>
      </c>
      <c r="Z382" s="47">
        <f t="shared" si="42"/>
        <v>4</v>
      </c>
      <c r="AA382" s="46">
        <f t="shared" si="68"/>
        <v>4</v>
      </c>
      <c r="AB382" s="46" t="str" cm="1">
        <f t="array" ref="AB382">IFERROR(_xlfn.IFS(L382="FINALIZADO PRESENCIAL",IF(AA382&gt;10,"FORA","DENTRO"),L382="FINALIZADO REMOTO",IF(AA382&gt;5,"FORA","DENTRO")),"-")</f>
        <v>DENTRO</v>
      </c>
      <c r="AC382" s="41" t="s">
        <v>1671</v>
      </c>
      <c r="AD382" s="41" t="s">
        <v>1671</v>
      </c>
      <c r="AE382" s="48" cm="1">
        <f t="array" ref="AE382">SUMPRODUCT(IFERROR(('[2]PEÇAS GARANTIA'!$A$3:$A$5993=G382)*('[2]PEÇAS GARANTIA'!$A$3:$A$5993&lt;&gt;"")*('[2]PEÇAS GARANTIA'!$R$3:$R$5993),0))</f>
        <v>0</v>
      </c>
      <c r="AF382" s="178">
        <v>0</v>
      </c>
    </row>
    <row r="383" spans="1:32" ht="58.5" customHeight="1" x14ac:dyDescent="0.25">
      <c r="A383" s="82">
        <v>3002641</v>
      </c>
      <c r="B383" s="41" t="str">
        <f>IFERROR(INDEX([1]GARANTIA!$B:$B,MATCH(A383,[1]GARANTIA!$C:$C,0)),"INSIRA N° SERIE")</f>
        <v>TESTE 167</v>
      </c>
      <c r="C383" s="33">
        <f>IFERROR(INDEX([1]GARANTIA!$J:$J,MATCH(A383,[1]GARANTIA!$C:$C,0)),"INSIRA N° SERIE")</f>
        <v>43524</v>
      </c>
      <c r="D383" s="33" t="str">
        <f>IFERROR(IF(INDEX([1]GARANTIA!$M:$M,MATCH(A383,[1]GARANTIA!$C:$C,0))&gt;=I383,"DENTRO DA GARANTIA","FORA DE GARANTIA"),"INSIRA N° SERIE")</f>
        <v>DENTRO DA GARANTIA</v>
      </c>
      <c r="E383" s="148"/>
      <c r="F383" s="109">
        <f>IFERROR(MAX(0,IF(I383-(INDEX([1]GARANTIA!$J:$J,MATCH(A383,[1]GARANTIA!$C:$C,0)))&gt;=0,I383-(INDEX([1]GARANTIA!$L:$L,MATCH(A383,[1]GARANTIA!$C:$C,0))),"INSIRA DATA CHAMADO")),"INSIRA N° SERIE")</f>
        <v>307</v>
      </c>
      <c r="G383" s="98">
        <v>20210796</v>
      </c>
      <c r="H383" s="35" t="str">
        <f t="shared" si="40"/>
        <v>NOV</v>
      </c>
      <c r="I383" s="89">
        <v>44518</v>
      </c>
      <c r="J383" s="90">
        <v>44518</v>
      </c>
      <c r="K383" s="91">
        <v>44522</v>
      </c>
      <c r="L383" s="92" t="s">
        <v>23</v>
      </c>
      <c r="M383" s="92" t="s">
        <v>8</v>
      </c>
      <c r="N383" s="92" t="s">
        <v>28</v>
      </c>
      <c r="O383" s="42" t="str">
        <f>IFERROR(INDEX([1]GARANTIA!$E:$E,MATCH(A383,[1]GARANTIA!$C:$C,0)),"INSIRA N° SERIE")</f>
        <v>MTI - 7.000GTS</v>
      </c>
      <c r="P383" s="101" t="s">
        <v>783</v>
      </c>
      <c r="Q383" s="94" t="s">
        <v>611</v>
      </c>
      <c r="R383" s="93" t="s">
        <v>784</v>
      </c>
      <c r="S383" s="95" t="s">
        <v>101</v>
      </c>
      <c r="T383" s="95" t="s">
        <v>142</v>
      </c>
      <c r="U383" s="96"/>
      <c r="V383" s="41" t="str">
        <f>IFERROR(INDEX([1]GARANTIA!$G:$G,MATCH(A383,[1]GARANTIA!$C:$C,0)),"INSIRA N° SERIE")</f>
        <v xml:space="preserve">DIADEMA </v>
      </c>
      <c r="W383" s="41" t="str">
        <f>IFERROR(INDEX([1]GARANTIA!$H:$H,MATCH(A383,[1]GARANTIA!$C:$C,0)),"INSIRA N° SERIE")</f>
        <v>SP</v>
      </c>
      <c r="X383" s="41" t="str">
        <f>IFERROR(INDEX([1]GARANTIA!$F:$F,MATCH(A383,[1]GARANTIA!$C:$C,0)),"INSIRA N° SERIE")</f>
        <v>SUDESTE</v>
      </c>
      <c r="Y383" s="46">
        <f t="shared" si="67"/>
        <v>0</v>
      </c>
      <c r="Z383" s="47">
        <f t="shared" si="42"/>
        <v>4</v>
      </c>
      <c r="AA383" s="46">
        <f t="shared" si="68"/>
        <v>4</v>
      </c>
      <c r="AB383" s="46" t="str" cm="1">
        <f t="array" ref="AB383">IFERROR(_xlfn.IFS(L383="FINALIZADO PRESENCIAL",IF(AA383&gt;10,"FORA","DENTRO"),L383="FINALIZADO REMOTO",IF(AA383&gt;5,"FORA","DENTRO")),"-")</f>
        <v>DENTRO</v>
      </c>
      <c r="AC383" s="41" t="s">
        <v>1671</v>
      </c>
      <c r="AD383" s="41" t="s">
        <v>1671</v>
      </c>
      <c r="AE383" s="48" cm="1">
        <f t="array" ref="AE383">SUMPRODUCT(IFERROR(('[2]PEÇAS GARANTIA'!$A$3:$A$5993=G383)*('[2]PEÇAS GARANTIA'!$A$3:$A$5993&lt;&gt;"")*('[2]PEÇAS GARANTIA'!$R$3:$R$5993),0))</f>
        <v>0</v>
      </c>
      <c r="AF383" s="178">
        <v>0</v>
      </c>
    </row>
    <row r="384" spans="1:32" ht="69.75" customHeight="1" x14ac:dyDescent="0.25">
      <c r="A384" s="82">
        <v>12963</v>
      </c>
      <c r="B384" s="41" t="str">
        <f>IFERROR(INDEX([1]GARANTIA!$B:$B,MATCH(A384,[1]GARANTIA!$C:$C,0)),"INSIRA N° SERIE")</f>
        <v>TESTE 354</v>
      </c>
      <c r="C384" s="33">
        <f>IFERROR(INDEX([1]GARANTIA!$J:$J,MATCH(A384,[1]GARANTIA!$C:$C,0)),"INSIRA N° SERIE")</f>
        <v>44127</v>
      </c>
      <c r="D384" s="33" t="str">
        <f>IFERROR(IF(INDEX([1]GARANTIA!$M:$M,MATCH(A384,[1]GARANTIA!$C:$C,0))&gt;=I384,"DENTRO DA GARANTIA","FORA DE GARANTIA"),"INSIRA N° SERIE")</f>
        <v>DENTRO DA GARANTIA</v>
      </c>
      <c r="E384" s="148"/>
      <c r="F384" s="109">
        <f>IFERROR(MAX(0,IF(I384-(INDEX([1]GARANTIA!$J:$J,MATCH(A384,[1]GARANTIA!$C:$C,0)))&gt;=0,I384-(INDEX([1]GARANTIA!$L:$L,MATCH(A384,[1]GARANTIA!$C:$C,0))),"INSIRA DATA CHAMADO")),"INSIRA N° SERIE")</f>
        <v>32</v>
      </c>
      <c r="G384" s="98">
        <v>20210797</v>
      </c>
      <c r="H384" s="35" t="str">
        <f t="shared" si="40"/>
        <v>NOV</v>
      </c>
      <c r="I384" s="89">
        <v>44516</v>
      </c>
      <c r="J384" s="90">
        <v>44516</v>
      </c>
      <c r="K384" s="91">
        <v>44519</v>
      </c>
      <c r="L384" s="92" t="s">
        <v>23</v>
      </c>
      <c r="M384" s="92" t="s">
        <v>8</v>
      </c>
      <c r="N384" s="92" t="s">
        <v>28</v>
      </c>
      <c r="O384" s="42" t="str">
        <f>IFERROR(INDEX([1]GARANTIA!$E:$E,MATCH(A384,[1]GARANTIA!$C:$C,0)),"INSIRA N° SERIE")</f>
        <v>PGM 40.000 GTS</v>
      </c>
      <c r="P384" s="101" t="s">
        <v>816</v>
      </c>
      <c r="Q384" s="94" t="s">
        <v>645</v>
      </c>
      <c r="R384" s="93" t="s">
        <v>815</v>
      </c>
      <c r="S384" s="95" t="s">
        <v>325</v>
      </c>
      <c r="T384" s="95" t="s">
        <v>640</v>
      </c>
      <c r="U384" s="96"/>
      <c r="V384" s="41" t="str">
        <f>IFERROR(INDEX([1]GARANTIA!$G:$G,MATCH(A384,[1]GARANTIA!$C:$C,0)),"INSIRA N° SERIE")</f>
        <v>PALMAS</v>
      </c>
      <c r="W384" s="41" t="str">
        <f>IFERROR(INDEX([1]GARANTIA!$H:$H,MATCH(A384,[1]GARANTIA!$C:$C,0)),"INSIRA N° SERIE")</f>
        <v>TO</v>
      </c>
      <c r="X384" s="41" t="str">
        <f>IFERROR(INDEX([1]GARANTIA!$F:$F,MATCH(A384,[1]GARANTIA!$C:$C,0)),"INSIRA N° SERIE")</f>
        <v>NORTE</v>
      </c>
      <c r="Y384" s="46">
        <f t="shared" si="67"/>
        <v>0</v>
      </c>
      <c r="Z384" s="47">
        <f t="shared" si="42"/>
        <v>3</v>
      </c>
      <c r="AA384" s="46">
        <f t="shared" si="68"/>
        <v>3</v>
      </c>
      <c r="AB384" s="46" t="str" cm="1">
        <f t="array" ref="AB384">IFERROR(_xlfn.IFS(L384="FINALIZADO PRESENCIAL",IF(AA384&gt;10,"FORA","DENTRO"),L384="FINALIZADO REMOTO",IF(AA384&gt;5,"FORA","DENTRO")),"-")</f>
        <v>DENTRO</v>
      </c>
      <c r="AC384" s="41" t="s">
        <v>1671</v>
      </c>
      <c r="AD384" s="41" t="s">
        <v>1671</v>
      </c>
      <c r="AE384" s="48" cm="1">
        <f t="array" ref="AE384">SUMPRODUCT(IFERROR(('[2]PEÇAS GARANTIA'!$A$3:$A$5993=G384)*('[2]PEÇAS GARANTIA'!$A$3:$A$5993&lt;&gt;"")*('[2]PEÇAS GARANTIA'!$R$3:$R$5993),0))</f>
        <v>0</v>
      </c>
      <c r="AF384" s="178">
        <v>0</v>
      </c>
    </row>
    <row r="385" spans="1:32" ht="44.25" customHeight="1" x14ac:dyDescent="0.25">
      <c r="A385" s="82">
        <v>9993</v>
      </c>
      <c r="B385" s="41" t="str">
        <f>IFERROR(INDEX([1]GARANTIA!$B:$B,MATCH(A385,[1]GARANTIA!$C:$C,0)),"INSIRA N° SERIE")</f>
        <v>TESTE 121</v>
      </c>
      <c r="C385" s="33">
        <f>IFERROR(INDEX([1]GARANTIA!$J:$J,MATCH(A385,[1]GARANTIA!$C:$C,0)),"INSIRA N° SERIE")</f>
        <v>42979</v>
      </c>
      <c r="D385" s="33" t="str">
        <f>IFERROR(IF(INDEX([1]GARANTIA!$M:$M,MATCH(A385,[1]GARANTIA!$C:$C,0))&gt;=I385,"DENTRO DA GARANTIA","FORA DE GARANTIA"),"INSIRA N° SERIE")</f>
        <v>FORA DE GARANTIA</v>
      </c>
      <c r="E385" s="148"/>
      <c r="F385" s="109">
        <f>IFERROR(MAX(0,IF(I385-(INDEX([1]GARANTIA!$J:$J,MATCH(A385,[1]GARANTIA!$C:$C,0)))&gt;=0,I385-(INDEX([1]GARANTIA!$L:$L,MATCH(A385,[1]GARANTIA!$C:$C,0))),"INSIRA DATA CHAMADO")),"INSIRA N° SERIE")</f>
        <v>445</v>
      </c>
      <c r="G385" s="98">
        <v>20210798</v>
      </c>
      <c r="H385" s="35" t="str">
        <f t="shared" si="40"/>
        <v>NOV</v>
      </c>
      <c r="I385" s="89">
        <v>44519</v>
      </c>
      <c r="J385" s="90">
        <v>44519</v>
      </c>
      <c r="K385" s="91"/>
      <c r="L385" s="92" t="s">
        <v>24</v>
      </c>
      <c r="M385" s="92" t="s">
        <v>8</v>
      </c>
      <c r="N385" s="92" t="s">
        <v>28</v>
      </c>
      <c r="O385" s="42" t="str">
        <f>IFERROR(INDEX([1]GARANTIA!$E:$E,MATCH(A385,[1]GARANTIA!$C:$C,0)),"INSIRA N° SERIE")</f>
        <v>MAC 32.000 GT</v>
      </c>
      <c r="P385" s="101" t="s">
        <v>785</v>
      </c>
      <c r="Q385" s="94"/>
      <c r="R385" s="93"/>
      <c r="S385" s="95"/>
      <c r="T385" s="95"/>
      <c r="U385" s="96"/>
      <c r="V385" s="41" t="str">
        <f>IFERROR(INDEX([1]GARANTIA!$G:$G,MATCH(A385,[1]GARANTIA!$C:$C,0)),"INSIRA N° SERIE")</f>
        <v>SÃO PAULO</v>
      </c>
      <c r="W385" s="41" t="str">
        <f>IFERROR(INDEX([1]GARANTIA!$H:$H,MATCH(A385,[1]GARANTIA!$C:$C,0)),"INSIRA N° SERIE")</f>
        <v>SP</v>
      </c>
      <c r="X385" s="41" t="str">
        <f>IFERROR(INDEX([1]GARANTIA!$F:$F,MATCH(A385,[1]GARANTIA!$C:$C,0)),"INSIRA N° SERIE")</f>
        <v>SUDESTE</v>
      </c>
      <c r="Y385" s="46">
        <f t="shared" si="67"/>
        <v>0</v>
      </c>
      <c r="Z385" s="47" t="str">
        <f t="shared" si="42"/>
        <v>NÃO FINALIZADO</v>
      </c>
      <c r="AA385" s="46" t="str">
        <f t="shared" si="68"/>
        <v/>
      </c>
      <c r="AB385" s="46" t="str" cm="1">
        <f t="array" ref="AB385">IFERROR(_xlfn.IFS(L385="FINALIZADO PRESENCIAL",IF(AA385&gt;10,"FORA","DENTRO"),L385="FINALIZADO REMOTO",IF(AA385&gt;5,"FORA","DENTRO")),"-")</f>
        <v>-</v>
      </c>
      <c r="AC385" s="41" t="s">
        <v>1671</v>
      </c>
      <c r="AD385" s="41" t="s">
        <v>1671</v>
      </c>
      <c r="AE385" s="48" cm="1">
        <f t="array" ref="AE385">SUMPRODUCT(IFERROR(('[2]PEÇAS GARANTIA'!$A$3:$A$5993=G385)*('[2]PEÇAS GARANTIA'!$A$3:$A$5993&lt;&gt;"")*('[2]PEÇAS GARANTIA'!$R$3:$R$5993),0))</f>
        <v>2973.77</v>
      </c>
      <c r="AF385" s="178">
        <v>0</v>
      </c>
    </row>
    <row r="386" spans="1:32" ht="51" customHeight="1" x14ac:dyDescent="0.25">
      <c r="A386" s="82">
        <v>96117</v>
      </c>
      <c r="B386" s="41" t="str">
        <f>IFERROR(INDEX([1]GARANTIA!$B:$B,MATCH(A386,[1]GARANTIA!$C:$C,0)),"INSIRA N° SERIE")</f>
        <v>TESTE 125</v>
      </c>
      <c r="C386" s="33">
        <f>IFERROR(INDEX([1]GARANTIA!$J:$J,MATCH(A386,[1]GARANTIA!$C:$C,0)),"INSIRA N° SERIE")</f>
        <v>44134</v>
      </c>
      <c r="D386" s="33" t="str">
        <f>IFERROR(IF(INDEX([1]GARANTIA!$M:$M,MATCH(A386,[1]GARANTIA!$C:$C,0))&gt;=I386,"DENTRO DA GARANTIA","FORA DE GARANTIA"),"INSIRA N° SERIE")</f>
        <v>DENTRO DA GARANTIA</v>
      </c>
      <c r="E386" s="148"/>
      <c r="F386" s="109">
        <f>IFERROR(MAX(0,IF(I386-(INDEX([1]GARANTIA!$J:$J,MATCH(A386,[1]GARANTIA!$C:$C,0)))&gt;=0,I386-(INDEX([1]GARANTIA!$L:$L,MATCH(A386,[1]GARANTIA!$C:$C,0))),"INSIRA DATA CHAMADO")),"INSIRA N° SERIE")</f>
        <v>207</v>
      </c>
      <c r="G386" s="98">
        <v>20210799</v>
      </c>
      <c r="H386" s="35" t="str">
        <f t="shared" si="40"/>
        <v>NOV</v>
      </c>
      <c r="I386" s="89">
        <v>44523</v>
      </c>
      <c r="J386" s="90">
        <v>44523</v>
      </c>
      <c r="K386" s="91">
        <v>44545</v>
      </c>
      <c r="L386" s="92" t="s">
        <v>23</v>
      </c>
      <c r="M386" s="92" t="s">
        <v>8</v>
      </c>
      <c r="N386" s="92" t="s">
        <v>42</v>
      </c>
      <c r="O386" s="42" t="str">
        <f>IFERROR(INDEX([1]GARANTIA!$E:$E,MATCH(A386,[1]GARANTIA!$C:$C,0)),"INSIRA N° SERIE")</f>
        <v>MTI - 7.000GES</v>
      </c>
      <c r="P386" s="101" t="s">
        <v>786</v>
      </c>
      <c r="Q386" s="94" t="s">
        <v>645</v>
      </c>
      <c r="R386" s="93" t="s">
        <v>835</v>
      </c>
      <c r="S386" s="95" t="s">
        <v>325</v>
      </c>
      <c r="T386" s="95" t="s">
        <v>142</v>
      </c>
      <c r="U386" s="96"/>
      <c r="V386" s="41" t="str">
        <f>IFERROR(INDEX([1]GARANTIA!$G:$G,MATCH(A386,[1]GARANTIA!$C:$C,0)),"INSIRA N° SERIE")</f>
        <v>MARECHAL DEODORO</v>
      </c>
      <c r="W386" s="41" t="str">
        <f>IFERROR(INDEX([1]GARANTIA!$H:$H,MATCH(A386,[1]GARANTIA!$C:$C,0)),"INSIRA N° SERIE")</f>
        <v xml:space="preserve">AL </v>
      </c>
      <c r="X386" s="41" t="str">
        <f>IFERROR(INDEX([1]GARANTIA!$F:$F,MATCH(A386,[1]GARANTIA!$C:$C,0)),"INSIRA N° SERIE")</f>
        <v>NORDESTE</v>
      </c>
      <c r="Y386" s="46">
        <f t="shared" ref="Y386:Y387" si="69">IF(G386&lt;&gt;"",J386-I386,"INSIRA N° OS")</f>
        <v>0</v>
      </c>
      <c r="Z386" s="47">
        <f t="shared" si="42"/>
        <v>22</v>
      </c>
      <c r="AA386" s="46">
        <f t="shared" ref="AA386:AA387" si="70">IF(Z386="NÃO FINALIZADO","",Z386+Y386)</f>
        <v>22</v>
      </c>
      <c r="AB386" s="46" t="str" cm="1">
        <f t="array" ref="AB386">IFERROR(_xlfn.IFS(L386="FINALIZADO PRESENCIAL",IF(AA386&gt;10,"FORA","DENTRO"),L386="FINALIZADO REMOTO",IF(AA386&gt;5,"FORA","DENTRO")),"-")</f>
        <v>FORA</v>
      </c>
      <c r="AC386" s="41" t="s">
        <v>1671</v>
      </c>
      <c r="AD386" s="41" t="s">
        <v>1671</v>
      </c>
      <c r="AE386" s="48" cm="1">
        <f t="array" ref="AE386">SUMPRODUCT(IFERROR(('[2]PEÇAS GARANTIA'!$A$3:$A$5993=G386)*('[2]PEÇAS GARANTIA'!$A$3:$A$5993&lt;&gt;"")*('[2]PEÇAS GARANTIA'!$R$3:$R$5993),0))</f>
        <v>6450</v>
      </c>
      <c r="AF386" s="178">
        <v>0</v>
      </c>
    </row>
    <row r="387" spans="1:32" ht="54" customHeight="1" x14ac:dyDescent="0.25">
      <c r="A387" s="82">
        <v>79251</v>
      </c>
      <c r="B387" s="41" t="str">
        <f>IFERROR(INDEX([1]GARANTIA!$B:$B,MATCH(A387,[1]GARANTIA!$C:$C,0)),"INSIRA N° SERIE")</f>
        <v>TESTE 333</v>
      </c>
      <c r="C387" s="33">
        <f>IFERROR(INDEX([1]GARANTIA!$J:$J,MATCH(A387,[1]GARANTIA!$C:$C,0)),"INSIRA N° SERIE")</f>
        <v>44134</v>
      </c>
      <c r="D387" s="33" t="str">
        <f>IFERROR(IF(INDEX([1]GARANTIA!$M:$M,MATCH(A387,[1]GARANTIA!$C:$C,0))&gt;=I387,"DENTRO DA GARANTIA","FORA DE GARANTIA"),"INSIRA N° SERIE")</f>
        <v>DENTRO DA GARANTIA</v>
      </c>
      <c r="E387" s="148"/>
      <c r="F387" s="109">
        <f>IFERROR(MAX(0,IF(I387-(INDEX([1]GARANTIA!$J:$J,MATCH(A387,[1]GARANTIA!$C:$C,0)))&gt;=0,I387-(INDEX([1]GARANTIA!$L:$L,MATCH(A387,[1]GARANTIA!$C:$C,0))),"INSIRA DATA CHAMADO")),"INSIRA N° SERIE")</f>
        <v>178</v>
      </c>
      <c r="G387" s="98">
        <v>20210800</v>
      </c>
      <c r="H387" s="35" t="str">
        <f t="shared" ref="H387:H438" si="71">IF(YEAR(I387)=YEAR(I387),IF(I387&lt;&gt;"",UPPER(TEXT(I387,"MMM")),""),"")</f>
        <v>NOV</v>
      </c>
      <c r="I387" s="89">
        <v>44523</v>
      </c>
      <c r="J387" s="90">
        <v>44523</v>
      </c>
      <c r="K387" s="91">
        <v>44524</v>
      </c>
      <c r="L387" s="92" t="s">
        <v>23</v>
      </c>
      <c r="M387" s="92" t="s">
        <v>8</v>
      </c>
      <c r="N387" s="92" t="s">
        <v>28</v>
      </c>
      <c r="O387" s="42" t="str">
        <f>IFERROR(INDEX([1]GARANTIA!$E:$E,MATCH(A387,[1]GARANTIA!$C:$C,0)),"INSIRA N° SERIE")</f>
        <v>MTI - 12.000GTS</v>
      </c>
      <c r="P387" s="101" t="s">
        <v>787</v>
      </c>
      <c r="Q387" s="94" t="s">
        <v>305</v>
      </c>
      <c r="R387" s="93" t="s">
        <v>789</v>
      </c>
      <c r="S387" s="95" t="s">
        <v>638</v>
      </c>
      <c r="T387" s="95" t="s">
        <v>143</v>
      </c>
      <c r="U387" s="96"/>
      <c r="V387" s="41" t="str">
        <f>IFERROR(INDEX([1]GARANTIA!$G:$G,MATCH(A387,[1]GARANTIA!$C:$C,0)),"INSIRA N° SERIE")</f>
        <v xml:space="preserve">TRES LAGOAS </v>
      </c>
      <c r="W387" s="41" t="str">
        <f>IFERROR(INDEX([1]GARANTIA!$H:$H,MATCH(A387,[1]GARANTIA!$C:$C,0)),"INSIRA N° SERIE")</f>
        <v xml:space="preserve">MS </v>
      </c>
      <c r="X387" s="41" t="str">
        <f>IFERROR(INDEX([1]GARANTIA!$F:$F,MATCH(A387,[1]GARANTIA!$C:$C,0)),"INSIRA N° SERIE")</f>
        <v>CENTROESTE</v>
      </c>
      <c r="Y387" s="46">
        <f t="shared" si="69"/>
        <v>0</v>
      </c>
      <c r="Z387" s="47">
        <f t="shared" ref="Z387:Z393" si="72">IF(G387&lt;&gt;"",IF(OR(A387="",K387="",Q387="",P387="",R387=""),"NÃO FINALIZADO",K387-J387),"INSIRA N° OS")</f>
        <v>1</v>
      </c>
      <c r="AA387" s="46">
        <f t="shared" si="70"/>
        <v>1</v>
      </c>
      <c r="AB387" s="46" t="str" cm="1">
        <f t="array" ref="AB387">IFERROR(_xlfn.IFS(L387="FINALIZADO PRESENCIAL",IF(AA387&gt;10,"FORA","DENTRO"),L387="FINALIZADO REMOTO",IF(AA387&gt;5,"FORA","DENTRO")),"-")</f>
        <v>DENTRO</v>
      </c>
      <c r="AC387" s="41" t="s">
        <v>1671</v>
      </c>
      <c r="AD387" s="41" t="s">
        <v>1671</v>
      </c>
      <c r="AE387" s="48" cm="1">
        <f t="array" ref="AE387">SUMPRODUCT(IFERROR(('[2]PEÇAS GARANTIA'!$A$3:$A$5993=G387)*('[2]PEÇAS GARANTIA'!$A$3:$A$5993&lt;&gt;"")*('[2]PEÇAS GARANTIA'!$R$3:$R$5993),0))</f>
        <v>0</v>
      </c>
      <c r="AF387" s="178">
        <v>0</v>
      </c>
    </row>
    <row r="388" spans="1:32" ht="42.75" customHeight="1" x14ac:dyDescent="0.25">
      <c r="A388" s="82">
        <v>30858</v>
      </c>
      <c r="B388" s="41" t="str">
        <f>IFERROR(INDEX([1]GARANTIA!$B:$B,MATCH(A388,[1]GARANTIA!$C:$C,0)),"INSIRA N° SERIE")</f>
        <v>TESTE 366</v>
      </c>
      <c r="C388" s="33">
        <f>IFERROR(INDEX([1]GARANTIA!$J:$J,MATCH(A388,[1]GARANTIA!$C:$C,0)),"INSIRA N° SERIE")</f>
        <v>44370</v>
      </c>
      <c r="D388" s="33" t="str">
        <f>IFERROR(IF(INDEX([1]GARANTIA!$M:$M,MATCH(A388,[1]GARANTIA!$C:$C,0))&gt;=I388,"DENTRO DA GARANTIA","FORA DE GARANTIA"),"INSIRA N° SERIE")</f>
        <v>DENTRO DA GARANTIA</v>
      </c>
      <c r="E388" s="148"/>
      <c r="F388" s="109">
        <f>IFERROR(MAX(0,IF(I388-(INDEX([1]GARANTIA!$J:$J,MATCH(A388,[1]GARANTIA!$C:$C,0)))&gt;=0,I388-(INDEX([1]GARANTIA!$L:$L,MATCH(A388,[1]GARANTIA!$C:$C,0))),"INSIRA DATA CHAMADO")),"INSIRA N° SERIE")</f>
        <v>4</v>
      </c>
      <c r="G388" s="98">
        <v>20210801</v>
      </c>
      <c r="H388" s="35" t="str">
        <f t="shared" si="71"/>
        <v>NOV</v>
      </c>
      <c r="I388" s="89">
        <v>44523</v>
      </c>
      <c r="J388" s="90">
        <v>44523</v>
      </c>
      <c r="K388" s="91">
        <v>44525</v>
      </c>
      <c r="L388" s="92" t="s">
        <v>11</v>
      </c>
      <c r="M388" s="92" t="s">
        <v>8</v>
      </c>
      <c r="N388" s="92" t="s">
        <v>28</v>
      </c>
      <c r="O388" s="42" t="str">
        <f>IFERROR(INDEX([1]GARANTIA!$E:$E,MATCH(A388,[1]GARANTIA!$C:$C,0)),"INSIRA N° SERIE")</f>
        <v>MTI - 4.000GTS</v>
      </c>
      <c r="P388" s="101" t="s">
        <v>788</v>
      </c>
      <c r="Q388" s="94" t="s">
        <v>305</v>
      </c>
      <c r="R388" s="93" t="s">
        <v>794</v>
      </c>
      <c r="S388" s="95" t="s">
        <v>638</v>
      </c>
      <c r="T388" s="95" t="s">
        <v>143</v>
      </c>
      <c r="U388" s="96"/>
      <c r="V388" s="41" t="str">
        <f>IFERROR(INDEX([1]GARANTIA!$G:$G,MATCH(A388,[1]GARANTIA!$C:$C,0)),"INSIRA N° SERIE")</f>
        <v>CANGUÇU</v>
      </c>
      <c r="W388" s="41" t="str">
        <f>IFERROR(INDEX([1]GARANTIA!$H:$H,MATCH(A388,[1]GARANTIA!$C:$C,0)),"INSIRA N° SERIE")</f>
        <v>RS</v>
      </c>
      <c r="X388" s="41" t="str">
        <f>IFERROR(INDEX([1]GARANTIA!$F:$F,MATCH(A388,[1]GARANTIA!$C:$C,0)),"INSIRA N° SERIE")</f>
        <v>SUL</v>
      </c>
      <c r="Y388" s="46">
        <f t="shared" ref="Y388:Y393" si="73">IF(G388&lt;&gt;"",J388-I388,"INSIRA N° OS")</f>
        <v>0</v>
      </c>
      <c r="Z388" s="47">
        <f t="shared" si="72"/>
        <v>2</v>
      </c>
      <c r="AA388" s="46">
        <f t="shared" ref="AA388:AA393" si="74">IF(Z388="NÃO FINALIZADO","",Z388+Y388)</f>
        <v>2</v>
      </c>
      <c r="AB388" s="46" t="str" cm="1">
        <f t="array" ref="AB388">IFERROR(_xlfn.IFS(L388="FINALIZADO PRESENCIAL",IF(AA388&gt;10,"FORA","DENTRO"),L388="FINALIZADO REMOTO",IF(AA388&gt;5,"FORA","DENTRO")),"-")</f>
        <v>DENTRO</v>
      </c>
      <c r="AC388" s="41" t="s">
        <v>1671</v>
      </c>
      <c r="AD388" s="41" t="s">
        <v>1671</v>
      </c>
      <c r="AE388" s="48" cm="1">
        <f t="array" ref="AE388">SUMPRODUCT(IFERROR(('[2]PEÇAS GARANTIA'!$A$3:$A$5993=G388)*('[2]PEÇAS GARANTIA'!$A$3:$A$5993&lt;&gt;"")*('[2]PEÇAS GARANTIA'!$R$3:$R$5993),0))</f>
        <v>0</v>
      </c>
      <c r="AF388" s="178">
        <v>0</v>
      </c>
    </row>
    <row r="389" spans="1:32" ht="33" customHeight="1" x14ac:dyDescent="0.25">
      <c r="A389" s="82">
        <v>82782</v>
      </c>
      <c r="B389" s="41" t="str">
        <f>IFERROR(INDEX([1]GARANTIA!$B:$B,MATCH(A389,[1]GARANTIA!$C:$C,0)),"INSIRA N° SERIE")</f>
        <v>TESTE 365</v>
      </c>
      <c r="C389" s="33">
        <f>IFERROR(INDEX([1]GARANTIA!$J:$J,MATCH(A389,[1]GARANTIA!$C:$C,0)),"INSIRA N° SERIE")</f>
        <v>44356</v>
      </c>
      <c r="D389" s="33" t="str">
        <f>IFERROR(IF(INDEX([1]GARANTIA!$M:$M,MATCH(A389,[1]GARANTIA!$C:$C,0))&gt;=I389,"DENTRO DA GARANTIA","FORA DE GARANTIA"),"INSIRA N° SERIE")</f>
        <v>DENTRO DA GARANTIA</v>
      </c>
      <c r="E389" s="148"/>
      <c r="F389" s="109">
        <f>IFERROR(MAX(0,IF(I389-(INDEX([1]GARANTIA!$J:$J,MATCH(A389,[1]GARANTIA!$C:$C,0)))&gt;=0,I389-(INDEX([1]GARANTIA!$L:$L,MATCH(A389,[1]GARANTIA!$C:$C,0))),"INSIRA DATA CHAMADO")),"INSIRA N° SERIE")</f>
        <v>24</v>
      </c>
      <c r="G389" s="98">
        <v>20210802</v>
      </c>
      <c r="H389" s="35" t="str">
        <f t="shared" si="71"/>
        <v>NOV</v>
      </c>
      <c r="I389" s="89">
        <v>44522</v>
      </c>
      <c r="J389" s="90">
        <v>44522</v>
      </c>
      <c r="K389" s="91">
        <v>44524</v>
      </c>
      <c r="L389" s="92" t="s">
        <v>23</v>
      </c>
      <c r="M389" s="92" t="s">
        <v>8</v>
      </c>
      <c r="N389" s="92" t="s">
        <v>28</v>
      </c>
      <c r="O389" s="42" t="str">
        <f>IFERROR(INDEX([1]GARANTIA!$E:$E,MATCH(A389,[1]GARANTIA!$C:$C,0)),"INSIRA N° SERIE")</f>
        <v>MTI - 1.000GTS</v>
      </c>
      <c r="P389" s="101" t="s">
        <v>795</v>
      </c>
      <c r="Q389" s="94" t="s">
        <v>611</v>
      </c>
      <c r="R389" s="93" t="s">
        <v>796</v>
      </c>
      <c r="S389" s="95" t="s">
        <v>101</v>
      </c>
      <c r="T389" s="95" t="s">
        <v>142</v>
      </c>
      <c r="U389" s="96"/>
      <c r="V389" s="41" t="str">
        <f>IFERROR(INDEX([1]GARANTIA!$G:$G,MATCH(A389,[1]GARANTIA!$C:$C,0)),"INSIRA N° SERIE")</f>
        <v>SÃO PAULO</v>
      </c>
      <c r="W389" s="41" t="str">
        <f>IFERROR(INDEX([1]GARANTIA!$H:$H,MATCH(A389,[1]GARANTIA!$C:$C,0)),"INSIRA N° SERIE")</f>
        <v>SP</v>
      </c>
      <c r="X389" s="41" t="str">
        <f>IFERROR(INDEX([1]GARANTIA!$F:$F,MATCH(A389,[1]GARANTIA!$C:$C,0)),"INSIRA N° SERIE")</f>
        <v>SUDESTE</v>
      </c>
      <c r="Y389" s="46">
        <f t="shared" si="73"/>
        <v>0</v>
      </c>
      <c r="Z389" s="47">
        <f t="shared" si="72"/>
        <v>2</v>
      </c>
      <c r="AA389" s="46">
        <f t="shared" si="74"/>
        <v>2</v>
      </c>
      <c r="AB389" s="46" t="str" cm="1">
        <f t="array" ref="AB389">IFERROR(_xlfn.IFS(L389="FINALIZADO PRESENCIAL",IF(AA389&gt;10,"FORA","DENTRO"),L389="FINALIZADO REMOTO",IF(AA389&gt;5,"FORA","DENTRO")),"-")</f>
        <v>DENTRO</v>
      </c>
      <c r="AC389" s="41" t="s">
        <v>1671</v>
      </c>
      <c r="AD389" s="41" t="s">
        <v>1671</v>
      </c>
      <c r="AE389" s="48" cm="1">
        <f t="array" ref="AE389">SUMPRODUCT(IFERROR(('[2]PEÇAS GARANTIA'!$A$3:$A$5993=G389)*('[2]PEÇAS GARANTIA'!$A$3:$A$5993&lt;&gt;"")*('[2]PEÇAS GARANTIA'!$R$3:$R$5993),0))</f>
        <v>0</v>
      </c>
      <c r="AF389" s="178">
        <v>0</v>
      </c>
    </row>
    <row r="390" spans="1:32" ht="40.5" customHeight="1" x14ac:dyDescent="0.25">
      <c r="A390" s="82">
        <v>67301</v>
      </c>
      <c r="B390" s="41" t="str">
        <f>IFERROR(INDEX([1]GARANTIA!$B:$B,MATCH(A390,[1]GARANTIA!$C:$C,0)),"INSIRA N° SERIE")</f>
        <v>TESTE 59</v>
      </c>
      <c r="C390" s="33">
        <f>IFERROR(INDEX([1]GARANTIA!$J:$J,MATCH(A390,[1]GARANTIA!$C:$C,0)),"INSIRA N° SERIE")</f>
        <v>44051</v>
      </c>
      <c r="D390" s="33" t="str">
        <f>IFERROR(IF(INDEX([1]GARANTIA!$M:$M,MATCH(A390,[1]GARANTIA!$C:$C,0))&gt;=I390,"DENTRO DA GARANTIA","FORA DE GARANTIA"),"INSIRA N° SERIE")</f>
        <v>DENTRO DA GARANTIA</v>
      </c>
      <c r="E390" s="148"/>
      <c r="F390" s="109">
        <f>IFERROR(MAX(0,IF(I390-(INDEX([1]GARANTIA!$J:$J,MATCH(A390,[1]GARANTIA!$C:$C,0)))&gt;=0,I390-(INDEX([1]GARANTIA!$L:$L,MATCH(A390,[1]GARANTIA!$C:$C,0))),"INSIRA DATA CHAMADO")),"INSIRA N° SERIE")</f>
        <v>292</v>
      </c>
      <c r="G390" s="98">
        <v>20210803</v>
      </c>
      <c r="H390" s="35" t="str">
        <f t="shared" si="71"/>
        <v>NOV</v>
      </c>
      <c r="I390" s="89">
        <v>44524</v>
      </c>
      <c r="J390" s="90">
        <v>44524</v>
      </c>
      <c r="K390" s="91">
        <v>44526</v>
      </c>
      <c r="L390" s="92" t="s">
        <v>23</v>
      </c>
      <c r="M390" s="92" t="s">
        <v>8</v>
      </c>
      <c r="N390" s="92" t="s">
        <v>42</v>
      </c>
      <c r="O390" s="42" t="str">
        <f>IFERROR(INDEX([1]GARANTIA!$E:$E,MATCH(A390,[1]GARANTIA!$C:$C,0)),"INSIRA N° SERIE")</f>
        <v>MTI - 4.000GTS</v>
      </c>
      <c r="P390" s="101" t="s">
        <v>791</v>
      </c>
      <c r="Q390" s="94" t="s">
        <v>645</v>
      </c>
      <c r="R390" s="93" t="s">
        <v>798</v>
      </c>
      <c r="S390" s="142" t="s">
        <v>638</v>
      </c>
      <c r="T390" s="142" t="s">
        <v>144</v>
      </c>
      <c r="U390" s="96"/>
      <c r="V390" s="41" t="str">
        <f>IFERROR(INDEX([1]GARANTIA!$G:$G,MATCH(A390,[1]GARANTIA!$C:$C,0)),"INSIRA N° SERIE")</f>
        <v>GOVERNADOR VALADARES</v>
      </c>
      <c r="W390" s="41" t="str">
        <f>IFERROR(INDEX([1]GARANTIA!$H:$H,MATCH(A390,[1]GARANTIA!$C:$C,0)),"INSIRA N° SERIE")</f>
        <v>MG</v>
      </c>
      <c r="X390" s="41" t="str">
        <f>IFERROR(INDEX([1]GARANTIA!$F:$F,MATCH(A390,[1]GARANTIA!$C:$C,0)),"INSIRA N° SERIE")</f>
        <v>SUDESTE</v>
      </c>
      <c r="Y390" s="46">
        <f t="shared" si="73"/>
        <v>0</v>
      </c>
      <c r="Z390" s="47">
        <f t="shared" si="72"/>
        <v>2</v>
      </c>
      <c r="AA390" s="46">
        <f t="shared" si="74"/>
        <v>2</v>
      </c>
      <c r="AB390" s="46" t="str" cm="1">
        <f t="array" ref="AB390">IFERROR(_xlfn.IFS(L390="FINALIZADO PRESENCIAL",IF(AA390&gt;10,"FORA","DENTRO"),L390="FINALIZADO REMOTO",IF(AA390&gt;5,"FORA","DENTRO")),"-")</f>
        <v>DENTRO</v>
      </c>
      <c r="AC390" s="41" t="s">
        <v>1671</v>
      </c>
      <c r="AD390" s="41" t="s">
        <v>1671</v>
      </c>
      <c r="AE390" s="48" cm="1">
        <f t="array" ref="AE390">SUMPRODUCT(IFERROR(('[2]PEÇAS GARANTIA'!$A$3:$A$5993=G390)*('[2]PEÇAS GARANTIA'!$A$3:$A$5993&lt;&gt;"")*('[2]PEÇAS GARANTIA'!$R$3:$R$5993),0))</f>
        <v>0</v>
      </c>
      <c r="AF390" s="178">
        <v>0</v>
      </c>
    </row>
    <row r="391" spans="1:32" ht="48.75" customHeight="1" x14ac:dyDescent="0.25">
      <c r="A391" s="82">
        <v>28435</v>
      </c>
      <c r="B391" s="41" t="str">
        <f>IFERROR(INDEX([1]GARANTIA!$B:$B,MATCH(A391,[1]GARANTIA!$C:$C,0)),"INSIRA N° SERIE")</f>
        <v>TESTE 101</v>
      </c>
      <c r="C391" s="33">
        <f>IFERROR(INDEX([1]GARANTIA!$J:$J,MATCH(A391,[1]GARANTIA!$C:$C,0)),"INSIRA N° SERIE")</f>
        <v>44180</v>
      </c>
      <c r="D391" s="33" t="str">
        <f>IFERROR(IF(INDEX([1]GARANTIA!$M:$M,MATCH(A391,[1]GARANTIA!$C:$C,0))&gt;=I391,"DENTRO DA GARANTIA","FORA DE GARANTIA"),"INSIRA N° SERIE")</f>
        <v>DENTRO DA GARANTIA</v>
      </c>
      <c r="E391" s="148"/>
      <c r="F391" s="109">
        <f>IFERROR(MAX(0,IF(I391-(INDEX([1]GARANTIA!$J:$J,MATCH(A391,[1]GARANTIA!$C:$C,0)))&gt;=0,I391-(INDEX([1]GARANTIA!$L:$L,MATCH(A391,[1]GARANTIA!$C:$C,0))),"INSIRA DATA CHAMADO")),"INSIRA N° SERIE")</f>
        <v>136</v>
      </c>
      <c r="G391" s="98">
        <v>20210804</v>
      </c>
      <c r="H391" s="35" t="str">
        <f t="shared" si="71"/>
        <v>NOV</v>
      </c>
      <c r="I391" s="89">
        <v>44524</v>
      </c>
      <c r="J391" s="90">
        <v>44524</v>
      </c>
      <c r="K391" s="91">
        <v>44526</v>
      </c>
      <c r="L391" s="92" t="s">
        <v>23</v>
      </c>
      <c r="M391" s="92" t="s">
        <v>8</v>
      </c>
      <c r="N391" s="92" t="s">
        <v>50</v>
      </c>
      <c r="O391" s="42" t="str">
        <f>IFERROR(INDEX([1]GARANTIA!$E:$E,MATCH(A391,[1]GARANTIA!$C:$C,0)),"INSIRA N° SERIE")</f>
        <v>MTI - 10.000GTS</v>
      </c>
      <c r="P391" s="101" t="s">
        <v>792</v>
      </c>
      <c r="Q391" s="94" t="s">
        <v>645</v>
      </c>
      <c r="R391" s="93" t="s">
        <v>799</v>
      </c>
      <c r="S391" s="95" t="s">
        <v>325</v>
      </c>
      <c r="T391" s="95" t="s">
        <v>640</v>
      </c>
      <c r="U391" s="96"/>
      <c r="V391" s="41" t="str">
        <f>IFERROR(INDEX([1]GARANTIA!$G:$G,MATCH(A391,[1]GARANTIA!$C:$C,0)),"INSIRA N° SERIE")</f>
        <v xml:space="preserve">PIRANHAS </v>
      </c>
      <c r="W391" s="41" t="str">
        <f>IFERROR(INDEX([1]GARANTIA!$H:$H,MATCH(A391,[1]GARANTIA!$C:$C,0)),"INSIRA N° SERIE")</f>
        <v>GO</v>
      </c>
      <c r="X391" s="41" t="str">
        <f>IFERROR(INDEX([1]GARANTIA!$F:$F,MATCH(A391,[1]GARANTIA!$C:$C,0)),"INSIRA N° SERIE")</f>
        <v>CENTROESTE</v>
      </c>
      <c r="Y391" s="46">
        <f t="shared" si="73"/>
        <v>0</v>
      </c>
      <c r="Z391" s="47">
        <f t="shared" si="72"/>
        <v>2</v>
      </c>
      <c r="AA391" s="46">
        <f t="shared" si="74"/>
        <v>2</v>
      </c>
      <c r="AB391" s="46" t="str" cm="1">
        <f t="array" ref="AB391">IFERROR(_xlfn.IFS(L391="FINALIZADO PRESENCIAL",IF(AA391&gt;10,"FORA","DENTRO"),L391="FINALIZADO REMOTO",IF(AA391&gt;5,"FORA","DENTRO")),"-")</f>
        <v>DENTRO</v>
      </c>
      <c r="AC391" s="41" t="s">
        <v>1671</v>
      </c>
      <c r="AD391" s="41" t="s">
        <v>1671</v>
      </c>
      <c r="AE391" s="48" cm="1">
        <f t="array" ref="AE391">SUMPRODUCT(IFERROR(('[2]PEÇAS GARANTIA'!$A$3:$A$5993=G391)*('[2]PEÇAS GARANTIA'!$A$3:$A$5993&lt;&gt;"")*('[2]PEÇAS GARANTIA'!$R$3:$R$5993),0))</f>
        <v>94.75</v>
      </c>
      <c r="AF391" s="178">
        <v>0</v>
      </c>
    </row>
    <row r="392" spans="1:32" ht="38.25" customHeight="1" x14ac:dyDescent="0.25">
      <c r="A392" s="82">
        <v>40976</v>
      </c>
      <c r="B392" s="41" t="str">
        <f>IFERROR(INDEX([1]GARANTIA!$B:$B,MATCH(A392,[1]GARANTIA!$C:$C,0)),"INSIRA N° SERIE")</f>
        <v>TESTE 347</v>
      </c>
      <c r="C392" s="33">
        <f>IFERROR(INDEX([1]GARANTIA!$J:$J,MATCH(A392,[1]GARANTIA!$C:$C,0)),"INSIRA N° SERIE")</f>
        <v>44345</v>
      </c>
      <c r="D392" s="33" t="str">
        <f>IFERROR(IF(INDEX([1]GARANTIA!$M:$M,MATCH(A392,[1]GARANTIA!$C:$C,0))&gt;=I392,"DENTRO DA GARANTIA","FORA DE GARANTIA"),"INSIRA N° SERIE")</f>
        <v>DENTRO DA GARANTIA</v>
      </c>
      <c r="E392" s="148"/>
      <c r="F392" s="109">
        <f>IFERROR(MAX(0,IF(I392-(INDEX([1]GARANTIA!$J:$J,MATCH(A392,[1]GARANTIA!$C:$C,0)))&gt;=0,I392-(INDEX([1]GARANTIA!$L:$L,MATCH(A392,[1]GARANTIA!$C:$C,0))),"INSIRA DATA CHAMADO")),"INSIRA N° SERIE")</f>
        <v>5</v>
      </c>
      <c r="G392" s="98">
        <v>20210807</v>
      </c>
      <c r="H392" s="35" t="str">
        <f t="shared" si="71"/>
        <v>NOV</v>
      </c>
      <c r="I392" s="89">
        <v>44526</v>
      </c>
      <c r="J392" s="90">
        <v>44526</v>
      </c>
      <c r="K392" s="91">
        <v>44530</v>
      </c>
      <c r="L392" s="92" t="s">
        <v>11</v>
      </c>
      <c r="M392" s="92" t="s">
        <v>8</v>
      </c>
      <c r="N392" s="92" t="s">
        <v>41</v>
      </c>
      <c r="O392" s="42" t="str">
        <f>IFERROR(INDEX([1]GARANTIA!$E:$E,MATCH(A392,[1]GARANTIA!$C:$C,0)),"INSIRA N° SERIE")</f>
        <v>MTI - 10.000GTS</v>
      </c>
      <c r="P392" s="101" t="s">
        <v>800</v>
      </c>
      <c r="Q392" s="94" t="s">
        <v>644</v>
      </c>
      <c r="R392" s="93" t="s">
        <v>801</v>
      </c>
      <c r="S392" s="95" t="s">
        <v>325</v>
      </c>
      <c r="T392" s="95" t="s">
        <v>142</v>
      </c>
      <c r="U392" s="96"/>
      <c r="V392" s="41" t="str">
        <f>IFERROR(INDEX([1]GARANTIA!$G:$G,MATCH(A392,[1]GARANTIA!$C:$C,0)),"INSIRA N° SERIE")</f>
        <v>BOA VISTA</v>
      </c>
      <c r="W392" s="41" t="str">
        <f>IFERROR(INDEX([1]GARANTIA!$H:$H,MATCH(A392,[1]GARANTIA!$C:$C,0)),"INSIRA N° SERIE")</f>
        <v>RR</v>
      </c>
      <c r="X392" s="41" t="str">
        <f>IFERROR(INDEX([1]GARANTIA!$F:$F,MATCH(A392,[1]GARANTIA!$C:$C,0)),"INSIRA N° SERIE")</f>
        <v>NORTE</v>
      </c>
      <c r="Y392" s="46">
        <f t="shared" si="73"/>
        <v>0</v>
      </c>
      <c r="Z392" s="47">
        <f t="shared" si="72"/>
        <v>4</v>
      </c>
      <c r="AA392" s="46">
        <f t="shared" si="74"/>
        <v>4</v>
      </c>
      <c r="AB392" s="46" t="str" cm="1">
        <f t="array" ref="AB392">IFERROR(_xlfn.IFS(L392="FINALIZADO PRESENCIAL",IF(AA392&gt;10,"FORA","DENTRO"),L392="FINALIZADO REMOTO",IF(AA392&gt;5,"FORA","DENTRO")),"-")</f>
        <v>DENTRO</v>
      </c>
      <c r="AC392" s="41" t="s">
        <v>1671</v>
      </c>
      <c r="AD392" s="41" t="s">
        <v>1671</v>
      </c>
      <c r="AE392" s="48" cm="1">
        <f t="array" ref="AE392">SUMPRODUCT(IFERROR(('[2]PEÇAS GARANTIA'!$A$3:$A$5993=G392)*('[2]PEÇAS GARANTIA'!$A$3:$A$5993&lt;&gt;"")*('[2]PEÇAS GARANTIA'!$R$3:$R$5993),0))</f>
        <v>0</v>
      </c>
      <c r="AF392" s="178">
        <v>0</v>
      </c>
    </row>
    <row r="393" spans="1:32" ht="48" customHeight="1" x14ac:dyDescent="0.25">
      <c r="A393" s="82">
        <v>3002641</v>
      </c>
      <c r="B393" s="41" t="str">
        <f>IFERROR(INDEX([1]GARANTIA!$B:$B,MATCH(A393,[1]GARANTIA!$C:$C,0)),"INSIRA N° SERIE")</f>
        <v>TESTE 167</v>
      </c>
      <c r="C393" s="33">
        <f>IFERROR(INDEX([1]GARANTIA!$J:$J,MATCH(A393,[1]GARANTIA!$C:$C,0)),"INSIRA N° SERIE")</f>
        <v>43524</v>
      </c>
      <c r="D393" s="33" t="str">
        <f>IFERROR(IF(INDEX([1]GARANTIA!$M:$M,MATCH(A393,[1]GARANTIA!$C:$C,0))&gt;=I393,"DENTRO DA GARANTIA","FORA DE GARANTIA"),"INSIRA N° SERIE")</f>
        <v>DENTRO DA GARANTIA</v>
      </c>
      <c r="E393" s="148"/>
      <c r="F393" s="109">
        <f>IFERROR(MAX(0,IF(I393-(INDEX([1]GARANTIA!$J:$J,MATCH(A393,[1]GARANTIA!$C:$C,0)))&gt;=0,I393-(INDEX([1]GARANTIA!$L:$L,MATCH(A393,[1]GARANTIA!$C:$C,0))),"INSIRA DATA CHAMADO")),"INSIRA N° SERIE")</f>
        <v>314</v>
      </c>
      <c r="G393" s="98">
        <v>20210808</v>
      </c>
      <c r="H393" s="35" t="str">
        <f t="shared" si="71"/>
        <v>NOV</v>
      </c>
      <c r="I393" s="89">
        <v>44525</v>
      </c>
      <c r="J393" s="90">
        <v>44525</v>
      </c>
      <c r="K393" s="91">
        <v>44526</v>
      </c>
      <c r="L393" s="92" t="s">
        <v>11</v>
      </c>
      <c r="M393" s="92" t="s">
        <v>8</v>
      </c>
      <c r="N393" s="92" t="s">
        <v>28</v>
      </c>
      <c r="O393" s="42" t="str">
        <f>IFERROR(INDEX([1]GARANTIA!$E:$E,MATCH(A393,[1]GARANTIA!$C:$C,0)),"INSIRA N° SERIE")</f>
        <v>MTI - 7.000GTS</v>
      </c>
      <c r="P393" s="101" t="s">
        <v>802</v>
      </c>
      <c r="Q393" s="94" t="s">
        <v>645</v>
      </c>
      <c r="R393" s="93" t="s">
        <v>803</v>
      </c>
      <c r="S393" s="95" t="s">
        <v>325</v>
      </c>
      <c r="T393" s="95" t="s">
        <v>640</v>
      </c>
      <c r="U393" s="96"/>
      <c r="V393" s="41" t="str">
        <f>IFERROR(INDEX([1]GARANTIA!$G:$G,MATCH(A393,[1]GARANTIA!$C:$C,0)),"INSIRA N° SERIE")</f>
        <v xml:space="preserve">DIADEMA </v>
      </c>
      <c r="W393" s="41" t="str">
        <f>IFERROR(INDEX([1]GARANTIA!$H:$H,MATCH(A393,[1]GARANTIA!$C:$C,0)),"INSIRA N° SERIE")</f>
        <v>SP</v>
      </c>
      <c r="X393" s="41" t="str">
        <f>IFERROR(INDEX([1]GARANTIA!$F:$F,MATCH(A393,[1]GARANTIA!$C:$C,0)),"INSIRA N° SERIE")</f>
        <v>SUDESTE</v>
      </c>
      <c r="Y393" s="46">
        <f t="shared" si="73"/>
        <v>0</v>
      </c>
      <c r="Z393" s="47">
        <f t="shared" si="72"/>
        <v>1</v>
      </c>
      <c r="AA393" s="46">
        <f t="shared" si="74"/>
        <v>1</v>
      </c>
      <c r="AB393" s="46" t="str" cm="1">
        <f t="array" ref="AB393">IFERROR(_xlfn.IFS(L393="FINALIZADO PRESENCIAL",IF(AA393&gt;10,"FORA","DENTRO"),L393="FINALIZADO REMOTO",IF(AA393&gt;5,"FORA","DENTRO")),"-")</f>
        <v>DENTRO</v>
      </c>
      <c r="AC393" s="41" t="s">
        <v>1671</v>
      </c>
      <c r="AD393" s="41" t="s">
        <v>1671</v>
      </c>
      <c r="AE393" s="48" cm="1">
        <f t="array" ref="AE393">SUMPRODUCT(IFERROR(('[2]PEÇAS GARANTIA'!$A$3:$A$5993=G393)*('[2]PEÇAS GARANTIA'!$A$3:$A$5993&lt;&gt;"")*('[2]PEÇAS GARANTIA'!$R$3:$R$5993),0))</f>
        <v>0</v>
      </c>
      <c r="AF393" s="178">
        <v>0</v>
      </c>
    </row>
    <row r="394" spans="1:32" ht="40.5" customHeight="1" x14ac:dyDescent="0.25">
      <c r="A394" s="82">
        <v>9991</v>
      </c>
      <c r="B394" s="41" t="str">
        <f>IFERROR(INDEX([1]GARANTIA!$B:$B,MATCH(A394,[1]GARANTIA!$C:$C,0)),"INSIRA N° SERIE")</f>
        <v>TESTE 308</v>
      </c>
      <c r="C394" s="33">
        <f>IFERROR(INDEX([1]GARANTIA!$J:$J,MATCH(A394,[1]GARANTIA!$C:$C,0)),"INSIRA N° SERIE")</f>
        <v>44137</v>
      </c>
      <c r="D394" s="33" t="str">
        <f>IFERROR(IF(INDEX([1]GARANTIA!$M:$M,MATCH(A394,[1]GARANTIA!$C:$C,0))&gt;=I394,"DENTRO DA GARANTIA","FORA DE GARANTIA"),"INSIRA N° SERIE")</f>
        <v>DENTRO DA GARANTIA</v>
      </c>
      <c r="E394" s="148"/>
      <c r="F394" s="109">
        <f>IFERROR(MAX(0,IF(I394-(INDEX([1]GARANTIA!$J:$J,MATCH(A394,[1]GARANTIA!$C:$C,0)))&gt;=0,I394-(INDEX([1]GARANTIA!$L:$L,MATCH(A394,[1]GARANTIA!$C:$C,0))),"INSIRA DATA CHAMADO")),"INSIRA N° SERIE")</f>
        <v>242</v>
      </c>
      <c r="G394" s="98">
        <v>20210809</v>
      </c>
      <c r="H394" s="35" t="str">
        <f t="shared" si="71"/>
        <v>NOV</v>
      </c>
      <c r="I394" s="89">
        <v>44523</v>
      </c>
      <c r="J394" s="90">
        <v>44523</v>
      </c>
      <c r="K394" s="91"/>
      <c r="L394" s="92" t="s">
        <v>25</v>
      </c>
      <c r="M394" s="92" t="s">
        <v>8</v>
      </c>
      <c r="N394" s="92" t="s">
        <v>28</v>
      </c>
      <c r="O394" s="42" t="str">
        <f>IFERROR(INDEX([1]GARANTIA!$E:$E,MATCH(A394,[1]GARANTIA!$C:$C,0)),"INSIRA N° SERIE")</f>
        <v>MTI - 40.000GT</v>
      </c>
      <c r="P394" s="101" t="s">
        <v>804</v>
      </c>
      <c r="Q394" s="94"/>
      <c r="R394" s="93"/>
      <c r="S394" s="95"/>
      <c r="T394" s="95"/>
      <c r="U394" s="96"/>
      <c r="V394" s="41" t="str">
        <f>IFERROR(INDEX([1]GARANTIA!$G:$G,MATCH(A394,[1]GARANTIA!$C:$C,0)),"INSIRA N° SERIE")</f>
        <v>OSASCO</v>
      </c>
      <c r="W394" s="41" t="str">
        <f>IFERROR(INDEX([1]GARANTIA!$H:$H,MATCH(A394,[1]GARANTIA!$C:$C,0)),"INSIRA N° SERIE")</f>
        <v>SP</v>
      </c>
      <c r="X394" s="41" t="str">
        <f>IFERROR(INDEX([1]GARANTIA!$F:$F,MATCH(A394,[1]GARANTIA!$C:$C,0)),"INSIRA N° SERIE")</f>
        <v>SUDESTE</v>
      </c>
      <c r="Y394" s="46">
        <f t="shared" ref="Y394:Y399" si="75">IF(G394&lt;&gt;"",J394-I394,"INSIRA N° OS")</f>
        <v>0</v>
      </c>
      <c r="Z394" s="47" t="str">
        <f t="shared" ref="Z394:Z399" si="76">IF(G394&lt;&gt;"",IF(OR(A394="",K394="",Q394="",P394="",R394=""),"NÃO FINALIZADO",K394-J394),"INSIRA N° OS")</f>
        <v>NÃO FINALIZADO</v>
      </c>
      <c r="AA394" s="46" t="str">
        <f t="shared" ref="AA394:AA399" si="77">IF(Z394="NÃO FINALIZADO","",Z394+Y394)</f>
        <v/>
      </c>
      <c r="AB394" s="46" t="str" cm="1">
        <f t="array" ref="AB394">IFERROR(_xlfn.IFS(L394="FINALIZADO PRESENCIAL",IF(AA394&gt;10,"FORA","DENTRO"),L394="FINALIZADO REMOTO",IF(AA394&gt;5,"FORA","DENTRO")),"-")</f>
        <v>-</v>
      </c>
      <c r="AC394" s="41" t="s">
        <v>1671</v>
      </c>
      <c r="AD394" s="41" t="s">
        <v>1671</v>
      </c>
      <c r="AE394" s="48" cm="1">
        <f t="array" ref="AE394">SUMPRODUCT(IFERROR(('[2]PEÇAS GARANTIA'!$A$3:$A$5993=G394)*('[2]PEÇAS GARANTIA'!$A$3:$A$5993&lt;&gt;"")*('[2]PEÇAS GARANTIA'!$R$3:$R$5993),0))</f>
        <v>0</v>
      </c>
      <c r="AF394" s="178">
        <v>0</v>
      </c>
    </row>
    <row r="395" spans="1:32" ht="43.5" customHeight="1" x14ac:dyDescent="0.25">
      <c r="A395" s="82">
        <v>40976</v>
      </c>
      <c r="B395" s="41" t="str">
        <f>IFERROR(INDEX([1]GARANTIA!$B:$B,MATCH(A395,[1]GARANTIA!$C:$C,0)),"INSIRA N° SERIE")</f>
        <v>TESTE 347</v>
      </c>
      <c r="C395" s="33">
        <f>IFERROR(INDEX([1]GARANTIA!$J:$J,MATCH(A395,[1]GARANTIA!$C:$C,0)),"INSIRA N° SERIE")</f>
        <v>44345</v>
      </c>
      <c r="D395" s="33" t="str">
        <f>IFERROR(IF(INDEX([1]GARANTIA!$M:$M,MATCH(A395,[1]GARANTIA!$C:$C,0))&gt;=I395,"DENTRO DA GARANTIA","FORA DE GARANTIA"),"INSIRA N° SERIE")</f>
        <v>DENTRO DA GARANTIA</v>
      </c>
      <c r="E395" s="148"/>
      <c r="F395" s="109">
        <f>IFERROR(MAX(0,IF(I395-(INDEX([1]GARANTIA!$J:$J,MATCH(A395,[1]GARANTIA!$C:$C,0)))&gt;=0,I395-(INDEX([1]GARANTIA!$L:$L,MATCH(A395,[1]GARANTIA!$C:$C,0))),"INSIRA DATA CHAMADO")),"INSIRA N° SERIE")</f>
        <v>0</v>
      </c>
      <c r="G395" s="98">
        <v>20210811</v>
      </c>
      <c r="H395" s="35" t="str">
        <f t="shared" si="71"/>
        <v>NOV</v>
      </c>
      <c r="I395" s="89">
        <v>44515</v>
      </c>
      <c r="J395" s="90">
        <v>44515</v>
      </c>
      <c r="K395" s="91">
        <v>44516</v>
      </c>
      <c r="L395" s="92" t="s">
        <v>11</v>
      </c>
      <c r="M395" s="92" t="s">
        <v>164</v>
      </c>
      <c r="N395" s="92" t="s">
        <v>42</v>
      </c>
      <c r="O395" s="42" t="str">
        <f>IFERROR(INDEX([1]GARANTIA!$E:$E,MATCH(A395,[1]GARANTIA!$C:$C,0)),"INSIRA N° SERIE")</f>
        <v>MTI - 10.000GTS</v>
      </c>
      <c r="P395" s="101" t="s">
        <v>805</v>
      </c>
      <c r="Q395" s="94" t="s">
        <v>306</v>
      </c>
      <c r="R395" s="93" t="s">
        <v>806</v>
      </c>
      <c r="S395" s="95" t="s">
        <v>101</v>
      </c>
      <c r="T395" s="95" t="s">
        <v>306</v>
      </c>
      <c r="U395" s="96"/>
      <c r="V395" s="41" t="str">
        <f>IFERROR(INDEX([1]GARANTIA!$G:$G,MATCH(A395,[1]GARANTIA!$C:$C,0)),"INSIRA N° SERIE")</f>
        <v>BOA VISTA</v>
      </c>
      <c r="W395" s="41" t="str">
        <f>IFERROR(INDEX([1]GARANTIA!$H:$H,MATCH(A395,[1]GARANTIA!$C:$C,0)),"INSIRA N° SERIE")</f>
        <v>RR</v>
      </c>
      <c r="X395" s="41" t="str">
        <f>IFERROR(INDEX([1]GARANTIA!$F:$F,MATCH(A395,[1]GARANTIA!$C:$C,0)),"INSIRA N° SERIE")</f>
        <v>NORTE</v>
      </c>
      <c r="Y395" s="46">
        <f t="shared" si="75"/>
        <v>0</v>
      </c>
      <c r="Z395" s="47">
        <f t="shared" si="76"/>
        <v>1</v>
      </c>
      <c r="AA395" s="46">
        <f t="shared" si="77"/>
        <v>1</v>
      </c>
      <c r="AB395" s="46" t="str" cm="1">
        <f t="array" ref="AB395">IFERROR(_xlfn.IFS(L395="FINALIZADO PRESENCIAL",IF(AA395&gt;10,"FORA","DENTRO"),L395="FINALIZADO REMOTO",IF(AA395&gt;5,"FORA","DENTRO")),"-")</f>
        <v>DENTRO</v>
      </c>
      <c r="AC395" s="41" t="s">
        <v>1671</v>
      </c>
      <c r="AD395" s="41" t="s">
        <v>1671</v>
      </c>
      <c r="AE395" s="48" cm="1">
        <f t="array" ref="AE395">SUMPRODUCT(IFERROR(('[2]PEÇAS GARANTIA'!$A$3:$A$5993=G395)*('[2]PEÇAS GARANTIA'!$A$3:$A$5993&lt;&gt;"")*('[2]PEÇAS GARANTIA'!$R$3:$R$5993),0))</f>
        <v>0</v>
      </c>
      <c r="AF395" s="178">
        <v>0</v>
      </c>
    </row>
    <row r="396" spans="1:32" ht="48" customHeight="1" x14ac:dyDescent="0.25">
      <c r="A396" s="82">
        <v>52520</v>
      </c>
      <c r="B396" s="41" t="str">
        <f>IFERROR(INDEX([1]GARANTIA!$B:$B,MATCH(A396,[1]GARANTIA!$C:$C,0)),"INSIRA N° SERIE")</f>
        <v>TESTE 353</v>
      </c>
      <c r="C396" s="33">
        <f>IFERROR(INDEX([1]GARANTIA!$J:$J,MATCH(A396,[1]GARANTIA!$C:$C,0)),"INSIRA N° SERIE")</f>
        <v>44371</v>
      </c>
      <c r="D396" s="33" t="str">
        <f>IFERROR(IF(INDEX([1]GARANTIA!$M:$M,MATCH(A396,[1]GARANTIA!$C:$C,0))&gt;=I396,"DENTRO DA GARANTIA","FORA DE GARANTIA"),"INSIRA N° SERIE")</f>
        <v>DENTRO DA GARANTIA</v>
      </c>
      <c r="E396" s="148"/>
      <c r="F396" s="109">
        <f>IFERROR(MAX(0,IF(I396-(INDEX([1]GARANTIA!$J:$J,MATCH(A396,[1]GARANTIA!$C:$C,0)))&gt;=0,I396-(INDEX([1]GARANTIA!$L:$L,MATCH(A396,[1]GARANTIA!$C:$C,0))),"INSIRA DATA CHAMADO")),"INSIRA N° SERIE")</f>
        <v>56</v>
      </c>
      <c r="G396" s="98">
        <v>20210812</v>
      </c>
      <c r="H396" s="35" t="str">
        <f t="shared" si="71"/>
        <v>NOV</v>
      </c>
      <c r="I396" s="89">
        <v>44530</v>
      </c>
      <c r="J396" s="90">
        <v>44530</v>
      </c>
      <c r="K396" s="91">
        <v>44532</v>
      </c>
      <c r="L396" s="92" t="s">
        <v>11</v>
      </c>
      <c r="M396" s="92" t="s">
        <v>8</v>
      </c>
      <c r="N396" s="42" t="s">
        <v>28</v>
      </c>
      <c r="O396" s="42" t="str">
        <f>IFERROR(INDEX([1]GARANTIA!$E:$E,MATCH(A396,[1]GARANTIA!$C:$C,0)),"INSIRA N° SERIE")</f>
        <v>MTI - 2.500GTS</v>
      </c>
      <c r="P396" s="101" t="s">
        <v>809</v>
      </c>
      <c r="Q396" s="94" t="s">
        <v>611</v>
      </c>
      <c r="R396" s="93" t="s">
        <v>810</v>
      </c>
      <c r="S396" s="95" t="s">
        <v>101</v>
      </c>
      <c r="T396" s="95" t="s">
        <v>142</v>
      </c>
      <c r="U396" s="96"/>
      <c r="V396" s="41" t="str">
        <f>IFERROR(INDEX([1]GARANTIA!$G:$G,MATCH(A396,[1]GARANTIA!$C:$C,0)),"INSIRA N° SERIE")</f>
        <v>QUIRINOPOLIS</v>
      </c>
      <c r="W396" s="41" t="str">
        <f>IFERROR(INDEX([1]GARANTIA!$H:$H,MATCH(A396,[1]GARANTIA!$C:$C,0)),"INSIRA N° SERIE")</f>
        <v xml:space="preserve">GO </v>
      </c>
      <c r="X396" s="41" t="str">
        <f>IFERROR(INDEX([1]GARANTIA!$F:$F,MATCH(A396,[1]GARANTIA!$C:$C,0)),"INSIRA N° SERIE")</f>
        <v>SUDESTE</v>
      </c>
      <c r="Y396" s="46">
        <f t="shared" si="75"/>
        <v>0</v>
      </c>
      <c r="Z396" s="47">
        <f t="shared" si="76"/>
        <v>2</v>
      </c>
      <c r="AA396" s="46">
        <f t="shared" si="77"/>
        <v>2</v>
      </c>
      <c r="AB396" s="46" t="str" cm="1">
        <f t="array" ref="AB396">IFERROR(_xlfn.IFS(L396="FINALIZADO PRESENCIAL",IF(AA396&gt;10,"FORA","DENTRO"),L396="FINALIZADO REMOTO",IF(AA396&gt;5,"FORA","DENTRO")),"-")</f>
        <v>DENTRO</v>
      </c>
      <c r="AC396" s="41" t="s">
        <v>1671</v>
      </c>
      <c r="AD396" s="41" t="s">
        <v>1671</v>
      </c>
      <c r="AE396" s="48" cm="1">
        <f t="array" ref="AE396">SUMPRODUCT(IFERROR(('[2]PEÇAS GARANTIA'!$A$3:$A$5993=G396)*('[2]PEÇAS GARANTIA'!$A$3:$A$5993&lt;&gt;"")*('[2]PEÇAS GARANTIA'!$R$3:$R$5993),0))</f>
        <v>0</v>
      </c>
      <c r="AF396" s="178">
        <v>0</v>
      </c>
    </row>
    <row r="397" spans="1:32" ht="40.5" customHeight="1" x14ac:dyDescent="0.25">
      <c r="A397" s="82">
        <v>90486</v>
      </c>
      <c r="B397" s="41" t="str">
        <f>IFERROR(INDEX([1]GARANTIA!$B:$B,MATCH(A397,[1]GARANTIA!$C:$C,0)),"INSIRA N° SERIE")</f>
        <v>TESTE 277</v>
      </c>
      <c r="C397" s="33">
        <f>IFERROR(INDEX([1]GARANTIA!$J:$J,MATCH(A397,[1]GARANTIA!$C:$C,0)),"INSIRA N° SERIE")</f>
        <v>44189</v>
      </c>
      <c r="D397" s="33" t="str">
        <f>IFERROR(IF(INDEX([1]GARANTIA!$M:$M,MATCH(A397,[1]GARANTIA!$C:$C,0))&gt;=I397,"DENTRO DA GARANTIA","FORA DE GARANTIA"),"INSIRA N° SERIE")</f>
        <v>DENTRO DA GARANTIA</v>
      </c>
      <c r="E397" s="148"/>
      <c r="F397" s="109">
        <f>IFERROR(MAX(0,IF(I397-(INDEX([1]GARANTIA!$J:$J,MATCH(A397,[1]GARANTIA!$C:$C,0)))&gt;=0,I397-(INDEX([1]GARANTIA!$L:$L,MATCH(A397,[1]GARANTIA!$C:$C,0))),"INSIRA DATA CHAMADO")),"INSIRA N° SERIE")</f>
        <v>42</v>
      </c>
      <c r="G397" s="98">
        <v>20210813</v>
      </c>
      <c r="H397" s="35" t="str">
        <f t="shared" si="71"/>
        <v>NOV</v>
      </c>
      <c r="I397" s="89">
        <v>44511</v>
      </c>
      <c r="J397" s="90">
        <v>44511</v>
      </c>
      <c r="K397" s="91">
        <v>44517</v>
      </c>
      <c r="L397" s="92" t="s">
        <v>11</v>
      </c>
      <c r="M397" s="92" t="s">
        <v>8</v>
      </c>
      <c r="N397" s="92" t="s">
        <v>54</v>
      </c>
      <c r="O397" s="42" t="str">
        <f>IFERROR(INDEX([1]GARANTIA!$E:$E,MATCH(A397,[1]GARANTIA!$C:$C,0)),"INSIRA N° SERIE")</f>
        <v>MTI - 40.000GE</v>
      </c>
      <c r="P397" s="101" t="s">
        <v>807</v>
      </c>
      <c r="Q397" s="94" t="s">
        <v>645</v>
      </c>
      <c r="R397" s="93" t="s">
        <v>808</v>
      </c>
      <c r="S397" s="95" t="s">
        <v>325</v>
      </c>
      <c r="T397" s="95" t="s">
        <v>142</v>
      </c>
      <c r="U397" s="96"/>
      <c r="V397" s="41" t="str">
        <f>IFERROR(INDEX([1]GARANTIA!$G:$G,MATCH(A397,[1]GARANTIA!$C:$C,0)),"INSIRA N° SERIE")</f>
        <v>MACAÍBA</v>
      </c>
      <c r="W397" s="41" t="str">
        <f>IFERROR(INDEX([1]GARANTIA!$H:$H,MATCH(A397,[1]GARANTIA!$C:$C,0)),"INSIRA N° SERIE")</f>
        <v>RN</v>
      </c>
      <c r="X397" s="41" t="str">
        <f>IFERROR(INDEX([1]GARANTIA!$F:$F,MATCH(A397,[1]GARANTIA!$C:$C,0)),"INSIRA N° SERIE")</f>
        <v>NORDESTE</v>
      </c>
      <c r="Y397" s="46">
        <f t="shared" si="75"/>
        <v>0</v>
      </c>
      <c r="Z397" s="47">
        <f t="shared" si="76"/>
        <v>6</v>
      </c>
      <c r="AA397" s="46">
        <f t="shared" si="77"/>
        <v>6</v>
      </c>
      <c r="AB397" s="46" t="str" cm="1">
        <f t="array" ref="AB397">IFERROR(_xlfn.IFS(L397="FINALIZADO PRESENCIAL",IF(AA397&gt;10,"FORA","DENTRO"),L397="FINALIZADO REMOTO",IF(AA397&gt;5,"FORA","DENTRO")),"-")</f>
        <v>DENTRO</v>
      </c>
      <c r="AC397" s="41" t="s">
        <v>1671</v>
      </c>
      <c r="AD397" s="41" t="s">
        <v>1671</v>
      </c>
      <c r="AE397" s="48" cm="1">
        <f t="array" ref="AE397">SUMPRODUCT(IFERROR(('[2]PEÇAS GARANTIA'!$A$3:$A$5993=G397)*('[2]PEÇAS GARANTIA'!$A$3:$A$5993&lt;&gt;"")*('[2]PEÇAS GARANTIA'!$R$3:$R$5993),0))</f>
        <v>0</v>
      </c>
      <c r="AF397" s="178">
        <v>0</v>
      </c>
    </row>
    <row r="398" spans="1:32" ht="33" customHeight="1" x14ac:dyDescent="0.25">
      <c r="A398" s="82">
        <v>12963</v>
      </c>
      <c r="B398" s="41" t="str">
        <f>IFERROR(INDEX([1]GARANTIA!$B:$B,MATCH(A398,[1]GARANTIA!$C:$C,0)),"INSIRA N° SERIE")</f>
        <v>TESTE 354</v>
      </c>
      <c r="C398" s="33">
        <f>IFERROR(INDEX([1]GARANTIA!$J:$J,MATCH(A398,[1]GARANTIA!$C:$C,0)),"INSIRA N° SERIE")</f>
        <v>44127</v>
      </c>
      <c r="D398" s="33" t="str">
        <f>IFERROR(IF(INDEX([1]GARANTIA!$M:$M,MATCH(A398,[1]GARANTIA!$C:$C,0))&gt;=I398,"DENTRO DA GARANTIA","FORA DE GARANTIA"),"INSIRA N° SERIE")</f>
        <v>DENTRO DA GARANTIA</v>
      </c>
      <c r="E398" s="148"/>
      <c r="F398" s="109">
        <f>IFERROR(MAX(0,IF(I398-(INDEX([1]GARANTIA!$J:$J,MATCH(A398,[1]GARANTIA!$C:$C,0)))&gt;=0,I398-(INDEX([1]GARANTIA!$L:$L,MATCH(A398,[1]GARANTIA!$C:$C,0))),"INSIRA DATA CHAMADO")),"INSIRA N° SERIE")</f>
        <v>47</v>
      </c>
      <c r="G398" s="98">
        <v>20210816</v>
      </c>
      <c r="H398" s="35" t="str">
        <f t="shared" si="71"/>
        <v>DEZ</v>
      </c>
      <c r="I398" s="89">
        <v>44531</v>
      </c>
      <c r="J398" s="90">
        <v>44531</v>
      </c>
      <c r="K398" s="91">
        <v>44537</v>
      </c>
      <c r="L398" s="92" t="s">
        <v>23</v>
      </c>
      <c r="M398" s="92" t="s">
        <v>8</v>
      </c>
      <c r="N398" s="92" t="s">
        <v>62</v>
      </c>
      <c r="O398" s="42" t="str">
        <f>IFERROR(INDEX([1]GARANTIA!$E:$E,MATCH(A398,[1]GARANTIA!$C:$C,0)),"INSIRA N° SERIE")</f>
        <v>PGM 40.000 GTS</v>
      </c>
      <c r="P398" s="101" t="s">
        <v>817</v>
      </c>
      <c r="Q398" s="94" t="s">
        <v>645</v>
      </c>
      <c r="R398" s="93" t="s">
        <v>818</v>
      </c>
      <c r="S398" s="95" t="s">
        <v>325</v>
      </c>
      <c r="T398" s="95" t="s">
        <v>142</v>
      </c>
      <c r="U398" s="96"/>
      <c r="V398" s="41" t="str">
        <f>IFERROR(INDEX([1]GARANTIA!$G:$G,MATCH(A398,[1]GARANTIA!$C:$C,0)),"INSIRA N° SERIE")</f>
        <v>PALMAS</v>
      </c>
      <c r="W398" s="41" t="str">
        <f>IFERROR(INDEX([1]GARANTIA!$H:$H,MATCH(A398,[1]GARANTIA!$C:$C,0)),"INSIRA N° SERIE")</f>
        <v>TO</v>
      </c>
      <c r="X398" s="41" t="str">
        <f>IFERROR(INDEX([1]GARANTIA!$F:$F,MATCH(A398,[1]GARANTIA!$C:$C,0)),"INSIRA N° SERIE")</f>
        <v>NORTE</v>
      </c>
      <c r="Y398" s="46">
        <f>IF(G398&lt;&gt;"",J398-I398,"INSIRA N° OS")</f>
        <v>0</v>
      </c>
      <c r="Z398" s="47">
        <f>IF(G398&lt;&gt;"",IF(OR(A398="",K398="",Q398="",P398="",R398=""),"NÃO FINALIZADO",K398-J398),"INSIRA N° OS")</f>
        <v>6</v>
      </c>
      <c r="AA398" s="46">
        <f>IF(Z398="NÃO FINALIZADO","",Z398+Y398)</f>
        <v>6</v>
      </c>
      <c r="AB398" s="46" t="str" cm="1">
        <f t="array" ref="AB398">IFERROR(_xlfn.IFS(L398="FINALIZADO PRESENCIAL",IF(AA398&gt;10,"FORA","DENTRO"),L398="FINALIZADO REMOTO",IF(AA398&gt;5,"FORA","DENTRO")),"-")</f>
        <v>FORA</v>
      </c>
      <c r="AC398" s="41" t="s">
        <v>1671</v>
      </c>
      <c r="AD398" s="41" t="s">
        <v>1671</v>
      </c>
      <c r="AE398" s="48" cm="1">
        <f t="array" ref="AE398">SUMPRODUCT(IFERROR(('[2]PEÇAS GARANTIA'!$A$3:$A$5993=G398)*('[2]PEÇAS GARANTIA'!$A$3:$A$5993&lt;&gt;"")*('[2]PEÇAS GARANTIA'!$R$3:$R$5993),0))</f>
        <v>382.1</v>
      </c>
      <c r="AF398" s="178">
        <v>0</v>
      </c>
    </row>
    <row r="399" spans="1:32" ht="51" customHeight="1" x14ac:dyDescent="0.25">
      <c r="A399" s="82">
        <v>27393</v>
      </c>
      <c r="B399" s="41" t="str">
        <f>IFERROR(INDEX([1]GARANTIA!$B:$B,MATCH(A399,[1]GARANTIA!$C:$C,0)),"INSIRA N° SERIE")</f>
        <v>TESTE 255</v>
      </c>
      <c r="C399" s="33">
        <f>IFERROR(INDEX([1]GARANTIA!$J:$J,MATCH(A399,[1]GARANTIA!$C:$C,0)),"INSIRA N° SERIE")</f>
        <v>44207</v>
      </c>
      <c r="D399" s="33" t="str">
        <f>IFERROR(IF(INDEX([1]GARANTIA!$M:$M,MATCH(A399,[1]GARANTIA!$C:$C,0))&gt;=I399,"DENTRO DA GARANTIA","FORA DE GARANTIA"),"INSIRA N° SERIE")</f>
        <v>DENTRO DA GARANTIA</v>
      </c>
      <c r="E399" s="148"/>
      <c r="F399" s="109">
        <f>IFERROR(MAX(0,IF(I399-(INDEX([1]GARANTIA!$J:$J,MATCH(A399,[1]GARANTIA!$C:$C,0)))&gt;=0,I399-(INDEX([1]GARANTIA!$L:$L,MATCH(A399,[1]GARANTIA!$C:$C,0))),"INSIRA DATA CHAMADO")),"INSIRA N° SERIE")</f>
        <v>168</v>
      </c>
      <c r="G399" s="98">
        <v>20210815</v>
      </c>
      <c r="H399" s="35" t="str">
        <f t="shared" si="71"/>
        <v>DEZ</v>
      </c>
      <c r="I399" s="89">
        <v>44532</v>
      </c>
      <c r="J399" s="90">
        <v>44532</v>
      </c>
      <c r="K399" s="91">
        <v>44536</v>
      </c>
      <c r="L399" s="92" t="s">
        <v>23</v>
      </c>
      <c r="M399" s="92" t="s">
        <v>8</v>
      </c>
      <c r="N399" s="92" t="s">
        <v>50</v>
      </c>
      <c r="O399" s="42" t="str">
        <f>IFERROR(INDEX([1]GARANTIA!$E:$E,MATCH(A399,[1]GARANTIA!$C:$C,0)),"INSIRA N° SERIE")</f>
        <v>MTI - 1.000GTS</v>
      </c>
      <c r="P399" s="101" t="s">
        <v>811</v>
      </c>
      <c r="Q399" s="94" t="s">
        <v>645</v>
      </c>
      <c r="R399" s="93" t="s">
        <v>821</v>
      </c>
      <c r="S399" s="95" t="s">
        <v>325</v>
      </c>
      <c r="T399" s="95" t="s">
        <v>640</v>
      </c>
      <c r="U399" s="96"/>
      <c r="V399" s="41" t="str">
        <f>IFERROR(INDEX([1]GARANTIA!$G:$G,MATCH(A399,[1]GARANTIA!$C:$C,0)),"INSIRA N° SERIE")</f>
        <v>NATAL</v>
      </c>
      <c r="W399" s="41" t="str">
        <f>IFERROR(INDEX([1]GARANTIA!$H:$H,MATCH(A399,[1]GARANTIA!$C:$C,0)),"INSIRA N° SERIE")</f>
        <v>RN</v>
      </c>
      <c r="X399" s="41" t="str">
        <f>IFERROR(INDEX([1]GARANTIA!$F:$F,MATCH(A399,[1]GARANTIA!$C:$C,0)),"INSIRA N° SERIE")</f>
        <v>NORDESTE</v>
      </c>
      <c r="Y399" s="46">
        <f t="shared" si="75"/>
        <v>0</v>
      </c>
      <c r="Z399" s="47">
        <f t="shared" si="76"/>
        <v>4</v>
      </c>
      <c r="AA399" s="46">
        <f t="shared" si="77"/>
        <v>4</v>
      </c>
      <c r="AB399" s="46" t="str" cm="1">
        <f t="array" ref="AB399">IFERROR(_xlfn.IFS(L399="FINALIZADO PRESENCIAL",IF(AA399&gt;10,"FORA","DENTRO"),L399="FINALIZADO REMOTO",IF(AA399&gt;5,"FORA","DENTRO")),"-")</f>
        <v>DENTRO</v>
      </c>
      <c r="AC399" s="41" t="s">
        <v>1671</v>
      </c>
      <c r="AD399" s="41" t="s">
        <v>1671</v>
      </c>
      <c r="AE399" s="48" cm="1">
        <f t="array" ref="AE399">SUMPRODUCT(IFERROR(('[2]PEÇAS GARANTIA'!$A$3:$A$5993=G399)*('[2]PEÇAS GARANTIA'!$A$3:$A$5993&lt;&gt;"")*('[2]PEÇAS GARANTIA'!$R$3:$R$5993),0))</f>
        <v>85.95</v>
      </c>
      <c r="AF399" s="178">
        <v>0</v>
      </c>
    </row>
    <row r="400" spans="1:32" ht="33" customHeight="1" x14ac:dyDescent="0.25">
      <c r="A400" s="82">
        <v>86746</v>
      </c>
      <c r="B400" s="41" t="str">
        <f>IFERROR(INDEX([1]GARANTIA!$B:$B,MATCH(A400,[1]GARANTIA!$C:$C,0)),"INSIRA N° SERIE")</f>
        <v>TESTE 320</v>
      </c>
      <c r="C400" s="33">
        <f>IFERROR(INDEX([1]GARANTIA!$J:$J,MATCH(A400,[1]GARANTIA!$C:$C,0)),"INSIRA N° SERIE")</f>
        <v>44104</v>
      </c>
      <c r="D400" s="33" t="str">
        <f>IFERROR(IF(INDEX([1]GARANTIA!$M:$M,MATCH(A400,[1]GARANTIA!$C:$C,0))&gt;=I400,"DENTRO DA GARANTIA","FORA DE GARANTIA"),"INSIRA N° SERIE")</f>
        <v>DENTRO DA GARANTIA</v>
      </c>
      <c r="E400" s="148"/>
      <c r="F400" s="109">
        <f>IFERROR(MAX(0,IF(I400-(INDEX([1]GARANTIA!$J:$J,MATCH(A400,[1]GARANTIA!$C:$C,0)))&gt;=0,I400-(INDEX([1]GARANTIA!$L:$L,MATCH(A400,[1]GARANTIA!$C:$C,0))),"INSIRA DATA CHAMADO")),"INSIRA N° SERIE")</f>
        <v>283</v>
      </c>
      <c r="G400" s="98">
        <v>20210817</v>
      </c>
      <c r="H400" s="35" t="str">
        <f t="shared" si="71"/>
        <v>DEZ</v>
      </c>
      <c r="I400" s="89">
        <v>44536</v>
      </c>
      <c r="J400" s="90">
        <v>44536</v>
      </c>
      <c r="K400" s="91">
        <v>44539</v>
      </c>
      <c r="L400" s="92" t="s">
        <v>23</v>
      </c>
      <c r="M400" s="92" t="s">
        <v>8</v>
      </c>
      <c r="N400" s="92" t="s">
        <v>28</v>
      </c>
      <c r="O400" s="42" t="str">
        <f>IFERROR(INDEX([1]GARANTIA!$E:$E,MATCH(A400,[1]GARANTIA!$C:$C,0)),"INSIRA N° SERIE")</f>
        <v>MTI - 1.000GTS</v>
      </c>
      <c r="P400" s="101" t="s">
        <v>844</v>
      </c>
      <c r="Q400" s="94" t="s">
        <v>305</v>
      </c>
      <c r="R400" s="93" t="s">
        <v>834</v>
      </c>
      <c r="S400" s="95" t="s">
        <v>638</v>
      </c>
      <c r="T400" s="95" t="s">
        <v>143</v>
      </c>
      <c r="U400" s="96"/>
      <c r="V400" s="41" t="str">
        <f>IFERROR(INDEX([1]GARANTIA!$G:$G,MATCH(A400,[1]GARANTIA!$C:$C,0)),"INSIRA N° SERIE")</f>
        <v>CORRENTE</v>
      </c>
      <c r="W400" s="41" t="str">
        <f>IFERROR(INDEX([1]GARANTIA!$H:$H,MATCH(A400,[1]GARANTIA!$C:$C,0)),"INSIRA N° SERIE")</f>
        <v>PI</v>
      </c>
      <c r="X400" s="41" t="str">
        <f>IFERROR(INDEX([1]GARANTIA!$F:$F,MATCH(A400,[1]GARANTIA!$C:$C,0)),"INSIRA N° SERIE")</f>
        <v>NORDESTE</v>
      </c>
      <c r="Y400" s="46">
        <f t="shared" ref="Y400:Y405" si="78">IF(G400&lt;&gt;"",J400-I400,"INSIRA N° OS")</f>
        <v>0</v>
      </c>
      <c r="Z400" s="47">
        <f t="shared" ref="Z400:Z405" si="79">IF(G400&lt;&gt;"",IF(OR(A400="",K400="",Q400="",P400="",R400=""),"NÃO FINALIZADO",K400-J400),"INSIRA N° OS")</f>
        <v>3</v>
      </c>
      <c r="AA400" s="46">
        <f t="shared" ref="AA400:AA405" si="80">IF(Z400="NÃO FINALIZADO","",Z400+Y400)</f>
        <v>3</v>
      </c>
      <c r="AB400" s="46" t="str" cm="1">
        <f t="array" ref="AB400">IFERROR(_xlfn.IFS(L400="FINALIZADO PRESENCIAL",IF(AA400&gt;10,"FORA","DENTRO"),L400="FINALIZADO REMOTO",IF(AA400&gt;5,"FORA","DENTRO")),"-")</f>
        <v>DENTRO</v>
      </c>
      <c r="AC400" s="41" t="s">
        <v>1671</v>
      </c>
      <c r="AD400" s="41" t="s">
        <v>1671</v>
      </c>
      <c r="AE400" s="48" cm="1">
        <f t="array" ref="AE400">SUMPRODUCT(IFERROR(('[2]PEÇAS GARANTIA'!$A$3:$A$5993=G400)*('[2]PEÇAS GARANTIA'!$A$3:$A$5993&lt;&gt;"")*('[2]PEÇAS GARANTIA'!$R$3:$R$5993),0))</f>
        <v>0</v>
      </c>
      <c r="AF400" s="178">
        <v>0</v>
      </c>
    </row>
    <row r="401" spans="1:32" ht="41.25" customHeight="1" x14ac:dyDescent="0.25">
      <c r="A401" s="82">
        <v>55078</v>
      </c>
      <c r="B401" s="41" t="str">
        <f>IFERROR(INDEX([1]GARANTIA!$B:$B,MATCH(A401,[1]GARANTIA!$C:$C,0)),"INSIRA N° SERIE")</f>
        <v>TESTE 102</v>
      </c>
      <c r="C401" s="33">
        <f>IFERROR(INDEX([1]GARANTIA!$J:$J,MATCH(A401,[1]GARANTIA!$C:$C,0)),"INSIRA N° SERIE")</f>
        <v>44180</v>
      </c>
      <c r="D401" s="33" t="str">
        <f>IFERROR(IF(INDEX([1]GARANTIA!$M:$M,MATCH(A401,[1]GARANTIA!$C:$C,0))&gt;=I401,"DENTRO DA GARANTIA","FORA DE GARANTIA"),"INSIRA N° SERIE")</f>
        <v>DENTRO DA GARANTIA</v>
      </c>
      <c r="E401" s="148"/>
      <c r="F401" s="109">
        <f>IFERROR(MAX(0,IF(I401-(INDEX([1]GARANTIA!$J:$J,MATCH(A401,[1]GARANTIA!$C:$C,0)))&gt;=0,I401-(INDEX([1]GARANTIA!$L:$L,MATCH(A401,[1]GARANTIA!$C:$C,0))),"INSIRA DATA CHAMADO")),"INSIRA N° SERIE")</f>
        <v>148</v>
      </c>
      <c r="G401" s="98">
        <v>20210818</v>
      </c>
      <c r="H401" s="35" t="str">
        <f t="shared" si="71"/>
        <v>DEZ</v>
      </c>
      <c r="I401" s="89">
        <v>44536</v>
      </c>
      <c r="J401" s="90">
        <v>44536</v>
      </c>
      <c r="K401" s="91">
        <v>44564</v>
      </c>
      <c r="L401" s="92" t="s">
        <v>23</v>
      </c>
      <c r="M401" s="92" t="s">
        <v>8</v>
      </c>
      <c r="N401" s="142" t="s">
        <v>50</v>
      </c>
      <c r="O401" s="42" t="str">
        <f>IFERROR(INDEX([1]GARANTIA!$E:$E,MATCH(A401,[1]GARANTIA!$C:$C,0)),"INSIRA N° SERIE")</f>
        <v>E - 600</v>
      </c>
      <c r="P401" s="101" t="s">
        <v>822</v>
      </c>
      <c r="Q401" s="94" t="s">
        <v>645</v>
      </c>
      <c r="R401" s="93" t="s">
        <v>859</v>
      </c>
      <c r="S401" s="95" t="s">
        <v>325</v>
      </c>
      <c r="T401" s="95" t="s">
        <v>640</v>
      </c>
      <c r="U401" s="96"/>
      <c r="V401" s="41" t="str">
        <f>IFERROR(INDEX([1]GARANTIA!$G:$G,MATCH(A401,[1]GARANTIA!$C:$C,0)),"INSIRA N° SERIE")</f>
        <v xml:space="preserve">PIRANHAS </v>
      </c>
      <c r="W401" s="41" t="str">
        <f>IFERROR(INDEX([1]GARANTIA!$H:$H,MATCH(A401,[1]GARANTIA!$C:$C,0)),"INSIRA N° SERIE")</f>
        <v>GO</v>
      </c>
      <c r="X401" s="41" t="str">
        <f>IFERROR(INDEX([1]GARANTIA!$F:$F,MATCH(A401,[1]GARANTIA!$C:$C,0)),"INSIRA N° SERIE")</f>
        <v>CENTROESTE</v>
      </c>
      <c r="Y401" s="46">
        <f t="shared" si="78"/>
        <v>0</v>
      </c>
      <c r="Z401" s="47">
        <f t="shared" si="79"/>
        <v>28</v>
      </c>
      <c r="AA401" s="46">
        <f t="shared" si="80"/>
        <v>28</v>
      </c>
      <c r="AB401" s="46" t="str" cm="1">
        <f t="array" ref="AB401">IFERROR(_xlfn.IFS(L401="FINALIZADO PRESENCIAL",IF(AA401&gt;10,"FORA","DENTRO"),L401="FINALIZADO REMOTO",IF(AA401&gt;5,"FORA","DENTRO")),"-")</f>
        <v>FORA</v>
      </c>
      <c r="AC401" s="41" t="s">
        <v>1671</v>
      </c>
      <c r="AD401" s="41" t="s">
        <v>1671</v>
      </c>
      <c r="AE401" s="48" cm="1">
        <f t="array" ref="AE401">SUMPRODUCT(IFERROR(('[2]PEÇAS GARANTIA'!$A$3:$A$5993=G401)*('[2]PEÇAS GARANTIA'!$A$3:$A$5993&lt;&gt;"")*('[2]PEÇAS GARANTIA'!$R$3:$R$5993),0))</f>
        <v>87.5</v>
      </c>
      <c r="AF401" s="178">
        <v>0</v>
      </c>
    </row>
    <row r="402" spans="1:32" ht="33" customHeight="1" x14ac:dyDescent="0.25">
      <c r="A402" s="82">
        <v>43927</v>
      </c>
      <c r="B402" s="41" t="s">
        <v>819</v>
      </c>
      <c r="C402" s="33">
        <f>IFERROR(INDEX([1]GARANTIA!$J:$J,MATCH(A402,[1]GARANTIA!$C:$C,0)),"INSIRA N° SERIE")</f>
        <v>44215</v>
      </c>
      <c r="D402" s="33" t="str">
        <f>IFERROR(IF(INDEX([1]GARANTIA!$M:$M,MATCH(A402,[1]GARANTIA!$C:$C,0))&gt;=I402,"DENTRO DA GARANTIA","FORA DE GARANTIA"),"INSIRA N° SERIE")</f>
        <v>DENTRO DA GARANTIA</v>
      </c>
      <c r="E402" s="148"/>
      <c r="F402" s="109">
        <f>IFERROR(MAX(0,IF(I402-(INDEX([1]GARANTIA!$J:$J,MATCH(A402,[1]GARANTIA!$C:$C,0)))&gt;=0,I402-(INDEX([1]GARANTIA!$L:$L,MATCH(A402,[1]GARANTIA!$C:$C,0))),"INSIRA DATA CHAMADO")),"INSIRA N° SERIE")</f>
        <v>1</v>
      </c>
      <c r="G402" s="98">
        <v>20210819</v>
      </c>
      <c r="H402" s="35" t="str">
        <f t="shared" si="71"/>
        <v>DEZ</v>
      </c>
      <c r="I402" s="89">
        <v>44531</v>
      </c>
      <c r="J402" s="90">
        <v>44531</v>
      </c>
      <c r="K402" s="91"/>
      <c r="L402" s="92" t="s">
        <v>24</v>
      </c>
      <c r="M402" s="92" t="s">
        <v>8</v>
      </c>
      <c r="N402" s="92" t="s">
        <v>54</v>
      </c>
      <c r="O402" s="42" t="str">
        <f>IFERROR(INDEX([1]GARANTIA!$E:$E,MATCH(A402,[1]GARANTIA!$C:$C,0)),"INSIRA N° SERIE")</f>
        <v>MTI -15.000GES</v>
      </c>
      <c r="P402" s="101" t="s">
        <v>848</v>
      </c>
      <c r="Q402" s="94"/>
      <c r="R402" s="93"/>
      <c r="S402" s="95"/>
      <c r="T402" s="95"/>
      <c r="U402" s="96"/>
      <c r="V402" s="41" t="str">
        <f>IFERROR(INDEX([1]GARANTIA!$G:$G,MATCH(A402,[1]GARANTIA!$C:$C,0)),"INSIRA N° SERIE")</f>
        <v xml:space="preserve">PAULINIA </v>
      </c>
      <c r="W402" s="41" t="str">
        <f>IFERROR(INDEX([1]GARANTIA!$H:$H,MATCH(A402,[1]GARANTIA!$C:$C,0)),"INSIRA N° SERIE")</f>
        <v>SP</v>
      </c>
      <c r="X402" s="41" t="str">
        <f>IFERROR(INDEX([1]GARANTIA!$F:$F,MATCH(A402,[1]GARANTIA!$C:$C,0)),"INSIRA N° SERIE")</f>
        <v>SUDESTE</v>
      </c>
      <c r="Y402" s="46">
        <f t="shared" si="78"/>
        <v>0</v>
      </c>
      <c r="Z402" s="47" t="str">
        <f t="shared" si="79"/>
        <v>NÃO FINALIZADO</v>
      </c>
      <c r="AA402" s="46" t="str">
        <f t="shared" si="80"/>
        <v/>
      </c>
      <c r="AB402" s="46" t="str" cm="1">
        <f t="array" ref="AB402">IFERROR(_xlfn.IFS(L402="FINALIZADO PRESENCIAL",IF(AA402&gt;10,"FORA","DENTRO"),L402="FINALIZADO REMOTO",IF(AA402&gt;5,"FORA","DENTRO")),"-")</f>
        <v>-</v>
      </c>
      <c r="AC402" s="41" t="s">
        <v>1671</v>
      </c>
      <c r="AD402" s="41" t="s">
        <v>1671</v>
      </c>
      <c r="AE402" s="48" cm="1">
        <f t="array" ref="AE402">SUMPRODUCT(IFERROR(('[2]PEÇAS GARANTIA'!$A$3:$A$5993=G402)*('[2]PEÇAS GARANTIA'!$A$3:$A$5993&lt;&gt;"")*('[2]PEÇAS GARANTIA'!$R$3:$R$5993),0))</f>
        <v>0</v>
      </c>
      <c r="AF402" s="178">
        <v>8680.3700000000008</v>
      </c>
    </row>
    <row r="403" spans="1:32" ht="54.75" customHeight="1" x14ac:dyDescent="0.25">
      <c r="A403" s="82">
        <v>79251</v>
      </c>
      <c r="B403" s="41" t="str">
        <f>IFERROR(INDEX([1]GARANTIA!$B:$B,MATCH(A403,[1]GARANTIA!$C:$C,0)),"INSIRA N° SERIE")</f>
        <v>TESTE 333</v>
      </c>
      <c r="C403" s="33">
        <f>IFERROR(INDEX([1]GARANTIA!$J:$J,MATCH(A403,[1]GARANTIA!$C:$C,0)),"INSIRA N° SERIE")</f>
        <v>44134</v>
      </c>
      <c r="D403" s="33" t="str">
        <f>IFERROR(IF(INDEX([1]GARANTIA!$M:$M,MATCH(A403,[1]GARANTIA!$C:$C,0))&gt;=I403,"DENTRO DA GARANTIA","FORA DE GARANTIA"),"INSIRA N° SERIE")</f>
        <v>DENTRO DA GARANTIA</v>
      </c>
      <c r="E403" s="148"/>
      <c r="F403" s="109">
        <f>IFERROR(MAX(0,IF(I403-(INDEX([1]GARANTIA!$J:$J,MATCH(A403,[1]GARANTIA!$C:$C,0)))&gt;=0,I403-(INDEX([1]GARANTIA!$L:$L,MATCH(A403,[1]GARANTIA!$C:$C,0))),"INSIRA DATA CHAMADO")),"INSIRA N° SERIE")</f>
        <v>188</v>
      </c>
      <c r="G403" s="98">
        <v>20210820</v>
      </c>
      <c r="H403" s="35" t="str">
        <f t="shared" si="71"/>
        <v>DEZ</v>
      </c>
      <c r="I403" s="89">
        <v>44533</v>
      </c>
      <c r="J403" s="90">
        <v>44533</v>
      </c>
      <c r="K403" s="91">
        <v>44539</v>
      </c>
      <c r="L403" s="92" t="s">
        <v>11</v>
      </c>
      <c r="M403" s="92" t="s">
        <v>8</v>
      </c>
      <c r="N403" s="92" t="s">
        <v>28</v>
      </c>
      <c r="O403" s="42" t="str">
        <f>IFERROR(INDEX([1]GARANTIA!$E:$E,MATCH(A403,[1]GARANTIA!$C:$C,0)),"INSIRA N° SERIE")</f>
        <v>MTI - 12.000GTS</v>
      </c>
      <c r="P403" s="101" t="s">
        <v>832</v>
      </c>
      <c r="Q403" s="94" t="s">
        <v>305</v>
      </c>
      <c r="R403" s="93" t="s">
        <v>833</v>
      </c>
      <c r="S403" s="95" t="s">
        <v>638</v>
      </c>
      <c r="T403" s="95" t="s">
        <v>143</v>
      </c>
      <c r="U403" s="96"/>
      <c r="V403" s="41" t="str">
        <f>IFERROR(INDEX([1]GARANTIA!$G:$G,MATCH(A403,[1]GARANTIA!$C:$C,0)),"INSIRA N° SERIE")</f>
        <v xml:space="preserve">TRES LAGOAS </v>
      </c>
      <c r="W403" s="41" t="str">
        <f>IFERROR(INDEX([1]GARANTIA!$H:$H,MATCH(A403,[1]GARANTIA!$C:$C,0)),"INSIRA N° SERIE")</f>
        <v xml:space="preserve">MS </v>
      </c>
      <c r="X403" s="41" t="str">
        <f>IFERROR(INDEX([1]GARANTIA!$F:$F,MATCH(A403,[1]GARANTIA!$C:$C,0)),"INSIRA N° SERIE")</f>
        <v>CENTROESTE</v>
      </c>
      <c r="Y403" s="46">
        <f t="shared" si="78"/>
        <v>0</v>
      </c>
      <c r="Z403" s="47">
        <f t="shared" si="79"/>
        <v>6</v>
      </c>
      <c r="AA403" s="46">
        <f t="shared" si="80"/>
        <v>6</v>
      </c>
      <c r="AB403" s="46" t="str" cm="1">
        <f t="array" ref="AB403">IFERROR(_xlfn.IFS(L403="FINALIZADO PRESENCIAL",IF(AA403&gt;10,"FORA","DENTRO"),L403="FINALIZADO REMOTO",IF(AA403&gt;5,"FORA","DENTRO")),"-")</f>
        <v>DENTRO</v>
      </c>
      <c r="AC403" s="41" t="s">
        <v>1671</v>
      </c>
      <c r="AD403" s="41" t="s">
        <v>1671</v>
      </c>
      <c r="AE403" s="48" cm="1">
        <f t="array" ref="AE403">SUMPRODUCT(IFERROR(('[2]PEÇAS GARANTIA'!$A$3:$A$5993=G403)*('[2]PEÇAS GARANTIA'!$A$3:$A$5993&lt;&gt;"")*('[2]PEÇAS GARANTIA'!$R$3:$R$5993),0))</f>
        <v>4565.43</v>
      </c>
      <c r="AF403" s="178">
        <v>0</v>
      </c>
    </row>
    <row r="404" spans="1:32" ht="33" customHeight="1" x14ac:dyDescent="0.25">
      <c r="A404" s="82">
        <v>99865</v>
      </c>
      <c r="B404" s="41" t="s">
        <v>820</v>
      </c>
      <c r="C404" s="33">
        <f>IFERROR(INDEX([1]GARANTIA!$J:$J,MATCH(A404,[1]GARANTIA!$C:$C,0)),"INSIRA N° SERIE")</f>
        <v>44480</v>
      </c>
      <c r="D404" s="33" t="str">
        <f>IFERROR(IF(INDEX([1]GARANTIA!$M:$M,MATCH(A404,[1]GARANTIA!$C:$C,0))&gt;=I404,"DENTRO DA GARANTIA","FORA DE GARANTIA"),"INSIRA N° SERIE")</f>
        <v>DENTRO DA GARANTIA</v>
      </c>
      <c r="E404" s="148"/>
      <c r="F404" s="109">
        <f>IFERROR(MAX(0,IF(I404-(INDEX([1]GARANTIA!$J:$J,MATCH(A404,[1]GARANTIA!$C:$C,0)))&gt;=0,I404-(INDEX([1]GARANTIA!$L:$L,MATCH(A404,[1]GARANTIA!$C:$C,0))),"INSIRA DATA CHAMADO")),"INSIRA N° SERIE")</f>
        <v>10</v>
      </c>
      <c r="G404" s="98">
        <v>20210821</v>
      </c>
      <c r="H404" s="35" t="str">
        <f t="shared" si="71"/>
        <v>DEZ</v>
      </c>
      <c r="I404" s="89">
        <v>44536</v>
      </c>
      <c r="J404" s="90">
        <v>44536</v>
      </c>
      <c r="K404" s="91">
        <v>44542</v>
      </c>
      <c r="L404" s="92" t="s">
        <v>11</v>
      </c>
      <c r="M404" s="92" t="s">
        <v>8</v>
      </c>
      <c r="N404" s="92" t="s">
        <v>42</v>
      </c>
      <c r="O404" s="42" t="str">
        <f>IFERROR(INDEX([1]GARANTIA!$E:$E,MATCH(A404,[1]GARANTIA!$C:$C,0)),"INSIRA N° SERIE")</f>
        <v>MTI - 1.000GTS</v>
      </c>
      <c r="P404" s="101" t="s">
        <v>830</v>
      </c>
      <c r="Q404" s="94" t="s">
        <v>645</v>
      </c>
      <c r="R404" s="93" t="s">
        <v>831</v>
      </c>
      <c r="S404" s="95" t="s">
        <v>101</v>
      </c>
      <c r="T404" s="95" t="s">
        <v>142</v>
      </c>
      <c r="U404" s="96"/>
      <c r="V404" s="41" t="str">
        <f>IFERROR(INDEX([1]GARANTIA!$G:$G,MATCH(A404,[1]GARANTIA!$C:$C,0)),"INSIRA N° SERIE")</f>
        <v xml:space="preserve">ALMIRANTE TAMANDARÉ </v>
      </c>
      <c r="W404" s="41" t="str">
        <f>IFERROR(INDEX([1]GARANTIA!$H:$H,MATCH(A404,[1]GARANTIA!$C:$C,0)),"INSIRA N° SERIE")</f>
        <v>PR</v>
      </c>
      <c r="X404" s="41" t="str">
        <f>IFERROR(INDEX([1]GARANTIA!$F:$F,MATCH(A404,[1]GARANTIA!$C:$C,0)),"INSIRA N° SERIE")</f>
        <v>SUL</v>
      </c>
      <c r="Y404" s="46">
        <f t="shared" si="78"/>
        <v>0</v>
      </c>
      <c r="Z404" s="47">
        <f t="shared" si="79"/>
        <v>6</v>
      </c>
      <c r="AA404" s="46">
        <f t="shared" si="80"/>
        <v>6</v>
      </c>
      <c r="AB404" s="46" t="str" cm="1">
        <f t="array" ref="AB404">IFERROR(_xlfn.IFS(L404="FINALIZADO PRESENCIAL",IF(AA404&gt;10,"FORA","DENTRO"),L404="FINALIZADO REMOTO",IF(AA404&gt;5,"FORA","DENTRO")),"-")</f>
        <v>DENTRO</v>
      </c>
      <c r="AC404" s="41" t="s">
        <v>1671</v>
      </c>
      <c r="AD404" s="41" t="s">
        <v>1671</v>
      </c>
      <c r="AE404" s="48" cm="1">
        <f t="array" ref="AE404">SUMPRODUCT(IFERROR(('[2]PEÇAS GARANTIA'!$A$3:$A$5993=G404)*('[2]PEÇAS GARANTIA'!$A$3:$A$5993&lt;&gt;"")*('[2]PEÇAS GARANTIA'!$R$3:$R$5993),0))</f>
        <v>0</v>
      </c>
      <c r="AF404" s="178">
        <v>0</v>
      </c>
    </row>
    <row r="405" spans="1:32" ht="38.25" customHeight="1" x14ac:dyDescent="0.25">
      <c r="A405" s="82">
        <v>41240</v>
      </c>
      <c r="B405" s="41" t="str">
        <f>IFERROR(INDEX([1]GARANTIA!$B:$B,MATCH(A405,[1]GARANTIA!$C:$C,0)),"INSIRA N° SERIE")</f>
        <v>TESTE 122</v>
      </c>
      <c r="C405" s="33">
        <f>IFERROR(INDEX([1]GARANTIA!$J:$J,MATCH(A405,[1]GARANTIA!$C:$C,0)),"INSIRA N° SERIE")</f>
        <v>44176</v>
      </c>
      <c r="D405" s="33" t="str">
        <f>IFERROR(IF(INDEX([1]GARANTIA!$M:$M,MATCH(A405,[1]GARANTIA!$C:$C,0))&gt;=I405,"DENTRO DA GARANTIA","FORA DE GARANTIA"),"INSIRA N° SERIE")</f>
        <v>DENTRO DA GARANTIA</v>
      </c>
      <c r="E405" s="148"/>
      <c r="F405" s="109">
        <f>IFERROR(MAX(0,IF(I405-(INDEX([1]GARANTIA!$J:$J,MATCH(A405,[1]GARANTIA!$C:$C,0)))&gt;=0,I405-(INDEX([1]GARANTIA!$L:$L,MATCH(A405,[1]GARANTIA!$C:$C,0))),"INSIRA DATA CHAMADO")),"INSIRA N° SERIE")</f>
        <v>191</v>
      </c>
      <c r="G405" s="98">
        <v>20210822</v>
      </c>
      <c r="H405" s="35" t="str">
        <f t="shared" si="71"/>
        <v>DEZ</v>
      </c>
      <c r="I405" s="89">
        <v>44538</v>
      </c>
      <c r="J405" s="90">
        <v>44538</v>
      </c>
      <c r="K405" s="91">
        <v>44539</v>
      </c>
      <c r="L405" s="92" t="s">
        <v>11</v>
      </c>
      <c r="M405" s="92" t="s">
        <v>8</v>
      </c>
      <c r="N405" s="92" t="s">
        <v>43</v>
      </c>
      <c r="O405" s="42" t="str">
        <f>IFERROR(INDEX([1]GARANTIA!$E:$E,MATCH(A405,[1]GARANTIA!$C:$C,0)),"INSIRA N° SERIE")</f>
        <v>MTI - 4.000GTS</v>
      </c>
      <c r="P405" s="101" t="s">
        <v>828</v>
      </c>
      <c r="Q405" s="94" t="s">
        <v>305</v>
      </c>
      <c r="R405" s="93" t="s">
        <v>829</v>
      </c>
      <c r="S405" s="95" t="s">
        <v>638</v>
      </c>
      <c r="T405" s="95" t="s">
        <v>143</v>
      </c>
      <c r="U405" s="96"/>
      <c r="V405" s="41" t="str">
        <f>IFERROR(INDEX([1]GARANTIA!$G:$G,MATCH(A405,[1]GARANTIA!$C:$C,0)),"INSIRA N° SERIE")</f>
        <v xml:space="preserve">SÃO LUIS </v>
      </c>
      <c r="W405" s="41" t="str">
        <f>IFERROR(INDEX([1]GARANTIA!$H:$H,MATCH(A405,[1]GARANTIA!$C:$C,0)),"INSIRA N° SERIE")</f>
        <v xml:space="preserve">MA </v>
      </c>
      <c r="X405" s="41" t="str">
        <f>IFERROR(INDEX([1]GARANTIA!$F:$F,MATCH(A405,[1]GARANTIA!$C:$C,0)),"INSIRA N° SERIE")</f>
        <v>NORDESTE</v>
      </c>
      <c r="Y405" s="46">
        <f t="shared" si="78"/>
        <v>0</v>
      </c>
      <c r="Z405" s="47">
        <f t="shared" si="79"/>
        <v>1</v>
      </c>
      <c r="AA405" s="46">
        <f t="shared" si="80"/>
        <v>1</v>
      </c>
      <c r="AB405" s="46" t="str" cm="1">
        <f t="array" ref="AB405">IFERROR(_xlfn.IFS(L405="FINALIZADO PRESENCIAL",IF(AA405&gt;10,"FORA","DENTRO"),L405="FINALIZADO REMOTO",IF(AA405&gt;5,"FORA","DENTRO")),"-")</f>
        <v>DENTRO</v>
      </c>
      <c r="AC405" s="41" t="s">
        <v>1671</v>
      </c>
      <c r="AD405" s="41" t="s">
        <v>1671</v>
      </c>
      <c r="AE405" s="48" cm="1">
        <f t="array" ref="AE405">SUMPRODUCT(IFERROR(('[2]PEÇAS GARANTIA'!$A$3:$A$5993=G405)*('[2]PEÇAS GARANTIA'!$A$3:$A$5993&lt;&gt;"")*('[2]PEÇAS GARANTIA'!$R$3:$R$5993),0))</f>
        <v>0</v>
      </c>
      <c r="AF405" s="178">
        <v>0</v>
      </c>
    </row>
    <row r="406" spans="1:32" ht="33" customHeight="1" x14ac:dyDescent="0.25">
      <c r="A406" s="82">
        <v>24353</v>
      </c>
      <c r="B406" s="41" t="str">
        <f>IFERROR(INDEX([1]GARANTIA!$B:$B,MATCH(A406,[1]GARANTIA!$C:$C,0)),"INSIRA N° SERIE")</f>
        <v>TESTE 37</v>
      </c>
      <c r="C406" s="33">
        <f>IFERROR(INDEX([1]GARANTIA!$J:$J,MATCH(A406,[1]GARANTIA!$C:$C,0)),"INSIRA N° SERIE")</f>
        <v>44196</v>
      </c>
      <c r="D406" s="33" t="str">
        <f>IFERROR(IF(INDEX([1]GARANTIA!$M:$M,MATCH(A406,[1]GARANTIA!$C:$C,0))&gt;=I406,"DENTRO DA GARANTIA","FORA DE GARANTIA"),"INSIRA N° SERIE")</f>
        <v>DENTRO DA GARANTIA</v>
      </c>
      <c r="E406" s="148"/>
      <c r="F406" s="109">
        <f>IFERROR(MAX(0,IF(I406-(INDEX([1]GARANTIA!$J:$J,MATCH(A406,[1]GARANTIA!$C:$C,0)))&gt;=0,I406-(INDEX([1]GARANTIA!$L:$L,MATCH(A406,[1]GARANTIA!$C:$C,0))),"INSIRA DATA CHAMADO")),"INSIRA N° SERIE")</f>
        <v>243</v>
      </c>
      <c r="G406" s="98">
        <v>20210823</v>
      </c>
      <c r="H406" s="35" t="str">
        <f t="shared" si="71"/>
        <v>DEZ</v>
      </c>
      <c r="I406" s="89">
        <v>44538</v>
      </c>
      <c r="J406" s="90">
        <v>44538</v>
      </c>
      <c r="K406" s="91">
        <v>44544</v>
      </c>
      <c r="L406" s="92" t="s">
        <v>11</v>
      </c>
      <c r="M406" s="92" t="s">
        <v>8</v>
      </c>
      <c r="N406" s="92" t="s">
        <v>28</v>
      </c>
      <c r="O406" s="42" t="str">
        <f>IFERROR(INDEX([1]GARANTIA!$E:$E,MATCH(A406,[1]GARANTIA!$C:$C,0)),"INSIRA N° SERIE")</f>
        <v>MTI - 7.000GTS</v>
      </c>
      <c r="P406" s="101" t="s">
        <v>823</v>
      </c>
      <c r="Q406" s="94" t="s">
        <v>645</v>
      </c>
      <c r="R406" s="93" t="s">
        <v>827</v>
      </c>
      <c r="S406" s="95" t="s">
        <v>325</v>
      </c>
      <c r="T406" s="95" t="s">
        <v>640</v>
      </c>
      <c r="U406" s="96"/>
      <c r="V406" s="41" t="str">
        <f>IFERROR(INDEX([1]GARANTIA!$G:$G,MATCH(A406,[1]GARANTIA!$C:$C,0)),"INSIRA N° SERIE")</f>
        <v xml:space="preserve">GOIANIA </v>
      </c>
      <c r="W406" s="41" t="str">
        <f>IFERROR(INDEX([1]GARANTIA!$H:$H,MATCH(A406,[1]GARANTIA!$C:$C,0)),"INSIRA N° SERIE")</f>
        <v xml:space="preserve">GO </v>
      </c>
      <c r="X406" s="41" t="str">
        <f>IFERROR(INDEX([1]GARANTIA!$F:$F,MATCH(A406,[1]GARANTIA!$C:$C,0)),"INSIRA N° SERIE")</f>
        <v>CENTROESTE</v>
      </c>
      <c r="Y406" s="46">
        <f t="shared" ref="Y406:Y408" si="81">IF(G406&lt;&gt;"",J406-I406,"INSIRA N° OS")</f>
        <v>0</v>
      </c>
      <c r="Z406" s="47">
        <f t="shared" ref="Z406:Z407" si="82">IF(G406&lt;&gt;"",IF(OR(A406="",K406="",Q406="",P406="",R406=""),"NÃO FINALIZADO",K406-J406),"INSIRA N° OS")</f>
        <v>6</v>
      </c>
      <c r="AA406" s="46">
        <f t="shared" ref="AA406:AA408" si="83">IF(Z406="NÃO FINALIZADO","",Z406+Y406)</f>
        <v>6</v>
      </c>
      <c r="AB406" s="46" t="str" cm="1">
        <f t="array" ref="AB406">IFERROR(_xlfn.IFS(L406="FINALIZADO PRESENCIAL",IF(AA406&gt;10,"FORA","DENTRO"),L406="FINALIZADO REMOTO",IF(AA406&gt;5,"FORA","DENTRO")),"-")</f>
        <v>DENTRO</v>
      </c>
      <c r="AC406" s="41" t="s">
        <v>1671</v>
      </c>
      <c r="AD406" s="41" t="s">
        <v>1671</v>
      </c>
      <c r="AE406" s="48" cm="1">
        <f t="array" ref="AE406">SUMPRODUCT(IFERROR(('[2]PEÇAS GARANTIA'!$A$3:$A$5993=G406)*('[2]PEÇAS GARANTIA'!$A$3:$A$5993&lt;&gt;"")*('[2]PEÇAS GARANTIA'!$R$3:$R$5993),0))</f>
        <v>2220.6</v>
      </c>
      <c r="AF406" s="178">
        <v>0</v>
      </c>
    </row>
    <row r="407" spans="1:32" ht="33" customHeight="1" x14ac:dyDescent="0.25">
      <c r="A407" s="82">
        <v>82782</v>
      </c>
      <c r="B407" s="41" t="str">
        <f>IFERROR(INDEX([1]GARANTIA!$B:$B,MATCH(A407,[1]GARANTIA!$C:$C,0)),"INSIRA N° SERIE")</f>
        <v>TESTE 365</v>
      </c>
      <c r="C407" s="33">
        <f>IFERROR(INDEX([1]GARANTIA!$J:$J,MATCH(A407,[1]GARANTIA!$C:$C,0)),"INSIRA N° SERIE")</f>
        <v>44356</v>
      </c>
      <c r="D407" s="33" t="str">
        <f>IFERROR(IF(INDEX([1]GARANTIA!$M:$M,MATCH(A407,[1]GARANTIA!$C:$C,0))&gt;=I407,"DENTRO DA GARANTIA","FORA DE GARANTIA"),"INSIRA N° SERIE")</f>
        <v>DENTRO DA GARANTIA</v>
      </c>
      <c r="E407" s="148"/>
      <c r="F407" s="109">
        <f>IFERROR(MAX(0,IF(I407-(INDEX([1]GARANTIA!$J:$J,MATCH(A407,[1]GARANTIA!$C:$C,0)))&gt;=0,I407-(INDEX([1]GARANTIA!$L:$L,MATCH(A407,[1]GARANTIA!$C:$C,0))),"INSIRA DATA CHAMADO")),"INSIRA N° SERIE")</f>
        <v>41</v>
      </c>
      <c r="G407" s="98">
        <v>20210824</v>
      </c>
      <c r="H407" s="35" t="str">
        <f t="shared" si="71"/>
        <v>DEZ</v>
      </c>
      <c r="I407" s="89">
        <v>44539</v>
      </c>
      <c r="J407" s="90">
        <v>44539</v>
      </c>
      <c r="K407" s="91">
        <v>44909</v>
      </c>
      <c r="L407" s="92" t="s">
        <v>23</v>
      </c>
      <c r="M407" s="92" t="s">
        <v>8</v>
      </c>
      <c r="N407" s="92" t="s">
        <v>75</v>
      </c>
      <c r="O407" s="42" t="str">
        <f>IFERROR(INDEX([1]GARANTIA!$E:$E,MATCH(A407,[1]GARANTIA!$C:$C,0)),"INSIRA N° SERIE")</f>
        <v>MTI - 1.000GTS</v>
      </c>
      <c r="P407" s="101" t="s">
        <v>860</v>
      </c>
      <c r="Q407" s="94" t="s">
        <v>85</v>
      </c>
      <c r="R407" s="93" t="s">
        <v>861</v>
      </c>
      <c r="S407" s="95" t="s">
        <v>98</v>
      </c>
      <c r="T407" s="95" t="s">
        <v>141</v>
      </c>
      <c r="U407" s="96"/>
      <c r="V407" s="41" t="str">
        <f>IFERROR(INDEX([1]GARANTIA!$G:$G,MATCH(A407,[1]GARANTIA!$C:$C,0)),"INSIRA N° SERIE")</f>
        <v>SÃO PAULO</v>
      </c>
      <c r="W407" s="41" t="str">
        <f>IFERROR(INDEX([1]GARANTIA!$H:$H,MATCH(A407,[1]GARANTIA!$C:$C,0)),"INSIRA N° SERIE")</f>
        <v>SP</v>
      </c>
      <c r="X407" s="41" t="str">
        <f>IFERROR(INDEX([1]GARANTIA!$F:$F,MATCH(A407,[1]GARANTIA!$C:$C,0)),"INSIRA N° SERIE")</f>
        <v>SUDESTE</v>
      </c>
      <c r="Y407" s="46">
        <f t="shared" si="81"/>
        <v>0</v>
      </c>
      <c r="Z407" s="47">
        <f t="shared" si="82"/>
        <v>370</v>
      </c>
      <c r="AA407" s="46">
        <f t="shared" si="83"/>
        <v>370</v>
      </c>
      <c r="AB407" s="46" t="str" cm="1">
        <f t="array" ref="AB407">IFERROR(_xlfn.IFS(L407="FINALIZADO PRESENCIAL",IF(AA407&gt;10,"FORA","DENTRO"),L407="FINALIZADO REMOTO",IF(AA407&gt;5,"FORA","DENTRO")),"-")</f>
        <v>FORA</v>
      </c>
      <c r="AC407" s="41" t="s">
        <v>1671</v>
      </c>
      <c r="AD407" s="41" t="s">
        <v>1671</v>
      </c>
      <c r="AE407" s="48" cm="1">
        <f t="array" ref="AE407">SUMPRODUCT(IFERROR(('[2]PEÇAS GARANTIA'!$A$3:$A$5993=G407)*('[2]PEÇAS GARANTIA'!$A$3:$A$5993&lt;&gt;"")*('[2]PEÇAS GARANTIA'!$R$3:$R$5993),0))</f>
        <v>0</v>
      </c>
      <c r="AF407" s="178">
        <v>0</v>
      </c>
    </row>
    <row r="408" spans="1:32" ht="33" customHeight="1" x14ac:dyDescent="0.25">
      <c r="A408" s="82">
        <v>92027</v>
      </c>
      <c r="B408" s="41" t="s">
        <v>853</v>
      </c>
      <c r="C408" s="33">
        <f>IFERROR(INDEX([1]GARANTIA!$J:$J,MATCH(A408,[1]GARANTIA!$C:$C,0)),"INSIRA N° SERIE")</f>
        <v>44456</v>
      </c>
      <c r="D408" s="33" t="str">
        <f>IFERROR(IF(INDEX([1]GARANTIA!$M:$M,MATCH(A408,[1]GARANTIA!$C:$C,0))&gt;=I408,"DENTRO DA GARANTIA","FORA DE GARANTIA"),"INSIRA N° SERIE")</f>
        <v>DENTRO DA GARANTIA</v>
      </c>
      <c r="E408" s="148"/>
      <c r="F408" s="109">
        <f>IFERROR(MAX(0,IF(I408-(INDEX([1]GARANTIA!$J:$J,MATCH(A408,[1]GARANTIA!$C:$C,0)))&gt;=0,I408-(INDEX([1]GARANTIA!$L:$L,MATCH(A408,[1]GARANTIA!$C:$C,0))),"INSIRA DATA CHAMADO")),"INSIRA N° SERIE")</f>
        <v>6</v>
      </c>
      <c r="G408" s="98">
        <v>20210826</v>
      </c>
      <c r="H408" s="35" t="str">
        <f t="shared" si="71"/>
        <v>DEZ</v>
      </c>
      <c r="I408" s="89">
        <v>44539</v>
      </c>
      <c r="J408" s="90">
        <v>44539</v>
      </c>
      <c r="K408" s="91">
        <v>44540</v>
      </c>
      <c r="L408" s="92" t="s">
        <v>11</v>
      </c>
      <c r="M408" s="92" t="s">
        <v>164</v>
      </c>
      <c r="N408" s="92" t="s">
        <v>42</v>
      </c>
      <c r="O408" s="42" t="str">
        <f>IFERROR(INDEX([1]GARANTIA!$E:$E,MATCH(A408,[1]GARANTIA!$C:$C,0)),"INSIRA N° SERIE")</f>
        <v>MTI - 1.000GTS</v>
      </c>
      <c r="P408" s="101" t="s">
        <v>851</v>
      </c>
      <c r="Q408" s="142" t="s">
        <v>306</v>
      </c>
      <c r="R408" s="93" t="s">
        <v>852</v>
      </c>
      <c r="S408" s="142" t="s">
        <v>898</v>
      </c>
      <c r="T408" s="142" t="s">
        <v>898</v>
      </c>
      <c r="U408" s="96"/>
      <c r="V408" s="41" t="str">
        <f>IFERROR(INDEX([1]GARANTIA!$G:$G,MATCH(A408,[1]GARANTIA!$C:$C,0)),"INSIRA N° SERIE")</f>
        <v>CANGUÇU</v>
      </c>
      <c r="W408" s="41" t="str">
        <f>IFERROR(INDEX([1]GARANTIA!$H:$H,MATCH(A408,[1]GARANTIA!$C:$C,0)),"INSIRA N° SERIE")</f>
        <v>RS</v>
      </c>
      <c r="X408" s="41" t="str">
        <f>IFERROR(INDEX([1]GARANTIA!$F:$F,MATCH(A408,[1]GARANTIA!$C:$C,0)),"INSIRA N° SERIE")</f>
        <v>SUL</v>
      </c>
      <c r="Y408" s="46">
        <f t="shared" si="81"/>
        <v>0</v>
      </c>
      <c r="Z408" s="47">
        <f>IF(G408&lt;&gt;"",IF(OR(A408="",K408="",Q408="",P409="",R408=""),"NÃO FINALIZADO",K408-J408),"INSIRA N° OS")</f>
        <v>1</v>
      </c>
      <c r="AA408" s="46">
        <f t="shared" si="83"/>
        <v>1</v>
      </c>
      <c r="AB408" s="46" t="str" cm="1">
        <f t="array" ref="AB408">IFERROR(_xlfn.IFS(L408="FINALIZADO PRESENCIAL",IF(AA408&gt;10,"FORA","DENTRO"),L408="FINALIZADO REMOTO",IF(AA408&gt;5,"FORA","DENTRO")),"-")</f>
        <v>DENTRO</v>
      </c>
      <c r="AC408" s="41" t="s">
        <v>1671</v>
      </c>
      <c r="AD408" s="41" t="s">
        <v>1671</v>
      </c>
      <c r="AE408" s="48" cm="1">
        <f t="array" ref="AE408">SUMPRODUCT(IFERROR(('[2]PEÇAS GARANTIA'!$A$3:$A$5993=G408)*('[2]PEÇAS GARANTIA'!$A$3:$A$5993&lt;&gt;"")*('[2]PEÇAS GARANTIA'!$R$3:$R$5993),0))</f>
        <v>0</v>
      </c>
      <c r="AF408" s="178">
        <v>0</v>
      </c>
    </row>
    <row r="409" spans="1:32" ht="33" customHeight="1" x14ac:dyDescent="0.25">
      <c r="A409" s="82">
        <v>23329</v>
      </c>
      <c r="B409" s="41" t="str">
        <f>IFERROR(INDEX([1]GARANTIA!$B:$B,MATCH(A409,[1]GARANTIA!$C:$C,0)),"INSIRA N° SERIE")</f>
        <v>TESTE 131</v>
      </c>
      <c r="C409" s="33">
        <f>IFERROR(INDEX([1]GARANTIA!$J:$J,MATCH(A409,[1]GARANTIA!$C:$C,0)),"INSIRA N° SERIE")</f>
        <v>44097</v>
      </c>
      <c r="D409" s="33" t="str">
        <f>IFERROR(IF(INDEX([1]GARANTIA!$M:$M,MATCH(A409,[1]GARANTIA!$C:$C,0))&gt;=I409,"DENTRO DA GARANTIA","FORA DE GARANTIA"),"INSIRA N° SERIE")</f>
        <v>DENTRO DA GARANTIA</v>
      </c>
      <c r="E409" s="148"/>
      <c r="F409" s="109">
        <f>IFERROR(MAX(0,IF(I409-(INDEX([1]GARANTIA!$J:$J,MATCH(A409,[1]GARANTIA!$C:$C,0)))&gt;=0,I409-(INDEX([1]GARANTIA!$L:$L,MATCH(A409,[1]GARANTIA!$C:$C,0))),"INSIRA DATA CHAMADO")),"INSIRA N° SERIE")</f>
        <v>270</v>
      </c>
      <c r="G409" s="98">
        <v>20210827</v>
      </c>
      <c r="H409" s="35" t="str">
        <f t="shared" si="71"/>
        <v>DEZ</v>
      </c>
      <c r="I409" s="89">
        <v>44543</v>
      </c>
      <c r="J409" s="90">
        <v>44543</v>
      </c>
      <c r="K409" s="91">
        <v>44544</v>
      </c>
      <c r="L409" s="92" t="s">
        <v>23</v>
      </c>
      <c r="M409" s="92" t="s">
        <v>8</v>
      </c>
      <c r="N409" s="92" t="s">
        <v>44</v>
      </c>
      <c r="O409" s="42" t="str">
        <f>IFERROR(INDEX([1]GARANTIA!$E:$E,MATCH(A409,[1]GARANTIA!$C:$C,0)),"INSIRA N° SERIE")</f>
        <v>MTI - 4.000GTS</v>
      </c>
      <c r="P409" s="101" t="s">
        <v>825</v>
      </c>
      <c r="Q409" s="94" t="s">
        <v>641</v>
      </c>
      <c r="R409" s="93" t="s">
        <v>826</v>
      </c>
      <c r="S409" s="145" t="s">
        <v>639</v>
      </c>
      <c r="T409" s="145" t="s">
        <v>142</v>
      </c>
      <c r="U409" s="96"/>
      <c r="V409" s="41" t="str">
        <f>IFERROR(INDEX([1]GARANTIA!$G:$G,MATCH(A409,[1]GARANTIA!$C:$C,0)),"INSIRA N° SERIE")</f>
        <v>CAJURU</v>
      </c>
      <c r="W409" s="41" t="str">
        <f>IFERROR(INDEX([1]GARANTIA!$H:$H,MATCH(A409,[1]GARANTIA!$C:$C,0)),"INSIRA N° SERIE")</f>
        <v>SP</v>
      </c>
      <c r="X409" s="41" t="str">
        <f>IFERROR(INDEX([1]GARANTIA!$F:$F,MATCH(A409,[1]GARANTIA!$C:$C,0)),"INSIRA N° SERIE")</f>
        <v>SUDESTE</v>
      </c>
      <c r="Y409" s="46">
        <f t="shared" ref="Y409:Y412" si="84">IF(G409&lt;&gt;"",J409-I409,"INSIRA N° OS")</f>
        <v>0</v>
      </c>
      <c r="Z409" s="47" t="e">
        <f>IF(G409&lt;&gt;"",IF(OR(A409="",K409="",Q409="",#REF!="",R409=""),"NÃO FINALIZADO",K409-J409),"INSIRA N° OS")</f>
        <v>#REF!</v>
      </c>
      <c r="AA409" s="46" t="e">
        <f t="shared" ref="AA409:AA411" si="85">IF(Z409="NÃO FINALIZADO","",Z409+Y409)</f>
        <v>#REF!</v>
      </c>
      <c r="AB409" s="46" t="str" cm="1">
        <f t="array" ref="AB409">IFERROR(_xlfn.IFS(L409="FINALIZADO PRESENCIAL",IF(AA409&gt;10,"FORA","DENTRO"),L409="FINALIZADO REMOTO",IF(AA409&gt;5,"FORA","DENTRO")),"-")</f>
        <v>-</v>
      </c>
      <c r="AC409" s="41" t="s">
        <v>1671</v>
      </c>
      <c r="AD409" s="41" t="s">
        <v>1671</v>
      </c>
      <c r="AE409" s="48" cm="1">
        <f t="array" ref="AE409">SUMPRODUCT(IFERROR(('[2]PEÇAS GARANTIA'!$A$3:$A$5993=G409)*('[2]PEÇAS GARANTIA'!$A$3:$A$5993&lt;&gt;"")*('[2]PEÇAS GARANTIA'!$R$3:$R$5993),0))</f>
        <v>0</v>
      </c>
      <c r="AF409" s="178">
        <v>0</v>
      </c>
    </row>
    <row r="410" spans="1:32" ht="33" customHeight="1" x14ac:dyDescent="0.25">
      <c r="A410" s="82">
        <v>61502</v>
      </c>
      <c r="B410" s="41" t="str">
        <f>IFERROR(INDEX([1]GARANTIA!$B:$B,MATCH(A410,[1]GARANTIA!$C:$C,0)),"INSIRA N° SERIE")</f>
        <v>TESTE 356</v>
      </c>
      <c r="C410" s="33">
        <f>IFERROR(INDEX([1]GARANTIA!$J:$J,MATCH(A410,[1]GARANTIA!$C:$C,0)),"INSIRA N° SERIE")</f>
        <v>44225</v>
      </c>
      <c r="D410" s="33" t="str">
        <f>IFERROR(IF(INDEX([1]GARANTIA!$M:$M,MATCH(A410,[1]GARANTIA!$C:$C,0))&gt;=I410,"DENTRO DA GARANTIA","FORA DE GARANTIA"),"INSIRA N° SERIE")</f>
        <v>DENTRO DA GARANTIA</v>
      </c>
      <c r="E410" s="148"/>
      <c r="F410" s="109">
        <f>IFERROR(MAX(0,IF(I410-(INDEX([1]GARANTIA!$J:$J,MATCH(A410,[1]GARANTIA!$C:$C,0)))&gt;=0,I410-(INDEX([1]GARANTIA!$L:$L,MATCH(A410,[1]GARANTIA!$C:$C,0))),"INSIRA DATA CHAMADO")),"INSIRA N° SERIE")</f>
        <v>53</v>
      </c>
      <c r="G410" s="98">
        <v>20210828</v>
      </c>
      <c r="H410" s="35" t="str">
        <f t="shared" si="71"/>
        <v>DEZ</v>
      </c>
      <c r="I410" s="89">
        <v>44544</v>
      </c>
      <c r="J410" s="90">
        <v>44544</v>
      </c>
      <c r="K410" s="91">
        <v>44545</v>
      </c>
      <c r="L410" s="92" t="s">
        <v>23</v>
      </c>
      <c r="M410" s="92" t="s">
        <v>8</v>
      </c>
      <c r="N410" s="92" t="s">
        <v>28</v>
      </c>
      <c r="O410" s="42" t="str">
        <f>IFERROR(INDEX([1]GARANTIA!$E:$E,MATCH(A410,[1]GARANTIA!$C:$C,0)),"INSIRA N° SERIE")</f>
        <v>MTI - 1.000GTS</v>
      </c>
      <c r="P410" s="101" t="s">
        <v>836</v>
      </c>
      <c r="Q410" s="94" t="s">
        <v>305</v>
      </c>
      <c r="R410" s="93" t="s">
        <v>837</v>
      </c>
      <c r="S410" s="95" t="s">
        <v>638</v>
      </c>
      <c r="T410" s="95" t="s">
        <v>143</v>
      </c>
      <c r="U410" s="96"/>
      <c r="V410" s="41" t="str">
        <f>IFERROR(INDEX([1]GARANTIA!$G:$G,MATCH(A410,[1]GARANTIA!$C:$C,0)),"INSIRA N° SERIE")</f>
        <v>VILA VELHA</v>
      </c>
      <c r="W410" s="41" t="str">
        <f>IFERROR(INDEX([1]GARANTIA!$H:$H,MATCH(A410,[1]GARANTIA!$C:$C,0)),"INSIRA N° SERIE")</f>
        <v>ES</v>
      </c>
      <c r="X410" s="41" t="str">
        <f>IFERROR(INDEX([1]GARANTIA!$F:$F,MATCH(A410,[1]GARANTIA!$C:$C,0)),"INSIRA N° SERIE")</f>
        <v>SUDESTE</v>
      </c>
      <c r="Y410" s="46">
        <f t="shared" si="84"/>
        <v>0</v>
      </c>
      <c r="Z410" s="47">
        <f t="shared" ref="Z410:Z411" si="86">IF(G410&lt;&gt;"",IF(OR(A410="",K410="",Q410="",P410="",R410=""),"NÃO FINALIZADO",K410-J410),"INSIRA N° OS")</f>
        <v>1</v>
      </c>
      <c r="AA410" s="46">
        <f t="shared" si="85"/>
        <v>1</v>
      </c>
      <c r="AB410" s="46" t="str" cm="1">
        <f t="array" ref="AB410">IFERROR(_xlfn.IFS(L410="FINALIZADO PRESENCIAL",IF(AA410&gt;10,"FORA","DENTRO"),L410="FINALIZADO REMOTO",IF(AA410&gt;5,"FORA","DENTRO")),"-")</f>
        <v>DENTRO</v>
      </c>
      <c r="AC410" s="41" t="s">
        <v>1671</v>
      </c>
      <c r="AD410" s="41" t="s">
        <v>1671</v>
      </c>
      <c r="AE410" s="48" cm="1">
        <f t="array" ref="AE410">SUMPRODUCT(IFERROR(('[2]PEÇAS GARANTIA'!$A$3:$A$5993=G410)*('[2]PEÇAS GARANTIA'!$A$3:$A$5993&lt;&gt;"")*('[2]PEÇAS GARANTIA'!$R$3:$R$5993),0))</f>
        <v>0</v>
      </c>
      <c r="AF410" s="178">
        <v>0</v>
      </c>
    </row>
    <row r="411" spans="1:32" ht="33" customHeight="1" x14ac:dyDescent="0.25">
      <c r="A411" s="82">
        <v>46637</v>
      </c>
      <c r="B411" s="41" t="str">
        <f>IFERROR(INDEX([1]GARANTIA!$B:$B,MATCH(A411,[1]GARANTIA!$C:$C,0)),"INSIRA N° SERIE")</f>
        <v>TESTE 5</v>
      </c>
      <c r="C411" s="33">
        <f>IFERROR(INDEX([1]GARANTIA!$J:$J,MATCH(A411,[1]GARANTIA!$C:$C,0)),"INSIRA N° SERIE")</f>
        <v>43951</v>
      </c>
      <c r="D411" s="33" t="str">
        <f>IFERROR(IF(INDEX([1]GARANTIA!$M:$M,MATCH(A411,[1]GARANTIA!$C:$C,0))&gt;=I411,"DENTRO DA GARANTIA","FORA DE GARANTIA"),"INSIRA N° SERIE")</f>
        <v>FORA DE GARANTIA</v>
      </c>
      <c r="E411" s="148"/>
      <c r="F411" s="109">
        <f>IFERROR(MAX(0,IF(I411-(INDEX([1]GARANTIA!$J:$J,MATCH(A411,[1]GARANTIA!$C:$C,0)))&gt;=0,I411-(INDEX([1]GARANTIA!$L:$L,MATCH(A411,[1]GARANTIA!$C:$C,0))),"INSIRA DATA CHAMADO")),"INSIRA N° SERIE")</f>
        <v>368</v>
      </c>
      <c r="G411" s="98">
        <v>20210829</v>
      </c>
      <c r="H411" s="35" t="str">
        <f t="shared" si="71"/>
        <v>DEZ</v>
      </c>
      <c r="I411" s="89">
        <v>44544</v>
      </c>
      <c r="J411" s="90">
        <v>44544</v>
      </c>
      <c r="K411" s="91">
        <v>44545</v>
      </c>
      <c r="L411" s="92" t="s">
        <v>23</v>
      </c>
      <c r="M411" s="92" t="s">
        <v>8</v>
      </c>
      <c r="N411" s="92" t="s">
        <v>30</v>
      </c>
      <c r="O411" s="42" t="str">
        <f>IFERROR(INDEX([1]GARANTIA!$E:$E,MATCH(A411,[1]GARANTIA!$C:$C,0)),"INSIRA N° SERIE")</f>
        <v>MTI - 7.000GTS</v>
      </c>
      <c r="P411" s="101" t="s">
        <v>845</v>
      </c>
      <c r="Q411" s="94" t="s">
        <v>646</v>
      </c>
      <c r="R411" s="93" t="s">
        <v>838</v>
      </c>
      <c r="S411" s="145" t="s">
        <v>102</v>
      </c>
      <c r="T411" s="145" t="s">
        <v>296</v>
      </c>
      <c r="U411" s="96"/>
      <c r="V411" s="41" t="str">
        <f>IFERROR(INDEX([1]GARANTIA!$G:$G,MATCH(A411,[1]GARANTIA!$C:$C,0)),"INSIRA N° SERIE")</f>
        <v>WENSESLAU</v>
      </c>
      <c r="W411" s="41" t="str">
        <f>IFERROR(INDEX([1]GARANTIA!$H:$H,MATCH(A411,[1]GARANTIA!$C:$C,0)),"INSIRA N° SERIE")</f>
        <v>PR</v>
      </c>
      <c r="X411" s="41" t="str">
        <f>IFERROR(INDEX([1]GARANTIA!$F:$F,MATCH(A411,[1]GARANTIA!$C:$C,0)),"INSIRA N° SERIE")</f>
        <v>SUDESTE</v>
      </c>
      <c r="Y411" s="46">
        <f t="shared" si="84"/>
        <v>0</v>
      </c>
      <c r="Z411" s="47">
        <f t="shared" si="86"/>
        <v>1</v>
      </c>
      <c r="AA411" s="46">
        <f t="shared" si="85"/>
        <v>1</v>
      </c>
      <c r="AB411" s="46" t="str" cm="1">
        <f t="array" ref="AB411">IFERROR(_xlfn.IFS(L411="FINALIZADO PRESENCIAL",IF(AA411&gt;10,"FORA","DENTRO"),L411="FINALIZADO REMOTO",IF(AA411&gt;5,"FORA","DENTRO")),"-")</f>
        <v>DENTRO</v>
      </c>
      <c r="AC411" s="41" t="s">
        <v>1671</v>
      </c>
      <c r="AD411" s="41" t="s">
        <v>1671</v>
      </c>
      <c r="AE411" s="48" cm="1">
        <f t="array" ref="AE411">SUMPRODUCT(IFERROR(('[2]PEÇAS GARANTIA'!$A$3:$A$5993=G411)*('[2]PEÇAS GARANTIA'!$A$3:$A$5993&lt;&gt;"")*('[2]PEÇAS GARANTIA'!$R$3:$R$5993),0))</f>
        <v>0</v>
      </c>
      <c r="AF411" s="178">
        <v>0</v>
      </c>
    </row>
    <row r="412" spans="1:32" ht="33" customHeight="1" x14ac:dyDescent="0.25">
      <c r="A412" s="82">
        <v>86746</v>
      </c>
      <c r="B412" s="41" t="str">
        <f>IFERROR(INDEX([1]GARANTIA!$B:$B,MATCH(A412,[1]GARANTIA!$C:$C,0)),"INSIRA N° SERIE")</f>
        <v>TESTE 320</v>
      </c>
      <c r="C412" s="33">
        <f>IFERROR(INDEX([1]GARANTIA!$J:$J,MATCH(A412,[1]GARANTIA!$C:$C,0)),"INSIRA N° SERIE")</f>
        <v>44104</v>
      </c>
      <c r="D412" s="33" t="str">
        <f>IFERROR(IF(INDEX([1]GARANTIA!$M:$M,MATCH(A412,[1]GARANTIA!$C:$C,0))&gt;=I412,"DENTRO DA GARANTIA","FORA DE GARANTIA"),"INSIRA N° SERIE")</f>
        <v>DENTRO DA GARANTIA</v>
      </c>
      <c r="E412" s="148"/>
      <c r="F412" s="109">
        <f>IFERROR(MAX(0,IF(I412-(INDEX([1]GARANTIA!$J:$J,MATCH(A412,[1]GARANTIA!$C:$C,0)))&gt;=0,I412-(INDEX([1]GARANTIA!$L:$L,MATCH(A412,[1]GARANTIA!$C:$C,0))),"INSIRA DATA CHAMADO")),"INSIRA N° SERIE")</f>
        <v>291</v>
      </c>
      <c r="G412" s="98">
        <v>20210830</v>
      </c>
      <c r="H412" s="35" t="str">
        <f t="shared" si="71"/>
        <v>DEZ</v>
      </c>
      <c r="I412" s="89">
        <v>44544</v>
      </c>
      <c r="J412" s="90">
        <v>44544</v>
      </c>
      <c r="K412" s="91"/>
      <c r="L412" s="92" t="s">
        <v>24</v>
      </c>
      <c r="M412" s="92" t="s">
        <v>8</v>
      </c>
      <c r="N412" s="92" t="s">
        <v>29</v>
      </c>
      <c r="O412" s="42" t="str">
        <f>IFERROR(INDEX([1]GARANTIA!$E:$E,MATCH(A412,[1]GARANTIA!$C:$C,0)),"INSIRA N° SERIE")</f>
        <v>MTI - 1.000GTS</v>
      </c>
      <c r="P412" s="101" t="s">
        <v>839</v>
      </c>
      <c r="Q412" s="94"/>
      <c r="R412" s="93"/>
      <c r="S412" s="95"/>
      <c r="T412" s="95"/>
      <c r="U412" s="96"/>
      <c r="V412" s="41" t="str">
        <f>IFERROR(INDEX([1]GARANTIA!$G:$G,MATCH(A412,[1]GARANTIA!$C:$C,0)),"INSIRA N° SERIE")</f>
        <v>CORRENTE</v>
      </c>
      <c r="W412" s="41" t="str">
        <f>IFERROR(INDEX([1]GARANTIA!$H:$H,MATCH(A412,[1]GARANTIA!$C:$C,0)),"INSIRA N° SERIE")</f>
        <v>PI</v>
      </c>
      <c r="X412" s="41" t="str">
        <f>IFERROR(INDEX([1]GARANTIA!$F:$F,MATCH(A412,[1]GARANTIA!$C:$C,0)),"INSIRA N° SERIE")</f>
        <v>NORDESTE</v>
      </c>
      <c r="Y412" s="46">
        <f t="shared" si="84"/>
        <v>0</v>
      </c>
      <c r="Z412" s="47" t="str">
        <f>IF(G412&lt;&gt;"",IF(OR(A412="",K412="",Q412="",P412="",R412=""),"NÃO FINALIZADO",K412-J412),"INSIRA N° OS")</f>
        <v>NÃO FINALIZADO</v>
      </c>
      <c r="AA412" s="46" t="str">
        <f t="shared" ref="AA412:AA420" si="87">IF(Z412="NÃO FINALIZADO","",Z412+Y412)</f>
        <v/>
      </c>
      <c r="AB412" s="46" t="str" cm="1">
        <f t="array" ref="AB412">IFERROR(_xlfn.IFS(L412="FINALIZADO PRESENCIAL",IF(AA412&gt;10,"FORA","DENTRO"),L412="FINALIZADO REMOTO",IF(AA412&gt;5,"FORA","DENTRO")),"-")</f>
        <v>-</v>
      </c>
      <c r="AC412" s="41" t="s">
        <v>1671</v>
      </c>
      <c r="AD412" s="41" t="s">
        <v>1671</v>
      </c>
      <c r="AE412" s="48" cm="1">
        <f t="array" ref="AE412">SUMPRODUCT(IFERROR(('[2]PEÇAS GARANTIA'!$A$3:$A$5993=G412)*('[2]PEÇAS GARANTIA'!$A$3:$A$5993&lt;&gt;"")*('[2]PEÇAS GARANTIA'!$R$3:$R$5993),0))</f>
        <v>0</v>
      </c>
      <c r="AF412" s="178">
        <v>0</v>
      </c>
    </row>
    <row r="413" spans="1:32" ht="33" customHeight="1" x14ac:dyDescent="0.25">
      <c r="A413" s="150">
        <v>68730</v>
      </c>
      <c r="B413" s="41" t="str">
        <f>IFERROR(INDEX([1]GARANTIA!$B:$B,MATCH(A413,[1]GARANTIA!$C:$C,0)),"INSIRA N° SERIE")</f>
        <v>TESTE 302</v>
      </c>
      <c r="C413" s="33">
        <f>IFERROR(INDEX([1]GARANTIA!$J:$J,MATCH(A413,[1]GARANTIA!$C:$C,0)),"INSIRA N° SERIE")</f>
        <v>44204</v>
      </c>
      <c r="D413" s="33" t="str">
        <f>IFERROR(IF(INDEX([1]GARANTIA!$M:$M,MATCH(A413,[1]GARANTIA!$C:$C,0))&gt;=I413,"DENTRO DA GARANTIA","FORA DE GARANTIA"),"INSIRA N° SERIE")</f>
        <v>DENTRO DA GARANTIA</v>
      </c>
      <c r="E413" s="148"/>
      <c r="F413" s="109">
        <f>IFERROR(MAX(0,IF(I413-(INDEX([1]GARANTIA!$J:$J,MATCH(A413,[1]GARANTIA!$C:$C,0)))&gt;=0,I413-(INDEX([1]GARANTIA!$L:$L,MATCH(A413,[1]GARANTIA!$C:$C,0))),"INSIRA DATA CHAMADO")),"INSIRA N° SERIE")</f>
        <v>181</v>
      </c>
      <c r="G413" s="98">
        <v>20210831</v>
      </c>
      <c r="H413" s="35" t="str">
        <f t="shared" si="71"/>
        <v>DEZ</v>
      </c>
      <c r="I413" s="89">
        <v>44545</v>
      </c>
      <c r="J413" s="90">
        <v>44545</v>
      </c>
      <c r="K413" s="91">
        <v>44551</v>
      </c>
      <c r="L413" s="92" t="s">
        <v>23</v>
      </c>
      <c r="M413" s="92" t="s">
        <v>8</v>
      </c>
      <c r="N413" s="92" t="s">
        <v>43</v>
      </c>
      <c r="O413" s="42" t="str">
        <f>IFERROR(INDEX([1]GARANTIA!$E:$E,MATCH(A413,[1]GARANTIA!$C:$C,0)),"INSIRA N° SERIE")</f>
        <v>MTI - 1.000GTS</v>
      </c>
      <c r="P413" s="101" t="s">
        <v>841</v>
      </c>
      <c r="Q413" s="94"/>
      <c r="R413" s="93"/>
      <c r="S413" s="95"/>
      <c r="T413" s="95"/>
      <c r="U413" s="96"/>
      <c r="V413" s="41" t="str">
        <f>IFERROR(INDEX([1]GARANTIA!$G:$G,MATCH(A413,[1]GARANTIA!$C:$C,0)),"INSIRA N° SERIE")</f>
        <v>CUNHA</v>
      </c>
      <c r="W413" s="41" t="str">
        <f>IFERROR(INDEX([1]GARANTIA!$H:$H,MATCH(A413,[1]GARANTIA!$C:$C,0)),"INSIRA N° SERIE")</f>
        <v>SP</v>
      </c>
      <c r="X413" s="41" t="str">
        <f>IFERROR(INDEX([1]GARANTIA!$F:$F,MATCH(A413,[1]GARANTIA!$C:$C,0)),"INSIRA N° SERIE")</f>
        <v>SUDESTE</v>
      </c>
      <c r="Y413" s="46">
        <f t="shared" ref="Y413:Y415" si="88">IF(G413&lt;&gt;"",J413-I413,"INSIRA N° OS")</f>
        <v>0</v>
      </c>
      <c r="Z413" s="47" t="str">
        <f>IF(G413&lt;&gt;"",IF(OR(A413="",K413="",Q413="",P413="",R413=""),"NÃO FINALIZADO",K413-J413),"INSIRA N° OS")</f>
        <v>NÃO FINALIZADO</v>
      </c>
      <c r="AA413" s="46" t="str">
        <f t="shared" si="87"/>
        <v/>
      </c>
      <c r="AB413" s="46" t="str" cm="1">
        <f t="array" ref="AB413">IFERROR(_xlfn.IFS(L413="FINALIZADO PRESENCIAL",IF(AA413&gt;10,"FORA","DENTRO"),L413="FINALIZADO REMOTO",IF(AA413&gt;5,"FORA","DENTRO")),"-")</f>
        <v>FORA</v>
      </c>
      <c r="AC413" s="41" t="s">
        <v>1671</v>
      </c>
      <c r="AD413" s="41" t="s">
        <v>1671</v>
      </c>
      <c r="AE413" s="48" cm="1">
        <f t="array" ref="AE413">SUMPRODUCT(IFERROR(('[2]PEÇAS GARANTIA'!$A$3:$A$5993=G413)*('[2]PEÇAS GARANTIA'!$A$3:$A$5993&lt;&gt;"")*('[2]PEÇAS GARANTIA'!$R$3:$R$5993),0))</f>
        <v>0</v>
      </c>
      <c r="AF413" s="178">
        <v>0</v>
      </c>
    </row>
    <row r="414" spans="1:32" ht="33" customHeight="1" x14ac:dyDescent="0.25">
      <c r="A414" s="82">
        <v>79251</v>
      </c>
      <c r="B414" s="41" t="str">
        <f>IFERROR(INDEX([1]GARANTIA!$B:$B,MATCH(A414,[1]GARANTIA!$C:$C,0)),"INSIRA N° SERIE")</f>
        <v>TESTE 333</v>
      </c>
      <c r="C414" s="33">
        <f>IFERROR(INDEX([1]GARANTIA!$J:$J,MATCH(A414,[1]GARANTIA!$C:$C,0)),"INSIRA N° SERIE")</f>
        <v>44134</v>
      </c>
      <c r="D414" s="33" t="str">
        <f>IFERROR(IF(INDEX([1]GARANTIA!$M:$M,MATCH(A414,[1]GARANTIA!$C:$C,0))&gt;=I414,"DENTRO DA GARANTIA","FORA DE GARANTIA"),"INSIRA N° SERIE")</f>
        <v>DENTRO DA GARANTIA</v>
      </c>
      <c r="E414" s="148"/>
      <c r="F414" s="109">
        <f>IFERROR(MAX(0,IF(I414-(INDEX([1]GARANTIA!$J:$J,MATCH(A414,[1]GARANTIA!$C:$C,0)))&gt;=0,I414-(INDEX([1]GARANTIA!$L:$L,MATCH(A414,[1]GARANTIA!$C:$C,0))),"INSIRA DATA CHAMADO")),"INSIRA N° SERIE")</f>
        <v>202</v>
      </c>
      <c r="G414" s="98">
        <v>20210832</v>
      </c>
      <c r="H414" s="35" t="str">
        <f t="shared" si="71"/>
        <v>DEZ</v>
      </c>
      <c r="I414" s="89">
        <v>44547</v>
      </c>
      <c r="J414" s="90">
        <v>44547</v>
      </c>
      <c r="K414" s="91">
        <v>44550</v>
      </c>
      <c r="L414" s="92" t="s">
        <v>23</v>
      </c>
      <c r="M414" s="92" t="s">
        <v>8</v>
      </c>
      <c r="N414" s="92" t="s">
        <v>28</v>
      </c>
      <c r="O414" s="42" t="str">
        <f>IFERROR(INDEX([1]GARANTIA!$E:$E,MATCH(A414,[1]GARANTIA!$C:$C,0)),"INSIRA N° SERIE")</f>
        <v>MTI - 12.000GTS</v>
      </c>
      <c r="P414" s="101" t="s">
        <v>842</v>
      </c>
      <c r="Q414" s="94" t="s">
        <v>305</v>
      </c>
      <c r="R414" s="93" t="s">
        <v>862</v>
      </c>
      <c r="S414" s="95" t="s">
        <v>638</v>
      </c>
      <c r="T414" s="95" t="s">
        <v>143</v>
      </c>
      <c r="U414" s="96"/>
      <c r="V414" s="41" t="str">
        <f>IFERROR(INDEX([1]GARANTIA!$G:$G,MATCH(A414,[1]GARANTIA!$C:$C,0)),"INSIRA N° SERIE")</f>
        <v xml:space="preserve">TRES LAGOAS </v>
      </c>
      <c r="W414" s="41" t="str">
        <f>IFERROR(INDEX([1]GARANTIA!$H:$H,MATCH(A414,[1]GARANTIA!$C:$C,0)),"INSIRA N° SERIE")</f>
        <v xml:space="preserve">MS </v>
      </c>
      <c r="X414" s="41" t="str">
        <f>IFERROR(INDEX([1]GARANTIA!$F:$F,MATCH(A414,[1]GARANTIA!$C:$C,0)),"INSIRA N° SERIE")</f>
        <v>CENTROESTE</v>
      </c>
      <c r="Y414" s="46">
        <f t="shared" si="88"/>
        <v>0</v>
      </c>
      <c r="Z414" s="47">
        <f t="shared" ref="Z414:Z420" si="89">IF(G414&lt;&gt;"",IF(OR(A414="",K414="",Q414="",P414="",R414=""),"NÃO FINALIZADO",K414-J414),"INSIRA N° OS")</f>
        <v>3</v>
      </c>
      <c r="AA414" s="46">
        <f t="shared" si="87"/>
        <v>3</v>
      </c>
      <c r="AB414" s="46" t="str" cm="1">
        <f t="array" ref="AB414">IFERROR(_xlfn.IFS(L414="FINALIZADO PRESENCIAL",IF(AA414&gt;10,"FORA","DENTRO"),L414="FINALIZADO REMOTO",IF(AA414&gt;5,"FORA","DENTRO")),"-")</f>
        <v>DENTRO</v>
      </c>
      <c r="AC414" s="41" t="s">
        <v>1671</v>
      </c>
      <c r="AD414" s="41" t="s">
        <v>1671</v>
      </c>
      <c r="AE414" s="48" cm="1">
        <f t="array" ref="AE414">SUMPRODUCT(IFERROR(('[2]PEÇAS GARANTIA'!$A$3:$A$5993=G414)*('[2]PEÇAS GARANTIA'!$A$3:$A$5993&lt;&gt;"")*('[2]PEÇAS GARANTIA'!$R$3:$R$5993),0))</f>
        <v>0</v>
      </c>
      <c r="AF414" s="178">
        <v>0</v>
      </c>
    </row>
    <row r="415" spans="1:32" ht="33" customHeight="1" x14ac:dyDescent="0.25">
      <c r="A415" s="82">
        <v>40976</v>
      </c>
      <c r="B415" s="41" t="str">
        <f>IFERROR(INDEX([1]GARANTIA!$B:$B,MATCH(A415,[1]GARANTIA!$C:$C,0)),"INSIRA N° SERIE")</f>
        <v>TESTE 347</v>
      </c>
      <c r="C415" s="33">
        <f>IFERROR(INDEX([1]GARANTIA!$J:$J,MATCH(A415,[1]GARANTIA!$C:$C,0)),"INSIRA N° SERIE")</f>
        <v>44345</v>
      </c>
      <c r="D415" s="33" t="str">
        <f>IFERROR(IF(INDEX([1]GARANTIA!$M:$M,MATCH(A415,[1]GARANTIA!$C:$C,0))&gt;=I415,"DENTRO DA GARANTIA","FORA DE GARANTIA"),"INSIRA N° SERIE")</f>
        <v>DENTRO DA GARANTIA</v>
      </c>
      <c r="E415" s="148"/>
      <c r="F415" s="109">
        <f>IFERROR(MAX(0,IF(I415-(INDEX([1]GARANTIA!$J:$J,MATCH(A415,[1]GARANTIA!$C:$C,0)))&gt;=0,I415-(INDEX([1]GARANTIA!$L:$L,MATCH(A415,[1]GARANTIA!$C:$C,0))),"INSIRA DATA CHAMADO")),"INSIRA N° SERIE")</f>
        <v>26</v>
      </c>
      <c r="G415" s="98">
        <v>20210833</v>
      </c>
      <c r="H415" s="35" t="str">
        <f t="shared" si="71"/>
        <v>DEZ</v>
      </c>
      <c r="I415" s="89">
        <v>44547</v>
      </c>
      <c r="J415" s="90">
        <v>44547</v>
      </c>
      <c r="K415" s="91">
        <v>44551</v>
      </c>
      <c r="L415" s="92" t="s">
        <v>23</v>
      </c>
      <c r="M415" s="92" t="s">
        <v>8</v>
      </c>
      <c r="N415" s="92" t="s">
        <v>41</v>
      </c>
      <c r="O415" s="42" t="str">
        <f>IFERROR(INDEX([1]GARANTIA!$E:$E,MATCH(A415,[1]GARANTIA!$C:$C,0)),"INSIRA N° SERIE")</f>
        <v>MTI - 10.000GTS</v>
      </c>
      <c r="P415" s="101" t="s">
        <v>846</v>
      </c>
      <c r="Q415" s="94" t="s">
        <v>642</v>
      </c>
      <c r="R415" s="93" t="s">
        <v>863</v>
      </c>
      <c r="S415" s="95" t="s">
        <v>102</v>
      </c>
      <c r="T415" s="95" t="s">
        <v>296</v>
      </c>
      <c r="U415" s="96"/>
      <c r="V415" s="41" t="str">
        <f>IFERROR(INDEX([1]GARANTIA!$G:$G,MATCH(A415,[1]GARANTIA!$C:$C,0)),"INSIRA N° SERIE")</f>
        <v>BOA VISTA</v>
      </c>
      <c r="W415" s="41" t="str">
        <f>IFERROR(INDEX([1]GARANTIA!$H:$H,MATCH(A415,[1]GARANTIA!$C:$C,0)),"INSIRA N° SERIE")</f>
        <v>RR</v>
      </c>
      <c r="X415" s="41" t="str">
        <f>IFERROR(INDEX([1]GARANTIA!$F:$F,MATCH(A415,[1]GARANTIA!$C:$C,0)),"INSIRA N° SERIE")</f>
        <v>NORTE</v>
      </c>
      <c r="Y415" s="46">
        <f t="shared" si="88"/>
        <v>0</v>
      </c>
      <c r="Z415" s="47">
        <f t="shared" si="89"/>
        <v>4</v>
      </c>
      <c r="AA415" s="46">
        <f t="shared" si="87"/>
        <v>4</v>
      </c>
      <c r="AB415" s="46" t="str" cm="1">
        <f t="array" ref="AB415">IFERROR(_xlfn.IFS(L415="FINALIZADO PRESENCIAL",IF(AA415&gt;10,"FORA","DENTRO"),L415="FINALIZADO REMOTO",IF(AA415&gt;5,"FORA","DENTRO")),"-")</f>
        <v>DENTRO</v>
      </c>
      <c r="AC415" s="41" t="s">
        <v>1671</v>
      </c>
      <c r="AD415" s="41" t="s">
        <v>1671</v>
      </c>
      <c r="AE415" s="48" cm="1">
        <f t="array" ref="AE415">SUMPRODUCT(IFERROR(('[2]PEÇAS GARANTIA'!$A$3:$A$5993=G415)*('[2]PEÇAS GARANTIA'!$A$3:$A$5993&lt;&gt;"")*('[2]PEÇAS GARANTIA'!$R$3:$R$5993),0))</f>
        <v>0</v>
      </c>
      <c r="AF415" s="178">
        <v>0</v>
      </c>
    </row>
    <row r="416" spans="1:32" ht="53.25" customHeight="1" x14ac:dyDescent="0.25">
      <c r="A416" s="82">
        <v>51854</v>
      </c>
      <c r="B416" s="41" t="str">
        <f>IFERROR(INDEX([1]GARANTIA!$B:$B,MATCH(A416,[1]GARANTIA!$C:$C,0)),"INSIRA N° SERIE")</f>
        <v>TESTE 245</v>
      </c>
      <c r="C416" s="33">
        <f>IFERROR(INDEX([1]GARANTIA!$J:$J,MATCH(A416,[1]GARANTIA!$C:$C,0)),"INSIRA N° SERIE")</f>
        <v>44271</v>
      </c>
      <c r="D416" s="33" t="str">
        <f>IFERROR(IF(INDEX([1]GARANTIA!$M:$M,MATCH(A416,[1]GARANTIA!$C:$C,0))&gt;=I416,"DENTRO DA GARANTIA","FORA DE GARANTIA"),"INSIRA N° SERIE")</f>
        <v>DENTRO DA GARANTIA</v>
      </c>
      <c r="E416" s="148"/>
      <c r="F416" s="109">
        <f>IFERROR(MAX(0,IF(I416-(INDEX([1]GARANTIA!$J:$J,MATCH(A416,[1]GARANTIA!$C:$C,0)))&gt;=0,I416-(INDEX([1]GARANTIA!$L:$L,MATCH(A416,[1]GARANTIA!$C:$C,0))),"INSIRA DATA CHAMADO")),"INSIRA N° SERIE")</f>
        <v>125</v>
      </c>
      <c r="G416" s="98">
        <v>20210834</v>
      </c>
      <c r="H416" s="35" t="str">
        <f t="shared" si="71"/>
        <v>DEZ</v>
      </c>
      <c r="I416" s="89">
        <v>44547</v>
      </c>
      <c r="J416" s="90">
        <v>44547</v>
      </c>
      <c r="K416" s="91">
        <v>44558</v>
      </c>
      <c r="L416" s="92" t="s">
        <v>11</v>
      </c>
      <c r="M416" s="92" t="s">
        <v>8</v>
      </c>
      <c r="N416" s="92" t="s">
        <v>42</v>
      </c>
      <c r="O416" s="42" t="str">
        <f>IFERROR(INDEX([1]GARANTIA!$E:$E,MATCH(A416,[1]GARANTIA!$C:$C,0)),"INSIRA N° SERIE")</f>
        <v>MTI - 7.000GTS</v>
      </c>
      <c r="P416" s="101" t="s">
        <v>866</v>
      </c>
      <c r="Q416" s="94" t="s">
        <v>144</v>
      </c>
      <c r="R416" s="93" t="s">
        <v>864</v>
      </c>
      <c r="S416" s="95" t="s">
        <v>638</v>
      </c>
      <c r="T416" s="95" t="s">
        <v>144</v>
      </c>
      <c r="U416" s="96"/>
      <c r="V416" s="41" t="str">
        <f>IFERROR(INDEX([1]GARANTIA!$G:$G,MATCH(A416,[1]GARANTIA!$C:$C,0)),"INSIRA N° SERIE")</f>
        <v>LENÇOIS PAULISTA</v>
      </c>
      <c r="W416" s="41" t="str">
        <f>IFERROR(INDEX([1]GARANTIA!$H:$H,MATCH(A416,[1]GARANTIA!$C:$C,0)),"INSIRA N° SERIE")</f>
        <v>SP</v>
      </c>
      <c r="X416" s="41" t="str">
        <f>IFERROR(INDEX([1]GARANTIA!$F:$F,MATCH(A416,[1]GARANTIA!$C:$C,0)),"INSIRA N° SERIE")</f>
        <v>SUDESTE</v>
      </c>
      <c r="Y416" s="46">
        <f t="shared" ref="Y416:Y420" si="90">IF(G416&lt;&gt;"",J416-I416,"INSIRA N° OS")</f>
        <v>0</v>
      </c>
      <c r="Z416" s="47">
        <f t="shared" si="89"/>
        <v>11</v>
      </c>
      <c r="AA416" s="46">
        <f t="shared" si="87"/>
        <v>11</v>
      </c>
      <c r="AB416" s="46" t="str" cm="1">
        <f t="array" ref="AB416">IFERROR(_xlfn.IFS(L416="FINALIZADO PRESENCIAL",IF(AA416&gt;10,"FORA","DENTRO"),L416="FINALIZADO REMOTO",IF(AA416&gt;5,"FORA","DENTRO")),"-")</f>
        <v>FORA</v>
      </c>
      <c r="AC416" s="41" t="s">
        <v>1671</v>
      </c>
      <c r="AD416" s="41" t="s">
        <v>1671</v>
      </c>
      <c r="AE416" s="48" cm="1">
        <f t="array" ref="AE416">SUMPRODUCT(IFERROR(('[2]PEÇAS GARANTIA'!$A$3:$A$5993=G416)*('[2]PEÇAS GARANTIA'!$A$3:$A$5993&lt;&gt;"")*('[2]PEÇAS GARANTIA'!$R$3:$R$5993),0))</f>
        <v>4094.88</v>
      </c>
      <c r="AF416" s="178">
        <v>0</v>
      </c>
    </row>
    <row r="417" spans="1:32" ht="33" customHeight="1" x14ac:dyDescent="0.25">
      <c r="A417" s="82">
        <v>74833</v>
      </c>
      <c r="B417" s="41" t="str">
        <f>IFERROR(INDEX([1]GARANTIA!$B:$B,MATCH(A417,[1]GARANTIA!$C:$C,0)),"INSIRA N° SERIE")</f>
        <v>TESTE 388</v>
      </c>
      <c r="C417" s="33">
        <f>IFERROR(INDEX([1]GARANTIA!$J:$J,MATCH(A417,[1]GARANTIA!$C:$C,0)),"INSIRA N° SERIE")</f>
        <v>44439</v>
      </c>
      <c r="D417" s="33" t="str">
        <f>IFERROR(IF(INDEX([1]GARANTIA!$M:$M,MATCH(A417,[1]GARANTIA!$C:$C,0))&gt;=I417,"DENTRO DA GARANTIA","FORA DE GARANTIA"),"INSIRA N° SERIE")</f>
        <v>DENTRO DA GARANTIA</v>
      </c>
      <c r="E417" s="148"/>
      <c r="F417" s="109">
        <f>IFERROR(MAX(0,IF(I417-(INDEX([1]GARANTIA!$J:$J,MATCH(A417,[1]GARANTIA!$C:$C,0)))&gt;=0,I417-(INDEX([1]GARANTIA!$L:$L,MATCH(A417,[1]GARANTIA!$C:$C,0))),"INSIRA DATA CHAMADO")),"INSIRA N° SERIE")</f>
        <v>7</v>
      </c>
      <c r="G417" s="98">
        <v>20210835</v>
      </c>
      <c r="H417" s="35" t="str">
        <f t="shared" si="71"/>
        <v>DEZ</v>
      </c>
      <c r="I417" s="89">
        <v>44547</v>
      </c>
      <c r="J417" s="90">
        <v>44547</v>
      </c>
      <c r="K417" s="91">
        <v>44557</v>
      </c>
      <c r="L417" s="92" t="s">
        <v>23</v>
      </c>
      <c r="M417" s="92" t="s">
        <v>8</v>
      </c>
      <c r="N417" s="92" t="s">
        <v>32</v>
      </c>
      <c r="O417" s="42" t="str">
        <f>IFERROR(INDEX([1]GARANTIA!$E:$E,MATCH(A417,[1]GARANTIA!$C:$C,0)),"INSIRA N° SERIE")</f>
        <v>MTI - 10.000GTS</v>
      </c>
      <c r="P417" s="101" t="s">
        <v>1683</v>
      </c>
      <c r="Q417" s="94" t="s">
        <v>645</v>
      </c>
      <c r="R417" s="93" t="s">
        <v>1684</v>
      </c>
      <c r="S417" s="95" t="s">
        <v>325</v>
      </c>
      <c r="T417" s="95" t="s">
        <v>640</v>
      </c>
      <c r="U417" s="96"/>
      <c r="V417" s="41" t="str">
        <f>IFERROR(INDEX([1]GARANTIA!$G:$G,MATCH(A417,[1]GARANTIA!$C:$C,0)),"INSIRA N° SERIE")</f>
        <v>SÃO DOMINGOS</v>
      </c>
      <c r="W417" s="41" t="str">
        <f>IFERROR(INDEX([1]GARANTIA!$H:$H,MATCH(A417,[1]GARANTIA!$C:$C,0)),"INSIRA N° SERIE")</f>
        <v>SC</v>
      </c>
      <c r="X417" s="41" t="str">
        <f>IFERROR(INDEX([1]GARANTIA!$F:$F,MATCH(A417,[1]GARANTIA!$C:$C,0)),"INSIRA N° SERIE")</f>
        <v>SUL</v>
      </c>
      <c r="Y417" s="46">
        <f t="shared" si="90"/>
        <v>0</v>
      </c>
      <c r="Z417" s="47">
        <f t="shared" si="89"/>
        <v>10</v>
      </c>
      <c r="AA417" s="46">
        <f t="shared" si="87"/>
        <v>10</v>
      </c>
      <c r="AB417" s="46" t="str" cm="1">
        <f t="array" ref="AB417">IFERROR(_xlfn.IFS(L417="FINALIZADO PRESENCIAL",IF(AA417&gt;10,"FORA","DENTRO"),L417="FINALIZADO REMOTO",IF(AA417&gt;5,"FORA","DENTRO")),"-")</f>
        <v>FORA</v>
      </c>
      <c r="AC417" s="41" t="s">
        <v>1671</v>
      </c>
      <c r="AD417" s="41" t="s">
        <v>1671</v>
      </c>
      <c r="AE417" s="48" cm="1">
        <f t="array" ref="AE417">SUMPRODUCT(IFERROR(('[2]PEÇAS GARANTIA'!$A$3:$A$5993=G417)*('[2]PEÇAS GARANTIA'!$A$3:$A$5993&lt;&gt;"")*('[2]PEÇAS GARANTIA'!$R$3:$R$5993),0))</f>
        <v>0</v>
      </c>
      <c r="AF417" s="178">
        <v>0</v>
      </c>
    </row>
    <row r="418" spans="1:32" ht="33" customHeight="1" x14ac:dyDescent="0.25">
      <c r="A418" s="82">
        <v>25634</v>
      </c>
      <c r="B418" s="41" t="str">
        <f>IFERROR(INDEX([1]GARANTIA!$B:$B,MATCH(A418,[1]GARANTIA!$C:$C,0)),"INSIRA N° SERIE")</f>
        <v>TESTE 367</v>
      </c>
      <c r="C418" s="33">
        <f>IFERROR(INDEX([1]GARANTIA!$J:$J,MATCH(A418,[1]GARANTIA!$C:$C,0)),"INSIRA N° SERIE")</f>
        <v>44407</v>
      </c>
      <c r="D418" s="33" t="str">
        <f>IFERROR(IF(INDEX([1]GARANTIA!$M:$M,MATCH(A418,[1]GARANTIA!$C:$C,0))&gt;=I418,"DENTRO DA GARANTIA","FORA DE GARANTIA"),"INSIRA N° SERIE")</f>
        <v>DENTRO DA GARANTIA</v>
      </c>
      <c r="E418" s="148"/>
      <c r="F418" s="109">
        <f>IFERROR(MAX(0,IF(I418-(INDEX([1]GARANTIA!$J:$J,MATCH(A418,[1]GARANTIA!$C:$C,0)))&gt;=0,I418-(INDEX([1]GARANTIA!$L:$L,MATCH(A418,[1]GARANTIA!$C:$C,0))),"INSIRA DATA CHAMADO")),"INSIRA N° SERIE")</f>
        <v>44</v>
      </c>
      <c r="G418" s="98">
        <v>20210836</v>
      </c>
      <c r="H418" s="35" t="str">
        <f t="shared" si="71"/>
        <v>DEZ</v>
      </c>
      <c r="I418" s="89">
        <v>44550</v>
      </c>
      <c r="J418" s="90">
        <v>44550</v>
      </c>
      <c r="K418" s="91">
        <v>44551</v>
      </c>
      <c r="L418" s="92" t="s">
        <v>23</v>
      </c>
      <c r="M418" s="92" t="s">
        <v>8</v>
      </c>
      <c r="N418" s="92" t="s">
        <v>28</v>
      </c>
      <c r="O418" s="42" t="str">
        <f>IFERROR(INDEX([1]GARANTIA!$E:$E,MATCH(A418,[1]GARANTIA!$C:$C,0)),"INSIRA N° SERIE")</f>
        <v>MTI - 7.000GTS</v>
      </c>
      <c r="P418" s="101" t="s">
        <v>847</v>
      </c>
      <c r="Q418" s="94" t="s">
        <v>645</v>
      </c>
      <c r="R418" s="93" t="s">
        <v>865</v>
      </c>
      <c r="S418" s="95" t="s">
        <v>325</v>
      </c>
      <c r="T418" s="95" t="s">
        <v>640</v>
      </c>
      <c r="U418" s="96"/>
      <c r="V418" s="41" t="str">
        <f>IFERROR(INDEX([1]GARANTIA!$G:$G,MATCH(A418,[1]GARANTIA!$C:$C,0)),"INSIRA N° SERIE")</f>
        <v>ANDIRÁ</v>
      </c>
      <c r="W418" s="41" t="str">
        <f>IFERROR(INDEX([1]GARANTIA!$H:$H,MATCH(A418,[1]GARANTIA!$C:$C,0)),"INSIRA N° SERIE")</f>
        <v>PR</v>
      </c>
      <c r="X418" s="41" t="str">
        <f>IFERROR(INDEX([1]GARANTIA!$F:$F,MATCH(A418,[1]GARANTIA!$C:$C,0)),"INSIRA N° SERIE")</f>
        <v>SUL</v>
      </c>
      <c r="Y418" s="46">
        <f t="shared" si="90"/>
        <v>0</v>
      </c>
      <c r="Z418" s="47">
        <f t="shared" si="89"/>
        <v>1</v>
      </c>
      <c r="AA418" s="46">
        <f t="shared" si="87"/>
        <v>1</v>
      </c>
      <c r="AB418" s="46" t="str" cm="1">
        <f t="array" ref="AB418">IFERROR(_xlfn.IFS(L418="FINALIZADO PRESENCIAL",IF(AA418&gt;10,"FORA","DENTRO"),L418="FINALIZADO REMOTO",IF(AA418&gt;5,"FORA","DENTRO")),"-")</f>
        <v>DENTRO</v>
      </c>
      <c r="AC418" s="41" t="s">
        <v>1671</v>
      </c>
      <c r="AD418" s="41" t="s">
        <v>1671</v>
      </c>
      <c r="AE418" s="48" cm="1">
        <f t="array" ref="AE418">SUMPRODUCT(IFERROR(('[2]PEÇAS GARANTIA'!$A$3:$A$5993=G418)*('[2]PEÇAS GARANTIA'!$A$3:$A$5993&lt;&gt;"")*('[2]PEÇAS GARANTIA'!$R$3:$R$5993),0))</f>
        <v>0</v>
      </c>
      <c r="AF418" s="178">
        <v>0</v>
      </c>
    </row>
    <row r="419" spans="1:32" ht="33" customHeight="1" x14ac:dyDescent="0.25">
      <c r="A419" s="82">
        <v>99865</v>
      </c>
      <c r="B419" s="41" t="str">
        <f>IFERROR(INDEX([1]GARANTIA!$B:$B,MATCH(A419,[1]GARANTIA!$C:$C,0)),"INSIRA N° SERIE")</f>
        <v>TESTE 374</v>
      </c>
      <c r="C419" s="33">
        <f>IFERROR(INDEX([1]GARANTIA!$J:$J,MATCH(A419,[1]GARANTIA!$C:$C,0)),"INSIRA N° SERIE")</f>
        <v>44480</v>
      </c>
      <c r="D419" s="33" t="str">
        <f>IFERROR(IF(INDEX([1]GARANTIA!$M:$M,MATCH(A419,[1]GARANTIA!$C:$C,0))&gt;=I419,"DENTRO DA GARANTIA","FORA DE GARANTIA"),"INSIRA N° SERIE")</f>
        <v>DENTRO DA GARANTIA</v>
      </c>
      <c r="E419" s="148"/>
      <c r="F419" s="109">
        <f>IFERROR(MAX(0,IF(I419-(INDEX([1]GARANTIA!$J:$J,MATCH(A419,[1]GARANTIA!$C:$C,0)))&gt;=0,I419-(INDEX([1]GARANTIA!$L:$L,MATCH(A419,[1]GARANTIA!$C:$C,0))),"INSIRA DATA CHAMADO")),"INSIRA N° SERIE")</f>
        <v>25</v>
      </c>
      <c r="G419" s="98">
        <v>20210838</v>
      </c>
      <c r="H419" s="35" t="str">
        <f t="shared" si="71"/>
        <v>DEZ</v>
      </c>
      <c r="I419" s="89">
        <v>44551</v>
      </c>
      <c r="J419" s="90">
        <v>44551</v>
      </c>
      <c r="K419" s="91">
        <v>44552</v>
      </c>
      <c r="L419" s="92" t="s">
        <v>23</v>
      </c>
      <c r="M419" s="92" t="s">
        <v>8</v>
      </c>
      <c r="N419" s="92" t="s">
        <v>28</v>
      </c>
      <c r="O419" s="42" t="str">
        <f>IFERROR(INDEX([1]GARANTIA!$E:$E,MATCH(A419,[1]GARANTIA!$C:$C,0)),"INSIRA N° SERIE")</f>
        <v>MTI - 1.000GTS</v>
      </c>
      <c r="P419" s="101" t="s">
        <v>849</v>
      </c>
      <c r="Q419" s="94" t="s">
        <v>305</v>
      </c>
      <c r="R419" s="93" t="s">
        <v>850</v>
      </c>
      <c r="S419" s="95" t="s">
        <v>638</v>
      </c>
      <c r="T419" s="95" t="s">
        <v>143</v>
      </c>
      <c r="U419" s="96"/>
      <c r="V419" s="41" t="str">
        <f>IFERROR(INDEX([1]GARANTIA!$G:$G,MATCH(A419,[1]GARANTIA!$C:$C,0)),"INSIRA N° SERIE")</f>
        <v xml:space="preserve">ALMIRANTE TAMANDARÉ </v>
      </c>
      <c r="W419" s="41" t="str">
        <f>IFERROR(INDEX([1]GARANTIA!$H:$H,MATCH(A419,[1]GARANTIA!$C:$C,0)),"INSIRA N° SERIE")</f>
        <v>PR</v>
      </c>
      <c r="X419" s="41" t="str">
        <f>IFERROR(INDEX([1]GARANTIA!$F:$F,MATCH(A419,[1]GARANTIA!$C:$C,0)),"INSIRA N° SERIE")</f>
        <v>SUL</v>
      </c>
      <c r="Y419" s="46">
        <f t="shared" si="90"/>
        <v>0</v>
      </c>
      <c r="Z419" s="47">
        <f t="shared" si="89"/>
        <v>1</v>
      </c>
      <c r="AA419" s="46">
        <f t="shared" si="87"/>
        <v>1</v>
      </c>
      <c r="AB419" s="46" t="str" cm="1">
        <f t="array" ref="AB419">IFERROR(_xlfn.IFS(L419="FINALIZADO PRESENCIAL",IF(AA419&gt;10,"FORA","DENTRO"),L419="FINALIZADO REMOTO",IF(AA419&gt;5,"FORA","DENTRO")),"-")</f>
        <v>DENTRO</v>
      </c>
      <c r="AC419" s="41" t="s">
        <v>1671</v>
      </c>
      <c r="AD419" s="41" t="s">
        <v>1671</v>
      </c>
      <c r="AE419" s="48" cm="1">
        <f t="array" ref="AE419">SUMPRODUCT(IFERROR(('[2]PEÇAS GARANTIA'!$A$3:$A$5993=G419)*('[2]PEÇAS GARANTIA'!$A$3:$A$5993&lt;&gt;"")*('[2]PEÇAS GARANTIA'!$R$3:$R$5993),0))</f>
        <v>0</v>
      </c>
      <c r="AF419" s="178">
        <v>0</v>
      </c>
    </row>
    <row r="420" spans="1:32" ht="33" customHeight="1" x14ac:dyDescent="0.25">
      <c r="A420" s="82">
        <v>86328</v>
      </c>
      <c r="B420" s="41" t="str">
        <f>IFERROR(INDEX([1]GARANTIA!$B:$B,MATCH(A420,[1]GARANTIA!$C:$C,0)),"INSIRA N° SERIE")</f>
        <v>TESTE 211</v>
      </c>
      <c r="C420" s="33">
        <f>IFERROR(INDEX([1]GARANTIA!$J:$J,MATCH(A420,[1]GARANTIA!$C:$C,0)),"INSIRA N° SERIE")</f>
        <v>44084</v>
      </c>
      <c r="D420" s="33" t="str">
        <f>IFERROR(IF(INDEX([1]GARANTIA!$M:$M,MATCH(A420,[1]GARANTIA!$C:$C,0))&gt;=I420,"DENTRO DA GARANTIA","FORA DE GARANTIA"),"INSIRA N° SERIE")</f>
        <v>FORA DE GARANTIA</v>
      </c>
      <c r="E420" s="148">
        <v>7500</v>
      </c>
      <c r="F420" s="109">
        <f>IFERROR(MAX(0,IF(I420-(INDEX([1]GARANTIA!$J:$J,MATCH(A420,[1]GARANTIA!$C:$C,0)))&gt;=0,I420-(INDEX([1]GARANTIA!$L:$L,MATCH(A420,[1]GARANTIA!$C:$C,0))),"INSIRA DATA CHAMADO")),"INSIRA N° SERIE")</f>
        <v>385</v>
      </c>
      <c r="G420" s="98">
        <v>20220839</v>
      </c>
      <c r="H420" s="35" t="str">
        <f t="shared" si="71"/>
        <v>JAN</v>
      </c>
      <c r="I420" s="89">
        <v>44564</v>
      </c>
      <c r="J420" s="90">
        <v>44564</v>
      </c>
      <c r="K420" s="91">
        <v>44575</v>
      </c>
      <c r="L420" s="92" t="s">
        <v>11</v>
      </c>
      <c r="M420" s="92" t="s">
        <v>8</v>
      </c>
      <c r="N420" s="92" t="s">
        <v>26</v>
      </c>
      <c r="O420" s="42" t="str">
        <f>IFERROR(INDEX([1]GARANTIA!$E:$E,MATCH(A420,[1]GARANTIA!$C:$C,0)),"INSIRA N° SERIE")</f>
        <v>MTI - 1.000GTS</v>
      </c>
      <c r="P420" s="101" t="s">
        <v>1686</v>
      </c>
      <c r="Q420" s="94" t="s">
        <v>645</v>
      </c>
      <c r="R420" s="93" t="s">
        <v>1685</v>
      </c>
      <c r="S420" s="95" t="s">
        <v>325</v>
      </c>
      <c r="T420" s="95" t="s">
        <v>640</v>
      </c>
      <c r="U420" s="96"/>
      <c r="V420" s="41" t="str">
        <f>IFERROR(INDEX([1]GARANTIA!$G:$G,MATCH(A420,[1]GARANTIA!$C:$C,0)),"INSIRA N° SERIE")</f>
        <v xml:space="preserve">RIO BRANCO </v>
      </c>
      <c r="W420" s="41" t="str">
        <f>IFERROR(INDEX([1]GARANTIA!$H:$H,MATCH(A420,[1]GARANTIA!$C:$C,0)),"INSIRA N° SERIE")</f>
        <v>AC</v>
      </c>
      <c r="X420" s="41" t="str">
        <f>IFERROR(INDEX([1]GARANTIA!$F:$F,MATCH(A420,[1]GARANTIA!$C:$C,0)),"INSIRA N° SERIE")</f>
        <v>NORTE</v>
      </c>
      <c r="Y420" s="46">
        <f t="shared" si="90"/>
        <v>0</v>
      </c>
      <c r="Z420" s="47">
        <f t="shared" si="89"/>
        <v>11</v>
      </c>
      <c r="AA420" s="46">
        <f t="shared" si="87"/>
        <v>11</v>
      </c>
      <c r="AB420" s="46" t="str" cm="1">
        <f t="array" ref="AB420">IFERROR(_xlfn.IFS(L420="FINALIZADO PRESENCIAL",IF(AA420&gt;10,"FORA","DENTRO"),L420="FINALIZADO REMOTO",IF(AA420&gt;5,"FORA","DENTRO")),"-")</f>
        <v>FORA</v>
      </c>
      <c r="AC420" s="41" t="s">
        <v>1671</v>
      </c>
      <c r="AD420" s="41" t="s">
        <v>1671</v>
      </c>
      <c r="AE420" s="48" cm="1">
        <f t="array" ref="AE420">SUMPRODUCT(IFERROR(('[2]PEÇAS GARANTIA'!$A$3:$A$5993=G420)*('[2]PEÇAS GARANTIA'!$A$3:$A$5993&lt;&gt;"")*('[2]PEÇAS GARANTIA'!$R$3:$R$5993),0))</f>
        <v>465</v>
      </c>
      <c r="AF420" s="178" cm="1">
        <f t="array" ref="AF420">SUMPRODUCT(([3]GERAL!$O$2:$O$6000)*
([3]GERAL!$A$2:$A$6000 =GERAL[[#This Row],[N° OS]]))</f>
        <v>0</v>
      </c>
    </row>
    <row r="421" spans="1:32" ht="33" customHeight="1" x14ac:dyDescent="0.25">
      <c r="A421" s="82">
        <v>99865</v>
      </c>
      <c r="B421" s="41" t="str">
        <f>IFERROR(INDEX([1]GARANTIA!$B:$B,MATCH(A421,[1]GARANTIA!$C:$C,0)),"INSIRA N° SERIE")</f>
        <v>TESTE 374</v>
      </c>
      <c r="C421" s="33">
        <f>IFERROR(INDEX([1]GARANTIA!$J:$J,MATCH(A421,[1]GARANTIA!$C:$C,0)),"INSIRA N° SERIE")</f>
        <v>44480</v>
      </c>
      <c r="D421" s="33" t="str">
        <f>IFERROR(IF(INDEX([1]GARANTIA!$M:$M,MATCH(A421,[1]GARANTIA!$C:$C,0))&gt;=I421,"DENTRO DA GARANTIA","FORA DE GARANTIA"),"INSIRA N° SERIE")</f>
        <v>DENTRO DA GARANTIA</v>
      </c>
      <c r="E421" s="148"/>
      <c r="F421" s="109">
        <f>IFERROR(MAX(0,IF(I421-(INDEX([1]GARANTIA!$J:$J,MATCH(A421,[1]GARANTIA!$C:$C,0)))&gt;=0,I421-(INDEX([1]GARANTIA!$L:$L,MATCH(A421,[1]GARANTIA!$C:$C,0))),"INSIRA DATA CHAMADO")),"INSIRA N° SERIE")</f>
        <v>38</v>
      </c>
      <c r="G421" s="98">
        <v>20220840</v>
      </c>
      <c r="H421" s="35" t="str">
        <f t="shared" si="71"/>
        <v>JAN</v>
      </c>
      <c r="I421" s="89">
        <v>44564</v>
      </c>
      <c r="J421" s="90">
        <v>44564</v>
      </c>
      <c r="K421" s="91">
        <v>44571</v>
      </c>
      <c r="L421" s="92" t="s">
        <v>11</v>
      </c>
      <c r="M421" s="92" t="s">
        <v>8</v>
      </c>
      <c r="N421" s="92" t="s">
        <v>28</v>
      </c>
      <c r="O421" s="42" t="str">
        <f>IFERROR(INDEX([1]GARANTIA!$E:$E,MATCH(A421,[1]GARANTIA!$C:$C,0)),"INSIRA N° SERIE")</f>
        <v>MTI - 1.000GTS</v>
      </c>
      <c r="P421" s="101" t="s">
        <v>868</v>
      </c>
      <c r="Q421" s="94" t="s">
        <v>643</v>
      </c>
      <c r="R421" s="93" t="s">
        <v>869</v>
      </c>
      <c r="S421" s="95" t="s">
        <v>639</v>
      </c>
      <c r="T421" s="95" t="s">
        <v>297</v>
      </c>
      <c r="U421" s="96"/>
      <c r="V421" s="41" t="str">
        <f>IFERROR(INDEX([1]GARANTIA!$G:$G,MATCH(A421,[1]GARANTIA!$C:$C,0)),"INSIRA N° SERIE")</f>
        <v xml:space="preserve">ALMIRANTE TAMANDARÉ </v>
      </c>
      <c r="W421" s="41" t="str">
        <f>IFERROR(INDEX([1]GARANTIA!$H:$H,MATCH(A421,[1]GARANTIA!$C:$C,0)),"INSIRA N° SERIE")</f>
        <v>PR</v>
      </c>
      <c r="X421" s="41" t="str">
        <f>IFERROR(INDEX([1]GARANTIA!$F:$F,MATCH(A421,[1]GARANTIA!$C:$C,0)),"INSIRA N° SERIE")</f>
        <v>SUL</v>
      </c>
      <c r="Y421" s="46">
        <f t="shared" ref="Y421:Y426" si="91">IF(G421&lt;&gt;"",J421-I421,"INSIRA N° OS")</f>
        <v>0</v>
      </c>
      <c r="Z421" s="47">
        <f t="shared" ref="Z421:Z426" si="92">IF(G421&lt;&gt;"",IF(OR(A421="",K421="",Q421="",P421="",R421=""),"NÃO FINALIZADO",K421-J421),"INSIRA N° OS")</f>
        <v>7</v>
      </c>
      <c r="AA421" s="46">
        <f t="shared" ref="AA421:AA426" si="93">IF(Z421="NÃO FINALIZADO","",Z421+Y421)</f>
        <v>7</v>
      </c>
      <c r="AB421" s="46" t="str" cm="1">
        <f t="array" ref="AB421">IFERROR(_xlfn.IFS(L421="FINALIZADO PRESENCIAL",IF(AA421&gt;10,"FORA","DENTRO"),L421="FINALIZADO REMOTO",IF(AA421&gt;5,"FORA","DENTRO")),"-")</f>
        <v>DENTRO</v>
      </c>
      <c r="AC421" s="41" t="s">
        <v>1671</v>
      </c>
      <c r="AD421" s="41" t="s">
        <v>1671</v>
      </c>
      <c r="AE421" s="48" cm="1">
        <f t="array" ref="AE421">SUMPRODUCT(IFERROR(('[2]PEÇAS GARANTIA'!$A$3:$A$5993=G421)*('[2]PEÇAS GARANTIA'!$A$3:$A$5993&lt;&gt;"")*('[2]PEÇAS GARANTIA'!$R$3:$R$5993),0))</f>
        <v>2047.44</v>
      </c>
      <c r="AF421" s="178" cm="1">
        <f t="array" ref="AF421">SUMPRODUCT(([3]GERAL!$O$2:$O$6000)*
([3]GERAL!$A$2:$A$6000 =GERAL[[#This Row],[N° OS]]))</f>
        <v>1099.1099999999999</v>
      </c>
    </row>
    <row r="422" spans="1:32" ht="33" customHeight="1" x14ac:dyDescent="0.25">
      <c r="A422" s="82">
        <v>44524</v>
      </c>
      <c r="B422" s="41" t="str">
        <f>IFERROR(INDEX([1]GARANTIA!$B:$B,MATCH(A422,[1]GARANTIA!$C:$C,0)),"INSIRA N° SERIE")</f>
        <v>TESTE 173</v>
      </c>
      <c r="C422" s="33">
        <f>IFERROR(INDEX([1]GARANTIA!$J:$J,MATCH(A422,[1]GARANTIA!$C:$C,0)),"INSIRA N° SERIE")</f>
        <v>44119</v>
      </c>
      <c r="D422" s="33" t="str">
        <f>IFERROR(IF(INDEX([1]GARANTIA!$M:$M,MATCH(A422,[1]GARANTIA!$C:$C,0))&gt;=I422,"DENTRO DA GARANTIA","FORA DE GARANTIA"),"INSIRA N° SERIE")</f>
        <v>DENTRO DA GARANTIA</v>
      </c>
      <c r="E422" s="148"/>
      <c r="F422" s="109">
        <f>IFERROR(MAX(0,IF(I422-(INDEX([1]GARANTIA!$J:$J,MATCH(A422,[1]GARANTIA!$C:$C,0)))&gt;=0,I422-(INDEX([1]GARANTIA!$L:$L,MATCH(A422,[1]GARANTIA!$C:$C,0))),"INSIRA DATA CHAMADO")),"INSIRA N° SERIE")</f>
        <v>318</v>
      </c>
      <c r="G422" s="98">
        <v>20220841</v>
      </c>
      <c r="H422" s="35" t="str">
        <f t="shared" si="71"/>
        <v>JAN</v>
      </c>
      <c r="I422" s="89">
        <v>44564</v>
      </c>
      <c r="J422" s="90">
        <v>44564</v>
      </c>
      <c r="K422" s="91">
        <v>44571</v>
      </c>
      <c r="L422" s="92" t="s">
        <v>11</v>
      </c>
      <c r="M422" s="92" t="s">
        <v>8</v>
      </c>
      <c r="N422" s="92" t="s">
        <v>42</v>
      </c>
      <c r="O422" s="42" t="str">
        <f>IFERROR(INDEX([1]GARANTIA!$E:$E,MATCH(A422,[1]GARANTIA!$C:$C,0)),"INSIRA N° SERIE")</f>
        <v>MTI - 4.000GTS</v>
      </c>
      <c r="P422" s="101" t="s">
        <v>854</v>
      </c>
      <c r="Q422" s="94" t="s">
        <v>611</v>
      </c>
      <c r="R422" s="93" t="s">
        <v>867</v>
      </c>
      <c r="S422" s="95" t="s">
        <v>101</v>
      </c>
      <c r="T422" s="95" t="s">
        <v>142</v>
      </c>
      <c r="U422" s="96"/>
      <c r="V422" s="41" t="str">
        <f>IFERROR(INDEX([1]GARANTIA!$G:$G,MATCH(A422,[1]GARANTIA!$C:$C,0)),"INSIRA N° SERIE")</f>
        <v>QUIRINOPOLIS</v>
      </c>
      <c r="W422" s="41" t="str">
        <f>IFERROR(INDEX([1]GARANTIA!$H:$H,MATCH(A422,[1]GARANTIA!$C:$C,0)),"INSIRA N° SERIE")</f>
        <v>GO</v>
      </c>
      <c r="X422" s="41" t="str">
        <f>IFERROR(INDEX([1]GARANTIA!$F:$F,MATCH(A422,[1]GARANTIA!$C:$C,0)),"INSIRA N° SERIE")</f>
        <v>CENTROESTE</v>
      </c>
      <c r="Y422" s="46">
        <f t="shared" si="91"/>
        <v>0</v>
      </c>
      <c r="Z422" s="47">
        <f t="shared" si="92"/>
        <v>7</v>
      </c>
      <c r="AA422" s="46">
        <f t="shared" si="93"/>
        <v>7</v>
      </c>
      <c r="AB422" s="46" t="str" cm="1">
        <f t="array" ref="AB422">IFERROR(_xlfn.IFS(L422="FINALIZADO PRESENCIAL",IF(AA422&gt;10,"FORA","DENTRO"),L422="FINALIZADO REMOTO",IF(AA422&gt;5,"FORA","DENTRO")),"-")</f>
        <v>DENTRO</v>
      </c>
      <c r="AC422" s="41" t="s">
        <v>1671</v>
      </c>
      <c r="AD422" s="41" t="s">
        <v>1671</v>
      </c>
      <c r="AE422" s="48" cm="1">
        <f t="array" ref="AE422">SUMPRODUCT(IFERROR(('[2]PEÇAS GARANTIA'!$A$3:$A$5993=G422)*('[2]PEÇAS GARANTIA'!$A$3:$A$5993&lt;&gt;"")*('[2]PEÇAS GARANTIA'!$R$3:$R$5993),0))</f>
        <v>5414.6200000000008</v>
      </c>
      <c r="AF422" s="178" cm="1">
        <f t="array" ref="AF422">SUMPRODUCT(([3]GERAL!$O$2:$O$6000)*
([3]GERAL!$A$2:$A$6000 =GERAL[[#This Row],[N° OS]]))</f>
        <v>1700</v>
      </c>
    </row>
    <row r="423" spans="1:32" ht="33" customHeight="1" x14ac:dyDescent="0.25">
      <c r="A423" s="82">
        <v>92027</v>
      </c>
      <c r="B423" s="41" t="str">
        <f>IFERROR(INDEX([1]GARANTIA!$B:$B,MATCH(A423,[1]GARANTIA!$C:$C,0)),"INSIRA N° SERIE")</f>
        <v>TESTE 382</v>
      </c>
      <c r="C423" s="33">
        <f>IFERROR(INDEX([1]GARANTIA!$J:$J,MATCH(A423,[1]GARANTIA!$C:$C,0)),"INSIRA N° SERIE")</f>
        <v>44456</v>
      </c>
      <c r="D423" s="33" t="str">
        <f>IFERROR(IF(INDEX([1]GARANTIA!$M:$M,MATCH(A423,[1]GARANTIA!$C:$C,0))&gt;=I423,"DENTRO DA GARANTIA","FORA DE GARANTIA"),"INSIRA N° SERIE")</f>
        <v>DENTRO DA GARANTIA</v>
      </c>
      <c r="E423" s="148"/>
      <c r="F423" s="109">
        <f>IFERROR(MAX(0,IF(I423-(INDEX([1]GARANTIA!$J:$J,MATCH(A423,[1]GARANTIA!$C:$C,0)))&gt;=0,I423-(INDEX([1]GARANTIA!$L:$L,MATCH(A423,[1]GARANTIA!$C:$C,0))),"INSIRA DATA CHAMADO")),"INSIRA N° SERIE")</f>
        <v>33</v>
      </c>
      <c r="G423" s="98">
        <v>20220842</v>
      </c>
      <c r="H423" s="35" t="str">
        <f t="shared" si="71"/>
        <v>JAN</v>
      </c>
      <c r="I423" s="89">
        <v>44566</v>
      </c>
      <c r="J423" s="90">
        <v>44566</v>
      </c>
      <c r="K423" s="91">
        <v>44568</v>
      </c>
      <c r="L423" s="92" t="s">
        <v>23</v>
      </c>
      <c r="M423" s="92" t="s">
        <v>8</v>
      </c>
      <c r="N423" s="92" t="s">
        <v>30</v>
      </c>
      <c r="O423" s="42" t="str">
        <f>IFERROR(INDEX([1]GARANTIA!$E:$E,MATCH(A423,[1]GARANTIA!$C:$C,0)),"INSIRA N° SERIE")</f>
        <v>MTI - 1.000GTS</v>
      </c>
      <c r="P423" s="101" t="s">
        <v>855</v>
      </c>
      <c r="Q423" s="94" t="s">
        <v>85</v>
      </c>
      <c r="R423" s="93" t="s">
        <v>856</v>
      </c>
      <c r="S423" s="95" t="s">
        <v>98</v>
      </c>
      <c r="T423" s="95" t="s">
        <v>141</v>
      </c>
      <c r="U423" s="96"/>
      <c r="V423" s="41" t="str">
        <f>IFERROR(INDEX([1]GARANTIA!$G:$G,MATCH(A423,[1]GARANTIA!$C:$C,0)),"INSIRA N° SERIE")</f>
        <v>CANGUÇU</v>
      </c>
      <c r="W423" s="41" t="str">
        <f>IFERROR(INDEX([1]GARANTIA!$H:$H,MATCH(A423,[1]GARANTIA!$C:$C,0)),"INSIRA N° SERIE")</f>
        <v>RS</v>
      </c>
      <c r="X423" s="41" t="str">
        <f>IFERROR(INDEX([1]GARANTIA!$F:$F,MATCH(A423,[1]GARANTIA!$C:$C,0)),"INSIRA N° SERIE")</f>
        <v>SUL</v>
      </c>
      <c r="Y423" s="46">
        <f t="shared" si="91"/>
        <v>0</v>
      </c>
      <c r="Z423" s="47">
        <f t="shared" si="92"/>
        <v>2</v>
      </c>
      <c r="AA423" s="46">
        <f t="shared" si="93"/>
        <v>2</v>
      </c>
      <c r="AB423" s="46" t="str" cm="1">
        <f t="array" ref="AB423">IFERROR(_xlfn.IFS(L423="FINALIZADO PRESENCIAL",IF(AA423&gt;10,"FORA","DENTRO"),L423="FINALIZADO REMOTO",IF(AA423&gt;5,"FORA","DENTRO")),"-")</f>
        <v>DENTRO</v>
      </c>
      <c r="AC423" s="41" t="s">
        <v>1671</v>
      </c>
      <c r="AD423" s="41" t="s">
        <v>1671</v>
      </c>
      <c r="AE423" s="48" cm="1">
        <f t="array" ref="AE423">SUMPRODUCT(IFERROR(('[2]PEÇAS GARANTIA'!$A$3:$A$5993=G423)*('[2]PEÇAS GARANTIA'!$A$3:$A$5993&lt;&gt;"")*('[2]PEÇAS GARANTIA'!$R$3:$R$5993),0))</f>
        <v>0</v>
      </c>
      <c r="AF423" s="178" cm="1">
        <f t="array" ref="AF423">SUMPRODUCT(([3]GERAL!$O$2:$O$6000)*
([3]GERAL!$A$2:$A$6000 =GERAL[[#This Row],[N° OS]]))</f>
        <v>0</v>
      </c>
    </row>
    <row r="424" spans="1:32" ht="33" customHeight="1" x14ac:dyDescent="0.25">
      <c r="A424" s="82">
        <v>92027</v>
      </c>
      <c r="B424" s="41" t="str">
        <f>IFERROR(INDEX([1]GARANTIA!$B:$B,MATCH(A424,[1]GARANTIA!$C:$C,0)),"INSIRA N° SERIE")</f>
        <v>TESTE 382</v>
      </c>
      <c r="C424" s="33">
        <f>IFERROR(INDEX([1]GARANTIA!$J:$J,MATCH(A424,[1]GARANTIA!$C:$C,0)),"INSIRA N° SERIE")</f>
        <v>44456</v>
      </c>
      <c r="D424" s="33" t="str">
        <f>IFERROR(IF(INDEX([1]GARANTIA!$M:$M,MATCH(A424,[1]GARANTIA!$C:$C,0))&gt;=I424,"DENTRO DA GARANTIA","FORA DE GARANTIA"),"INSIRA N° SERIE")</f>
        <v>DENTRO DA GARANTIA</v>
      </c>
      <c r="E424" s="148"/>
      <c r="F424" s="109">
        <f>IFERROR(MAX(0,IF(I424-(INDEX([1]GARANTIA!$J:$J,MATCH(A424,[1]GARANTIA!$C:$C,0)))&gt;=0,I424-(INDEX([1]GARANTIA!$L:$L,MATCH(A424,[1]GARANTIA!$C:$C,0))),"INSIRA DATA CHAMADO")),"INSIRA N° SERIE")</f>
        <v>38</v>
      </c>
      <c r="G424" s="98">
        <v>20220843</v>
      </c>
      <c r="H424" s="35" t="str">
        <f t="shared" si="71"/>
        <v>JAN</v>
      </c>
      <c r="I424" s="89">
        <v>44571</v>
      </c>
      <c r="J424" s="90">
        <v>44571</v>
      </c>
      <c r="K424" s="91">
        <v>44572</v>
      </c>
      <c r="L424" s="92" t="s">
        <v>23</v>
      </c>
      <c r="M424" s="92" t="s">
        <v>8</v>
      </c>
      <c r="N424" s="92" t="s">
        <v>28</v>
      </c>
      <c r="O424" s="42" t="str">
        <f>IFERROR(INDEX([1]GARANTIA!$E:$E,MATCH(A424,[1]GARANTIA!$C:$C,0)),"INSIRA N° SERIE")</f>
        <v>MTI - 1.000GTS</v>
      </c>
      <c r="P424" s="101" t="s">
        <v>870</v>
      </c>
      <c r="Q424" s="94" t="s">
        <v>611</v>
      </c>
      <c r="R424" s="93" t="s">
        <v>871</v>
      </c>
      <c r="S424" s="95" t="s">
        <v>101</v>
      </c>
      <c r="T424" s="95" t="s">
        <v>142</v>
      </c>
      <c r="U424" s="96"/>
      <c r="V424" s="41" t="str">
        <f>IFERROR(INDEX([1]GARANTIA!$G:$G,MATCH(A424,[1]GARANTIA!$C:$C,0)),"INSIRA N° SERIE")</f>
        <v>CANGUÇU</v>
      </c>
      <c r="W424" s="41" t="str">
        <f>IFERROR(INDEX([1]GARANTIA!$H:$H,MATCH(A424,[1]GARANTIA!$C:$C,0)),"INSIRA N° SERIE")</f>
        <v>RS</v>
      </c>
      <c r="X424" s="41" t="str">
        <f>IFERROR(INDEX([1]GARANTIA!$F:$F,MATCH(A424,[1]GARANTIA!$C:$C,0)),"INSIRA N° SERIE")</f>
        <v>SUL</v>
      </c>
      <c r="Y424" s="46">
        <f t="shared" si="91"/>
        <v>0</v>
      </c>
      <c r="Z424" s="47">
        <f t="shared" si="92"/>
        <v>1</v>
      </c>
      <c r="AA424" s="46">
        <f t="shared" si="93"/>
        <v>1</v>
      </c>
      <c r="AB424" s="46" t="str" cm="1">
        <f t="array" ref="AB424">IFERROR(_xlfn.IFS(L424="FINALIZADO PRESENCIAL",IF(AA424&gt;10,"FORA","DENTRO"),L424="FINALIZADO REMOTO",IF(AA424&gt;5,"FORA","DENTRO")),"-")</f>
        <v>DENTRO</v>
      </c>
      <c r="AC424" s="41" t="s">
        <v>1671</v>
      </c>
      <c r="AD424" s="41" t="s">
        <v>1671</v>
      </c>
      <c r="AE424" s="48" cm="1">
        <f t="array" ref="AE424">SUMPRODUCT(IFERROR(('[2]PEÇAS GARANTIA'!$A$3:$A$5993=G424)*('[2]PEÇAS GARANTIA'!$A$3:$A$5993&lt;&gt;"")*('[2]PEÇAS GARANTIA'!$R$3:$R$5993),0))</f>
        <v>0</v>
      </c>
      <c r="AF424" s="178" cm="1">
        <f t="array" ref="AF424">SUMPRODUCT(([3]GERAL!$O$2:$O$6000)*
([3]GERAL!$A$2:$A$6000 =GERAL[[#This Row],[N° OS]]))</f>
        <v>0</v>
      </c>
    </row>
    <row r="425" spans="1:32" ht="33" customHeight="1" x14ac:dyDescent="0.25">
      <c r="A425" s="82">
        <v>25541</v>
      </c>
      <c r="B425" s="41" t="str">
        <f>IFERROR(INDEX([1]GARANTIA!$B:$B,MATCH(A425,[1]GARANTIA!$C:$C,0)),"INSIRA N° SERIE")</f>
        <v>TESTE 221</v>
      </c>
      <c r="C425" s="33">
        <f>IFERROR(INDEX([1]GARANTIA!$J:$J,MATCH(A425,[1]GARANTIA!$C:$C,0)),"INSIRA N° SERIE")</f>
        <v>44306</v>
      </c>
      <c r="D425" s="33" t="str">
        <f>IFERROR(IF(INDEX([1]GARANTIA!$M:$M,MATCH(A425,[1]GARANTIA!$C:$C,0))&gt;=I425,"DENTRO DA GARANTIA","FORA DE GARANTIA"),"INSIRA N° SERIE")</f>
        <v>DENTRO DA GARANTIA</v>
      </c>
      <c r="E425" s="148"/>
      <c r="F425" s="109">
        <f>IFERROR(MAX(0,IF(I425-(INDEX([1]GARANTIA!$J:$J,MATCH(A425,[1]GARANTIA!$C:$C,0)))&gt;=0,I425-(INDEX([1]GARANTIA!$L:$L,MATCH(A425,[1]GARANTIA!$C:$C,0))),"INSIRA DATA CHAMADO")),"INSIRA N° SERIE")</f>
        <v>233</v>
      </c>
      <c r="G425" s="98">
        <v>20220844</v>
      </c>
      <c r="H425" s="35" t="str">
        <f t="shared" si="71"/>
        <v>JAN</v>
      </c>
      <c r="I425" s="89">
        <v>44572</v>
      </c>
      <c r="J425" s="90">
        <v>44572</v>
      </c>
      <c r="K425" s="91">
        <v>44578</v>
      </c>
      <c r="L425" s="92" t="s">
        <v>23</v>
      </c>
      <c r="M425" s="92" t="s">
        <v>8</v>
      </c>
      <c r="N425" s="92" t="s">
        <v>85</v>
      </c>
      <c r="O425" s="42" t="str">
        <f>IFERROR(INDEX([1]GARANTIA!$E:$E,MATCH(A425,[1]GARANTIA!$C:$C,0)),"INSIRA N° SERIE")</f>
        <v>MTI - 4.000GTS</v>
      </c>
      <c r="P425" s="101" t="s">
        <v>872</v>
      </c>
      <c r="Q425" s="94" t="s">
        <v>645</v>
      </c>
      <c r="R425" s="93" t="s">
        <v>1687</v>
      </c>
      <c r="S425" s="95" t="s">
        <v>325</v>
      </c>
      <c r="T425" s="95" t="s">
        <v>640</v>
      </c>
      <c r="U425" s="96"/>
      <c r="V425" s="41" t="str">
        <f>IFERROR(INDEX([1]GARANTIA!$G:$G,MATCH(A425,[1]GARANTIA!$C:$C,0)),"INSIRA N° SERIE")</f>
        <v>COROMANDEL</v>
      </c>
      <c r="W425" s="41" t="str">
        <f>IFERROR(INDEX([1]GARANTIA!$H:$H,MATCH(A425,[1]GARANTIA!$C:$C,0)),"INSIRA N° SERIE")</f>
        <v>MG</v>
      </c>
      <c r="X425" s="41" t="str">
        <f>IFERROR(INDEX([1]GARANTIA!$F:$F,MATCH(A425,[1]GARANTIA!$C:$C,0)),"INSIRA N° SERIE")</f>
        <v>SUDESTE</v>
      </c>
      <c r="Y425" s="46">
        <f t="shared" si="91"/>
        <v>0</v>
      </c>
      <c r="Z425" s="47">
        <f t="shared" si="92"/>
        <v>6</v>
      </c>
      <c r="AA425" s="46">
        <f t="shared" si="93"/>
        <v>6</v>
      </c>
      <c r="AB425" s="46" t="str" cm="1">
        <f t="array" ref="AB425">IFERROR(_xlfn.IFS(L425="FINALIZADO PRESENCIAL",IF(AA425&gt;10,"FORA","DENTRO"),L425="FINALIZADO REMOTO",IF(AA425&gt;5,"FORA","DENTRO")),"-")</f>
        <v>FORA</v>
      </c>
      <c r="AC425" s="41" t="s">
        <v>1671</v>
      </c>
      <c r="AD425" s="41" t="s">
        <v>1671</v>
      </c>
      <c r="AE425" s="48" cm="1">
        <f t="array" ref="AE425">SUMPRODUCT(IFERROR(('[2]PEÇAS GARANTIA'!$A$3:$A$5993=G425)*('[2]PEÇAS GARANTIA'!$A$3:$A$5993&lt;&gt;"")*('[2]PEÇAS GARANTIA'!$R$3:$R$5993),0))</f>
        <v>1631.85</v>
      </c>
      <c r="AF425" s="178" cm="1">
        <f t="array" ref="AF425">SUMPRODUCT(([3]GERAL!$O$2:$O$6000)*
([3]GERAL!$A$2:$A$6000 =GERAL[[#This Row],[N° OS]]))</f>
        <v>0</v>
      </c>
    </row>
    <row r="426" spans="1:32" ht="33" customHeight="1" x14ac:dyDescent="0.25">
      <c r="A426" s="82">
        <v>30858</v>
      </c>
      <c r="B426" s="41" t="str">
        <f>IFERROR(INDEX([1]GARANTIA!$B:$B,MATCH(A426,[1]GARANTIA!$C:$C,0)),"INSIRA N° SERIE")</f>
        <v>TESTE 366</v>
      </c>
      <c r="C426" s="33">
        <f>IFERROR(INDEX([1]GARANTIA!$J:$J,MATCH(A426,[1]GARANTIA!$C:$C,0)),"INSIRA N° SERIE")</f>
        <v>44370</v>
      </c>
      <c r="D426" s="33" t="str">
        <f>IFERROR(IF(INDEX([1]GARANTIA!$M:$M,MATCH(A426,[1]GARANTIA!$C:$C,0))&gt;=I426,"DENTRO DA GARANTIA","FORA DE GARANTIA"),"INSIRA N° SERIE")</f>
        <v>DENTRO DA GARANTIA</v>
      </c>
      <c r="E426" s="148"/>
      <c r="F426" s="109">
        <f>IFERROR(MAX(0,IF(I426-(INDEX([1]GARANTIA!$J:$J,MATCH(A426,[1]GARANTIA!$C:$C,0)))&gt;=0,I426-(INDEX([1]GARANTIA!$L:$L,MATCH(A426,[1]GARANTIA!$C:$C,0))),"INSIRA DATA CHAMADO")),"INSIRA N° SERIE")</f>
        <v>53</v>
      </c>
      <c r="G426" s="98">
        <v>20220845</v>
      </c>
      <c r="H426" s="35" t="str">
        <f t="shared" si="71"/>
        <v>JAN</v>
      </c>
      <c r="I426" s="89">
        <v>44572</v>
      </c>
      <c r="J426" s="90">
        <v>44572</v>
      </c>
      <c r="K426" s="91">
        <v>44573</v>
      </c>
      <c r="L426" s="92" t="s">
        <v>23</v>
      </c>
      <c r="M426" s="92" t="s">
        <v>8</v>
      </c>
      <c r="N426" s="92" t="s">
        <v>40</v>
      </c>
      <c r="O426" s="42" t="str">
        <f>IFERROR(INDEX([1]GARANTIA!$E:$E,MATCH(A426,[1]GARANTIA!$C:$C,0)),"INSIRA N° SERIE")</f>
        <v>MTI - 4.000GTS</v>
      </c>
      <c r="P426" s="101" t="s">
        <v>1646</v>
      </c>
      <c r="Q426" s="94" t="s">
        <v>644</v>
      </c>
      <c r="R426" s="93" t="s">
        <v>1647</v>
      </c>
      <c r="S426" s="95" t="s">
        <v>638</v>
      </c>
      <c r="T426" s="95" t="s">
        <v>142</v>
      </c>
      <c r="U426" s="96"/>
      <c r="V426" s="41" t="str">
        <f>IFERROR(INDEX([1]GARANTIA!$G:$G,MATCH(A426,[1]GARANTIA!$C:$C,0)),"INSIRA N° SERIE")</f>
        <v>CANGUÇU</v>
      </c>
      <c r="W426" s="41" t="str">
        <f>IFERROR(INDEX([1]GARANTIA!$H:$H,MATCH(A426,[1]GARANTIA!$C:$C,0)),"INSIRA N° SERIE")</f>
        <v>RS</v>
      </c>
      <c r="X426" s="41" t="str">
        <f>IFERROR(INDEX([1]GARANTIA!$F:$F,MATCH(A426,[1]GARANTIA!$C:$C,0)),"INSIRA N° SERIE")</f>
        <v>SUL</v>
      </c>
      <c r="Y426" s="46">
        <f t="shared" si="91"/>
        <v>0</v>
      </c>
      <c r="Z426" s="47">
        <f t="shared" si="92"/>
        <v>1</v>
      </c>
      <c r="AA426" s="46">
        <f t="shared" si="93"/>
        <v>1</v>
      </c>
      <c r="AB426" s="46" t="str" cm="1">
        <f t="array" ref="AB426">IFERROR(_xlfn.IFS(L426="FINALIZADO PRESENCIAL",IF(AA426&gt;10,"FORA","DENTRO"),L426="FINALIZADO REMOTO",IF(AA426&gt;5,"FORA","DENTRO")),"-")</f>
        <v>DENTRO</v>
      </c>
      <c r="AC426" s="41" t="s">
        <v>1671</v>
      </c>
      <c r="AD426" s="41" t="s">
        <v>1671</v>
      </c>
      <c r="AE426" s="48" cm="1">
        <f t="array" ref="AE426">SUMPRODUCT(IFERROR(('[2]PEÇAS GARANTIA'!$A$3:$A$5993=G426)*('[2]PEÇAS GARANTIA'!$A$3:$A$5993&lt;&gt;"")*('[2]PEÇAS GARANTIA'!$R$3:$R$5993),0))</f>
        <v>0</v>
      </c>
      <c r="AF426" s="178" cm="1">
        <f t="array" ref="AF426">SUMPRODUCT(([3]GERAL!$O$2:$O$6000)*
([3]GERAL!$A$2:$A$6000 =GERAL[[#This Row],[N° OS]]))</f>
        <v>0</v>
      </c>
    </row>
    <row r="427" spans="1:32" ht="40.15" customHeight="1" x14ac:dyDescent="0.25">
      <c r="A427" s="171">
        <v>93548</v>
      </c>
      <c r="B427" s="97" t="str">
        <f>IFERROR(INDEX([1]GARANTIA!$B:$B,MATCH(A427,[1]GARANTIA!$C:$C,0)),"INSIRA N° SERIE")</f>
        <v>TESTE 404</v>
      </c>
      <c r="C427" s="167">
        <f>IFERROR(INDEX([1]GARANTIA!$J:$J,MATCH(A427,[1]GARANTIA!$C:$C,0)),"INSIRA N° SERIE")</f>
        <v>44400</v>
      </c>
      <c r="D427" s="167" t="str">
        <f>IFERROR(IF(INDEX([1]GARANTIA!$M:$M,MATCH(A427,[1]GARANTIA!$C:$C,0))&gt;=I427,"DENTRO DA GARANTIA","FORA DE GARANTIA"),"INSIRA N° SERIE")</f>
        <v>DENTRO DA GARANTIA</v>
      </c>
      <c r="E427" s="172">
        <v>77</v>
      </c>
      <c r="F427" s="168">
        <f>IFERROR(MAX(0,IF(I427-(INDEX([1]GARANTIA!$J:$J,MATCH(A427,[1]GARANTIA!$C:$C,0)))&gt;=0,I427-(INDEX([1]GARANTIA!$L:$L,MATCH(A427,[1]GARANTIA!$C:$C,0))),"INSIRA DATA CHAMADO")),"INSIRA N° SERIE")</f>
        <v>23</v>
      </c>
      <c r="G427" s="173">
        <v>20220846</v>
      </c>
      <c r="H427" s="35" t="str">
        <f t="shared" si="71"/>
        <v>JAN</v>
      </c>
      <c r="I427" s="174">
        <v>44574</v>
      </c>
      <c r="J427" s="175">
        <v>44574</v>
      </c>
      <c r="K427" s="91">
        <v>44575</v>
      </c>
      <c r="L427" s="92" t="s">
        <v>23</v>
      </c>
      <c r="M427" s="176" t="s">
        <v>8</v>
      </c>
      <c r="N427" s="42" t="s">
        <v>28</v>
      </c>
      <c r="O427" s="92" t="str">
        <f>IFERROR(INDEX([1]GARANTIA!$E:$E,MATCH(A427,[1]GARANTIA!$C:$C,0)),"INSIRA N° SERIE")</f>
        <v>MTI - 2.500GTS</v>
      </c>
      <c r="P427" s="101" t="s">
        <v>1688</v>
      </c>
      <c r="Q427" s="94" t="s">
        <v>611</v>
      </c>
      <c r="R427" s="93" t="s">
        <v>725</v>
      </c>
      <c r="S427" s="95" t="s">
        <v>101</v>
      </c>
      <c r="T427" s="95" t="s">
        <v>142</v>
      </c>
      <c r="U427" s="96"/>
      <c r="V427" s="97" t="str">
        <f>IFERROR(INDEX([1]GARANTIA!$G:$G,MATCH(A427,[1]GARANTIA!$C:$C,0)),"INSIRA N° SERIE")</f>
        <v>CAMPOS BELOS</v>
      </c>
      <c r="W427" s="97" t="str">
        <f>IFERROR(INDEX([1]GARANTIA!$H:$H,MATCH(A427,[1]GARANTIA!$C:$C,0)),"INSIRA N° SERIE")</f>
        <v xml:space="preserve">GO </v>
      </c>
      <c r="X427" s="97" t="str">
        <f>IFERROR(INDEX([1]GARANTIA!$F:$F,MATCH(A427,[1]GARANTIA!$C:$C,0)),"INSIRA N° SERIE")</f>
        <v>CENTROOESTE</v>
      </c>
      <c r="Y427" s="169">
        <f t="shared" ref="Y427:Y432" si="94">IF(G427&lt;&gt;"",J427-I427,"INSIRA N° OS")</f>
        <v>0</v>
      </c>
      <c r="Z427" s="170">
        <f t="shared" ref="Z427:Z432" si="95">IF(G427&lt;&gt;"",IF(OR(A427="",K427="",Q427="",P427="",R427=""),"NÃO FINALIZADO",K427-J427),"INSIRA N° OS")</f>
        <v>1</v>
      </c>
      <c r="AA427" s="169">
        <f t="shared" ref="AA427:AA432" si="96">IF(Z427="NÃO FINALIZADO","",Z427+Y427)</f>
        <v>1</v>
      </c>
      <c r="AB427" s="46" t="str" cm="1">
        <f t="array" ref="AB427">IFERROR(_xlfn.IFS(L427="FINALIZADO PRESENCIAL",IF(AA427&gt;10,"FORA","DENTRO"),L427="FINALIZADO REMOTO",IF(AA427&gt;5,"FORA","DENTRO")),"-")</f>
        <v>DENTRO</v>
      </c>
      <c r="AC427" s="41" t="s">
        <v>1671</v>
      </c>
      <c r="AD427" s="41" t="s">
        <v>1671</v>
      </c>
      <c r="AE427" s="48" cm="1">
        <f t="array" ref="AE427">SUMPRODUCT(IFERROR(('[2]PEÇAS GARANTIA'!$A$3:$A$5993=G427)*('[2]PEÇAS GARANTIA'!$A$3:$A$5993&lt;&gt;"")*('[2]PEÇAS GARANTIA'!$R$3:$R$5993),0))</f>
        <v>0</v>
      </c>
      <c r="AF427" s="178" cm="1">
        <f t="array" ref="AF427">SUMPRODUCT(([3]GERAL!$O$2:$O$6000)*
([3]GERAL!$A$2:$A$6000 =GERAL[[#This Row],[N° OS]]))</f>
        <v>0</v>
      </c>
    </row>
    <row r="428" spans="1:32" ht="40.15" customHeight="1" x14ac:dyDescent="0.25">
      <c r="A428" s="171">
        <v>93548</v>
      </c>
      <c r="B428" s="97" t="str">
        <f>IFERROR(INDEX([1]GARANTIA!$B:$B,MATCH(A428,[1]GARANTIA!$C:$C,0)),"INSIRA N° SERIE")</f>
        <v>TESTE 404</v>
      </c>
      <c r="C428" s="167">
        <f>IFERROR(INDEX([1]GARANTIA!$J:$J,MATCH(A428,[1]GARANTIA!$C:$C,0)),"INSIRA N° SERIE")</f>
        <v>44400</v>
      </c>
      <c r="D428" s="167" t="str">
        <f>IFERROR(IF(INDEX([1]GARANTIA!$M:$M,MATCH(A428,[1]GARANTIA!$C:$C,0))&gt;=I428,"DENTRO DA GARANTIA","FORA DE GARANTIA"),"INSIRA N° SERIE")</f>
        <v>DENTRO DA GARANTIA</v>
      </c>
      <c r="E428" s="172">
        <v>77</v>
      </c>
      <c r="F428" s="168">
        <f>IFERROR(MAX(0,IF(I428-(INDEX([1]GARANTIA!$J:$J,MATCH(A428,[1]GARANTIA!$C:$C,0)))&gt;=0,I428-(INDEX([1]GARANTIA!$L:$L,MATCH(A428,[1]GARANTIA!$C:$C,0))),"INSIRA DATA CHAMADO")),"INSIRA N° SERIE")</f>
        <v>23</v>
      </c>
      <c r="G428" s="173">
        <v>20220847</v>
      </c>
      <c r="H428" s="35" t="str">
        <f t="shared" si="71"/>
        <v>JAN</v>
      </c>
      <c r="I428" s="174">
        <v>44574</v>
      </c>
      <c r="J428" s="175">
        <v>44574</v>
      </c>
      <c r="K428" s="91">
        <v>44575</v>
      </c>
      <c r="L428" s="92" t="s">
        <v>23</v>
      </c>
      <c r="M428" s="176" t="s">
        <v>8</v>
      </c>
      <c r="N428" s="176" t="s">
        <v>32</v>
      </c>
      <c r="O428" s="92" t="str">
        <f>IFERROR(INDEX([1]GARANTIA!$E:$E,MATCH(A428,[1]GARANTIA!$C:$C,0)),"INSIRA N° SERIE")</f>
        <v>MTI - 2.500GTS</v>
      </c>
      <c r="P428" s="101" t="s">
        <v>1689</v>
      </c>
      <c r="Q428" s="94" t="s">
        <v>645</v>
      </c>
      <c r="R428" s="93" t="s">
        <v>1690</v>
      </c>
      <c r="S428" s="95" t="s">
        <v>325</v>
      </c>
      <c r="T428" s="95" t="s">
        <v>640</v>
      </c>
      <c r="U428" s="96"/>
      <c r="V428" s="97" t="str">
        <f>IFERROR(INDEX([1]GARANTIA!$G:$G,MATCH(A428,[1]GARANTIA!$C:$C,0)),"INSIRA N° SERIE")</f>
        <v>CAMPOS BELOS</v>
      </c>
      <c r="W428" s="97" t="str">
        <f>IFERROR(INDEX([1]GARANTIA!$H:$H,MATCH(A428,[1]GARANTIA!$C:$C,0)),"INSIRA N° SERIE")</f>
        <v xml:space="preserve">GO </v>
      </c>
      <c r="X428" s="97" t="str">
        <f>IFERROR(INDEX([1]GARANTIA!$F:$F,MATCH(A428,[1]GARANTIA!$C:$C,0)),"INSIRA N° SERIE")</f>
        <v>CENTROOESTE</v>
      </c>
      <c r="Y428" s="169">
        <f t="shared" si="94"/>
        <v>0</v>
      </c>
      <c r="Z428" s="170">
        <f t="shared" si="95"/>
        <v>1</v>
      </c>
      <c r="AA428" s="169">
        <f t="shared" si="96"/>
        <v>1</v>
      </c>
      <c r="AB428" s="46" t="str" cm="1">
        <f t="array" ref="AB428">IFERROR(_xlfn.IFS(L428="FINALIZADO PRESENCIAL",IF(AA428&gt;10,"FORA","DENTRO"),L428="FINALIZADO REMOTO",IF(AA428&gt;5,"FORA","DENTRO")),"-")</f>
        <v>DENTRO</v>
      </c>
      <c r="AC428" s="41" t="s">
        <v>1671</v>
      </c>
      <c r="AD428" s="41" t="s">
        <v>1671</v>
      </c>
      <c r="AE428" s="48" cm="1">
        <f t="array" ref="AE428">SUMPRODUCT(IFERROR(('[2]PEÇAS GARANTIA'!$A$3:$A$5993=G428)*('[2]PEÇAS GARANTIA'!$A$3:$A$5993&lt;&gt;"")*('[2]PEÇAS GARANTIA'!$R$3:$R$5993),0))</f>
        <v>0</v>
      </c>
      <c r="AF428" s="178" cm="1">
        <f t="array" ref="AF428">SUMPRODUCT(([3]GERAL!$O$2:$O$6000)*
([3]GERAL!$A$2:$A$6000 =GERAL[[#This Row],[N° OS]]))</f>
        <v>0</v>
      </c>
    </row>
    <row r="429" spans="1:32" ht="40.15" customHeight="1" x14ac:dyDescent="0.25">
      <c r="A429" s="171">
        <v>68730</v>
      </c>
      <c r="B429" s="97" t="str">
        <f>IFERROR(INDEX([1]GARANTIA!$B:$B,MATCH(A429,[1]GARANTIA!$C:$C,0)),"INSIRA N° SERIE")</f>
        <v>TESTE 302</v>
      </c>
      <c r="C429" s="167">
        <f>IFERROR(INDEX([1]GARANTIA!$J:$J,MATCH(A429,[1]GARANTIA!$C:$C,0)),"INSIRA N° SERIE")</f>
        <v>44204</v>
      </c>
      <c r="D429" s="167" t="str">
        <f>IFERROR(IF(INDEX([1]GARANTIA!$M:$M,MATCH(A429,[1]GARANTIA!$C:$C,0))&gt;=I429,"DENTRO DA GARANTIA","FORA DE GARANTIA"),"INSIRA N° SERIE")</f>
        <v>DENTRO DA GARANTIA</v>
      </c>
      <c r="E429" s="172">
        <v>1011</v>
      </c>
      <c r="F429" s="168">
        <f>IFERROR(MAX(0,IF(I429-(INDEX([1]GARANTIA!$J:$J,MATCH(A429,[1]GARANTIA!$C:$C,0)))&gt;=0,I429-(INDEX([1]GARANTIA!$L:$L,MATCH(A429,[1]GARANTIA!$C:$C,0))),"INSIRA DATA CHAMADO")),"INSIRA N° SERIE")</f>
        <v>211</v>
      </c>
      <c r="G429" s="173">
        <v>20220848</v>
      </c>
      <c r="H429" s="177" t="str">
        <f t="shared" si="71"/>
        <v>JAN</v>
      </c>
      <c r="I429" s="174">
        <v>44575</v>
      </c>
      <c r="J429" s="175">
        <v>44575</v>
      </c>
      <c r="K429" s="91">
        <v>44575</v>
      </c>
      <c r="L429" s="92" t="s">
        <v>23</v>
      </c>
      <c r="M429" s="176" t="s">
        <v>8</v>
      </c>
      <c r="N429" s="176" t="s">
        <v>31</v>
      </c>
      <c r="O429" s="92" t="str">
        <f>IFERROR(INDEX([1]GARANTIA!$E:$E,MATCH(A429,[1]GARANTIA!$C:$C,0)),"INSIRA N° SERIE")</f>
        <v>MTI - 1.000GTS</v>
      </c>
      <c r="P429" s="101" t="s">
        <v>1648</v>
      </c>
      <c r="Q429" s="94" t="s">
        <v>642</v>
      </c>
      <c r="R429" s="93" t="s">
        <v>1649</v>
      </c>
      <c r="S429" s="95" t="s">
        <v>102</v>
      </c>
      <c r="T429" s="95" t="s">
        <v>141</v>
      </c>
      <c r="U429" s="96"/>
      <c r="V429" s="97" t="str">
        <f>IFERROR(INDEX([1]GARANTIA!$G:$G,MATCH(A429,[1]GARANTIA!$C:$C,0)),"INSIRA N° SERIE")</f>
        <v>CUNHA</v>
      </c>
      <c r="W429" s="97" t="str">
        <f>IFERROR(INDEX([1]GARANTIA!$H:$H,MATCH(A429,[1]GARANTIA!$C:$C,0)),"INSIRA N° SERIE")</f>
        <v>SP</v>
      </c>
      <c r="X429" s="97" t="str">
        <f>IFERROR(INDEX([1]GARANTIA!$F:$F,MATCH(A429,[1]GARANTIA!$C:$C,0)),"INSIRA N° SERIE")</f>
        <v>SUDESTE</v>
      </c>
      <c r="Y429" s="169">
        <f t="shared" si="94"/>
        <v>0</v>
      </c>
      <c r="Z429" s="170">
        <f t="shared" si="95"/>
        <v>0</v>
      </c>
      <c r="AA429" s="169">
        <f t="shared" si="96"/>
        <v>0</v>
      </c>
      <c r="AB429" s="46" t="str" cm="1">
        <f t="array" ref="AB429">IFERROR(_xlfn.IFS(L429="FINALIZADO PRESENCIAL",IF(AA429&gt;10,"FORA","DENTRO"),L429="FINALIZADO REMOTO",IF(AA429&gt;5,"FORA","DENTRO")),"-")</f>
        <v>DENTRO</v>
      </c>
      <c r="AC429" s="41" t="s">
        <v>1671</v>
      </c>
      <c r="AD429" s="41" t="s">
        <v>1671</v>
      </c>
      <c r="AE429" s="48" cm="1">
        <f t="array" ref="AE429">SUMPRODUCT(IFERROR(('[2]PEÇAS GARANTIA'!$A$3:$A$5993=G429)*('[2]PEÇAS GARANTIA'!$A$3:$A$5993&lt;&gt;"")*('[2]PEÇAS GARANTIA'!$R$3:$R$5993),0))</f>
        <v>0</v>
      </c>
      <c r="AF429" s="178" cm="1">
        <f t="array" ref="AF429">SUMPRODUCT(([3]GERAL!$O$2:$O$6000)*
([3]GERAL!$A$2:$A$6000 =GERAL[[#This Row],[N° OS]]))</f>
        <v>0</v>
      </c>
    </row>
    <row r="430" spans="1:32" ht="40.15" customHeight="1" x14ac:dyDescent="0.25">
      <c r="A430" s="171">
        <v>73892</v>
      </c>
      <c r="B430" s="97" t="str">
        <f>IFERROR(INDEX([1]GARANTIA!$B:$B,MATCH(A430,[1]GARANTIA!$C:$C,0)),"INSIRA N° SERIE")</f>
        <v>TESTE 240</v>
      </c>
      <c r="C430" s="167">
        <f>IFERROR(INDEX([1]GARANTIA!$J:$J,MATCH(A430,[1]GARANTIA!$C:$C,0)),"INSIRA N° SERIE")</f>
        <v>44298</v>
      </c>
      <c r="D430" s="167" t="str">
        <f>IFERROR(IF(INDEX([1]GARANTIA!$M:$M,MATCH(A430,[1]GARANTIA!$C:$C,0))&gt;=I430,"DENTRO DA GARANTIA","FORA DE GARANTIA"),"INSIRA N° SERIE")</f>
        <v>DENTRO DA GARANTIA</v>
      </c>
      <c r="E430" s="172">
        <v>2598</v>
      </c>
      <c r="F430" s="168">
        <f>IFERROR(MAX(0,IF(I430-(INDEX([1]GARANTIA!$J:$J,MATCH(A430,[1]GARANTIA!$C:$C,0)))&gt;=0,I430-(INDEX([1]GARANTIA!$L:$L,MATCH(A430,[1]GARANTIA!$C:$C,0))),"INSIRA DATA CHAMADO")),"INSIRA N° SERIE")</f>
        <v>242</v>
      </c>
      <c r="G430" s="173">
        <v>20220849</v>
      </c>
      <c r="H430" s="177" t="str">
        <f t="shared" si="71"/>
        <v>JAN</v>
      </c>
      <c r="I430" s="174">
        <v>44578</v>
      </c>
      <c r="J430" s="175">
        <v>44578</v>
      </c>
      <c r="K430" s="91">
        <v>44580</v>
      </c>
      <c r="L430" s="92" t="s">
        <v>23</v>
      </c>
      <c r="M430" s="176" t="s">
        <v>8</v>
      </c>
      <c r="N430" s="176" t="s">
        <v>30</v>
      </c>
      <c r="O430" s="92" t="str">
        <f>IFERROR(INDEX([1]GARANTIA!$E:$E,MATCH(A430,[1]GARANTIA!$C:$C,0)),"INSIRA N° SERIE")</f>
        <v>MTI - 1.000GTS</v>
      </c>
      <c r="P430" s="101" t="s">
        <v>1691</v>
      </c>
      <c r="Q430" s="94" t="s">
        <v>85</v>
      </c>
      <c r="R430" s="93" t="s">
        <v>1692</v>
      </c>
      <c r="S430" s="95" t="s">
        <v>98</v>
      </c>
      <c r="T430" s="95" t="s">
        <v>141</v>
      </c>
      <c r="U430" s="96"/>
      <c r="V430" s="97" t="str">
        <f>IFERROR(INDEX([1]GARANTIA!$G:$G,MATCH(A430,[1]GARANTIA!$C:$C,0)),"INSIRA N° SERIE")</f>
        <v>FORMOSA</v>
      </c>
      <c r="W430" s="97" t="str">
        <f>IFERROR(INDEX([1]GARANTIA!$H:$H,MATCH(A430,[1]GARANTIA!$C:$C,0)),"INSIRA N° SERIE")</f>
        <v>GO</v>
      </c>
      <c r="X430" s="97" t="str">
        <f>IFERROR(INDEX([1]GARANTIA!$F:$F,MATCH(A430,[1]GARANTIA!$C:$C,0)),"INSIRA N° SERIE")</f>
        <v>CENTROESTE</v>
      </c>
      <c r="Y430" s="169">
        <f t="shared" si="94"/>
        <v>0</v>
      </c>
      <c r="Z430" s="170">
        <f t="shared" si="95"/>
        <v>2</v>
      </c>
      <c r="AA430" s="169">
        <f t="shared" si="96"/>
        <v>2</v>
      </c>
      <c r="AB430" s="46" t="str" cm="1">
        <f t="array" ref="AB430">IFERROR(_xlfn.IFS(L430="FINALIZADO PRESENCIAL",IF(AA430&gt;10,"FORA","DENTRO"),L430="FINALIZADO REMOTO",IF(AA430&gt;5,"FORA","DENTRO")),"-")</f>
        <v>DENTRO</v>
      </c>
      <c r="AC430" s="41" t="s">
        <v>1671</v>
      </c>
      <c r="AD430" s="41" t="s">
        <v>1671</v>
      </c>
      <c r="AE430" s="48" cm="1">
        <f t="array" ref="AE430">SUMPRODUCT(IFERROR(('[2]PEÇAS GARANTIA'!$A$3:$A$5993=G430)*('[2]PEÇAS GARANTIA'!$A$3:$A$5993&lt;&gt;"")*('[2]PEÇAS GARANTIA'!$R$3:$R$5993),0))</f>
        <v>0</v>
      </c>
      <c r="AF430" s="178" cm="1">
        <f t="array" ref="AF430">SUMPRODUCT(([3]GERAL!$O$2:$O$6000)*
([3]GERAL!$A$2:$A$6000 =GERAL[[#This Row],[N° OS]]))</f>
        <v>0</v>
      </c>
    </row>
    <row r="431" spans="1:32" ht="40.15" customHeight="1" x14ac:dyDescent="0.25">
      <c r="A431" s="171">
        <v>49869</v>
      </c>
      <c r="B431" s="97" t="str">
        <f>IFERROR(INDEX([1]GARANTIA!$B:$B,MATCH(A431,[1]GARANTIA!$C:$C,0)),"INSIRA N° SERIE")</f>
        <v>TESTE 413</v>
      </c>
      <c r="C431" s="167">
        <f>IFERROR(INDEX([1]GARANTIA!$J:$J,MATCH(A431,[1]GARANTIA!$C:$C,0)),"INSIRA N° SERIE")</f>
        <v>44447</v>
      </c>
      <c r="D431" s="167" t="str">
        <f>IFERROR(IF(INDEX([1]GARANTIA!$M:$M,MATCH(A431,[1]GARANTIA!$C:$C,0))&gt;=I431,"DENTRO DA GARANTIA","FORA DE GARANTIA"),"INSIRA N° SERIE")</f>
        <v>DENTRO DA GARANTIA</v>
      </c>
      <c r="E431" s="172">
        <v>162</v>
      </c>
      <c r="F431" s="168">
        <f>IFERROR(MAX(0,IF(I431-(INDEX([1]GARANTIA!$J:$J,MATCH(A431,[1]GARANTIA!$C:$C,0)))&gt;=0,I431-(INDEX([1]GARANTIA!$L:$L,MATCH(A431,[1]GARANTIA!$C:$C,0))),"INSIRA DATA CHAMADO")),"INSIRA N° SERIE")</f>
        <v>22</v>
      </c>
      <c r="G431" s="173">
        <v>20220850</v>
      </c>
      <c r="H431" s="177" t="str">
        <f t="shared" si="71"/>
        <v>JAN</v>
      </c>
      <c r="I431" s="174">
        <v>44579</v>
      </c>
      <c r="J431" s="175">
        <v>44579</v>
      </c>
      <c r="K431" s="91" t="s">
        <v>1699</v>
      </c>
      <c r="L431" s="176" t="s">
        <v>11</v>
      </c>
      <c r="M431" s="176" t="s">
        <v>8</v>
      </c>
      <c r="N431" s="176" t="s">
        <v>28</v>
      </c>
      <c r="O431" s="92" t="str">
        <f>IFERROR(INDEX([1]GARANTIA!$E:$E,MATCH(A431,[1]GARANTIA!$C:$C,0)),"INSIRA N° SERIE")</f>
        <v>MTI - 7.000GTS</v>
      </c>
      <c r="P431" s="101" t="s">
        <v>1697</v>
      </c>
      <c r="Q431" s="94" t="s">
        <v>643</v>
      </c>
      <c r="R431" s="93" t="s">
        <v>1698</v>
      </c>
      <c r="S431" s="95" t="s">
        <v>638</v>
      </c>
      <c r="T431" s="95" t="s">
        <v>144</v>
      </c>
      <c r="U431" s="96"/>
      <c r="V431" s="97" t="str">
        <f>IFERROR(INDEX([1]GARANTIA!$G:$G,MATCH(A431,[1]GARANTIA!$C:$C,0)),"INSIRA N° SERIE")</f>
        <v>DIADEMA</v>
      </c>
      <c r="W431" s="97" t="str">
        <f>IFERROR(INDEX([1]GARANTIA!$H:$H,MATCH(A431,[1]GARANTIA!$C:$C,0)),"INSIRA N° SERIE")</f>
        <v>SP</v>
      </c>
      <c r="X431" s="97" t="str">
        <f>IFERROR(INDEX([1]GARANTIA!$F:$F,MATCH(A431,[1]GARANTIA!$C:$C,0)),"INSIRA N° SERIE")</f>
        <v>SUDESTE</v>
      </c>
      <c r="Y431" s="169">
        <f t="shared" si="94"/>
        <v>0</v>
      </c>
      <c r="Z431" s="170">
        <f t="shared" si="95"/>
        <v>2</v>
      </c>
      <c r="AA431" s="169">
        <f t="shared" si="96"/>
        <v>2</v>
      </c>
      <c r="AB431" s="46" t="str" cm="1">
        <f t="array" ref="AB431">IFERROR(_xlfn.IFS(L431="FINALIZADO PRESENCIAL",IF(AA431&gt;10,"FORA","DENTRO"),L431="FINALIZADO REMOTO",IF(AA431&gt;5,"FORA","DENTRO")),"-")</f>
        <v>DENTRO</v>
      </c>
      <c r="AC431" s="41" t="s">
        <v>1671</v>
      </c>
      <c r="AD431" s="41" t="s">
        <v>1671</v>
      </c>
      <c r="AE431" s="48" cm="1">
        <f t="array" ref="AE431">SUMPRODUCT(IFERROR(('[2]PEÇAS GARANTIA'!$A$3:$A$5993=G431)*('[2]PEÇAS GARANTIA'!$A$3:$A$5993&lt;&gt;"")*('[2]PEÇAS GARANTIA'!$R$3:$R$5993),0))</f>
        <v>2049.4499999999998</v>
      </c>
      <c r="AF431" s="178" cm="1">
        <f t="array" ref="AF431">SUMPRODUCT(([3]GERAL!$O$2:$O$6000)*
([3]GERAL!$A$2:$A$6000 =GERAL[[#This Row],[N° OS]]))</f>
        <v>1068.98</v>
      </c>
    </row>
    <row r="432" spans="1:32" ht="40.15" customHeight="1" x14ac:dyDescent="0.25">
      <c r="A432" s="171">
        <v>24822</v>
      </c>
      <c r="B432" s="97" t="str">
        <f>IFERROR(INDEX([1]GARANTIA!$B:$B,MATCH(A432,[1]GARANTIA!$C:$C,0)),"INSIRA N° SERIE")</f>
        <v>TESTE 350</v>
      </c>
      <c r="C432" s="167">
        <f>IFERROR(INDEX([1]GARANTIA!$J:$J,MATCH(A432,[1]GARANTIA!$C:$C,0)),"INSIRA N° SERIE")</f>
        <v>44271</v>
      </c>
      <c r="D432" s="167" t="str">
        <f>IFERROR(IF(INDEX([1]GARANTIA!$M:$M,MATCH(A432,[1]GARANTIA!$C:$C,0))&gt;=I432,"DENTRO DA GARANTIA","FORA DE GARANTIA"),"INSIRA N° SERIE")</f>
        <v>DENTRO DA GARANTIA</v>
      </c>
      <c r="E432" s="172">
        <v>138</v>
      </c>
      <c r="F432" s="168">
        <f>IFERROR(MAX(0,IF(I432-(INDEX([1]GARANTIA!$J:$J,MATCH(A432,[1]GARANTIA!$C:$C,0)))&gt;=0,I432-(INDEX([1]GARANTIA!$L:$L,MATCH(A432,[1]GARANTIA!$C:$C,0))),"INSIRA DATA CHAMADO")),"INSIRA N° SERIE")</f>
        <v>111</v>
      </c>
      <c r="G432" s="173">
        <v>20220851</v>
      </c>
      <c r="H432" s="177" t="str">
        <f t="shared" si="71"/>
        <v>JAN</v>
      </c>
      <c r="I432" s="174">
        <v>44580</v>
      </c>
      <c r="J432" s="175">
        <v>44580</v>
      </c>
      <c r="K432" s="91" t="s">
        <v>1702</v>
      </c>
      <c r="L432" s="176" t="s">
        <v>11</v>
      </c>
      <c r="M432" s="176" t="s">
        <v>8</v>
      </c>
      <c r="N432" s="176" t="s">
        <v>26</v>
      </c>
      <c r="O432" s="92" t="str">
        <f>IFERROR(INDEX([1]GARANTIA!$E:$E,MATCH(A432,[1]GARANTIA!$C:$C,0)),"INSIRA N° SERIE")</f>
        <v>MTI - 4.000GTS</v>
      </c>
      <c r="P432" s="101" t="s">
        <v>1700</v>
      </c>
      <c r="Q432" s="94" t="s">
        <v>645</v>
      </c>
      <c r="R432" s="93" t="s">
        <v>1701</v>
      </c>
      <c r="S432" s="95" t="s">
        <v>325</v>
      </c>
      <c r="T432" s="95" t="s">
        <v>640</v>
      </c>
      <c r="U432" s="96"/>
      <c r="V432" s="97" t="str">
        <f>IFERROR(INDEX([1]GARANTIA!$G:$G,MATCH(A432,[1]GARANTIA!$C:$C,0)),"INSIRA N° SERIE")</f>
        <v>ITAUNA</v>
      </c>
      <c r="W432" s="97" t="str">
        <f>IFERROR(INDEX([1]GARANTIA!$H:$H,MATCH(A432,[1]GARANTIA!$C:$C,0)),"INSIRA N° SERIE")</f>
        <v>MG</v>
      </c>
      <c r="X432" s="97" t="str">
        <f>IFERROR(INDEX([1]GARANTIA!$F:$F,MATCH(A432,[1]GARANTIA!$C:$C,0)),"INSIRA N° SERIE")</f>
        <v>SUDESTE</v>
      </c>
      <c r="Y432" s="169">
        <f t="shared" si="94"/>
        <v>0</v>
      </c>
      <c r="Z432" s="170">
        <f t="shared" si="95"/>
        <v>2</v>
      </c>
      <c r="AA432" s="169">
        <f t="shared" si="96"/>
        <v>2</v>
      </c>
      <c r="AB432" s="46" t="str" cm="1">
        <f t="array" ref="AB432">IFERROR(_xlfn.IFS(L432="FINALIZADO PRESENCIAL",IF(AA432&gt;10,"FORA","DENTRO"),L432="FINALIZADO REMOTO",IF(AA432&gt;5,"FORA","DENTRO")),"-")</f>
        <v>DENTRO</v>
      </c>
      <c r="AC432" s="41" t="s">
        <v>1671</v>
      </c>
      <c r="AD432" s="41" t="s">
        <v>1671</v>
      </c>
      <c r="AE432" s="48" cm="1">
        <f t="array" ref="AE432">SUMPRODUCT(IFERROR(('[2]PEÇAS GARANTIA'!$A$3:$A$5993=G432)*('[2]PEÇAS GARANTIA'!$A$3:$A$5993&lt;&gt;"")*('[2]PEÇAS GARANTIA'!$R$3:$R$5993),0))</f>
        <v>0</v>
      </c>
      <c r="AF432" s="178" cm="1">
        <f t="array" ref="AF432">SUMPRODUCT(([3]GERAL!$O$2:$O$6000)*
([3]GERAL!$A$2:$A$6000 =GERAL[[#This Row],[N° OS]]))</f>
        <v>0</v>
      </c>
    </row>
    <row r="433" spans="1:32" ht="40.15" customHeight="1" x14ac:dyDescent="0.25">
      <c r="A433" s="171">
        <v>41641</v>
      </c>
      <c r="B433" s="97" t="str">
        <f>IFERROR(INDEX([1]GARANTIA!$B:$B,MATCH(A433,[1]GARANTIA!$C:$C,0)),"INSIRA N° SERIE")</f>
        <v>TESTE 14</v>
      </c>
      <c r="C433" s="167">
        <f>IFERROR(INDEX([1]GARANTIA!$J:$J,MATCH(A433,[1]GARANTIA!$C:$C,0)),"INSIRA N° SERIE")</f>
        <v>44173</v>
      </c>
      <c r="D433" s="167" t="str">
        <f>IFERROR(IF(INDEX([1]GARANTIA!$M:$M,MATCH(A433,[1]GARANTIA!$C:$C,0))&gt;=I433,"DENTRO DA GARANTIA","FORA DE GARANTIA"),"INSIRA N° SERIE")</f>
        <v>DENTRO DA GARANTIA</v>
      </c>
      <c r="E433" s="172">
        <v>268</v>
      </c>
      <c r="F433" s="168">
        <f>IFERROR(MAX(0,IF(I433-(INDEX([1]GARANTIA!$J:$J,MATCH(A433,[1]GARANTIA!$C:$C,0)))&gt;=0,I433-(INDEX([1]GARANTIA!$L:$L,MATCH(A433,[1]GARANTIA!$C:$C,0))),"INSIRA DATA CHAMADO")),"INSIRA N° SERIE")</f>
        <v>221</v>
      </c>
      <c r="G433" s="173">
        <v>20220852</v>
      </c>
      <c r="H433" s="177" t="str">
        <f t="shared" si="71"/>
        <v>JAN</v>
      </c>
      <c r="I433" s="174">
        <v>44585</v>
      </c>
      <c r="J433" s="175">
        <v>44585</v>
      </c>
      <c r="K433" s="91" t="s">
        <v>1705</v>
      </c>
      <c r="L433" s="176" t="s">
        <v>23</v>
      </c>
      <c r="M433" s="176" t="s">
        <v>8</v>
      </c>
      <c r="N433" s="176" t="s">
        <v>28</v>
      </c>
      <c r="O433" s="92" t="str">
        <f>IFERROR(INDEX([1]GARANTIA!$E:$E,MATCH(A433,[1]GARANTIA!$C:$C,0)),"INSIRA N° SERIE")</f>
        <v>MTI - 12.000GTS</v>
      </c>
      <c r="P433" s="101" t="s">
        <v>1703</v>
      </c>
      <c r="Q433" s="94" t="s">
        <v>611</v>
      </c>
      <c r="R433" s="93" t="s">
        <v>1704</v>
      </c>
      <c r="S433" s="95" t="s">
        <v>101</v>
      </c>
      <c r="T433" s="95" t="s">
        <v>142</v>
      </c>
      <c r="U433" s="96"/>
      <c r="V433" s="97" t="str">
        <f>IFERROR(INDEX([1]GARANTIA!$G:$G,MATCH(A433,[1]GARANTIA!$C:$C,0)),"INSIRA N° SERIE")</f>
        <v>ARARAS</v>
      </c>
      <c r="W433" s="97" t="str">
        <f>IFERROR(INDEX([1]GARANTIA!$H:$H,MATCH(A433,[1]GARANTIA!$C:$C,0)),"INSIRA N° SERIE")</f>
        <v>SP</v>
      </c>
      <c r="X433" s="97" t="str">
        <f>IFERROR(INDEX([1]GARANTIA!$F:$F,MATCH(A433,[1]GARANTIA!$C:$C,0)),"INSIRA N° SERIE")</f>
        <v>SUDESTE</v>
      </c>
      <c r="Y433" s="169">
        <f t="shared" ref="Y433:Y438" si="97">IF(G433&lt;&gt;"",J433-I433,"INSIRA N° OS")</f>
        <v>0</v>
      </c>
      <c r="Z433" s="170">
        <f t="shared" ref="Z433:Z438" si="98">IF(G433&lt;&gt;"",IF(OR(A433="",K433="",Q433="",P433="",R433=""),"NÃO FINALIZADO",K433-J433),"INSIRA N° OS")</f>
        <v>2</v>
      </c>
      <c r="AA433" s="169">
        <f t="shared" ref="AA433:AA438" si="99">IF(Z433="NÃO FINALIZADO","",Z433+Y433)</f>
        <v>2</v>
      </c>
      <c r="AB433" s="46" t="str" cm="1">
        <f t="array" ref="AB433">IFERROR(_xlfn.IFS(L433="FINALIZADO PRESENCIAL",IF(AA433&gt;10,"FORA","DENTRO"),L433="FINALIZADO REMOTO",IF(AA433&gt;5,"FORA","DENTRO")),"-")</f>
        <v>DENTRO</v>
      </c>
      <c r="AC433" s="41" t="s">
        <v>1671</v>
      </c>
      <c r="AD433" s="41" t="s">
        <v>1671</v>
      </c>
      <c r="AE433" s="179" cm="1">
        <f t="array" ref="AE433">SUMPRODUCT(IFERROR(('[2]PEÇAS GARANTIA'!$A$3:$A$5993=G433)*('[2]PEÇAS GARANTIA'!$A$3:$A$5993&lt;&gt;"")*('[2]PEÇAS GARANTIA'!$R$3:$R$5993),0))</f>
        <v>0</v>
      </c>
      <c r="AF433" s="178" cm="1">
        <f t="array" ref="AF433">SUMPRODUCT(([3]GERAL!$O$2:$O$6000)*
([3]GERAL!$A$2:$A$6000 =GERAL[[#This Row],[N° OS]]))</f>
        <v>0</v>
      </c>
    </row>
    <row r="434" spans="1:32" ht="40.15" customHeight="1" x14ac:dyDescent="0.25">
      <c r="A434" s="171">
        <v>79251</v>
      </c>
      <c r="B434" s="97" t="str">
        <f>IFERROR(INDEX([1]GARANTIA!$B:$B,MATCH(A434,[1]GARANTIA!$C:$C,0)),"INSIRA N° SERIE")</f>
        <v>TESTE 333</v>
      </c>
      <c r="C434" s="167">
        <f>IFERROR(INDEX([1]GARANTIA!$J:$J,MATCH(A434,[1]GARANTIA!$C:$C,0)),"INSIRA N° SERIE")</f>
        <v>44134</v>
      </c>
      <c r="D434" s="167" t="str">
        <f>IFERROR(IF(INDEX([1]GARANTIA!$M:$M,MATCH(A434,[1]GARANTIA!$C:$C,0))&gt;=I434,"DENTRO DA GARANTIA","FORA DE GARANTIA"),"INSIRA N° SERIE")</f>
        <v>DENTRO DA GARANTIA</v>
      </c>
      <c r="E434" s="172">
        <v>977</v>
      </c>
      <c r="F434" s="168">
        <f>IFERROR(MAX(0,IF(I434-(INDEX([1]GARANTIA!$J:$J,MATCH(A434,[1]GARANTIA!$C:$C,0)))&gt;=0,I434-(INDEX([1]GARANTIA!$L:$L,MATCH(A434,[1]GARANTIA!$C:$C,0))),"INSIRA DATA CHAMADO")),"INSIRA N° SERIE")</f>
        <v>241</v>
      </c>
      <c r="G434" s="173">
        <v>20220853</v>
      </c>
      <c r="H434" s="177" t="str">
        <f t="shared" si="71"/>
        <v>JAN</v>
      </c>
      <c r="I434" s="174">
        <v>44586</v>
      </c>
      <c r="J434" s="175">
        <v>44586</v>
      </c>
      <c r="K434" s="91">
        <v>44587</v>
      </c>
      <c r="L434" s="176" t="s">
        <v>11</v>
      </c>
      <c r="M434" s="176" t="s">
        <v>8</v>
      </c>
      <c r="N434" s="176" t="s">
        <v>41</v>
      </c>
      <c r="O434" s="92" t="str">
        <f>IFERROR(INDEX([1]GARANTIA!$E:$E,MATCH(A434,[1]GARANTIA!$C:$C,0)),"INSIRA N° SERIE")</f>
        <v>MTI - 12.000GTS</v>
      </c>
      <c r="P434" s="101" t="s">
        <v>1693</v>
      </c>
      <c r="Q434" s="94" t="s">
        <v>144</v>
      </c>
      <c r="R434" s="93" t="s">
        <v>1694</v>
      </c>
      <c r="S434" s="95" t="s">
        <v>101</v>
      </c>
      <c r="T434" s="95" t="s">
        <v>144</v>
      </c>
      <c r="U434" s="96"/>
      <c r="V434" s="97" t="str">
        <f>IFERROR(INDEX([1]GARANTIA!$G:$G,MATCH(A434,[1]GARANTIA!$C:$C,0)),"INSIRA N° SERIE")</f>
        <v xml:space="preserve">TRES LAGOAS </v>
      </c>
      <c r="W434" s="97" t="str">
        <f>IFERROR(INDEX([1]GARANTIA!$H:$H,MATCH(A434,[1]GARANTIA!$C:$C,0)),"INSIRA N° SERIE")</f>
        <v xml:space="preserve">MS </v>
      </c>
      <c r="X434" s="97" t="str">
        <f>IFERROR(INDEX([1]GARANTIA!$F:$F,MATCH(A434,[1]GARANTIA!$C:$C,0)),"INSIRA N° SERIE")</f>
        <v>CENTROESTE</v>
      </c>
      <c r="Y434" s="169">
        <f t="shared" si="97"/>
        <v>0</v>
      </c>
      <c r="Z434" s="170">
        <f t="shared" si="98"/>
        <v>1</v>
      </c>
      <c r="AA434" s="169">
        <f t="shared" si="99"/>
        <v>1</v>
      </c>
      <c r="AB434" s="46" t="str" cm="1">
        <f t="array" ref="AB434">IFERROR(_xlfn.IFS(L434="FINALIZADO PRESENCIAL",IF(AA434&gt;10,"FORA","DENTRO"),L434="FINALIZADO REMOTO",IF(AA434&gt;5,"FORA","DENTRO")),"-")</f>
        <v>DENTRO</v>
      </c>
      <c r="AC434" s="41" t="s">
        <v>1671</v>
      </c>
      <c r="AD434" s="41" t="s">
        <v>1671</v>
      </c>
      <c r="AE434" s="179" cm="1">
        <f t="array" ref="AE434">SUMPRODUCT(IFERROR(('[2]PEÇAS GARANTIA'!$A$3:$A$5993=G434)*('[2]PEÇAS GARANTIA'!$A$3:$A$5993&lt;&gt;"")*('[2]PEÇAS GARANTIA'!$R$3:$R$5993),0))</f>
        <v>0</v>
      </c>
      <c r="AF434" s="178" cm="1">
        <f t="array" ref="AF434">SUMPRODUCT(([3]GERAL!$O$2:$O$6000)*
([3]GERAL!$A$2:$A$6000 =GERAL[[#This Row],[N° OS]]))</f>
        <v>3769</v>
      </c>
    </row>
    <row r="435" spans="1:32" ht="40.15" customHeight="1" x14ac:dyDescent="0.25">
      <c r="A435" s="171">
        <v>90486</v>
      </c>
      <c r="B435" s="97" t="str">
        <f>IFERROR(INDEX([1]GARANTIA!$B:$B,MATCH(A435,[1]GARANTIA!$C:$C,0)),"INSIRA N° SERIE")</f>
        <v>TESTE 277</v>
      </c>
      <c r="C435" s="167">
        <f>IFERROR(INDEX([1]GARANTIA!$J:$J,MATCH(A435,[1]GARANTIA!$C:$C,0)),"INSIRA N° SERIE")</f>
        <v>44189</v>
      </c>
      <c r="D435" s="167" t="str">
        <f>IFERROR(IF(INDEX([1]GARANTIA!$M:$M,MATCH(A435,[1]GARANTIA!$C:$C,0))&gt;=I435,"DENTRO DA GARANTIA","FORA DE GARANTIA"),"INSIRA N° SERIE")</f>
        <v>DENTRO DA GARANTIA</v>
      </c>
      <c r="E435" s="172"/>
      <c r="F435" s="168">
        <f>IFERROR(MAX(0,IF(I435-(INDEX([1]GARANTIA!$J:$J,MATCH(A435,[1]GARANTIA!$C:$C,0)))&gt;=0,I435-(INDEX([1]GARANTIA!$L:$L,MATCH(A435,[1]GARANTIA!$C:$C,0))),"INSIRA DATA CHAMADO")),"INSIRA N° SERIE")</f>
        <v>117</v>
      </c>
      <c r="G435" s="173">
        <v>20220854</v>
      </c>
      <c r="H435" s="177" t="str">
        <f t="shared" si="71"/>
        <v>JAN</v>
      </c>
      <c r="I435" s="174">
        <v>44586</v>
      </c>
      <c r="J435" s="175">
        <v>44586</v>
      </c>
      <c r="K435" s="91">
        <v>44589</v>
      </c>
      <c r="L435" s="176" t="s">
        <v>23</v>
      </c>
      <c r="M435" s="176" t="s">
        <v>8</v>
      </c>
      <c r="N435" s="176" t="s">
        <v>26</v>
      </c>
      <c r="O435" s="92" t="str">
        <f>IFERROR(INDEX([1]GARANTIA!$E:$E,MATCH(A435,[1]GARANTIA!$C:$C,0)),"INSIRA N° SERIE")</f>
        <v>MTI - 40.000GE</v>
      </c>
      <c r="P435" s="101" t="s">
        <v>1706</v>
      </c>
      <c r="Q435" s="94" t="s">
        <v>645</v>
      </c>
      <c r="R435" s="93" t="s">
        <v>1707</v>
      </c>
      <c r="S435" s="95" t="s">
        <v>325</v>
      </c>
      <c r="T435" s="95" t="s">
        <v>640</v>
      </c>
      <c r="U435" s="96"/>
      <c r="V435" s="97" t="str">
        <f>IFERROR(INDEX([1]GARANTIA!$G:$G,MATCH(A435,[1]GARANTIA!$C:$C,0)),"INSIRA N° SERIE")</f>
        <v>MACAÍBA</v>
      </c>
      <c r="W435" s="97" t="str">
        <f>IFERROR(INDEX([1]GARANTIA!$H:$H,MATCH(A435,[1]GARANTIA!$C:$C,0)),"INSIRA N° SERIE")</f>
        <v>RN</v>
      </c>
      <c r="X435" s="97" t="str">
        <f>IFERROR(INDEX([1]GARANTIA!$F:$F,MATCH(A435,[1]GARANTIA!$C:$C,0)),"INSIRA N° SERIE")</f>
        <v>NORDESTE</v>
      </c>
      <c r="Y435" s="169">
        <f t="shared" si="97"/>
        <v>0</v>
      </c>
      <c r="Z435" s="170">
        <f t="shared" si="98"/>
        <v>3</v>
      </c>
      <c r="AA435" s="169">
        <f t="shared" si="99"/>
        <v>3</v>
      </c>
      <c r="AB435" s="46" t="str" cm="1">
        <f t="array" ref="AB435">IFERROR(_xlfn.IFS(L435="FINALIZADO PRESENCIAL",IF(AA435&gt;10,"FORA","DENTRO"),L435="FINALIZADO REMOTO",IF(AA435&gt;5,"FORA","DENTRO")),"-")</f>
        <v>DENTRO</v>
      </c>
      <c r="AC435" s="41" t="s">
        <v>1671</v>
      </c>
      <c r="AD435" s="41" t="s">
        <v>1671</v>
      </c>
      <c r="AE435" s="179" cm="1">
        <f t="array" ref="AE435">SUMPRODUCT(IFERROR(('[2]PEÇAS GARANTIA'!$A$3:$A$5993=G435)*('[2]PEÇAS GARANTIA'!$A$3:$A$5993&lt;&gt;"")*('[2]PEÇAS GARANTIA'!$R$3:$R$5993),0))</f>
        <v>330.33</v>
      </c>
      <c r="AF435" s="178" cm="1">
        <f t="array" ref="AF435">SUMPRODUCT(([3]GERAL!$O$2:$O$6000)*
([3]GERAL!$A$2:$A$6000 =GERAL[[#This Row],[N° OS]]))</f>
        <v>0</v>
      </c>
    </row>
    <row r="436" spans="1:32" ht="40.15" customHeight="1" x14ac:dyDescent="0.25">
      <c r="A436" s="171">
        <v>92027</v>
      </c>
      <c r="B436" s="97" t="str">
        <f>IFERROR(INDEX([1]GARANTIA!$B:$B,MATCH(A436,[1]GARANTIA!$C:$C,0)),"INSIRA N° SERIE")</f>
        <v>TESTE 382</v>
      </c>
      <c r="C436" s="167">
        <f>IFERROR(INDEX([1]GARANTIA!$J:$J,MATCH(A436,[1]GARANTIA!$C:$C,0)),"INSIRA N° SERIE")</f>
        <v>44456</v>
      </c>
      <c r="D436" s="167" t="str">
        <f>IFERROR(IF(INDEX([1]GARANTIA!$M:$M,MATCH(A436,[1]GARANTIA!$C:$C,0))&gt;=I436,"DENTRO DA GARANTIA","FORA DE GARANTIA"),"INSIRA N° SERIE")</f>
        <v>DENTRO DA GARANTIA</v>
      </c>
      <c r="E436" s="172">
        <v>802</v>
      </c>
      <c r="F436" s="168">
        <f>IFERROR(MAX(0,IF(I436-(INDEX([1]GARANTIA!$J:$J,MATCH(A436,[1]GARANTIA!$C:$C,0)))&gt;=0,I436-(INDEX([1]GARANTIA!$L:$L,MATCH(A436,[1]GARANTIA!$C:$C,0))),"INSIRA DATA CHAMADO")),"INSIRA N° SERIE")</f>
        <v>55</v>
      </c>
      <c r="G436" s="173">
        <v>20220855</v>
      </c>
      <c r="H436" s="177" t="str">
        <f t="shared" si="71"/>
        <v>JAN</v>
      </c>
      <c r="I436" s="174">
        <v>44588</v>
      </c>
      <c r="J436" s="175">
        <v>44588</v>
      </c>
      <c r="K436" s="91">
        <v>44589</v>
      </c>
      <c r="L436" s="176" t="s">
        <v>23</v>
      </c>
      <c r="M436" s="176" t="s">
        <v>8</v>
      </c>
      <c r="N436" s="176" t="s">
        <v>28</v>
      </c>
      <c r="O436" s="92" t="str">
        <f>IFERROR(INDEX([1]GARANTIA!$E:$E,MATCH(A436,[1]GARANTIA!$C:$C,0)),"INSIRA N° SERIE")</f>
        <v>MTI - 1.000GTS</v>
      </c>
      <c r="P436" s="101" t="s">
        <v>1708</v>
      </c>
      <c r="Q436" s="94" t="s">
        <v>305</v>
      </c>
      <c r="R436" s="93" t="s">
        <v>1709</v>
      </c>
      <c r="S436" s="95" t="s">
        <v>638</v>
      </c>
      <c r="T436" s="95" t="s">
        <v>143</v>
      </c>
      <c r="U436" s="96"/>
      <c r="V436" s="97" t="str">
        <f>IFERROR(INDEX([1]GARANTIA!$G:$G,MATCH(A436,[1]GARANTIA!$C:$C,0)),"INSIRA N° SERIE")</f>
        <v>CANGUÇU</v>
      </c>
      <c r="W436" s="97" t="str">
        <f>IFERROR(INDEX([1]GARANTIA!$H:$H,MATCH(A436,[1]GARANTIA!$C:$C,0)),"INSIRA N° SERIE")</f>
        <v>RS</v>
      </c>
      <c r="X436" s="97" t="str">
        <f>IFERROR(INDEX([1]GARANTIA!$F:$F,MATCH(A436,[1]GARANTIA!$C:$C,0)),"INSIRA N° SERIE")</f>
        <v>SUL</v>
      </c>
      <c r="Y436" s="169">
        <f t="shared" si="97"/>
        <v>0</v>
      </c>
      <c r="Z436" s="170">
        <f t="shared" si="98"/>
        <v>1</v>
      </c>
      <c r="AA436" s="169">
        <f t="shared" si="99"/>
        <v>1</v>
      </c>
      <c r="AB436" s="46" t="str" cm="1">
        <f t="array" ref="AB436">IFERROR(_xlfn.IFS(L436="FINALIZADO PRESENCIAL",IF(AA436&gt;10,"FORA","DENTRO"),L436="FINALIZADO REMOTO",IF(AA436&gt;5,"FORA","DENTRO")),"-")</f>
        <v>DENTRO</v>
      </c>
      <c r="AC436" s="41" t="s">
        <v>1671</v>
      </c>
      <c r="AD436" s="41" t="s">
        <v>1671</v>
      </c>
      <c r="AE436" s="179" cm="1">
        <f t="array" ref="AE436">SUMPRODUCT(IFERROR(('[2]PEÇAS GARANTIA'!$A$3:$A$5993=G436)*('[2]PEÇAS GARANTIA'!$A$3:$A$5993&lt;&gt;"")*('[2]PEÇAS GARANTIA'!$R$3:$R$5993),0))</f>
        <v>0</v>
      </c>
      <c r="AF436" s="178" cm="1">
        <f t="array" ref="AF436">SUMPRODUCT(([3]GERAL!$O$2:$O$6000)*
([3]GERAL!$A$2:$A$6000 =GERAL[[#This Row],[N° OS]]))</f>
        <v>0</v>
      </c>
    </row>
    <row r="437" spans="1:32" ht="40.15" customHeight="1" x14ac:dyDescent="0.25">
      <c r="A437" s="171">
        <v>70236</v>
      </c>
      <c r="B437" s="97" t="str">
        <f>IFERROR(INDEX([1]GARANTIA!$B:$B,MATCH(A437,[1]GARANTIA!$C:$C,0)),"INSIRA N° SERIE")</f>
        <v>TESTE 380</v>
      </c>
      <c r="C437" s="167">
        <f>IFERROR(INDEX([1]GARANTIA!$J:$J,MATCH(A437,[1]GARANTIA!$C:$C,0)),"INSIRA N° SERIE")</f>
        <v>44424</v>
      </c>
      <c r="D437" s="167" t="str">
        <f>IFERROR(IF(INDEX([1]GARANTIA!$M:$M,MATCH(A437,[1]GARANTIA!$C:$C,0))&gt;=I437,"DENTRO DA GARANTIA","FORA DE GARANTIA"),"INSIRA N° SERIE")</f>
        <v>DENTRO DA GARANTIA</v>
      </c>
      <c r="E437" s="172">
        <v>380</v>
      </c>
      <c r="F437" s="168">
        <f>IFERROR(MAX(0,IF(I437-(INDEX([1]GARANTIA!$J:$J,MATCH(A437,[1]GARANTIA!$C:$C,0)))&gt;=0,I437-(INDEX([1]GARANTIA!$L:$L,MATCH(A437,[1]GARANTIA!$C:$C,0))),"INSIRA DATA CHAMADO")),"INSIRA N° SERIE")</f>
        <v>50</v>
      </c>
      <c r="G437" s="173">
        <v>20220856</v>
      </c>
      <c r="H437" s="177" t="str">
        <f t="shared" si="71"/>
        <v>JAN</v>
      </c>
      <c r="I437" s="174">
        <v>44589</v>
      </c>
      <c r="J437" s="175">
        <v>44589</v>
      </c>
      <c r="K437" s="91">
        <v>44589</v>
      </c>
      <c r="L437" s="176" t="s">
        <v>23</v>
      </c>
      <c r="M437" s="176" t="s">
        <v>8</v>
      </c>
      <c r="N437" s="176" t="s">
        <v>31</v>
      </c>
      <c r="O437" s="92" t="str">
        <f>IFERROR(INDEX([1]GARANTIA!$E:$E,MATCH(A437,[1]GARANTIA!$C:$C,0)),"INSIRA N° SERIE")</f>
        <v>MTI - 1.000GTS</v>
      </c>
      <c r="P437" s="101" t="s">
        <v>1710</v>
      </c>
      <c r="Q437" s="94" t="s">
        <v>85</v>
      </c>
      <c r="R437" s="93" t="s">
        <v>1711</v>
      </c>
      <c r="S437" s="95" t="s">
        <v>102</v>
      </c>
      <c r="T437" s="95" t="s">
        <v>296</v>
      </c>
      <c r="U437" s="96"/>
      <c r="V437" s="97" t="str">
        <f>IFERROR(INDEX([1]GARANTIA!$G:$G,MATCH(A437,[1]GARANTIA!$C:$C,0)),"INSIRA N° SERIE")</f>
        <v>NOVA FRIBURGO</v>
      </c>
      <c r="W437" s="97" t="str">
        <f>IFERROR(INDEX([1]GARANTIA!$H:$H,MATCH(A437,[1]GARANTIA!$C:$C,0)),"INSIRA N° SERIE")</f>
        <v>RJ</v>
      </c>
      <c r="X437" s="97" t="str">
        <f>IFERROR(INDEX([1]GARANTIA!$F:$F,MATCH(A437,[1]GARANTIA!$C:$C,0)),"INSIRA N° SERIE")</f>
        <v>SUDESTE</v>
      </c>
      <c r="Y437" s="169">
        <f t="shared" si="97"/>
        <v>0</v>
      </c>
      <c r="Z437" s="170">
        <f t="shared" si="98"/>
        <v>0</v>
      </c>
      <c r="AA437" s="169">
        <f t="shared" si="99"/>
        <v>0</v>
      </c>
      <c r="AB437" s="46" t="str" cm="1">
        <f t="array" ref="AB437">IFERROR(_xlfn.IFS(L437="FINALIZADO PRESENCIAL",IF(AA437&gt;10,"FORA","DENTRO"),L437="FINALIZADO REMOTO",IF(AA437&gt;5,"FORA","DENTRO")),"-")</f>
        <v>DENTRO</v>
      </c>
      <c r="AC437" s="41" t="s">
        <v>1671</v>
      </c>
      <c r="AD437" s="41" t="s">
        <v>1671</v>
      </c>
      <c r="AE437" s="179" cm="1">
        <f t="array" ref="AE437">SUMPRODUCT(IFERROR(('[2]PEÇAS GARANTIA'!$A$3:$A$5993=G437)*('[2]PEÇAS GARANTIA'!$A$3:$A$5993&lt;&gt;"")*('[2]PEÇAS GARANTIA'!$R$3:$R$5993),0))</f>
        <v>0</v>
      </c>
      <c r="AF437" s="178" cm="1">
        <f t="array" ref="AF437">SUMPRODUCT(([3]GERAL!$O$2:$O$6000)*
([3]GERAL!$A$2:$A$6000 =GERAL[[#This Row],[N° OS]]))</f>
        <v>0</v>
      </c>
    </row>
    <row r="438" spans="1:32" s="13" customFormat="1" ht="40.15" customHeight="1" x14ac:dyDescent="0.25">
      <c r="A438" s="97">
        <v>81472</v>
      </c>
      <c r="B438" s="97" t="str">
        <f>IFERROR(INDEX([1]GARANTIA!$B:$B,MATCH(A438,[1]GARANTIA!$C:$C,0)),"INSIRA N° SERIE")</f>
        <v>TESTE 410</v>
      </c>
      <c r="C438" s="167">
        <f>IFERROR(INDEX([1]GARANTIA!$J:$J,MATCH(A438,[1]GARANTIA!$C:$C,0)),"INSIRA N° SERIE")</f>
        <v>44517</v>
      </c>
      <c r="D438" s="167" t="str">
        <f>IFERROR(IF(INDEX([1]GARANTIA!$M:$M,MATCH(A438,[1]GARANTIA!$C:$C,0))&gt;=I438,"DENTRO DA GARANTIA","FORA DE GARANTIA"),"INSIRA N° SERIE")</f>
        <v>DENTRO DA GARANTIA</v>
      </c>
      <c r="E438" s="180">
        <v>30</v>
      </c>
      <c r="F438" s="168">
        <f>IFERROR(MAX(0,IF(I438-(INDEX([1]GARANTIA!$J:$J,MATCH(A438,[1]GARANTIA!$C:$C,0)))&gt;=0,I438-(INDEX([1]GARANTIA!$L:$L,MATCH(A438,[1]GARANTIA!$C:$C,0))),"INSIRA DATA CHAMADO")),"INSIRA N° SERIE")</f>
        <v>5</v>
      </c>
      <c r="G438" s="181">
        <v>20220857</v>
      </c>
      <c r="H438" s="182" t="str">
        <f t="shared" si="71"/>
        <v>JAN</v>
      </c>
      <c r="I438" s="89">
        <v>44578</v>
      </c>
      <c r="J438" s="90">
        <v>44578</v>
      </c>
      <c r="K438" s="91">
        <v>44578</v>
      </c>
      <c r="L438" s="92" t="s">
        <v>11</v>
      </c>
      <c r="M438" s="92" t="s">
        <v>164</v>
      </c>
      <c r="N438" s="92" t="s">
        <v>38</v>
      </c>
      <c r="O438" s="92" t="str">
        <f>IFERROR(INDEX([1]GARANTIA!$E:$E,MATCH(A438,[1]GARANTIA!$C:$C,0)),"INSIRA N° SERIE")</f>
        <v>MTI - 4.000GTS</v>
      </c>
      <c r="P438" s="101" t="s">
        <v>1695</v>
      </c>
      <c r="Q438" s="94" t="s">
        <v>644</v>
      </c>
      <c r="R438" s="93" t="s">
        <v>1696</v>
      </c>
      <c r="S438" s="95" t="s">
        <v>638</v>
      </c>
      <c r="T438" s="95" t="s">
        <v>1671</v>
      </c>
      <c r="U438" s="96"/>
      <c r="V438" s="97" t="str">
        <f>IFERROR(INDEX([1]GARANTIA!$G:$G,MATCH(A438,[1]GARANTIA!$C:$C,0)),"INSIRA N° SERIE")</f>
        <v>PRAIA GRANDE</v>
      </c>
      <c r="W438" s="97" t="str">
        <f>IFERROR(INDEX([1]GARANTIA!$H:$H,MATCH(A438,[1]GARANTIA!$C:$C,0)),"INSIRA N° SERIE")</f>
        <v>SP</v>
      </c>
      <c r="X438" s="97" t="str">
        <f>IFERROR(INDEX([1]GARANTIA!$F:$F,MATCH(A438,[1]GARANTIA!$C:$C,0)),"INSIRA N° SERIE")</f>
        <v>SUDESTE</v>
      </c>
      <c r="Y438" s="169">
        <f t="shared" si="97"/>
        <v>0</v>
      </c>
      <c r="Z438" s="170">
        <f t="shared" si="98"/>
        <v>0</v>
      </c>
      <c r="AA438" s="169">
        <f t="shared" si="99"/>
        <v>0</v>
      </c>
      <c r="AB438" s="46" t="str" cm="1">
        <f t="array" ref="AB438">IFERROR(_xlfn.IFS(L438="FINALIZADO PRESENCIAL",IF(AA438&gt;10,"FORA","DENTRO"),L438="FINALIZADO REMOTO",IF(AA438&gt;5,"FORA","DENTRO")),"-")</f>
        <v>DENTRO</v>
      </c>
      <c r="AC438" s="41" t="s">
        <v>1671</v>
      </c>
      <c r="AD438" s="41" t="s">
        <v>1671</v>
      </c>
      <c r="AE438" s="179" cm="1">
        <f t="array" ref="AE438">SUMPRODUCT(IFERROR(('[2]PEÇAS GARANTIA'!$A$3:$A$5993=G438)*('[2]PEÇAS GARANTIA'!$A$3:$A$5993&lt;&gt;"")*('[2]PEÇAS GARANTIA'!$R$3:$R$5993),0))</f>
        <v>0</v>
      </c>
      <c r="AF438" s="178" cm="1">
        <f t="array" ref="AF438">SUMPRODUCT(([3]GERAL!$O$2:$O$6000)*
([3]GERAL!$A$2:$A$6000 =GERAL[[#This Row],[N° OS]]))</f>
        <v>0</v>
      </c>
    </row>
    <row r="439" spans="1:32" ht="40.15" customHeight="1" x14ac:dyDescent="0.25">
      <c r="A439" s="171">
        <v>96117</v>
      </c>
      <c r="B439" s="97" t="str">
        <f>IFERROR(INDEX([1]GARANTIA!$B:$B,MATCH(A439,[1]GARANTIA!$C:$C,0)),"INSIRA N° SERIE")</f>
        <v>TESTE 125</v>
      </c>
      <c r="C439" s="167">
        <f>IFERROR(INDEX([1]GARANTIA!$J:$J,MATCH(A439,[1]GARANTIA!$C:$C,0)),"INSIRA N° SERIE")</f>
        <v>44134</v>
      </c>
      <c r="D439" s="167" t="str">
        <f>IFERROR(IF(INDEX([1]GARANTIA!$M:$M,MATCH(A439,[1]GARANTIA!$C:$C,0))&gt;=I439,"DENTRO DA GARANTIA","FORA DE GARANTIA"),"INSIRA N° SERIE")</f>
        <v>DENTRO DA GARANTIA</v>
      </c>
      <c r="E439" s="172"/>
      <c r="F439" s="168">
        <f>IFERROR(MAX(0,IF(I439-(INDEX([1]GARANTIA!$J:$J,MATCH(A439,[1]GARANTIA!$C:$C,0)))&gt;=0,I439-(INDEX([1]GARANTIA!$L:$L,MATCH(A439,[1]GARANTIA!$C:$C,0))),"INSIRA DATA CHAMADO")),"INSIRA N° SERIE")</f>
        <v>277</v>
      </c>
      <c r="G439" s="173">
        <v>20220858</v>
      </c>
      <c r="H439" s="177" t="str">
        <f>IF(YEAR(I439)=YEAR(I439),IF(I439&lt;&gt;"",UPPER(TEXT(I439,"MMM")),""),"")</f>
        <v>FEV</v>
      </c>
      <c r="I439" s="174">
        <v>44593</v>
      </c>
      <c r="J439" s="175">
        <v>44593</v>
      </c>
      <c r="K439" s="91"/>
      <c r="L439" s="176" t="s">
        <v>24</v>
      </c>
      <c r="M439" s="176" t="s">
        <v>8</v>
      </c>
      <c r="N439" s="176" t="s">
        <v>76</v>
      </c>
      <c r="O439" s="92" t="str">
        <f>IFERROR(INDEX([1]GARANTIA!$E:$E,MATCH(A439,[1]GARANTIA!$C:$C,0)),"INSIRA N° SERIE")</f>
        <v>MTI - 7.000GES</v>
      </c>
      <c r="P439" s="101"/>
      <c r="Q439" s="94"/>
      <c r="R439" s="93"/>
      <c r="S439" s="95"/>
      <c r="T439" s="95"/>
      <c r="U439" s="96"/>
      <c r="V439" s="97" t="str">
        <f>IFERROR(INDEX([1]GARANTIA!$G:$G,MATCH(A439,[1]GARANTIA!$C:$C,0)),"INSIRA N° SERIE")</f>
        <v>MARECHAL DEODORO</v>
      </c>
      <c r="W439" s="97" t="str">
        <f>IFERROR(INDEX([1]GARANTIA!$H:$H,MATCH(A439,[1]GARANTIA!$C:$C,0)),"INSIRA N° SERIE")</f>
        <v xml:space="preserve">AL </v>
      </c>
      <c r="X439" s="97" t="str">
        <f>IFERROR(INDEX([1]GARANTIA!$F:$F,MATCH(A439,[1]GARANTIA!$C:$C,0)),"INSIRA N° SERIE")</f>
        <v>NORDESTE</v>
      </c>
      <c r="Y439" s="169">
        <f>IF(G439&lt;&gt;"",J439-I439,"INSIRA N° OS")</f>
        <v>0</v>
      </c>
      <c r="Z439" s="170" t="str">
        <f>IF(G439&lt;&gt;"",IF(OR(A439="",K439="",Q439="",P439="",R439=""),"NÃO FINALIZADO",K439-J439),"INSIRA N° OS")</f>
        <v>NÃO FINALIZADO</v>
      </c>
      <c r="AA439" s="169" t="str">
        <f>IF(Z439="NÃO FINALIZADO","",Z439+Y439)</f>
        <v/>
      </c>
      <c r="AB439" s="185" t="e" cm="1">
        <f t="array" ref="AB439">_xlfn.IFS(L439="FINALIZADO PRESENCIAL",IF(AA439&gt;10,"FORA","DENTRO"),L439="FINALIZADO REMOTO",IF(AA439&gt;5,"FORA","DENTRO"))</f>
        <v>#N/A</v>
      </c>
      <c r="AC439" s="41" t="s">
        <v>1671</v>
      </c>
      <c r="AD439" s="41" t="s">
        <v>1671</v>
      </c>
      <c r="AE439" s="179" cm="1">
        <f t="array" ref="AE439">SUMPRODUCT(IFERROR(('[2]PEÇAS GARANTIA'!$A$3:$A$5993=G439)*('[2]PEÇAS GARANTIA'!$A$3:$A$5993&lt;&gt;"")*('[2]PEÇAS GARANTIA'!$R$3:$R$5993),0))</f>
        <v>0</v>
      </c>
      <c r="AF439" s="186"/>
    </row>
    <row r="440" spans="1:32" ht="40.15" customHeight="1" x14ac:dyDescent="0.25">
      <c r="A440" s="171">
        <v>53561</v>
      </c>
      <c r="B440" s="97" t="str">
        <f>IFERROR(INDEX([1]GARANTIA!$B:$B,MATCH(A440,[1]GARANTIA!$C:$C,0)),"INSIRA N° SERIE")</f>
        <v>TESTE 384</v>
      </c>
      <c r="C440" s="167">
        <f>IFERROR(INDEX([1]GARANTIA!$J:$J,MATCH(A440,[1]GARANTIA!$C:$C,0)),"INSIRA N° SERIE")</f>
        <v>44421</v>
      </c>
      <c r="D440" s="167" t="str">
        <f>IFERROR(IF(INDEX([1]GARANTIA!$M:$M,MATCH(A440,[1]GARANTIA!$C:$C,0))&gt;=I440,"DENTRO DA GARANTIA","FORA DE GARANTIA"),"INSIRA N° SERIE")</f>
        <v>DENTRO DA GARANTIA</v>
      </c>
      <c r="E440" s="172"/>
      <c r="F440" s="168">
        <f>IFERROR(MAX(0,IF(I440-(INDEX([1]GARANTIA!$J:$J,MATCH(A440,[1]GARANTIA!$C:$C,0)))&gt;=0,I440-(INDEX([1]GARANTIA!$L:$L,MATCH(A440,[1]GARANTIA!$C:$C,0))),"INSIRA DATA CHAMADO")),"INSIRA N° SERIE")</f>
        <v>56</v>
      </c>
      <c r="G440" s="173">
        <v>20220859</v>
      </c>
      <c r="H440" s="177" t="str">
        <f>IF(YEAR(I440)=YEAR(I440),IF(I440&lt;&gt;"",UPPER(TEXT(I440,"MMM")),""),"")</f>
        <v>FEV</v>
      </c>
      <c r="I440" s="174">
        <v>44595</v>
      </c>
      <c r="J440" s="175">
        <v>44595</v>
      </c>
      <c r="K440" s="91"/>
      <c r="L440" s="176" t="s">
        <v>24</v>
      </c>
      <c r="M440" s="176" t="s">
        <v>8</v>
      </c>
      <c r="N440" s="176" t="s">
        <v>28</v>
      </c>
      <c r="O440" s="92" t="str">
        <f>IFERROR(INDEX([1]GARANTIA!$E:$E,MATCH(A440,[1]GARANTIA!$C:$C,0)),"INSIRA N° SERIE")</f>
        <v>MTI - 2.500GTS</v>
      </c>
      <c r="P440" s="101"/>
      <c r="Q440" s="94"/>
      <c r="R440" s="93"/>
      <c r="S440" s="95"/>
      <c r="T440" s="95"/>
      <c r="U440" s="96"/>
      <c r="V440" s="97" t="str">
        <f>IFERROR(INDEX([1]GARANTIA!$G:$G,MATCH(A440,[1]GARANTIA!$C:$C,0)),"INSIRA N° SERIE")</f>
        <v>SÃO JOSE DOS CAMPOS</v>
      </c>
      <c r="W440" s="97" t="str">
        <f>IFERROR(INDEX([1]GARANTIA!$H:$H,MATCH(A440,[1]GARANTIA!$C:$C,0)),"INSIRA N° SERIE")</f>
        <v>SP</v>
      </c>
      <c r="X440" s="97" t="str">
        <f>IFERROR(INDEX([1]GARANTIA!$F:$F,MATCH(A440,[1]GARANTIA!$C:$C,0)),"INSIRA N° SERIE")</f>
        <v>SUDESTE</v>
      </c>
      <c r="Y440" s="169">
        <f>IF(G440&lt;&gt;"",J440-I440,"INSIRA N° OS")</f>
        <v>0</v>
      </c>
      <c r="Z440" s="170" t="str">
        <f>IF(G440&lt;&gt;"",IF(OR(A440="",K440="",Q440="",P440="",R440=""),"NÃO FINALIZADO",K440-J440),"INSIRA N° OS")</f>
        <v>NÃO FINALIZADO</v>
      </c>
      <c r="AA440" s="169" t="str">
        <f>IF(Z440="NÃO FINALIZADO","",Z440+Y440)</f>
        <v/>
      </c>
      <c r="AB440" s="185" t="e" cm="1">
        <f t="array" ref="AB440">_xlfn.IFS(L440="FINALIZADO PRESENCIAL",IF(AA440&gt;10,"FORA","DENTRO"),L440="FINALIZADO REMOTO",IF(AA440&gt;5,"FORA","DENTRO"))</f>
        <v>#N/A</v>
      </c>
      <c r="AC440" s="41" t="s">
        <v>1671</v>
      </c>
      <c r="AD440" s="41" t="s">
        <v>1671</v>
      </c>
      <c r="AE440" s="179" cm="1">
        <f t="array" ref="AE440">SUMPRODUCT(IFERROR(('[2]PEÇAS GARANTIA'!$A$3:$A$5993=G440)*('[2]PEÇAS GARANTIA'!$A$3:$A$5993&lt;&gt;"")*('[2]PEÇAS GARANTIA'!$R$3:$R$5993),0))</f>
        <v>0</v>
      </c>
      <c r="AF440" s="186"/>
    </row>
    <row r="441" spans="1:32" ht="40.15" customHeight="1" x14ac:dyDescent="0.25">
      <c r="A441" s="171">
        <v>41641</v>
      </c>
      <c r="B441" s="97" t="str">
        <f>IFERROR(INDEX([1]GARANTIA!$B:$B,MATCH(A441,[1]GARANTIA!$C:$C,0)),"INSIRA N° SERIE")</f>
        <v>TESTE 14</v>
      </c>
      <c r="C441" s="167">
        <f>IFERROR(INDEX([1]GARANTIA!$J:$J,MATCH(A441,[1]GARANTIA!$C:$C,0)),"INSIRA N° SERIE")</f>
        <v>44173</v>
      </c>
      <c r="D441" s="167" t="str">
        <f>IFERROR(IF(INDEX([1]GARANTIA!$M:$M,MATCH(A441,[1]GARANTIA!$C:$C,0))&gt;=I441,"DENTRO DA GARANTIA","FORA DE GARANTIA"),"INSIRA N° SERIE")</f>
        <v>DENTRO DA GARANTIA</v>
      </c>
      <c r="E441" s="172">
        <v>285</v>
      </c>
      <c r="F441" s="168">
        <f>IFERROR(MAX(0,IF(I441-(INDEX([1]GARANTIA!$J:$J,MATCH(A441,[1]GARANTIA!$C:$C,0)))&gt;=0,I441-(INDEX([1]GARANTIA!$L:$L,MATCH(A441,[1]GARANTIA!$C:$C,0))),"INSIRA DATA CHAMADO")),"INSIRA N° SERIE")</f>
        <v>231</v>
      </c>
      <c r="G441" s="173">
        <v>20220860</v>
      </c>
      <c r="H441" s="177" t="str">
        <f>IF(YEAR(I441)=YEAR(I441),IF(I441&lt;&gt;"",UPPER(TEXT(I441,"MMM")),""),"")</f>
        <v>FEV</v>
      </c>
      <c r="I441" s="174">
        <v>44595</v>
      </c>
      <c r="J441" s="175">
        <v>44595</v>
      </c>
      <c r="K441" s="91"/>
      <c r="L441" s="176" t="s">
        <v>24</v>
      </c>
      <c r="M441" s="176" t="s">
        <v>8</v>
      </c>
      <c r="N441" s="176" t="s">
        <v>30</v>
      </c>
      <c r="O441" s="92" t="str">
        <f>IFERROR(INDEX([1]GARANTIA!$E:$E,MATCH(A441,[1]GARANTIA!$C:$C,0)),"INSIRA N° SERIE")</f>
        <v>MTI - 12.000GTS</v>
      </c>
      <c r="P441" s="101"/>
      <c r="Q441" s="94"/>
      <c r="R441" s="93"/>
      <c r="S441" s="95"/>
      <c r="T441" s="95"/>
      <c r="U441" s="96"/>
      <c r="V441" s="97" t="str">
        <f>IFERROR(INDEX([1]GARANTIA!$G:$G,MATCH(A441,[1]GARANTIA!$C:$C,0)),"INSIRA N° SERIE")</f>
        <v>ARARAS</v>
      </c>
      <c r="W441" s="97" t="str">
        <f>IFERROR(INDEX([1]GARANTIA!$H:$H,MATCH(A441,[1]GARANTIA!$C:$C,0)),"INSIRA N° SERIE")</f>
        <v>SP</v>
      </c>
      <c r="X441" s="97" t="str">
        <f>IFERROR(INDEX([1]GARANTIA!$F:$F,MATCH(A441,[1]GARANTIA!$C:$C,0)),"INSIRA N° SERIE")</f>
        <v>SUDESTE</v>
      </c>
      <c r="Y441" s="169">
        <f>IF(G441&lt;&gt;"",J441-I441,"INSIRA N° OS")</f>
        <v>0</v>
      </c>
      <c r="Z441" s="170" t="str">
        <f>IF(G441&lt;&gt;"",IF(OR(A441="",K441="",Q441="",P441="",R441=""),"NÃO FINALIZADO",K441-J441),"INSIRA N° OS")</f>
        <v>NÃO FINALIZADO</v>
      </c>
      <c r="AA441" s="169" t="str">
        <f>IF(Z441="NÃO FINALIZADO","",Z441+Y441)</f>
        <v/>
      </c>
      <c r="AB441" s="185" t="e" cm="1">
        <f t="array" ref="AB441">_xlfn.IFS(L441="FINALIZADO PRESENCIAL",IF(AA441&gt;10,"FORA","DENTRO"),L441="FINALIZADO REMOTO",IF(AA441&gt;5,"FORA","DENTRO"))</f>
        <v>#N/A</v>
      </c>
      <c r="AC441" s="41" t="s">
        <v>1671</v>
      </c>
      <c r="AD441" s="41" t="s">
        <v>1671</v>
      </c>
      <c r="AE441" s="179" cm="1">
        <f t="array" ref="AE441">SUMPRODUCT(IFERROR(('[2]PEÇAS GARANTIA'!$A$3:$A$5993=G441)*('[2]PEÇAS GARANTIA'!$A$3:$A$5993&lt;&gt;"")*('[2]PEÇAS GARANTIA'!$R$3:$R$5993),0))</f>
        <v>0</v>
      </c>
      <c r="AF441" s="186"/>
    </row>
  </sheetData>
  <sheetProtection formatCells="0" formatColumns="0" formatRows="0" insertColumns="0" insertRows="0" insertHyperlinks="0" deleteColumns="0" deleteRows="0" sort="0" autoFilter="0" pivotTables="0"/>
  <phoneticPr fontId="4" type="noConversion"/>
  <conditionalFormatting sqref="AB3:AB441">
    <cfRule type="cellIs" dxfId="60" priority="61" operator="equal">
      <formula>"FORA"</formula>
    </cfRule>
    <cfRule type="cellIs" dxfId="59" priority="62" operator="equal">
      <formula>"DENTRO"</formula>
    </cfRule>
  </conditionalFormatting>
  <dataValidations count="1">
    <dataValidation type="list" allowBlank="1" showInputMessage="1" showErrorMessage="1" sqref="N20:N25 N49 N54 N57:N64 N338:N395 N226:N326 N139:N144 N146:N147 N149:N157 N129:N137 N159:N224 M25 N397:N426 M59:M64 N328:N336 N35:N39 N73:N83 M33:M39 M66:M83 N66:N71 M85:M426 N85:N111 N113:N127" xr:uid="{EFC01F00-E79D-46A6-BA40-8DFEB9BFB9DB}">
      <formula1>#REF!</formula1>
    </dataValidation>
  </dataValidations>
  <pageMargins left="0.511811024" right="0.511811024" top="0.78740157499999996" bottom="0.78740157499999996" header="0.31496062000000002" footer="0.31496062000000002"/>
  <pageSetup paperSize="9" orientation="portrait" r:id="rId1"/>
  <ignoredErrors>
    <ignoredError sqref="L2 S2:T2 N20:N25 M25 M33:M39 N35:N39 N49 N54 N57:N64 M59:M64 M66:N66 M67:N67 M68:N68 M69:N69 M70:N70 M71:N71 M72:M76 N73:N76" listDataValidation="1"/>
    <ignoredError sqref="AF3:AF75 O8:O9 O15" calculatedColumn="1"/>
  </ignoredErrors>
  <drawing r:id="rId2"/>
  <legacyDrawing r:id="rId3"/>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4CD5479F-62A1-40D5-B3A4-A6CE4B245F80}">
          <x14:formula1>
            <xm:f>VALIDAÇÃO!$A$2:$A$5</xm:f>
          </x14:formula1>
          <xm:sqref>L439:L1048576 L1:L437</xm:sqref>
        </x14:dataValidation>
        <x14:dataValidation type="list" allowBlank="1" showInputMessage="1" showErrorMessage="1" xr:uid="{E5BA6294-E517-4772-A977-F132C17F19CC}">
          <x14:formula1>
            <xm:f>VALIDAÇÃO!$H$2:$H$10</xm:f>
          </x14:formula1>
          <xm:sqref>S1:S437 S439:S1048576</xm:sqref>
        </x14:dataValidation>
        <x14:dataValidation type="list" allowBlank="1" showInputMessage="1" showErrorMessage="1" xr:uid="{18BF8477-D63E-48D6-BDE2-7D63E56CA6CC}">
          <x14:formula1>
            <xm:f>VALIDAÇÃO!$I$2:$I$14</xm:f>
          </x14:formula1>
          <xm:sqref>T1:T437 T439:T1048576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6A2C5-A3EA-48C1-8709-39FD6860EF3A}">
  <sheetPr codeName="Planilha8"/>
  <dimension ref="A1:N424"/>
  <sheetViews>
    <sheetView workbookViewId="0">
      <selection activeCell="K2" sqref="K2:K447"/>
    </sheetView>
  </sheetViews>
  <sheetFormatPr defaultRowHeight="15" x14ac:dyDescent="0.25"/>
  <cols>
    <col min="1" max="1" width="10.7109375" bestFit="1" customWidth="1"/>
    <col min="2" max="2" width="10.5703125" bestFit="1" customWidth="1"/>
    <col min="3" max="3" width="25" bestFit="1" customWidth="1"/>
    <col min="4" max="4" width="35" bestFit="1" customWidth="1"/>
    <col min="5" max="5" width="16.140625" bestFit="1" customWidth="1"/>
    <col min="6" max="6" width="26.28515625" bestFit="1" customWidth="1"/>
    <col min="7" max="7" width="6.140625" bestFit="1" customWidth="1"/>
    <col min="8" max="8" width="22.7109375" bestFit="1" customWidth="1"/>
    <col min="9" max="9" width="17.7109375" style="166" bestFit="1" customWidth="1"/>
    <col min="10" max="10" width="27.28515625" bestFit="1" customWidth="1"/>
    <col min="11" max="11" width="23.7109375" bestFit="1" customWidth="1"/>
    <col min="12" max="12" width="25" bestFit="1" customWidth="1"/>
    <col min="13" max="13" width="24.7109375" bestFit="1" customWidth="1"/>
    <col min="14" max="14" width="13.7109375" bestFit="1" customWidth="1"/>
    <col min="15" max="22" width="12.140625" bestFit="1" customWidth="1"/>
  </cols>
  <sheetData>
    <row r="1" spans="1:14" x14ac:dyDescent="0.25">
      <c r="A1" t="s">
        <v>909</v>
      </c>
      <c r="B1" t="s">
        <v>910</v>
      </c>
      <c r="C1" t="s">
        <v>911</v>
      </c>
      <c r="D1" t="s">
        <v>912</v>
      </c>
      <c r="E1" t="s">
        <v>913</v>
      </c>
      <c r="F1" t="s">
        <v>914</v>
      </c>
      <c r="G1" t="s">
        <v>915</v>
      </c>
      <c r="H1" t="s">
        <v>916</v>
      </c>
      <c r="I1" s="166" t="s">
        <v>96</v>
      </c>
      <c r="J1" t="s">
        <v>917</v>
      </c>
      <c r="K1" t="s">
        <v>918</v>
      </c>
      <c r="L1" t="s">
        <v>919</v>
      </c>
      <c r="M1" t="s">
        <v>920</v>
      </c>
      <c r="N1" t="s">
        <v>921</v>
      </c>
    </row>
    <row r="2" spans="1:14" x14ac:dyDescent="0.25">
      <c r="A2" s="165" t="s">
        <v>1718</v>
      </c>
      <c r="B2" s="78">
        <v>17344</v>
      </c>
      <c r="C2" s="165" t="s">
        <v>912</v>
      </c>
      <c r="D2" s="165" t="s">
        <v>922</v>
      </c>
      <c r="E2" s="165" t="s">
        <v>1</v>
      </c>
      <c r="F2" s="165" t="s">
        <v>923</v>
      </c>
      <c r="G2" s="165" t="s">
        <v>924</v>
      </c>
      <c r="H2" s="165" t="s">
        <v>1718</v>
      </c>
      <c r="I2" s="166">
        <v>43769</v>
      </c>
      <c r="J2" s="165">
        <v>43950</v>
      </c>
      <c r="K2" s="166">
        <v>44064</v>
      </c>
      <c r="L2" s="165">
        <v>44429</v>
      </c>
      <c r="M2" s="165" t="s">
        <v>124</v>
      </c>
      <c r="N2" s="165">
        <v>1</v>
      </c>
    </row>
    <row r="3" spans="1:14" x14ac:dyDescent="0.25">
      <c r="A3" s="165" t="s">
        <v>1719</v>
      </c>
      <c r="B3" s="78">
        <v>53603</v>
      </c>
      <c r="C3" s="165" t="s">
        <v>925</v>
      </c>
      <c r="D3" s="165" t="s">
        <v>926</v>
      </c>
      <c r="E3" s="165" t="s">
        <v>1</v>
      </c>
      <c r="F3" s="165" t="s">
        <v>923</v>
      </c>
      <c r="G3" s="165" t="s">
        <v>924</v>
      </c>
      <c r="H3" s="165" t="s">
        <v>1719</v>
      </c>
      <c r="I3" s="166">
        <v>43769</v>
      </c>
      <c r="J3" s="165">
        <v>43950</v>
      </c>
      <c r="K3" s="166">
        <v>44064</v>
      </c>
      <c r="L3" s="165">
        <v>44429</v>
      </c>
      <c r="M3" s="165" t="s">
        <v>124</v>
      </c>
      <c r="N3" s="165">
        <v>1</v>
      </c>
    </row>
    <row r="4" spans="1:14" x14ac:dyDescent="0.25">
      <c r="A4" s="165" t="s">
        <v>1720</v>
      </c>
      <c r="B4" s="78">
        <v>37320</v>
      </c>
      <c r="C4" s="165" t="s">
        <v>925</v>
      </c>
      <c r="D4" s="165" t="s">
        <v>927</v>
      </c>
      <c r="E4" s="165" t="s">
        <v>1</v>
      </c>
      <c r="F4" s="165" t="s">
        <v>923</v>
      </c>
      <c r="G4" s="165" t="s">
        <v>924</v>
      </c>
      <c r="H4" s="165" t="s">
        <v>1720</v>
      </c>
      <c r="I4" s="166">
        <v>43769</v>
      </c>
      <c r="J4" s="165">
        <v>43950</v>
      </c>
      <c r="K4" s="166">
        <v>44064</v>
      </c>
      <c r="L4" s="165">
        <v>44429</v>
      </c>
      <c r="M4" s="165" t="s">
        <v>124</v>
      </c>
      <c r="N4" s="165">
        <v>1</v>
      </c>
    </row>
    <row r="5" spans="1:14" x14ac:dyDescent="0.25">
      <c r="A5" s="165" t="s">
        <v>1721</v>
      </c>
      <c r="B5" s="78">
        <v>9788</v>
      </c>
      <c r="C5" s="165" t="s">
        <v>925</v>
      </c>
      <c r="D5" s="165" t="s">
        <v>928</v>
      </c>
      <c r="E5" s="165" t="s">
        <v>1</v>
      </c>
      <c r="F5" s="165" t="s">
        <v>923</v>
      </c>
      <c r="G5" s="165" t="s">
        <v>924</v>
      </c>
      <c r="H5" s="165" t="s">
        <v>1721</v>
      </c>
      <c r="I5" s="166">
        <v>43769</v>
      </c>
      <c r="J5" s="165">
        <v>43950</v>
      </c>
      <c r="K5" s="166">
        <v>44064</v>
      </c>
      <c r="L5" s="165">
        <v>44429</v>
      </c>
      <c r="M5" s="165" t="s">
        <v>124</v>
      </c>
      <c r="N5" s="165">
        <v>0</v>
      </c>
    </row>
    <row r="6" spans="1:14" x14ac:dyDescent="0.25">
      <c r="A6" s="165" t="s">
        <v>1722</v>
      </c>
      <c r="B6" s="78">
        <v>46637</v>
      </c>
      <c r="C6" s="165" t="s">
        <v>912</v>
      </c>
      <c r="D6" s="165" t="s">
        <v>929</v>
      </c>
      <c r="E6" s="165" t="s">
        <v>1</v>
      </c>
      <c r="F6" s="165" t="s">
        <v>930</v>
      </c>
      <c r="G6" s="165" t="s">
        <v>931</v>
      </c>
      <c r="H6" s="165" t="s">
        <v>1722</v>
      </c>
      <c r="I6" s="166">
        <v>43951</v>
      </c>
      <c r="J6" s="165">
        <v>44134</v>
      </c>
      <c r="K6" s="166">
        <v>44176</v>
      </c>
      <c r="L6" s="165">
        <v>44541</v>
      </c>
      <c r="M6" s="165" t="s">
        <v>124</v>
      </c>
      <c r="N6" s="165">
        <v>1</v>
      </c>
    </row>
    <row r="7" spans="1:14" x14ac:dyDescent="0.25">
      <c r="A7" s="165" t="s">
        <v>1723</v>
      </c>
      <c r="B7" s="78">
        <v>83055</v>
      </c>
      <c r="C7" s="165" t="s">
        <v>925</v>
      </c>
      <c r="D7" s="165" t="s">
        <v>926</v>
      </c>
      <c r="E7" s="165" t="s">
        <v>1</v>
      </c>
      <c r="F7" s="165" t="s">
        <v>930</v>
      </c>
      <c r="G7" s="165" t="s">
        <v>931</v>
      </c>
      <c r="H7" s="165" t="s">
        <v>1723</v>
      </c>
      <c r="I7" s="166">
        <v>43951</v>
      </c>
      <c r="J7" s="165">
        <v>44134</v>
      </c>
      <c r="K7" s="166">
        <v>44176</v>
      </c>
      <c r="L7" s="165">
        <v>44541</v>
      </c>
      <c r="M7" s="165" t="s">
        <v>124</v>
      </c>
      <c r="N7" s="165">
        <v>1</v>
      </c>
    </row>
    <row r="8" spans="1:14" x14ac:dyDescent="0.25">
      <c r="A8" s="165" t="s">
        <v>1724</v>
      </c>
      <c r="B8" s="78">
        <v>61411</v>
      </c>
      <c r="C8" s="165" t="s">
        <v>925</v>
      </c>
      <c r="D8" s="165" t="s">
        <v>927</v>
      </c>
      <c r="E8" s="165" t="s">
        <v>1</v>
      </c>
      <c r="F8" s="165" t="s">
        <v>930</v>
      </c>
      <c r="G8" s="165" t="s">
        <v>931</v>
      </c>
      <c r="H8" s="165" t="s">
        <v>1724</v>
      </c>
      <c r="I8" s="166">
        <v>43951</v>
      </c>
      <c r="J8" s="165">
        <v>44134</v>
      </c>
      <c r="K8" s="166">
        <v>44176</v>
      </c>
      <c r="L8" s="165">
        <v>44541</v>
      </c>
      <c r="M8" s="165" t="s">
        <v>124</v>
      </c>
      <c r="N8" s="165">
        <v>1</v>
      </c>
    </row>
    <row r="9" spans="1:14" x14ac:dyDescent="0.25">
      <c r="A9" s="165" t="s">
        <v>1725</v>
      </c>
      <c r="B9" s="78">
        <v>74384</v>
      </c>
      <c r="C9" s="165" t="s">
        <v>912</v>
      </c>
      <c r="D9" s="165" t="s">
        <v>932</v>
      </c>
      <c r="E9" s="165" t="s">
        <v>1</v>
      </c>
      <c r="F9" s="165" t="s">
        <v>933</v>
      </c>
      <c r="G9" s="165" t="s">
        <v>924</v>
      </c>
      <c r="H9" s="165" t="s">
        <v>1725</v>
      </c>
      <c r="I9" s="166">
        <v>44064</v>
      </c>
      <c r="J9" s="165">
        <v>44280</v>
      </c>
      <c r="K9" s="166">
        <v>44286</v>
      </c>
      <c r="L9" s="165">
        <v>44651</v>
      </c>
      <c r="M9" s="165" t="s">
        <v>122</v>
      </c>
      <c r="N9" s="165">
        <v>1</v>
      </c>
    </row>
    <row r="10" spans="1:14" x14ac:dyDescent="0.25">
      <c r="A10" s="165" t="s">
        <v>1726</v>
      </c>
      <c r="B10" s="78">
        <v>53085</v>
      </c>
      <c r="C10" s="165" t="s">
        <v>925</v>
      </c>
      <c r="D10" s="165" t="s">
        <v>934</v>
      </c>
      <c r="E10" s="165" t="s">
        <v>1</v>
      </c>
      <c r="F10" s="165" t="s">
        <v>935</v>
      </c>
      <c r="G10" s="165" t="s">
        <v>936</v>
      </c>
      <c r="H10" s="165" t="s">
        <v>1726</v>
      </c>
      <c r="I10" s="166">
        <v>43738</v>
      </c>
      <c r="J10" s="165">
        <v>43815</v>
      </c>
      <c r="K10" s="166">
        <v>43815</v>
      </c>
      <c r="L10" s="165">
        <v>44180</v>
      </c>
      <c r="M10" s="165" t="s">
        <v>124</v>
      </c>
      <c r="N10" s="165">
        <v>1</v>
      </c>
    </row>
    <row r="11" spans="1:14" x14ac:dyDescent="0.25">
      <c r="A11" s="165" t="s">
        <v>1727</v>
      </c>
      <c r="B11" s="78">
        <v>50354</v>
      </c>
      <c r="C11" s="165" t="s">
        <v>912</v>
      </c>
      <c r="D11" s="165" t="s">
        <v>937</v>
      </c>
      <c r="E11" s="165" t="s">
        <v>1</v>
      </c>
      <c r="F11" s="165" t="s">
        <v>938</v>
      </c>
      <c r="G11" s="165" t="s">
        <v>936</v>
      </c>
      <c r="H11" s="165" t="s">
        <v>1727</v>
      </c>
      <c r="I11" s="166">
        <v>44074</v>
      </c>
      <c r="J11" s="165">
        <v>44134</v>
      </c>
      <c r="K11" s="166">
        <v>44143</v>
      </c>
      <c r="L11" s="165">
        <v>44508</v>
      </c>
      <c r="M11" s="165" t="s">
        <v>124</v>
      </c>
      <c r="N11" s="165">
        <v>1</v>
      </c>
    </row>
    <row r="12" spans="1:14" x14ac:dyDescent="0.25">
      <c r="A12" s="165" t="s">
        <v>1728</v>
      </c>
      <c r="B12" s="78">
        <v>6150</v>
      </c>
      <c r="C12" s="165" t="s">
        <v>925</v>
      </c>
      <c r="D12" s="165" t="s">
        <v>926</v>
      </c>
      <c r="E12" s="165" t="s">
        <v>1</v>
      </c>
      <c r="F12" s="165" t="s">
        <v>938</v>
      </c>
      <c r="G12" s="165" t="s">
        <v>936</v>
      </c>
      <c r="H12" s="165" t="s">
        <v>1728</v>
      </c>
      <c r="I12" s="166">
        <v>44074</v>
      </c>
      <c r="J12" s="165">
        <v>44134</v>
      </c>
      <c r="K12" s="166">
        <v>44143</v>
      </c>
      <c r="L12" s="165">
        <v>44508</v>
      </c>
      <c r="M12" s="165" t="s">
        <v>124</v>
      </c>
      <c r="N12" s="165">
        <v>1</v>
      </c>
    </row>
    <row r="13" spans="1:14" x14ac:dyDescent="0.25">
      <c r="A13" s="165" t="s">
        <v>1729</v>
      </c>
      <c r="B13" s="78">
        <v>56452</v>
      </c>
      <c r="C13" s="165" t="s">
        <v>925</v>
      </c>
      <c r="D13" s="165" t="s">
        <v>927</v>
      </c>
      <c r="E13" s="165" t="s">
        <v>1</v>
      </c>
      <c r="F13" s="165" t="s">
        <v>938</v>
      </c>
      <c r="G13" s="165" t="s">
        <v>936</v>
      </c>
      <c r="H13" s="165" t="s">
        <v>1729</v>
      </c>
      <c r="I13" s="166">
        <v>44074</v>
      </c>
      <c r="J13" s="165">
        <v>44134</v>
      </c>
      <c r="K13" s="166">
        <v>44143</v>
      </c>
      <c r="L13" s="165">
        <v>44508</v>
      </c>
      <c r="M13" s="165" t="s">
        <v>124</v>
      </c>
      <c r="N13" s="165">
        <v>1</v>
      </c>
    </row>
    <row r="14" spans="1:14" x14ac:dyDescent="0.25">
      <c r="A14" s="165" t="s">
        <v>1730</v>
      </c>
      <c r="B14" s="78">
        <v>62662</v>
      </c>
      <c r="C14" s="165" t="s">
        <v>925</v>
      </c>
      <c r="D14" s="165" t="s">
        <v>928</v>
      </c>
      <c r="E14" s="165" t="s">
        <v>1</v>
      </c>
      <c r="F14" s="165" t="s">
        <v>938</v>
      </c>
      <c r="G14" s="165" t="s">
        <v>936</v>
      </c>
      <c r="H14" s="165" t="s">
        <v>1730</v>
      </c>
      <c r="I14" s="166">
        <v>44074</v>
      </c>
      <c r="J14" s="165">
        <v>44134</v>
      </c>
      <c r="K14" s="166">
        <v>44143</v>
      </c>
      <c r="L14" s="165">
        <v>44508</v>
      </c>
      <c r="M14" s="165" t="s">
        <v>124</v>
      </c>
      <c r="N14" s="165">
        <v>0</v>
      </c>
    </row>
    <row r="15" spans="1:14" x14ac:dyDescent="0.25">
      <c r="A15" s="165" t="s">
        <v>1731</v>
      </c>
      <c r="B15" s="78">
        <v>41641</v>
      </c>
      <c r="C15" s="165" t="s">
        <v>912</v>
      </c>
      <c r="D15" s="165" t="s">
        <v>922</v>
      </c>
      <c r="E15" s="165" t="s">
        <v>1</v>
      </c>
      <c r="F15" s="165" t="s">
        <v>939</v>
      </c>
      <c r="G15" s="165" t="s">
        <v>936</v>
      </c>
      <c r="H15" s="165" t="s">
        <v>1731</v>
      </c>
      <c r="I15" s="166">
        <v>44173</v>
      </c>
      <c r="J15" s="165">
        <v>44344</v>
      </c>
      <c r="K15" s="166">
        <v>44364</v>
      </c>
      <c r="L15" s="165">
        <v>44729</v>
      </c>
      <c r="M15" s="165" t="s">
        <v>122</v>
      </c>
      <c r="N15" s="165">
        <v>1</v>
      </c>
    </row>
    <row r="16" spans="1:14" x14ac:dyDescent="0.25">
      <c r="A16" s="165" t="s">
        <v>1732</v>
      </c>
      <c r="B16" s="78">
        <v>25471</v>
      </c>
      <c r="C16" s="165" t="s">
        <v>925</v>
      </c>
      <c r="D16" s="165" t="s">
        <v>926</v>
      </c>
      <c r="E16" s="165" t="s">
        <v>1</v>
      </c>
      <c r="F16" s="165" t="s">
        <v>939</v>
      </c>
      <c r="G16" s="165" t="s">
        <v>936</v>
      </c>
      <c r="H16" s="165" t="s">
        <v>1732</v>
      </c>
      <c r="I16" s="166">
        <v>44173</v>
      </c>
      <c r="J16" s="165">
        <v>44344</v>
      </c>
      <c r="K16" s="166">
        <v>44364</v>
      </c>
      <c r="L16" s="165">
        <v>44729</v>
      </c>
      <c r="M16" s="165" t="s">
        <v>122</v>
      </c>
      <c r="N16" s="165">
        <v>1</v>
      </c>
    </row>
    <row r="17" spans="1:14" x14ac:dyDescent="0.25">
      <c r="A17" s="165" t="s">
        <v>1733</v>
      </c>
      <c r="B17" s="78">
        <v>71145</v>
      </c>
      <c r="C17" s="165" t="s">
        <v>925</v>
      </c>
      <c r="D17" s="165" t="s">
        <v>927</v>
      </c>
      <c r="E17" s="165" t="s">
        <v>1</v>
      </c>
      <c r="F17" s="165" t="s">
        <v>939</v>
      </c>
      <c r="G17" s="165" t="s">
        <v>936</v>
      </c>
      <c r="H17" s="165" t="s">
        <v>1733</v>
      </c>
      <c r="I17" s="166">
        <v>44173</v>
      </c>
      <c r="J17" s="165">
        <v>44344</v>
      </c>
      <c r="K17" s="166">
        <v>44364</v>
      </c>
      <c r="L17" s="165">
        <v>44729</v>
      </c>
      <c r="M17" s="165" t="s">
        <v>122</v>
      </c>
      <c r="N17" s="165">
        <v>1</v>
      </c>
    </row>
    <row r="18" spans="1:14" x14ac:dyDescent="0.25">
      <c r="A18" s="165" t="s">
        <v>1734</v>
      </c>
      <c r="B18" s="78">
        <v>33385</v>
      </c>
      <c r="C18" s="165" t="s">
        <v>912</v>
      </c>
      <c r="D18" s="165" t="s">
        <v>940</v>
      </c>
      <c r="E18" s="165" t="s">
        <v>1</v>
      </c>
      <c r="F18" s="165" t="s">
        <v>941</v>
      </c>
      <c r="G18" s="165" t="s">
        <v>942</v>
      </c>
      <c r="H18" s="165" t="s">
        <v>1734</v>
      </c>
      <c r="I18" s="166">
        <v>43980</v>
      </c>
      <c r="J18" s="165">
        <v>44040</v>
      </c>
      <c r="K18" s="166">
        <v>44335</v>
      </c>
      <c r="L18" s="165">
        <v>44700</v>
      </c>
      <c r="M18" s="165" t="s">
        <v>122</v>
      </c>
      <c r="N18" s="165">
        <v>1</v>
      </c>
    </row>
    <row r="19" spans="1:14" x14ac:dyDescent="0.25">
      <c r="A19" s="165" t="s">
        <v>1735</v>
      </c>
      <c r="B19" s="78">
        <v>3001104</v>
      </c>
      <c r="C19" s="165" t="s">
        <v>912</v>
      </c>
      <c r="D19" s="165" t="s">
        <v>943</v>
      </c>
      <c r="E19" s="165" t="s">
        <v>1</v>
      </c>
      <c r="F19" s="165" t="s">
        <v>944</v>
      </c>
      <c r="G19" s="165" t="s">
        <v>931</v>
      </c>
      <c r="H19" s="165" t="s">
        <v>1735</v>
      </c>
      <c r="I19" s="166">
        <v>43378</v>
      </c>
      <c r="J19" s="165">
        <v>43686</v>
      </c>
      <c r="K19" s="166">
        <v>43699</v>
      </c>
      <c r="L19" s="165">
        <v>44064</v>
      </c>
      <c r="M19" s="165" t="s">
        <v>124</v>
      </c>
      <c r="N19" s="165">
        <v>1</v>
      </c>
    </row>
    <row r="20" spans="1:14" x14ac:dyDescent="0.25">
      <c r="A20" s="165" t="s">
        <v>1736</v>
      </c>
      <c r="B20" s="78">
        <v>3000192</v>
      </c>
      <c r="C20" s="165" t="s">
        <v>925</v>
      </c>
      <c r="D20" s="165" t="s">
        <v>926</v>
      </c>
      <c r="E20" s="165" t="s">
        <v>1</v>
      </c>
      <c r="F20" s="165" t="s">
        <v>944</v>
      </c>
      <c r="G20" s="165" t="s">
        <v>931</v>
      </c>
      <c r="H20" s="165" t="s">
        <v>1736</v>
      </c>
      <c r="I20" s="166">
        <v>43378</v>
      </c>
      <c r="J20" s="165">
        <v>43686</v>
      </c>
      <c r="K20" s="166">
        <v>43699</v>
      </c>
      <c r="L20" s="165">
        <v>44064</v>
      </c>
      <c r="M20" s="165" t="s">
        <v>124</v>
      </c>
      <c r="N20" s="165">
        <v>1</v>
      </c>
    </row>
    <row r="21" spans="1:14" x14ac:dyDescent="0.25">
      <c r="A21" s="165" t="s">
        <v>1737</v>
      </c>
      <c r="B21" s="78">
        <v>3000228</v>
      </c>
      <c r="C21" s="165" t="s">
        <v>925</v>
      </c>
      <c r="D21" s="165" t="s">
        <v>927</v>
      </c>
      <c r="E21" s="165" t="s">
        <v>1</v>
      </c>
      <c r="F21" s="165" t="s">
        <v>944</v>
      </c>
      <c r="G21" s="165" t="s">
        <v>931</v>
      </c>
      <c r="H21" s="165" t="s">
        <v>1737</v>
      </c>
      <c r="I21" s="166">
        <v>43378</v>
      </c>
      <c r="J21" s="165">
        <v>43686</v>
      </c>
      <c r="K21" s="166">
        <v>43699</v>
      </c>
      <c r="L21" s="165">
        <v>44064</v>
      </c>
      <c r="M21" s="165" t="s">
        <v>124</v>
      </c>
      <c r="N21" s="165">
        <v>1</v>
      </c>
    </row>
    <row r="22" spans="1:14" x14ac:dyDescent="0.25">
      <c r="A22" s="165" t="s">
        <v>1738</v>
      </c>
      <c r="B22" s="78">
        <v>99928</v>
      </c>
      <c r="C22" s="165" t="s">
        <v>912</v>
      </c>
      <c r="D22" s="165" t="s">
        <v>945</v>
      </c>
      <c r="E22" s="165" t="s">
        <v>1</v>
      </c>
      <c r="F22" s="165" t="s">
        <v>946</v>
      </c>
      <c r="G22" s="165" t="s">
        <v>936</v>
      </c>
      <c r="H22" s="165" t="s">
        <v>1738</v>
      </c>
      <c r="I22" s="166">
        <v>43524</v>
      </c>
      <c r="J22" s="165">
        <v>43727</v>
      </c>
      <c r="K22" s="166">
        <v>43756</v>
      </c>
      <c r="L22" s="165">
        <v>44121</v>
      </c>
      <c r="M22" s="165" t="s">
        <v>124</v>
      </c>
      <c r="N22" s="165">
        <v>1</v>
      </c>
    </row>
    <row r="23" spans="1:14" x14ac:dyDescent="0.25">
      <c r="A23" s="165" t="s">
        <v>1739</v>
      </c>
      <c r="B23" s="78">
        <v>22645</v>
      </c>
      <c r="C23" s="165" t="s">
        <v>947</v>
      </c>
      <c r="D23" s="165" t="s">
        <v>948</v>
      </c>
      <c r="E23" s="165" t="s">
        <v>1</v>
      </c>
      <c r="F23" s="165" t="s">
        <v>946</v>
      </c>
      <c r="G23" s="165" t="s">
        <v>936</v>
      </c>
      <c r="H23" s="165" t="s">
        <v>1739</v>
      </c>
      <c r="I23" s="166">
        <v>43994</v>
      </c>
      <c r="J23" s="165">
        <v>44259</v>
      </c>
      <c r="K23" s="166" t="s">
        <v>949</v>
      </c>
      <c r="L23" s="165">
        <v>0</v>
      </c>
      <c r="M23" s="165" t="s">
        <v>124</v>
      </c>
      <c r="N23" s="165">
        <v>1</v>
      </c>
    </row>
    <row r="24" spans="1:14" x14ac:dyDescent="0.25">
      <c r="A24" s="165" t="s">
        <v>1740</v>
      </c>
      <c r="B24" s="78">
        <v>85117</v>
      </c>
      <c r="C24" s="165" t="s">
        <v>947</v>
      </c>
      <c r="D24" s="165" t="s">
        <v>950</v>
      </c>
      <c r="E24" s="165" t="s">
        <v>1</v>
      </c>
      <c r="F24" s="165" t="s">
        <v>946</v>
      </c>
      <c r="G24" s="165" t="s">
        <v>936</v>
      </c>
      <c r="H24" s="165" t="s">
        <v>1740</v>
      </c>
      <c r="I24" s="166">
        <v>43921</v>
      </c>
      <c r="J24" s="165">
        <v>44259</v>
      </c>
      <c r="K24" s="166" t="s">
        <v>949</v>
      </c>
      <c r="L24" s="165">
        <v>0</v>
      </c>
      <c r="M24" s="165" t="s">
        <v>124</v>
      </c>
      <c r="N24" s="165">
        <v>1</v>
      </c>
    </row>
    <row r="25" spans="1:14" x14ac:dyDescent="0.25">
      <c r="A25" s="165" t="s">
        <v>1741</v>
      </c>
      <c r="B25" s="78" t="s">
        <v>10</v>
      </c>
      <c r="C25" s="165" t="s">
        <v>951</v>
      </c>
      <c r="D25" s="165" t="s">
        <v>952</v>
      </c>
      <c r="E25" s="165" t="s">
        <v>1</v>
      </c>
      <c r="F25" s="165" t="s">
        <v>946</v>
      </c>
      <c r="G25" s="165" t="s">
        <v>936</v>
      </c>
      <c r="H25" s="165" t="s">
        <v>1741</v>
      </c>
      <c r="I25" s="166" t="s">
        <v>10</v>
      </c>
      <c r="J25" s="165">
        <v>44259</v>
      </c>
      <c r="K25" s="166">
        <v>44259</v>
      </c>
      <c r="L25" s="165">
        <v>44624</v>
      </c>
      <c r="M25" s="165" t="s">
        <v>122</v>
      </c>
      <c r="N25" s="165">
        <v>0</v>
      </c>
    </row>
    <row r="26" spans="1:14" x14ac:dyDescent="0.25">
      <c r="A26" s="165" t="s">
        <v>1742</v>
      </c>
      <c r="B26" s="78">
        <v>37826</v>
      </c>
      <c r="C26" s="165" t="s">
        <v>947</v>
      </c>
      <c r="D26" s="165" t="s">
        <v>953</v>
      </c>
      <c r="E26" s="165" t="s">
        <v>1</v>
      </c>
      <c r="F26" s="165" t="s">
        <v>946</v>
      </c>
      <c r="G26" s="165" t="s">
        <v>936</v>
      </c>
      <c r="H26" s="165" t="s">
        <v>1742</v>
      </c>
      <c r="I26" s="166">
        <v>43981</v>
      </c>
      <c r="J26" s="165">
        <v>44259</v>
      </c>
      <c r="K26" s="166" t="s">
        <v>949</v>
      </c>
      <c r="L26" s="165">
        <v>0</v>
      </c>
      <c r="M26" s="165" t="s">
        <v>124</v>
      </c>
      <c r="N26" s="165">
        <v>1</v>
      </c>
    </row>
    <row r="27" spans="1:14" x14ac:dyDescent="0.25">
      <c r="A27" s="165" t="s">
        <v>1743</v>
      </c>
      <c r="B27" s="78">
        <v>48063</v>
      </c>
      <c r="C27" s="165" t="s">
        <v>912</v>
      </c>
      <c r="D27" s="165" t="s">
        <v>937</v>
      </c>
      <c r="E27" s="165" t="s">
        <v>954</v>
      </c>
      <c r="F27" s="165" t="s">
        <v>955</v>
      </c>
      <c r="G27" s="165" t="s">
        <v>956</v>
      </c>
      <c r="H27" s="165" t="s">
        <v>1743</v>
      </c>
      <c r="I27" s="166">
        <v>44012</v>
      </c>
      <c r="J27" s="165">
        <v>43862</v>
      </c>
      <c r="K27" s="166">
        <v>44210</v>
      </c>
      <c r="L27" s="165">
        <v>44575</v>
      </c>
      <c r="M27" s="165" t="s">
        <v>124</v>
      </c>
      <c r="N27" s="165">
        <v>1</v>
      </c>
    </row>
    <row r="28" spans="1:14" x14ac:dyDescent="0.25">
      <c r="A28" s="165" t="s">
        <v>1744</v>
      </c>
      <c r="B28" s="78">
        <v>69334</v>
      </c>
      <c r="C28" s="165" t="s">
        <v>925</v>
      </c>
      <c r="D28" s="165" t="s">
        <v>927</v>
      </c>
      <c r="E28" s="165" t="s">
        <v>954</v>
      </c>
      <c r="F28" s="165" t="s">
        <v>955</v>
      </c>
      <c r="G28" s="165" t="s">
        <v>956</v>
      </c>
      <c r="H28" s="165" t="s">
        <v>1744</v>
      </c>
      <c r="I28" s="166">
        <v>44012</v>
      </c>
      <c r="J28" s="165">
        <v>43862</v>
      </c>
      <c r="K28" s="166">
        <v>44210</v>
      </c>
      <c r="L28" s="165">
        <v>44575</v>
      </c>
      <c r="M28" s="165" t="s">
        <v>124</v>
      </c>
      <c r="N28" s="165">
        <v>1</v>
      </c>
    </row>
    <row r="29" spans="1:14" x14ac:dyDescent="0.25">
      <c r="A29" s="165" t="s">
        <v>1745</v>
      </c>
      <c r="B29" s="78">
        <v>86434</v>
      </c>
      <c r="C29" s="165" t="s">
        <v>925</v>
      </c>
      <c r="D29" s="165" t="s">
        <v>926</v>
      </c>
      <c r="E29" s="165" t="s">
        <v>954</v>
      </c>
      <c r="F29" s="165" t="s">
        <v>955</v>
      </c>
      <c r="G29" s="165" t="s">
        <v>956</v>
      </c>
      <c r="H29" s="165" t="s">
        <v>1745</v>
      </c>
      <c r="I29" s="166">
        <v>44012</v>
      </c>
      <c r="J29" s="165">
        <v>43862</v>
      </c>
      <c r="K29" s="166">
        <v>44210</v>
      </c>
      <c r="L29" s="165">
        <v>44575</v>
      </c>
      <c r="M29" s="165" t="s">
        <v>124</v>
      </c>
      <c r="N29" s="165">
        <v>1</v>
      </c>
    </row>
    <row r="30" spans="1:14" x14ac:dyDescent="0.25">
      <c r="A30" s="165" t="s">
        <v>1746</v>
      </c>
      <c r="B30" s="78">
        <v>78369</v>
      </c>
      <c r="C30" s="165" t="s">
        <v>925</v>
      </c>
      <c r="D30" s="165" t="s">
        <v>928</v>
      </c>
      <c r="E30" s="165" t="s">
        <v>954</v>
      </c>
      <c r="F30" s="165" t="s">
        <v>955</v>
      </c>
      <c r="G30" s="165" t="s">
        <v>956</v>
      </c>
      <c r="H30" s="165" t="s">
        <v>1746</v>
      </c>
      <c r="I30" s="166">
        <v>44012</v>
      </c>
      <c r="J30" s="165">
        <v>43862</v>
      </c>
      <c r="K30" s="166">
        <v>44210</v>
      </c>
      <c r="L30" s="165">
        <v>44575</v>
      </c>
      <c r="M30" s="165" t="s">
        <v>124</v>
      </c>
      <c r="N30" s="165">
        <v>0</v>
      </c>
    </row>
    <row r="31" spans="1:14" x14ac:dyDescent="0.25">
      <c r="A31" s="165" t="s">
        <v>1747</v>
      </c>
      <c r="B31" s="78">
        <v>99916</v>
      </c>
      <c r="C31" s="165" t="s">
        <v>912</v>
      </c>
      <c r="D31" s="165" t="s">
        <v>957</v>
      </c>
      <c r="E31" s="165" t="s">
        <v>1</v>
      </c>
      <c r="F31" s="165" t="s">
        <v>958</v>
      </c>
      <c r="G31" s="165" t="s">
        <v>959</v>
      </c>
      <c r="H31" s="165" t="s">
        <v>1747</v>
      </c>
      <c r="I31" s="166">
        <v>43159</v>
      </c>
      <c r="J31" s="165">
        <v>43507</v>
      </c>
      <c r="K31" s="166">
        <v>43720</v>
      </c>
      <c r="L31" s="165">
        <v>44085</v>
      </c>
      <c r="M31" s="165" t="s">
        <v>124</v>
      </c>
      <c r="N31" s="165">
        <v>1</v>
      </c>
    </row>
    <row r="32" spans="1:14" x14ac:dyDescent="0.25">
      <c r="A32" s="165" t="s">
        <v>1748</v>
      </c>
      <c r="B32" s="78">
        <v>3002319</v>
      </c>
      <c r="C32" s="165" t="s">
        <v>912</v>
      </c>
      <c r="D32" s="165" t="s">
        <v>960</v>
      </c>
      <c r="E32" s="165" t="s">
        <v>3</v>
      </c>
      <c r="F32" s="165" t="s">
        <v>961</v>
      </c>
      <c r="G32" s="165" t="s">
        <v>962</v>
      </c>
      <c r="H32" s="165" t="s">
        <v>1748</v>
      </c>
      <c r="I32" s="166">
        <v>43355</v>
      </c>
      <c r="J32" s="165">
        <v>43595</v>
      </c>
      <c r="K32" s="166">
        <v>44168</v>
      </c>
      <c r="L32" s="165">
        <v>44533</v>
      </c>
      <c r="M32" s="165" t="s">
        <v>124</v>
      </c>
      <c r="N32" s="165">
        <v>1</v>
      </c>
    </row>
    <row r="33" spans="1:14" x14ac:dyDescent="0.25">
      <c r="A33" s="165" t="s">
        <v>1749</v>
      </c>
      <c r="B33" s="78">
        <v>3002393</v>
      </c>
      <c r="C33" s="165" t="s">
        <v>925</v>
      </c>
      <c r="D33" s="165" t="s">
        <v>963</v>
      </c>
      <c r="E33" s="165" t="s">
        <v>3</v>
      </c>
      <c r="F33" s="165" t="s">
        <v>961</v>
      </c>
      <c r="G33" s="165" t="s">
        <v>962</v>
      </c>
      <c r="H33" s="165" t="s">
        <v>1749</v>
      </c>
      <c r="I33" s="166">
        <v>43355</v>
      </c>
      <c r="J33" s="165">
        <v>43595</v>
      </c>
      <c r="K33" s="166">
        <v>44168</v>
      </c>
      <c r="L33" s="165">
        <v>44533</v>
      </c>
      <c r="M33" s="165" t="s">
        <v>124</v>
      </c>
      <c r="N33" s="165">
        <v>1</v>
      </c>
    </row>
    <row r="34" spans="1:14" x14ac:dyDescent="0.25">
      <c r="A34" s="165" t="s">
        <v>1750</v>
      </c>
      <c r="B34" s="78">
        <v>99917</v>
      </c>
      <c r="C34" s="165" t="s">
        <v>925</v>
      </c>
      <c r="D34" s="165" t="s">
        <v>964</v>
      </c>
      <c r="E34" s="165" t="s">
        <v>3</v>
      </c>
      <c r="F34" s="165" t="s">
        <v>961</v>
      </c>
      <c r="G34" s="165" t="s">
        <v>962</v>
      </c>
      <c r="H34" s="165" t="s">
        <v>1750</v>
      </c>
      <c r="I34" s="166">
        <v>43355</v>
      </c>
      <c r="J34" s="165">
        <v>43595</v>
      </c>
      <c r="K34" s="166">
        <v>44168</v>
      </c>
      <c r="L34" s="165">
        <v>44533</v>
      </c>
      <c r="M34" s="165" t="s">
        <v>124</v>
      </c>
      <c r="N34" s="165">
        <v>1</v>
      </c>
    </row>
    <row r="35" spans="1:14" x14ac:dyDescent="0.25">
      <c r="A35" s="165" t="s">
        <v>1751</v>
      </c>
      <c r="B35" s="78">
        <v>99918</v>
      </c>
      <c r="C35" s="165" t="s">
        <v>925</v>
      </c>
      <c r="D35" s="165" t="s">
        <v>965</v>
      </c>
      <c r="E35" s="165" t="s">
        <v>3</v>
      </c>
      <c r="F35" s="165" t="s">
        <v>961</v>
      </c>
      <c r="G35" s="165" t="s">
        <v>962</v>
      </c>
      <c r="H35" s="165" t="s">
        <v>1751</v>
      </c>
      <c r="I35" s="166">
        <v>43355</v>
      </c>
      <c r="J35" s="165">
        <v>43595</v>
      </c>
      <c r="K35" s="166">
        <v>44168</v>
      </c>
      <c r="L35" s="165">
        <v>44533</v>
      </c>
      <c r="M35" s="165" t="s">
        <v>124</v>
      </c>
      <c r="N35" s="165">
        <v>1</v>
      </c>
    </row>
    <row r="36" spans="1:14" x14ac:dyDescent="0.25">
      <c r="A36" s="165" t="s">
        <v>1752</v>
      </c>
      <c r="B36" s="78">
        <v>99919</v>
      </c>
      <c r="C36" s="165" t="s">
        <v>947</v>
      </c>
      <c r="D36" s="165" t="s">
        <v>966</v>
      </c>
      <c r="E36" s="165" t="s">
        <v>3</v>
      </c>
      <c r="F36" s="165" t="s">
        <v>961</v>
      </c>
      <c r="G36" s="165" t="s">
        <v>962</v>
      </c>
      <c r="H36" s="165" t="s">
        <v>1752</v>
      </c>
      <c r="I36" s="166">
        <v>43355</v>
      </c>
      <c r="J36" s="165">
        <v>43595</v>
      </c>
      <c r="K36" s="166">
        <v>44168</v>
      </c>
      <c r="L36" s="165">
        <v>44533</v>
      </c>
      <c r="M36" s="165" t="s">
        <v>124</v>
      </c>
      <c r="N36" s="165">
        <v>1</v>
      </c>
    </row>
    <row r="37" spans="1:14" x14ac:dyDescent="0.25">
      <c r="A37" s="165" t="s">
        <v>1753</v>
      </c>
      <c r="B37" s="78">
        <v>99920</v>
      </c>
      <c r="C37" s="165" t="s">
        <v>947</v>
      </c>
      <c r="D37" s="165" t="s">
        <v>967</v>
      </c>
      <c r="E37" s="165" t="s">
        <v>3</v>
      </c>
      <c r="F37" s="165" t="s">
        <v>961</v>
      </c>
      <c r="G37" s="165" t="s">
        <v>962</v>
      </c>
      <c r="H37" s="165" t="s">
        <v>1753</v>
      </c>
      <c r="I37" s="166">
        <v>43355</v>
      </c>
      <c r="J37" s="165">
        <v>43595</v>
      </c>
      <c r="K37" s="166">
        <v>44168</v>
      </c>
      <c r="L37" s="165">
        <v>44533</v>
      </c>
      <c r="M37" s="165" t="s">
        <v>124</v>
      </c>
      <c r="N37" s="165">
        <v>1</v>
      </c>
    </row>
    <row r="38" spans="1:14" x14ac:dyDescent="0.25">
      <c r="A38" s="165" t="s">
        <v>1754</v>
      </c>
      <c r="B38" s="78">
        <v>24353</v>
      </c>
      <c r="C38" s="165" t="s">
        <v>912</v>
      </c>
      <c r="D38" s="165" t="s">
        <v>929</v>
      </c>
      <c r="E38" s="165" t="s">
        <v>954</v>
      </c>
      <c r="F38" s="165" t="s">
        <v>968</v>
      </c>
      <c r="G38" s="165" t="s">
        <v>956</v>
      </c>
      <c r="H38" s="165" t="s">
        <v>1754</v>
      </c>
      <c r="I38" s="166">
        <v>44196</v>
      </c>
      <c r="J38" s="165">
        <v>44285</v>
      </c>
      <c r="K38" s="166">
        <v>44295</v>
      </c>
      <c r="L38" s="165">
        <v>44660</v>
      </c>
      <c r="M38" s="165" t="s">
        <v>122</v>
      </c>
      <c r="N38" s="165">
        <v>1</v>
      </c>
    </row>
    <row r="39" spans="1:14" x14ac:dyDescent="0.25">
      <c r="A39" s="165" t="s">
        <v>1755</v>
      </c>
      <c r="B39" s="78">
        <v>9687</v>
      </c>
      <c r="C39" s="165" t="s">
        <v>925</v>
      </c>
      <c r="D39" s="165" t="s">
        <v>926</v>
      </c>
      <c r="E39" s="165" t="s">
        <v>954</v>
      </c>
      <c r="F39" s="165" t="s">
        <v>968</v>
      </c>
      <c r="G39" s="165" t="s">
        <v>956</v>
      </c>
      <c r="H39" s="165" t="s">
        <v>1755</v>
      </c>
      <c r="I39" s="166">
        <v>44196</v>
      </c>
      <c r="J39" s="165">
        <v>44285</v>
      </c>
      <c r="K39" s="166">
        <v>44295</v>
      </c>
      <c r="L39" s="165">
        <v>44660</v>
      </c>
      <c r="M39" s="165" t="s">
        <v>122</v>
      </c>
      <c r="N39" s="165">
        <v>1</v>
      </c>
    </row>
    <row r="40" spans="1:14" x14ac:dyDescent="0.25">
      <c r="A40" s="165" t="s">
        <v>1756</v>
      </c>
      <c r="B40" s="78">
        <v>26130</v>
      </c>
      <c r="C40" s="165" t="s">
        <v>925</v>
      </c>
      <c r="D40" s="165" t="s">
        <v>927</v>
      </c>
      <c r="E40" s="165" t="s">
        <v>954</v>
      </c>
      <c r="F40" s="165" t="s">
        <v>968</v>
      </c>
      <c r="G40" s="165" t="s">
        <v>956</v>
      </c>
      <c r="H40" s="165" t="s">
        <v>1756</v>
      </c>
      <c r="I40" s="166">
        <v>44196</v>
      </c>
      <c r="J40" s="165">
        <v>44285</v>
      </c>
      <c r="K40" s="166">
        <v>44295</v>
      </c>
      <c r="L40" s="165">
        <v>44660</v>
      </c>
      <c r="M40" s="165" t="s">
        <v>122</v>
      </c>
      <c r="N40" s="165">
        <v>1</v>
      </c>
    </row>
    <row r="41" spans="1:14" x14ac:dyDescent="0.25">
      <c r="A41" s="165" t="s">
        <v>1757</v>
      </c>
      <c r="B41" s="78">
        <v>38373</v>
      </c>
      <c r="C41" s="165" t="s">
        <v>912</v>
      </c>
      <c r="D41" s="165" t="s">
        <v>969</v>
      </c>
      <c r="E41" s="165" t="s">
        <v>954</v>
      </c>
      <c r="F41" s="165" t="s">
        <v>970</v>
      </c>
      <c r="G41" s="165" t="s">
        <v>971</v>
      </c>
      <c r="H41" s="165" t="s">
        <v>1757</v>
      </c>
      <c r="I41" s="166">
        <v>44165</v>
      </c>
      <c r="J41" s="165">
        <v>44284</v>
      </c>
      <c r="K41" s="166">
        <v>44299</v>
      </c>
      <c r="L41" s="165">
        <v>44664</v>
      </c>
      <c r="M41" s="165" t="s">
        <v>122</v>
      </c>
      <c r="N41" s="165">
        <v>1</v>
      </c>
    </row>
    <row r="42" spans="1:14" x14ac:dyDescent="0.25">
      <c r="A42" s="165" t="s">
        <v>1758</v>
      </c>
      <c r="B42" s="78">
        <v>3002674</v>
      </c>
      <c r="C42" s="165" t="s">
        <v>912</v>
      </c>
      <c r="D42" s="165" t="s">
        <v>937</v>
      </c>
      <c r="E42" s="165" t="s">
        <v>954</v>
      </c>
      <c r="F42" s="165" t="s">
        <v>972</v>
      </c>
      <c r="G42" s="165" t="s">
        <v>971</v>
      </c>
      <c r="H42" s="165" t="s">
        <v>1758</v>
      </c>
      <c r="I42" s="166">
        <v>43315</v>
      </c>
      <c r="J42" s="165">
        <v>43510</v>
      </c>
      <c r="K42" s="166">
        <v>43517</v>
      </c>
      <c r="L42" s="165">
        <v>43882</v>
      </c>
      <c r="M42" s="165" t="s">
        <v>124</v>
      </c>
      <c r="N42" s="165">
        <v>1</v>
      </c>
    </row>
    <row r="43" spans="1:14" x14ac:dyDescent="0.25">
      <c r="A43" s="165" t="s">
        <v>1759</v>
      </c>
      <c r="B43" s="78">
        <v>3001104</v>
      </c>
      <c r="C43" s="165" t="s">
        <v>912</v>
      </c>
      <c r="D43" s="165" t="s">
        <v>943</v>
      </c>
      <c r="E43" s="165" t="s">
        <v>3</v>
      </c>
      <c r="F43" s="165" t="s">
        <v>973</v>
      </c>
      <c r="G43" s="165" t="s">
        <v>962</v>
      </c>
      <c r="H43" s="165" t="s">
        <v>1759</v>
      </c>
      <c r="I43" s="166">
        <v>42962</v>
      </c>
      <c r="J43" s="165">
        <v>43613</v>
      </c>
      <c r="K43" s="166">
        <v>43630</v>
      </c>
      <c r="L43" s="165">
        <v>43995</v>
      </c>
      <c r="M43" s="165" t="s">
        <v>124</v>
      </c>
      <c r="N43" s="165">
        <v>1</v>
      </c>
    </row>
    <row r="44" spans="1:14" x14ac:dyDescent="0.25">
      <c r="A44" s="165" t="s">
        <v>1760</v>
      </c>
      <c r="B44" s="78">
        <v>99921</v>
      </c>
      <c r="C44" s="165" t="s">
        <v>947</v>
      </c>
      <c r="D44" s="165" t="s">
        <v>974</v>
      </c>
      <c r="E44" s="165" t="s">
        <v>1</v>
      </c>
      <c r="F44" s="165" t="s">
        <v>975</v>
      </c>
      <c r="G44" s="165" t="s">
        <v>959</v>
      </c>
      <c r="H44" s="165" t="s">
        <v>1760</v>
      </c>
      <c r="I44" s="166">
        <v>43550</v>
      </c>
      <c r="J44" s="165">
        <v>43760</v>
      </c>
      <c r="K44" s="166">
        <v>43783</v>
      </c>
      <c r="L44" s="165">
        <v>44148</v>
      </c>
      <c r="M44" s="165" t="s">
        <v>124</v>
      </c>
      <c r="N44" s="165">
        <v>1</v>
      </c>
    </row>
    <row r="45" spans="1:14" x14ac:dyDescent="0.25">
      <c r="A45" s="165" t="s">
        <v>1761</v>
      </c>
      <c r="B45" s="78">
        <v>31792</v>
      </c>
      <c r="C45" s="165" t="s">
        <v>912</v>
      </c>
      <c r="D45" s="165" t="s">
        <v>976</v>
      </c>
      <c r="E45" s="165" t="s">
        <v>3</v>
      </c>
      <c r="F45" s="165" t="s">
        <v>977</v>
      </c>
      <c r="G45" s="165" t="s">
        <v>978</v>
      </c>
      <c r="H45" s="165" t="s">
        <v>1761</v>
      </c>
      <c r="I45" s="166">
        <v>44165</v>
      </c>
      <c r="J45" s="165">
        <v>44254</v>
      </c>
      <c r="K45" s="166">
        <v>44263</v>
      </c>
      <c r="L45" s="165">
        <v>44628</v>
      </c>
      <c r="M45" s="165" t="s">
        <v>122</v>
      </c>
      <c r="N45" s="165">
        <v>1</v>
      </c>
    </row>
    <row r="46" spans="1:14" x14ac:dyDescent="0.25">
      <c r="A46" s="165" t="s">
        <v>1762</v>
      </c>
      <c r="B46" s="78">
        <v>13339</v>
      </c>
      <c r="C46" s="165" t="s">
        <v>925</v>
      </c>
      <c r="D46" s="165" t="s">
        <v>979</v>
      </c>
      <c r="E46" s="165" t="s">
        <v>3</v>
      </c>
      <c r="F46" s="165" t="s">
        <v>977</v>
      </c>
      <c r="G46" s="165" t="s">
        <v>978</v>
      </c>
      <c r="H46" s="165" t="s">
        <v>1762</v>
      </c>
      <c r="I46" s="166">
        <v>44165</v>
      </c>
      <c r="J46" s="165">
        <v>44254</v>
      </c>
      <c r="K46" s="166">
        <v>44263</v>
      </c>
      <c r="L46" s="165">
        <v>44628</v>
      </c>
      <c r="M46" s="165" t="s">
        <v>122</v>
      </c>
      <c r="N46" s="165">
        <v>0</v>
      </c>
    </row>
    <row r="47" spans="1:14" x14ac:dyDescent="0.25">
      <c r="A47" s="165" t="s">
        <v>1763</v>
      </c>
      <c r="B47" s="78">
        <v>93755</v>
      </c>
      <c r="C47" s="165" t="s">
        <v>912</v>
      </c>
      <c r="D47" s="165" t="s">
        <v>943</v>
      </c>
      <c r="E47" s="165" t="s">
        <v>1</v>
      </c>
      <c r="F47" s="165" t="s">
        <v>975</v>
      </c>
      <c r="G47" s="165" t="s">
        <v>959</v>
      </c>
      <c r="H47" s="165" t="s">
        <v>1763</v>
      </c>
      <c r="I47" s="166">
        <v>43615</v>
      </c>
      <c r="J47" s="165">
        <v>43760</v>
      </c>
      <c r="K47" s="166">
        <v>43783</v>
      </c>
      <c r="L47" s="165">
        <v>44148</v>
      </c>
      <c r="M47" s="165" t="s">
        <v>124</v>
      </c>
      <c r="N47" s="165">
        <v>1</v>
      </c>
    </row>
    <row r="48" spans="1:14" x14ac:dyDescent="0.25">
      <c r="A48" s="165" t="s">
        <v>1764</v>
      </c>
      <c r="B48" s="78">
        <v>92314</v>
      </c>
      <c r="C48" s="165" t="s">
        <v>912</v>
      </c>
      <c r="D48" s="165" t="s">
        <v>957</v>
      </c>
      <c r="E48" s="165" t="s">
        <v>3</v>
      </c>
      <c r="F48" s="165" t="s">
        <v>980</v>
      </c>
      <c r="G48" s="165" t="s">
        <v>962</v>
      </c>
      <c r="H48" s="165" t="s">
        <v>1764</v>
      </c>
      <c r="I48" s="166">
        <v>43591</v>
      </c>
      <c r="J48" s="165">
        <v>43747</v>
      </c>
      <c r="K48" s="166">
        <v>43798</v>
      </c>
      <c r="L48" s="165">
        <v>44163</v>
      </c>
      <c r="M48" s="165" t="s">
        <v>124</v>
      </c>
      <c r="N48" s="165">
        <v>1</v>
      </c>
    </row>
    <row r="49" spans="1:14" x14ac:dyDescent="0.25">
      <c r="A49" s="165" t="s">
        <v>1765</v>
      </c>
      <c r="B49" s="78">
        <v>92314</v>
      </c>
      <c r="C49" s="165" t="s">
        <v>925</v>
      </c>
      <c r="D49" s="165" t="s">
        <v>981</v>
      </c>
      <c r="E49" s="165" t="s">
        <v>3</v>
      </c>
      <c r="F49" s="165" t="s">
        <v>980</v>
      </c>
      <c r="G49" s="165" t="s">
        <v>962</v>
      </c>
      <c r="H49" s="165" t="s">
        <v>1765</v>
      </c>
      <c r="I49" s="166">
        <v>43591</v>
      </c>
      <c r="J49" s="165">
        <v>43747</v>
      </c>
      <c r="K49" s="166">
        <v>43798</v>
      </c>
      <c r="L49" s="165">
        <v>44163</v>
      </c>
      <c r="M49" s="165" t="s">
        <v>124</v>
      </c>
      <c r="N49" s="165">
        <v>1</v>
      </c>
    </row>
    <row r="50" spans="1:14" x14ac:dyDescent="0.25">
      <c r="A50" s="165" t="s">
        <v>1766</v>
      </c>
      <c r="B50" s="78">
        <v>92314</v>
      </c>
      <c r="C50" s="165" t="s">
        <v>925</v>
      </c>
      <c r="D50" s="165" t="s">
        <v>927</v>
      </c>
      <c r="E50" s="165" t="s">
        <v>3</v>
      </c>
      <c r="F50" s="165" t="s">
        <v>980</v>
      </c>
      <c r="G50" s="165" t="s">
        <v>962</v>
      </c>
      <c r="H50" s="165" t="s">
        <v>1766</v>
      </c>
      <c r="I50" s="166">
        <v>43591</v>
      </c>
      <c r="J50" s="165">
        <v>43747</v>
      </c>
      <c r="K50" s="166">
        <v>43798</v>
      </c>
      <c r="L50" s="165">
        <v>44163</v>
      </c>
      <c r="M50" s="165" t="s">
        <v>124</v>
      </c>
      <c r="N50" s="165">
        <v>1</v>
      </c>
    </row>
    <row r="51" spans="1:14" x14ac:dyDescent="0.25">
      <c r="A51" s="165" t="s">
        <v>1767</v>
      </c>
      <c r="B51" s="78">
        <v>31524</v>
      </c>
      <c r="C51" s="165" t="s">
        <v>912</v>
      </c>
      <c r="D51" s="165" t="s">
        <v>937</v>
      </c>
      <c r="E51" s="165" t="s">
        <v>1</v>
      </c>
      <c r="F51" s="165" t="s">
        <v>982</v>
      </c>
      <c r="G51" s="165" t="s">
        <v>936</v>
      </c>
      <c r="H51" s="165" t="s">
        <v>1767</v>
      </c>
      <c r="I51" s="166">
        <v>43675</v>
      </c>
      <c r="J51" s="165">
        <v>43746</v>
      </c>
      <c r="K51" s="166">
        <v>43896</v>
      </c>
      <c r="L51" s="165">
        <v>44261</v>
      </c>
      <c r="M51" s="165" t="s">
        <v>124</v>
      </c>
      <c r="N51" s="165">
        <v>1</v>
      </c>
    </row>
    <row r="52" spans="1:14" x14ac:dyDescent="0.25">
      <c r="A52" s="165" t="s">
        <v>1768</v>
      </c>
      <c r="B52" s="78">
        <v>31524</v>
      </c>
      <c r="C52" s="165" t="s">
        <v>925</v>
      </c>
      <c r="D52" s="165" t="s">
        <v>926</v>
      </c>
      <c r="E52" s="165" t="s">
        <v>1</v>
      </c>
      <c r="F52" s="165" t="s">
        <v>982</v>
      </c>
      <c r="G52" s="165" t="s">
        <v>936</v>
      </c>
      <c r="H52" s="165" t="s">
        <v>1768</v>
      </c>
      <c r="I52" s="166">
        <v>43675</v>
      </c>
      <c r="J52" s="165">
        <v>43746</v>
      </c>
      <c r="K52" s="166">
        <v>43896</v>
      </c>
      <c r="L52" s="165">
        <v>44261</v>
      </c>
      <c r="M52" s="165" t="s">
        <v>124</v>
      </c>
      <c r="N52" s="165">
        <v>1</v>
      </c>
    </row>
    <row r="53" spans="1:14" x14ac:dyDescent="0.25">
      <c r="A53" s="165" t="s">
        <v>1769</v>
      </c>
      <c r="B53" s="78">
        <v>31524</v>
      </c>
      <c r="C53" s="165" t="s">
        <v>925</v>
      </c>
      <c r="D53" s="165" t="s">
        <v>927</v>
      </c>
      <c r="E53" s="165" t="s">
        <v>1</v>
      </c>
      <c r="F53" s="165" t="s">
        <v>982</v>
      </c>
      <c r="G53" s="165" t="s">
        <v>936</v>
      </c>
      <c r="H53" s="165" t="s">
        <v>1769</v>
      </c>
      <c r="I53" s="166">
        <v>43675</v>
      </c>
      <c r="J53" s="165">
        <v>43746</v>
      </c>
      <c r="K53" s="166">
        <v>43896</v>
      </c>
      <c r="L53" s="165">
        <v>44261</v>
      </c>
      <c r="M53" s="165" t="s">
        <v>124</v>
      </c>
      <c r="N53" s="165">
        <v>1</v>
      </c>
    </row>
    <row r="54" spans="1:14" x14ac:dyDescent="0.25">
      <c r="A54" s="165" t="s">
        <v>1770</v>
      </c>
      <c r="B54" s="78">
        <v>99932</v>
      </c>
      <c r="C54" s="165" t="s">
        <v>947</v>
      </c>
      <c r="D54" s="165" t="s">
        <v>953</v>
      </c>
      <c r="E54" s="165" t="s">
        <v>1</v>
      </c>
      <c r="F54" s="165" t="s">
        <v>983</v>
      </c>
      <c r="G54" s="165" t="s">
        <v>936</v>
      </c>
      <c r="H54" s="165" t="s">
        <v>1770</v>
      </c>
      <c r="I54" s="166">
        <v>43668</v>
      </c>
      <c r="J54" s="165">
        <v>43710</v>
      </c>
      <c r="K54" s="166">
        <v>43710</v>
      </c>
      <c r="L54" s="165">
        <v>44075</v>
      </c>
      <c r="M54" s="165" t="s">
        <v>124</v>
      </c>
      <c r="N54" s="165">
        <v>1</v>
      </c>
    </row>
    <row r="55" spans="1:14" x14ac:dyDescent="0.25">
      <c r="A55" s="165" t="s">
        <v>1771</v>
      </c>
      <c r="B55" s="78">
        <v>53205</v>
      </c>
      <c r="C55" s="165" t="s">
        <v>947</v>
      </c>
      <c r="D55" s="165" t="s">
        <v>984</v>
      </c>
      <c r="E55" s="165" t="s">
        <v>1</v>
      </c>
      <c r="F55" s="165" t="s">
        <v>985</v>
      </c>
      <c r="G55" s="165" t="s">
        <v>936</v>
      </c>
      <c r="H55" s="165" t="s">
        <v>1771</v>
      </c>
      <c r="I55" s="166">
        <v>44089</v>
      </c>
      <c r="J55" s="165">
        <v>44147</v>
      </c>
      <c r="K55" s="166">
        <v>44147</v>
      </c>
      <c r="L55" s="165">
        <v>44512</v>
      </c>
      <c r="M55" s="165" t="s">
        <v>124</v>
      </c>
      <c r="N55" s="165">
        <v>1</v>
      </c>
    </row>
    <row r="56" spans="1:14" x14ac:dyDescent="0.25">
      <c r="A56" s="165" t="s">
        <v>1772</v>
      </c>
      <c r="B56" s="78">
        <v>67710</v>
      </c>
      <c r="C56" s="165" t="s">
        <v>912</v>
      </c>
      <c r="D56" s="165" t="s">
        <v>937</v>
      </c>
      <c r="E56" s="165" t="s">
        <v>1</v>
      </c>
      <c r="F56" s="165" t="s">
        <v>986</v>
      </c>
      <c r="G56" s="165" t="s">
        <v>936</v>
      </c>
      <c r="H56" s="165" t="s">
        <v>1772</v>
      </c>
      <c r="I56" s="166">
        <v>43735</v>
      </c>
      <c r="J56" s="165">
        <v>43801</v>
      </c>
      <c r="K56" s="166">
        <v>43805</v>
      </c>
      <c r="L56" s="165">
        <v>44170</v>
      </c>
      <c r="M56" s="165" t="s">
        <v>124</v>
      </c>
      <c r="N56" s="165">
        <v>1</v>
      </c>
    </row>
    <row r="57" spans="1:14" x14ac:dyDescent="0.25">
      <c r="A57" s="165" t="s">
        <v>1773</v>
      </c>
      <c r="B57" s="78">
        <v>37350</v>
      </c>
      <c r="C57" s="165" t="s">
        <v>912</v>
      </c>
      <c r="D57" s="165" t="s">
        <v>929</v>
      </c>
      <c r="E57" s="165" t="s">
        <v>1</v>
      </c>
      <c r="F57" s="165" t="s">
        <v>987</v>
      </c>
      <c r="G57" s="165" t="s">
        <v>936</v>
      </c>
      <c r="H57" s="165" t="s">
        <v>1773</v>
      </c>
      <c r="I57" s="166">
        <v>43738</v>
      </c>
      <c r="J57" s="165">
        <v>43889</v>
      </c>
      <c r="K57" s="166">
        <v>43979</v>
      </c>
      <c r="L57" s="165">
        <v>44344</v>
      </c>
      <c r="M57" s="165" t="s">
        <v>124</v>
      </c>
      <c r="N57" s="165">
        <v>1</v>
      </c>
    </row>
    <row r="58" spans="1:14" x14ac:dyDescent="0.25">
      <c r="A58" s="165" t="s">
        <v>1774</v>
      </c>
      <c r="B58" s="78">
        <v>93607</v>
      </c>
      <c r="C58" s="165" t="s">
        <v>925</v>
      </c>
      <c r="D58" s="165" t="s">
        <v>926</v>
      </c>
      <c r="E58" s="165" t="s">
        <v>1</v>
      </c>
      <c r="F58" s="165" t="s">
        <v>987</v>
      </c>
      <c r="G58" s="165" t="s">
        <v>936</v>
      </c>
      <c r="H58" s="165" t="s">
        <v>1774</v>
      </c>
      <c r="I58" s="166">
        <v>43738</v>
      </c>
      <c r="J58" s="165">
        <v>43889</v>
      </c>
      <c r="K58" s="166">
        <v>43979</v>
      </c>
      <c r="L58" s="165">
        <v>44344</v>
      </c>
      <c r="M58" s="165" t="s">
        <v>124</v>
      </c>
      <c r="N58" s="165">
        <v>1</v>
      </c>
    </row>
    <row r="59" spans="1:14" x14ac:dyDescent="0.25">
      <c r="A59" s="165" t="s">
        <v>1775</v>
      </c>
      <c r="B59" s="78">
        <v>51077</v>
      </c>
      <c r="C59" s="165" t="s">
        <v>925</v>
      </c>
      <c r="D59" s="165" t="s">
        <v>927</v>
      </c>
      <c r="E59" s="165" t="s">
        <v>1</v>
      </c>
      <c r="F59" s="165" t="s">
        <v>987</v>
      </c>
      <c r="G59" s="165" t="s">
        <v>936</v>
      </c>
      <c r="H59" s="165" t="s">
        <v>1775</v>
      </c>
      <c r="I59" s="166">
        <v>43738</v>
      </c>
      <c r="J59" s="165">
        <v>43889</v>
      </c>
      <c r="K59" s="166">
        <v>43979</v>
      </c>
      <c r="L59" s="165">
        <v>44344</v>
      </c>
      <c r="M59" s="165" t="s">
        <v>124</v>
      </c>
      <c r="N59" s="165">
        <v>1</v>
      </c>
    </row>
    <row r="60" spans="1:14" x14ac:dyDescent="0.25">
      <c r="A60" s="165" t="s">
        <v>1776</v>
      </c>
      <c r="B60" s="78">
        <v>67301</v>
      </c>
      <c r="C60" s="165" t="s">
        <v>912</v>
      </c>
      <c r="D60" s="165" t="s">
        <v>937</v>
      </c>
      <c r="E60" s="165" t="s">
        <v>1</v>
      </c>
      <c r="F60" s="165" t="s">
        <v>988</v>
      </c>
      <c r="G60" s="165" t="s">
        <v>942</v>
      </c>
      <c r="H60" s="165" t="s">
        <v>1776</v>
      </c>
      <c r="I60" s="166">
        <v>44051</v>
      </c>
      <c r="J60" s="165">
        <v>44165</v>
      </c>
      <c r="K60" s="166">
        <v>44232</v>
      </c>
      <c r="L60" s="165">
        <v>44597</v>
      </c>
      <c r="M60" s="165" t="s">
        <v>124</v>
      </c>
      <c r="N60" s="165">
        <v>1</v>
      </c>
    </row>
    <row r="61" spans="1:14" x14ac:dyDescent="0.25">
      <c r="A61" s="165" t="s">
        <v>1777</v>
      </c>
      <c r="B61" s="78">
        <v>90066</v>
      </c>
      <c r="C61" s="165" t="s">
        <v>925</v>
      </c>
      <c r="D61" s="165" t="s">
        <v>926</v>
      </c>
      <c r="E61" s="165" t="s">
        <v>1</v>
      </c>
      <c r="F61" s="165" t="s">
        <v>988</v>
      </c>
      <c r="G61" s="165" t="s">
        <v>942</v>
      </c>
      <c r="H61" s="165" t="s">
        <v>1777</v>
      </c>
      <c r="I61" s="166">
        <v>44051</v>
      </c>
      <c r="J61" s="165">
        <v>44165</v>
      </c>
      <c r="K61" s="166">
        <v>44232</v>
      </c>
      <c r="L61" s="165">
        <v>44597</v>
      </c>
      <c r="M61" s="165" t="s">
        <v>124</v>
      </c>
      <c r="N61" s="165">
        <v>1</v>
      </c>
    </row>
    <row r="62" spans="1:14" x14ac:dyDescent="0.25">
      <c r="A62" s="165" t="s">
        <v>1778</v>
      </c>
      <c r="B62" s="78">
        <v>77248</v>
      </c>
      <c r="C62" s="165" t="s">
        <v>925</v>
      </c>
      <c r="D62" s="165" t="s">
        <v>927</v>
      </c>
      <c r="E62" s="165" t="s">
        <v>1</v>
      </c>
      <c r="F62" s="165" t="s">
        <v>988</v>
      </c>
      <c r="G62" s="165" t="s">
        <v>942</v>
      </c>
      <c r="H62" s="165" t="s">
        <v>1778</v>
      </c>
      <c r="I62" s="166">
        <v>44051</v>
      </c>
      <c r="J62" s="165">
        <v>44165</v>
      </c>
      <c r="K62" s="166">
        <v>44232</v>
      </c>
      <c r="L62" s="165">
        <v>44597</v>
      </c>
      <c r="M62" s="165" t="s">
        <v>124</v>
      </c>
      <c r="N62" s="165">
        <v>1</v>
      </c>
    </row>
    <row r="63" spans="1:14" x14ac:dyDescent="0.25">
      <c r="A63" s="165" t="s">
        <v>1779</v>
      </c>
      <c r="B63" s="78">
        <v>68685</v>
      </c>
      <c r="C63" s="165" t="s">
        <v>925</v>
      </c>
      <c r="D63" s="165" t="s">
        <v>989</v>
      </c>
      <c r="E63" s="165" t="s">
        <v>1</v>
      </c>
      <c r="F63" s="165" t="s">
        <v>990</v>
      </c>
      <c r="G63" s="165" t="s">
        <v>924</v>
      </c>
      <c r="H63" s="165" t="s">
        <v>1779</v>
      </c>
      <c r="I63" s="166">
        <v>43907</v>
      </c>
      <c r="J63" s="165">
        <v>43979</v>
      </c>
      <c r="K63" s="166">
        <v>43979</v>
      </c>
      <c r="L63" s="165">
        <v>44344</v>
      </c>
      <c r="M63" s="165" t="s">
        <v>124</v>
      </c>
      <c r="N63" s="165">
        <v>1</v>
      </c>
    </row>
    <row r="64" spans="1:14" x14ac:dyDescent="0.25">
      <c r="A64" s="165" t="s">
        <v>1780</v>
      </c>
      <c r="B64" s="78">
        <v>99929</v>
      </c>
      <c r="C64" s="165" t="s">
        <v>912</v>
      </c>
      <c r="D64" s="165" t="s">
        <v>991</v>
      </c>
      <c r="E64" s="165" t="s">
        <v>1</v>
      </c>
      <c r="F64" s="165" t="s">
        <v>992</v>
      </c>
      <c r="G64" s="165" t="s">
        <v>931</v>
      </c>
      <c r="H64" s="165" t="s">
        <v>1780</v>
      </c>
      <c r="I64" s="166">
        <v>43668</v>
      </c>
      <c r="J64" s="165">
        <v>43718</v>
      </c>
      <c r="K64" s="166">
        <v>43757</v>
      </c>
      <c r="L64" s="165">
        <v>44122</v>
      </c>
      <c r="M64" s="165" t="s">
        <v>124</v>
      </c>
      <c r="N64" s="165">
        <v>1</v>
      </c>
    </row>
    <row r="65" spans="1:14" x14ac:dyDescent="0.25">
      <c r="A65" s="165" t="s">
        <v>1781</v>
      </c>
      <c r="B65" s="78">
        <v>99930</v>
      </c>
      <c r="C65" s="165" t="s">
        <v>925</v>
      </c>
      <c r="D65" s="165" t="s">
        <v>926</v>
      </c>
      <c r="E65" s="165" t="s">
        <v>1</v>
      </c>
      <c r="F65" s="165" t="s">
        <v>993</v>
      </c>
      <c r="G65" s="165" t="s">
        <v>931</v>
      </c>
      <c r="H65" s="165" t="s">
        <v>1781</v>
      </c>
      <c r="I65" s="166">
        <v>43668</v>
      </c>
      <c r="J65" s="165">
        <v>43718</v>
      </c>
      <c r="K65" s="166">
        <v>43757</v>
      </c>
      <c r="L65" s="165">
        <v>44122</v>
      </c>
      <c r="M65" s="165" t="s">
        <v>124</v>
      </c>
      <c r="N65" s="165">
        <v>1</v>
      </c>
    </row>
    <row r="66" spans="1:14" x14ac:dyDescent="0.25">
      <c r="A66" s="165" t="s">
        <v>1782</v>
      </c>
      <c r="B66" s="78">
        <v>76725</v>
      </c>
      <c r="C66" s="165" t="s">
        <v>912</v>
      </c>
      <c r="D66" s="165" t="s">
        <v>922</v>
      </c>
      <c r="E66" s="165" t="s">
        <v>1</v>
      </c>
      <c r="F66" s="165" t="s">
        <v>994</v>
      </c>
      <c r="G66" s="165" t="s">
        <v>924</v>
      </c>
      <c r="H66" s="165" t="s">
        <v>1782</v>
      </c>
      <c r="I66" s="166">
        <v>43882</v>
      </c>
      <c r="J66" s="165">
        <v>44253</v>
      </c>
      <c r="K66" s="166">
        <v>44338</v>
      </c>
      <c r="L66" s="165">
        <v>44703</v>
      </c>
      <c r="M66" s="165" t="s">
        <v>122</v>
      </c>
      <c r="N66" s="165">
        <v>1</v>
      </c>
    </row>
    <row r="67" spans="1:14" x14ac:dyDescent="0.25">
      <c r="A67" s="165" t="s">
        <v>1783</v>
      </c>
      <c r="B67" s="78">
        <v>54512</v>
      </c>
      <c r="C67" s="165" t="s">
        <v>925</v>
      </c>
      <c r="D67" s="165" t="s">
        <v>926</v>
      </c>
      <c r="E67" s="165" t="s">
        <v>1</v>
      </c>
      <c r="F67" s="165" t="s">
        <v>994</v>
      </c>
      <c r="G67" s="165" t="s">
        <v>924</v>
      </c>
      <c r="H67" s="165" t="s">
        <v>1783</v>
      </c>
      <c r="I67" s="166">
        <v>43882</v>
      </c>
      <c r="J67" s="165">
        <v>44253</v>
      </c>
      <c r="K67" s="166">
        <v>44338</v>
      </c>
      <c r="L67" s="165">
        <v>44703</v>
      </c>
      <c r="M67" s="165" t="s">
        <v>122</v>
      </c>
      <c r="N67" s="165">
        <v>1</v>
      </c>
    </row>
    <row r="68" spans="1:14" x14ac:dyDescent="0.25">
      <c r="A68" s="165" t="s">
        <v>1784</v>
      </c>
      <c r="B68" s="78">
        <v>55194</v>
      </c>
      <c r="C68" s="165" t="s">
        <v>925</v>
      </c>
      <c r="D68" s="165" t="s">
        <v>927</v>
      </c>
      <c r="E68" s="165" t="s">
        <v>1</v>
      </c>
      <c r="F68" s="165" t="s">
        <v>994</v>
      </c>
      <c r="G68" s="165" t="s">
        <v>924</v>
      </c>
      <c r="H68" s="165" t="s">
        <v>1784</v>
      </c>
      <c r="I68" s="166">
        <v>43882</v>
      </c>
      <c r="J68" s="165">
        <v>44253</v>
      </c>
      <c r="K68" s="166">
        <v>44338</v>
      </c>
      <c r="L68" s="165">
        <v>44703</v>
      </c>
      <c r="M68" s="165" t="s">
        <v>122</v>
      </c>
      <c r="N68" s="165">
        <v>1</v>
      </c>
    </row>
    <row r="69" spans="1:14" x14ac:dyDescent="0.25">
      <c r="A69" s="165" t="s">
        <v>1785</v>
      </c>
      <c r="B69" s="78">
        <v>94662</v>
      </c>
      <c r="C69" s="165" t="s">
        <v>912</v>
      </c>
      <c r="D69" s="165" t="s">
        <v>937</v>
      </c>
      <c r="E69" s="165" t="s">
        <v>1</v>
      </c>
      <c r="F69" s="165" t="s">
        <v>995</v>
      </c>
      <c r="G69" s="165" t="s">
        <v>936</v>
      </c>
      <c r="H69" s="165" t="s">
        <v>1785</v>
      </c>
      <c r="I69" s="166">
        <v>44187</v>
      </c>
      <c r="J69" s="165">
        <v>44186</v>
      </c>
      <c r="K69" s="166" t="s">
        <v>949</v>
      </c>
      <c r="L69" s="165">
        <v>0</v>
      </c>
      <c r="M69" s="165" t="s">
        <v>124</v>
      </c>
      <c r="N69" s="165">
        <v>1</v>
      </c>
    </row>
    <row r="70" spans="1:14" x14ac:dyDescent="0.25">
      <c r="A70" s="165" t="s">
        <v>1786</v>
      </c>
      <c r="B70" s="78">
        <v>17456</v>
      </c>
      <c r="C70" s="165" t="s">
        <v>925</v>
      </c>
      <c r="D70" s="165" t="s">
        <v>926</v>
      </c>
      <c r="E70" s="165" t="s">
        <v>1</v>
      </c>
      <c r="F70" s="165" t="s">
        <v>995</v>
      </c>
      <c r="G70" s="165" t="s">
        <v>936</v>
      </c>
      <c r="H70" s="165" t="s">
        <v>1786</v>
      </c>
      <c r="I70" s="166">
        <v>44187</v>
      </c>
      <c r="J70" s="165">
        <v>44284</v>
      </c>
      <c r="K70" s="166" t="s">
        <v>949</v>
      </c>
      <c r="L70" s="165">
        <v>0</v>
      </c>
      <c r="M70" s="165" t="s">
        <v>124</v>
      </c>
      <c r="N70" s="165">
        <v>1</v>
      </c>
    </row>
    <row r="71" spans="1:14" x14ac:dyDescent="0.25">
      <c r="A71" s="165" t="s">
        <v>1787</v>
      </c>
      <c r="B71" s="78">
        <v>25628</v>
      </c>
      <c r="C71" s="165" t="s">
        <v>912</v>
      </c>
      <c r="D71" s="165" t="s">
        <v>969</v>
      </c>
      <c r="E71" s="165" t="s">
        <v>954</v>
      </c>
      <c r="F71" s="165" t="s">
        <v>996</v>
      </c>
      <c r="G71" s="165" t="s">
        <v>997</v>
      </c>
      <c r="H71" s="165" t="s">
        <v>1787</v>
      </c>
      <c r="I71" s="166">
        <v>44043</v>
      </c>
      <c r="J71" s="165">
        <v>44165</v>
      </c>
      <c r="K71" s="166">
        <v>44176</v>
      </c>
      <c r="L71" s="165">
        <v>44541</v>
      </c>
      <c r="M71" s="165" t="s">
        <v>124</v>
      </c>
      <c r="N71" s="165">
        <v>1</v>
      </c>
    </row>
    <row r="72" spans="1:14" x14ac:dyDescent="0.25">
      <c r="A72" s="165" t="s">
        <v>1788</v>
      </c>
      <c r="B72" s="78">
        <v>60938</v>
      </c>
      <c r="C72" s="165" t="s">
        <v>925</v>
      </c>
      <c r="D72" s="165" t="s">
        <v>998</v>
      </c>
      <c r="E72" s="165" t="s">
        <v>954</v>
      </c>
      <c r="F72" s="165" t="s">
        <v>996</v>
      </c>
      <c r="G72" s="165" t="s">
        <v>997</v>
      </c>
      <c r="H72" s="165" t="s">
        <v>1788</v>
      </c>
      <c r="I72" s="166">
        <v>44043</v>
      </c>
      <c r="J72" s="165">
        <v>44165</v>
      </c>
      <c r="K72" s="166">
        <v>44176</v>
      </c>
      <c r="L72" s="165">
        <v>44541</v>
      </c>
      <c r="M72" s="165" t="s">
        <v>124</v>
      </c>
      <c r="N72" s="165">
        <v>1</v>
      </c>
    </row>
    <row r="73" spans="1:14" x14ac:dyDescent="0.25">
      <c r="A73" s="165" t="s">
        <v>1789</v>
      </c>
      <c r="B73" s="78">
        <v>22463</v>
      </c>
      <c r="C73" s="165" t="s">
        <v>912</v>
      </c>
      <c r="D73" s="165" t="s">
        <v>999</v>
      </c>
      <c r="E73" s="165" t="s">
        <v>954</v>
      </c>
      <c r="F73" s="165" t="s">
        <v>1000</v>
      </c>
      <c r="G73" s="165" t="s">
        <v>956</v>
      </c>
      <c r="H73" s="165" t="s">
        <v>1789</v>
      </c>
      <c r="I73" s="166">
        <v>44113</v>
      </c>
      <c r="J73" s="165">
        <v>44166</v>
      </c>
      <c r="K73" s="166">
        <v>44166</v>
      </c>
      <c r="L73" s="165">
        <v>44531</v>
      </c>
      <c r="M73" s="165" t="s">
        <v>124</v>
      </c>
      <c r="N73" s="165">
        <v>1</v>
      </c>
    </row>
    <row r="74" spans="1:14" x14ac:dyDescent="0.25">
      <c r="A74" s="165" t="s">
        <v>1790</v>
      </c>
      <c r="B74" s="78">
        <v>16973</v>
      </c>
      <c r="C74" s="165" t="s">
        <v>947</v>
      </c>
      <c r="D74" s="165" t="s">
        <v>1001</v>
      </c>
      <c r="E74" s="165" t="s">
        <v>3</v>
      </c>
      <c r="F74" s="165" t="s">
        <v>1002</v>
      </c>
      <c r="G74" s="165" t="s">
        <v>1003</v>
      </c>
      <c r="H74" s="165" t="s">
        <v>1790</v>
      </c>
      <c r="I74" s="166">
        <v>43819</v>
      </c>
      <c r="J74" s="165">
        <v>43878</v>
      </c>
      <c r="K74" s="166">
        <v>43878</v>
      </c>
      <c r="L74" s="165">
        <v>44243</v>
      </c>
      <c r="M74" s="165" t="s">
        <v>124</v>
      </c>
      <c r="N74" s="165">
        <v>1</v>
      </c>
    </row>
    <row r="75" spans="1:14" x14ac:dyDescent="0.25">
      <c r="A75" s="165" t="s">
        <v>1791</v>
      </c>
      <c r="B75" s="78">
        <v>74047</v>
      </c>
      <c r="C75" s="165" t="s">
        <v>912</v>
      </c>
      <c r="D75" s="165" t="s">
        <v>937</v>
      </c>
      <c r="E75" s="165" t="s">
        <v>2</v>
      </c>
      <c r="F75" s="165" t="s">
        <v>1004</v>
      </c>
      <c r="G75" s="165" t="s">
        <v>1005</v>
      </c>
      <c r="H75" s="165" t="s">
        <v>1791</v>
      </c>
      <c r="I75" s="166">
        <v>43982</v>
      </c>
      <c r="J75" s="165">
        <v>44285</v>
      </c>
      <c r="K75" s="166">
        <v>44296</v>
      </c>
      <c r="L75" s="165">
        <v>44661</v>
      </c>
      <c r="M75" s="165" t="s">
        <v>122</v>
      </c>
      <c r="N75" s="165">
        <v>1</v>
      </c>
    </row>
    <row r="76" spans="1:14" x14ac:dyDescent="0.25">
      <c r="A76" s="165" t="s">
        <v>1792</v>
      </c>
      <c r="B76" s="78">
        <v>40155</v>
      </c>
      <c r="C76" s="165" t="s">
        <v>925</v>
      </c>
      <c r="D76" s="165" t="s">
        <v>926</v>
      </c>
      <c r="E76" s="165" t="s">
        <v>2</v>
      </c>
      <c r="F76" s="165" t="s">
        <v>1004</v>
      </c>
      <c r="G76" s="165" t="s">
        <v>1005</v>
      </c>
      <c r="H76" s="165" t="s">
        <v>1792</v>
      </c>
      <c r="I76" s="166">
        <v>43982</v>
      </c>
      <c r="J76" s="165">
        <v>44285</v>
      </c>
      <c r="K76" s="166">
        <v>44296</v>
      </c>
      <c r="L76" s="165">
        <v>44661</v>
      </c>
      <c r="M76" s="165" t="s">
        <v>122</v>
      </c>
      <c r="N76" s="165">
        <v>1</v>
      </c>
    </row>
    <row r="77" spans="1:14" x14ac:dyDescent="0.25">
      <c r="A77" s="165" t="s">
        <v>1793</v>
      </c>
      <c r="B77" s="78">
        <v>86086</v>
      </c>
      <c r="C77" s="165" t="s">
        <v>912</v>
      </c>
      <c r="D77" s="165" t="s">
        <v>969</v>
      </c>
      <c r="E77" s="165" t="s">
        <v>954</v>
      </c>
      <c r="F77" s="165" t="s">
        <v>1006</v>
      </c>
      <c r="G77" s="165" t="s">
        <v>956</v>
      </c>
      <c r="H77" s="165" t="s">
        <v>1793</v>
      </c>
      <c r="I77" s="166">
        <v>43982</v>
      </c>
      <c r="J77" s="165">
        <v>44001</v>
      </c>
      <c r="K77" s="166">
        <v>44007</v>
      </c>
      <c r="L77" s="165">
        <v>44372</v>
      </c>
      <c r="M77" s="165" t="s">
        <v>124</v>
      </c>
      <c r="N77" s="165">
        <v>1</v>
      </c>
    </row>
    <row r="78" spans="1:14" x14ac:dyDescent="0.25">
      <c r="A78" s="165" t="s">
        <v>1794</v>
      </c>
      <c r="B78" s="78" t="s">
        <v>1007</v>
      </c>
      <c r="C78" s="165" t="s">
        <v>912</v>
      </c>
      <c r="D78" s="165" t="s">
        <v>969</v>
      </c>
      <c r="E78" s="165" t="s">
        <v>1</v>
      </c>
      <c r="F78" s="165" t="s">
        <v>1008</v>
      </c>
      <c r="G78" s="165" t="s">
        <v>942</v>
      </c>
      <c r="H78" s="165" t="s">
        <v>1794</v>
      </c>
      <c r="I78" s="166">
        <v>44265</v>
      </c>
      <c r="J78" s="165">
        <v>44377</v>
      </c>
      <c r="K78" s="166">
        <v>44396</v>
      </c>
      <c r="L78" s="165">
        <v>44761</v>
      </c>
      <c r="M78" s="165" t="s">
        <v>122</v>
      </c>
      <c r="N78" s="165">
        <v>1</v>
      </c>
    </row>
    <row r="79" spans="1:14" x14ac:dyDescent="0.25">
      <c r="A79" s="165" t="s">
        <v>1795</v>
      </c>
      <c r="B79" s="78">
        <v>97866</v>
      </c>
      <c r="C79" s="165" t="s">
        <v>912</v>
      </c>
      <c r="D79" s="165" t="s">
        <v>1009</v>
      </c>
      <c r="E79" s="165" t="s">
        <v>1</v>
      </c>
      <c r="F79" s="165" t="s">
        <v>1010</v>
      </c>
      <c r="G79" s="165" t="s">
        <v>942</v>
      </c>
      <c r="H79" s="165" t="s">
        <v>1795</v>
      </c>
      <c r="I79" s="166">
        <v>43364</v>
      </c>
      <c r="J79" s="165">
        <v>43845</v>
      </c>
      <c r="K79" s="166">
        <v>43946</v>
      </c>
      <c r="L79" s="165">
        <v>44311</v>
      </c>
      <c r="M79" s="165" t="s">
        <v>124</v>
      </c>
      <c r="N79" s="165">
        <v>1</v>
      </c>
    </row>
    <row r="80" spans="1:14" x14ac:dyDescent="0.25">
      <c r="A80" s="165" t="s">
        <v>1796</v>
      </c>
      <c r="B80" s="78">
        <v>40541</v>
      </c>
      <c r="C80" s="165" t="s">
        <v>925</v>
      </c>
      <c r="D80" s="165" t="s">
        <v>926</v>
      </c>
      <c r="E80" s="165" t="s">
        <v>1</v>
      </c>
      <c r="F80" s="165" t="s">
        <v>1010</v>
      </c>
      <c r="G80" s="165" t="s">
        <v>942</v>
      </c>
      <c r="H80" s="165" t="s">
        <v>1796</v>
      </c>
      <c r="I80" s="166">
        <v>43809</v>
      </c>
      <c r="J80" s="165">
        <v>43845</v>
      </c>
      <c r="K80" s="166">
        <v>43845</v>
      </c>
      <c r="L80" s="165">
        <v>44210</v>
      </c>
      <c r="M80" s="165" t="s">
        <v>124</v>
      </c>
      <c r="N80" s="165">
        <v>1</v>
      </c>
    </row>
    <row r="81" spans="1:14" x14ac:dyDescent="0.25">
      <c r="A81" s="165" t="s">
        <v>1797</v>
      </c>
      <c r="B81" s="78">
        <v>40541</v>
      </c>
      <c r="C81" s="165" t="s">
        <v>925</v>
      </c>
      <c r="D81" s="165" t="s">
        <v>927</v>
      </c>
      <c r="E81" s="165" t="s">
        <v>1</v>
      </c>
      <c r="F81" s="165" t="s">
        <v>1010</v>
      </c>
      <c r="G81" s="165" t="s">
        <v>942</v>
      </c>
      <c r="H81" s="165" t="s">
        <v>1797</v>
      </c>
      <c r="I81" s="166">
        <v>43809</v>
      </c>
      <c r="J81" s="165">
        <v>43845</v>
      </c>
      <c r="K81" s="166">
        <v>43845</v>
      </c>
      <c r="L81" s="165">
        <v>44210</v>
      </c>
      <c r="M81" s="165" t="s">
        <v>124</v>
      </c>
      <c r="N81" s="165">
        <v>1</v>
      </c>
    </row>
    <row r="82" spans="1:14" x14ac:dyDescent="0.25">
      <c r="A82" s="165" t="s">
        <v>1798</v>
      </c>
      <c r="B82" s="78">
        <v>39661</v>
      </c>
      <c r="C82" s="165" t="s">
        <v>912</v>
      </c>
      <c r="D82" s="165" t="s">
        <v>1011</v>
      </c>
      <c r="E82" s="165" t="s">
        <v>954</v>
      </c>
      <c r="F82" s="165" t="s">
        <v>1012</v>
      </c>
      <c r="G82" s="165" t="s">
        <v>1013</v>
      </c>
      <c r="H82" s="165" t="s">
        <v>1798</v>
      </c>
      <c r="I82" s="166">
        <v>44042</v>
      </c>
      <c r="J82" s="165">
        <v>44085</v>
      </c>
      <c r="K82" s="166" t="s">
        <v>949</v>
      </c>
      <c r="L82" s="165">
        <v>0</v>
      </c>
      <c r="M82" s="165" t="s">
        <v>124</v>
      </c>
      <c r="N82" s="165">
        <v>1</v>
      </c>
    </row>
    <row r="83" spans="1:14" x14ac:dyDescent="0.25">
      <c r="A83" s="165" t="s">
        <v>1799</v>
      </c>
      <c r="B83" s="78" t="s">
        <v>10</v>
      </c>
      <c r="C83" s="165" t="s">
        <v>912</v>
      </c>
      <c r="D83" s="165" t="s">
        <v>1014</v>
      </c>
      <c r="E83" s="165" t="s">
        <v>1</v>
      </c>
      <c r="F83" s="165" t="s">
        <v>933</v>
      </c>
      <c r="G83" s="165" t="s">
        <v>936</v>
      </c>
      <c r="H83" s="165" t="s">
        <v>1799</v>
      </c>
      <c r="I83" s="166">
        <v>44155</v>
      </c>
      <c r="J83" s="165">
        <v>44158</v>
      </c>
      <c r="K83" s="166" t="s">
        <v>949</v>
      </c>
      <c r="L83" s="165">
        <v>0</v>
      </c>
      <c r="M83" s="165" t="s">
        <v>124</v>
      </c>
      <c r="N83" s="165">
        <v>0</v>
      </c>
    </row>
    <row r="84" spans="1:14" x14ac:dyDescent="0.25">
      <c r="A84" s="165" t="s">
        <v>1800</v>
      </c>
      <c r="B84" s="78">
        <v>99940</v>
      </c>
      <c r="C84" s="165" t="s">
        <v>947</v>
      </c>
      <c r="D84" s="165" t="s">
        <v>1015</v>
      </c>
      <c r="E84" s="165" t="s">
        <v>1</v>
      </c>
      <c r="F84" s="165" t="s">
        <v>1016</v>
      </c>
      <c r="G84" s="165" t="s">
        <v>936</v>
      </c>
      <c r="H84" s="165" t="s">
        <v>1800</v>
      </c>
      <c r="I84" s="166">
        <v>43699</v>
      </c>
      <c r="J84" s="165">
        <v>43761</v>
      </c>
      <c r="K84" s="166">
        <v>43770</v>
      </c>
      <c r="L84" s="165">
        <v>44135</v>
      </c>
      <c r="M84" s="165" t="s">
        <v>124</v>
      </c>
      <c r="N84" s="165">
        <v>1</v>
      </c>
    </row>
    <row r="85" spans="1:14" x14ac:dyDescent="0.25">
      <c r="A85" s="165" t="s">
        <v>1801</v>
      </c>
      <c r="B85" s="78">
        <v>26413</v>
      </c>
      <c r="C85" s="165" t="s">
        <v>947</v>
      </c>
      <c r="D85" s="165" t="s">
        <v>953</v>
      </c>
      <c r="E85" s="165" t="s">
        <v>1</v>
      </c>
      <c r="F85" s="165" t="s">
        <v>1016</v>
      </c>
      <c r="G85" s="165" t="s">
        <v>936</v>
      </c>
      <c r="H85" s="165" t="s">
        <v>1801</v>
      </c>
      <c r="I85" s="166">
        <v>43718</v>
      </c>
      <c r="J85" s="165">
        <v>43770</v>
      </c>
      <c r="K85" s="166">
        <v>43770</v>
      </c>
      <c r="L85" s="165">
        <v>44135</v>
      </c>
      <c r="M85" s="165" t="s">
        <v>124</v>
      </c>
      <c r="N85" s="165">
        <v>1</v>
      </c>
    </row>
    <row r="86" spans="1:14" x14ac:dyDescent="0.25">
      <c r="A86" s="165" t="s">
        <v>1802</v>
      </c>
      <c r="B86" s="78">
        <v>99911</v>
      </c>
      <c r="C86" s="165" t="s">
        <v>912</v>
      </c>
      <c r="D86" s="165" t="s">
        <v>929</v>
      </c>
      <c r="E86" s="165" t="s">
        <v>1</v>
      </c>
      <c r="F86" s="165" t="s">
        <v>1017</v>
      </c>
      <c r="G86" s="165" t="s">
        <v>936</v>
      </c>
      <c r="H86" s="165" t="s">
        <v>1802</v>
      </c>
      <c r="I86" s="166">
        <v>43591</v>
      </c>
      <c r="J86" s="165">
        <v>43734</v>
      </c>
      <c r="K86" s="166">
        <v>43804</v>
      </c>
      <c r="L86" s="165">
        <v>44169</v>
      </c>
      <c r="M86" s="165" t="s">
        <v>124</v>
      </c>
      <c r="N86" s="165">
        <v>1</v>
      </c>
    </row>
    <row r="87" spans="1:14" x14ac:dyDescent="0.25">
      <c r="A87" s="165" t="s">
        <v>1803</v>
      </c>
      <c r="B87" s="78">
        <v>99912</v>
      </c>
      <c r="C87" s="165" t="s">
        <v>925</v>
      </c>
      <c r="D87" s="165" t="s">
        <v>926</v>
      </c>
      <c r="E87" s="165" t="s">
        <v>1</v>
      </c>
      <c r="F87" s="165" t="s">
        <v>1017</v>
      </c>
      <c r="G87" s="165" t="s">
        <v>936</v>
      </c>
      <c r="H87" s="165" t="s">
        <v>1803</v>
      </c>
      <c r="I87" s="166">
        <v>43591</v>
      </c>
      <c r="J87" s="165">
        <v>43734</v>
      </c>
      <c r="K87" s="166">
        <v>43804</v>
      </c>
      <c r="L87" s="165">
        <v>44169</v>
      </c>
      <c r="M87" s="165" t="s">
        <v>124</v>
      </c>
      <c r="N87" s="165">
        <v>1</v>
      </c>
    </row>
    <row r="88" spans="1:14" x14ac:dyDescent="0.25">
      <c r="A88" s="165" t="s">
        <v>1804</v>
      </c>
      <c r="B88" s="78">
        <v>99913</v>
      </c>
      <c r="C88" s="165" t="s">
        <v>925</v>
      </c>
      <c r="D88" s="165" t="s">
        <v>927</v>
      </c>
      <c r="E88" s="165" t="s">
        <v>1</v>
      </c>
      <c r="F88" s="165" t="s">
        <v>1017</v>
      </c>
      <c r="G88" s="165" t="s">
        <v>936</v>
      </c>
      <c r="H88" s="165" t="s">
        <v>1804</v>
      </c>
      <c r="I88" s="166">
        <v>43591</v>
      </c>
      <c r="J88" s="165">
        <v>43734</v>
      </c>
      <c r="K88" s="166">
        <v>43804</v>
      </c>
      <c r="L88" s="165">
        <v>44169</v>
      </c>
      <c r="M88" s="165" t="s">
        <v>124</v>
      </c>
      <c r="N88" s="165">
        <v>1</v>
      </c>
    </row>
    <row r="89" spans="1:14" x14ac:dyDescent="0.25">
      <c r="A89" s="165" t="s">
        <v>1805</v>
      </c>
      <c r="B89" s="78">
        <v>33481</v>
      </c>
      <c r="C89" s="165" t="s">
        <v>912</v>
      </c>
      <c r="D89" s="165" t="s">
        <v>1011</v>
      </c>
      <c r="E89" s="165" t="s">
        <v>954</v>
      </c>
      <c r="F89" s="165" t="s">
        <v>1018</v>
      </c>
      <c r="G89" s="165" t="s">
        <v>1019</v>
      </c>
      <c r="H89" s="165" t="s">
        <v>1805</v>
      </c>
      <c r="I89" s="166">
        <v>44165</v>
      </c>
      <c r="J89" s="165">
        <v>44404</v>
      </c>
      <c r="K89" s="166">
        <v>44416</v>
      </c>
      <c r="L89" s="165">
        <v>44781</v>
      </c>
      <c r="M89" s="165" t="s">
        <v>122</v>
      </c>
      <c r="N89" s="165">
        <v>1</v>
      </c>
    </row>
    <row r="90" spans="1:14" x14ac:dyDescent="0.25">
      <c r="A90" s="165" t="s">
        <v>1806</v>
      </c>
      <c r="B90" s="78">
        <v>56694</v>
      </c>
      <c r="C90" s="165" t="s">
        <v>925</v>
      </c>
      <c r="D90" s="165" t="s">
        <v>1020</v>
      </c>
      <c r="E90" s="165" t="s">
        <v>954</v>
      </c>
      <c r="F90" s="165" t="s">
        <v>1018</v>
      </c>
      <c r="G90" s="165" t="s">
        <v>1019</v>
      </c>
      <c r="H90" s="165" t="s">
        <v>1806</v>
      </c>
      <c r="I90" s="166">
        <v>44235</v>
      </c>
      <c r="J90" s="165">
        <v>44404</v>
      </c>
      <c r="K90" s="166">
        <v>44416</v>
      </c>
      <c r="L90" s="165">
        <v>44781</v>
      </c>
      <c r="M90" s="165" t="s">
        <v>122</v>
      </c>
      <c r="N90" s="165">
        <v>1</v>
      </c>
    </row>
    <row r="91" spans="1:14" x14ac:dyDescent="0.25">
      <c r="A91" s="165" t="s">
        <v>1807</v>
      </c>
      <c r="B91" s="78">
        <v>38941</v>
      </c>
      <c r="C91" s="165" t="s">
        <v>925</v>
      </c>
      <c r="D91" s="165" t="s">
        <v>1021</v>
      </c>
      <c r="E91" s="165" t="s">
        <v>954</v>
      </c>
      <c r="F91" s="165" t="s">
        <v>1018</v>
      </c>
      <c r="G91" s="165" t="s">
        <v>1019</v>
      </c>
      <c r="H91" s="165" t="s">
        <v>1807</v>
      </c>
      <c r="I91" s="166">
        <v>44235</v>
      </c>
      <c r="J91" s="165">
        <v>44404</v>
      </c>
      <c r="K91" s="166">
        <v>44416</v>
      </c>
      <c r="L91" s="165">
        <v>44781</v>
      </c>
      <c r="M91" s="165" t="s">
        <v>122</v>
      </c>
      <c r="N91" s="165">
        <v>0</v>
      </c>
    </row>
    <row r="92" spans="1:14" x14ac:dyDescent="0.25">
      <c r="A92" s="165" t="s">
        <v>1808</v>
      </c>
      <c r="B92" s="78">
        <v>26351</v>
      </c>
      <c r="C92" s="165" t="s">
        <v>912</v>
      </c>
      <c r="D92" s="165" t="s">
        <v>969</v>
      </c>
      <c r="E92" s="165" t="s">
        <v>1</v>
      </c>
      <c r="F92" s="165" t="s">
        <v>1022</v>
      </c>
      <c r="G92" s="165" t="s">
        <v>936</v>
      </c>
      <c r="H92" s="165" t="s">
        <v>1808</v>
      </c>
      <c r="I92" s="166">
        <v>44123</v>
      </c>
      <c r="J92" s="165">
        <v>44225</v>
      </c>
      <c r="K92" s="166">
        <v>44239</v>
      </c>
      <c r="L92" s="165">
        <v>44604</v>
      </c>
      <c r="M92" s="165" t="s">
        <v>122</v>
      </c>
      <c r="N92" s="165">
        <v>1</v>
      </c>
    </row>
    <row r="93" spans="1:14" x14ac:dyDescent="0.25">
      <c r="A93" s="165" t="s">
        <v>1809</v>
      </c>
      <c r="B93" s="78">
        <v>81358</v>
      </c>
      <c r="C93" s="165" t="s">
        <v>925</v>
      </c>
      <c r="D93" s="165" t="s">
        <v>926</v>
      </c>
      <c r="E93" s="165" t="s">
        <v>1</v>
      </c>
      <c r="F93" s="165" t="s">
        <v>1022</v>
      </c>
      <c r="G93" s="165" t="s">
        <v>936</v>
      </c>
      <c r="H93" s="165" t="s">
        <v>1809</v>
      </c>
      <c r="I93" s="166">
        <v>44123</v>
      </c>
      <c r="J93" s="165">
        <v>44225</v>
      </c>
      <c r="K93" s="166">
        <v>44239</v>
      </c>
      <c r="L93" s="165">
        <v>44604</v>
      </c>
      <c r="M93" s="165" t="s">
        <v>122</v>
      </c>
      <c r="N93" s="165">
        <v>1</v>
      </c>
    </row>
    <row r="94" spans="1:14" x14ac:dyDescent="0.25">
      <c r="A94" s="165" t="s">
        <v>1810</v>
      </c>
      <c r="B94" s="78">
        <v>60159</v>
      </c>
      <c r="C94" s="165" t="s">
        <v>912</v>
      </c>
      <c r="D94" s="165" t="s">
        <v>969</v>
      </c>
      <c r="E94" s="165" t="s">
        <v>1</v>
      </c>
      <c r="F94" s="165" t="s">
        <v>1023</v>
      </c>
      <c r="G94" s="165" t="s">
        <v>1024</v>
      </c>
      <c r="H94" s="165" t="s">
        <v>1810</v>
      </c>
      <c r="I94" s="166">
        <v>44343</v>
      </c>
      <c r="J94" s="165">
        <v>44427</v>
      </c>
      <c r="K94" s="166">
        <v>44435</v>
      </c>
      <c r="L94" s="165">
        <v>44800</v>
      </c>
      <c r="M94" s="165" t="s">
        <v>122</v>
      </c>
      <c r="N94" s="165">
        <v>1</v>
      </c>
    </row>
    <row r="95" spans="1:14" x14ac:dyDescent="0.25">
      <c r="A95" s="165" t="s">
        <v>1811</v>
      </c>
      <c r="B95" s="78">
        <v>43305</v>
      </c>
      <c r="C95" s="165" t="s">
        <v>925</v>
      </c>
      <c r="D95" s="165" t="s">
        <v>1025</v>
      </c>
      <c r="E95" s="165" t="s">
        <v>1</v>
      </c>
      <c r="F95" s="165" t="s">
        <v>1023</v>
      </c>
      <c r="G95" s="165" t="s">
        <v>1024</v>
      </c>
      <c r="H95" s="165" t="s">
        <v>1811</v>
      </c>
      <c r="I95" s="166">
        <v>44435</v>
      </c>
      <c r="J95" s="165">
        <v>44427</v>
      </c>
      <c r="K95" s="166">
        <v>44435</v>
      </c>
      <c r="L95" s="165">
        <v>44800</v>
      </c>
      <c r="M95" s="165" t="s">
        <v>122</v>
      </c>
      <c r="N95" s="165">
        <v>0</v>
      </c>
    </row>
    <row r="96" spans="1:14" x14ac:dyDescent="0.25">
      <c r="A96" s="165" t="s">
        <v>1812</v>
      </c>
      <c r="B96" s="78">
        <v>57230</v>
      </c>
      <c r="C96" s="165" t="s">
        <v>947</v>
      </c>
      <c r="D96" s="165" t="s">
        <v>1026</v>
      </c>
      <c r="E96" s="165" t="s">
        <v>1</v>
      </c>
      <c r="F96" s="165" t="s">
        <v>1027</v>
      </c>
      <c r="G96" s="165" t="s">
        <v>936</v>
      </c>
      <c r="H96" s="165" t="s">
        <v>1812</v>
      </c>
      <c r="I96" s="166">
        <v>43727</v>
      </c>
      <c r="J96" s="165">
        <v>43780</v>
      </c>
      <c r="K96" s="166">
        <v>44097</v>
      </c>
      <c r="L96" s="165">
        <v>44462</v>
      </c>
      <c r="M96" s="165" t="s">
        <v>124</v>
      </c>
      <c r="N96" s="165">
        <v>1</v>
      </c>
    </row>
    <row r="97" spans="1:14" x14ac:dyDescent="0.25">
      <c r="A97" s="165" t="s">
        <v>1813</v>
      </c>
      <c r="B97" s="78">
        <v>57230</v>
      </c>
      <c r="C97" s="165" t="s">
        <v>925</v>
      </c>
      <c r="D97" s="165" t="s">
        <v>1028</v>
      </c>
      <c r="E97" s="165" t="s">
        <v>1</v>
      </c>
      <c r="F97" s="165" t="s">
        <v>1027</v>
      </c>
      <c r="G97" s="165" t="s">
        <v>936</v>
      </c>
      <c r="H97" s="165" t="s">
        <v>1813</v>
      </c>
      <c r="I97" s="166">
        <v>43727</v>
      </c>
      <c r="J97" s="165">
        <v>43780</v>
      </c>
      <c r="K97" s="166">
        <v>44097</v>
      </c>
      <c r="L97" s="165">
        <v>44462</v>
      </c>
      <c r="M97" s="165" t="s">
        <v>124</v>
      </c>
      <c r="N97" s="165">
        <v>0</v>
      </c>
    </row>
    <row r="98" spans="1:14" x14ac:dyDescent="0.25">
      <c r="A98" s="165" t="s">
        <v>1814</v>
      </c>
      <c r="B98" s="78">
        <v>57230</v>
      </c>
      <c r="C98" s="165" t="s">
        <v>925</v>
      </c>
      <c r="D98" s="165" t="s">
        <v>1029</v>
      </c>
      <c r="E98" s="165" t="s">
        <v>1</v>
      </c>
      <c r="F98" s="165" t="s">
        <v>1027</v>
      </c>
      <c r="G98" s="165" t="s">
        <v>936</v>
      </c>
      <c r="H98" s="165" t="s">
        <v>1814</v>
      </c>
      <c r="I98" s="166">
        <v>43727</v>
      </c>
      <c r="J98" s="165">
        <v>43780</v>
      </c>
      <c r="K98" s="166">
        <v>44097</v>
      </c>
      <c r="L98" s="165">
        <v>44462</v>
      </c>
      <c r="M98" s="165" t="s">
        <v>124</v>
      </c>
      <c r="N98" s="165">
        <v>0</v>
      </c>
    </row>
    <row r="99" spans="1:14" x14ac:dyDescent="0.25">
      <c r="A99" s="165" t="s">
        <v>1815</v>
      </c>
      <c r="B99" s="78">
        <v>83536</v>
      </c>
      <c r="C99" s="165" t="s">
        <v>912</v>
      </c>
      <c r="D99" s="165" t="s">
        <v>922</v>
      </c>
      <c r="E99" s="165" t="s">
        <v>954</v>
      </c>
      <c r="F99" s="165" t="s">
        <v>1030</v>
      </c>
      <c r="G99" s="165" t="s">
        <v>997</v>
      </c>
      <c r="H99" s="165" t="s">
        <v>1815</v>
      </c>
      <c r="I99" s="166">
        <v>44175</v>
      </c>
      <c r="J99" s="165">
        <v>44400</v>
      </c>
      <c r="K99" s="166">
        <v>44408</v>
      </c>
      <c r="L99" s="165">
        <v>44773</v>
      </c>
      <c r="M99" s="165" t="s">
        <v>122</v>
      </c>
      <c r="N99" s="165">
        <v>1</v>
      </c>
    </row>
    <row r="100" spans="1:14" x14ac:dyDescent="0.25">
      <c r="A100" s="165" t="s">
        <v>1816</v>
      </c>
      <c r="B100" s="78">
        <v>47659</v>
      </c>
      <c r="C100" s="165" t="s">
        <v>925</v>
      </c>
      <c r="D100" s="165" t="s">
        <v>926</v>
      </c>
      <c r="E100" s="165" t="s">
        <v>954</v>
      </c>
      <c r="F100" s="165" t="s">
        <v>1030</v>
      </c>
      <c r="G100" s="165" t="s">
        <v>997</v>
      </c>
      <c r="H100" s="165" t="s">
        <v>1816</v>
      </c>
      <c r="I100" s="166">
        <v>44175</v>
      </c>
      <c r="J100" s="165">
        <v>44400</v>
      </c>
      <c r="K100" s="166">
        <v>44408</v>
      </c>
      <c r="L100" s="165">
        <v>44773</v>
      </c>
      <c r="M100" s="165" t="s">
        <v>122</v>
      </c>
      <c r="N100" s="165">
        <v>1</v>
      </c>
    </row>
    <row r="101" spans="1:14" x14ac:dyDescent="0.25">
      <c r="A101" s="165" t="s">
        <v>1817</v>
      </c>
      <c r="B101" s="78">
        <v>11264</v>
      </c>
      <c r="C101" s="165" t="s">
        <v>925</v>
      </c>
      <c r="D101" s="165" t="s">
        <v>927</v>
      </c>
      <c r="E101" s="165" t="s">
        <v>954</v>
      </c>
      <c r="F101" s="165" t="s">
        <v>1030</v>
      </c>
      <c r="G101" s="165" t="s">
        <v>997</v>
      </c>
      <c r="H101" s="165" t="s">
        <v>1817</v>
      </c>
      <c r="I101" s="166">
        <v>44175</v>
      </c>
      <c r="J101" s="165">
        <v>44400</v>
      </c>
      <c r="K101" s="166">
        <v>44408</v>
      </c>
      <c r="L101" s="165">
        <v>44773</v>
      </c>
      <c r="M101" s="165" t="s">
        <v>122</v>
      </c>
      <c r="N101" s="165">
        <v>1</v>
      </c>
    </row>
    <row r="102" spans="1:14" x14ac:dyDescent="0.25">
      <c r="A102" s="165" t="s">
        <v>1818</v>
      </c>
      <c r="B102" s="78">
        <v>28435</v>
      </c>
      <c r="C102" s="165" t="s">
        <v>912</v>
      </c>
      <c r="D102" s="165" t="s">
        <v>1031</v>
      </c>
      <c r="E102" s="165" t="s">
        <v>954</v>
      </c>
      <c r="F102" s="165" t="s">
        <v>1032</v>
      </c>
      <c r="G102" s="165" t="s">
        <v>971</v>
      </c>
      <c r="H102" s="165" t="s">
        <v>1818</v>
      </c>
      <c r="I102" s="166">
        <v>44180</v>
      </c>
      <c r="J102" s="165">
        <v>44370</v>
      </c>
      <c r="K102" s="166">
        <v>44388</v>
      </c>
      <c r="L102" s="165">
        <v>44753</v>
      </c>
      <c r="M102" s="165" t="s">
        <v>122</v>
      </c>
      <c r="N102" s="165">
        <v>1</v>
      </c>
    </row>
    <row r="103" spans="1:14" x14ac:dyDescent="0.25">
      <c r="A103" s="165" t="s">
        <v>1819</v>
      </c>
      <c r="B103" s="78">
        <v>55078</v>
      </c>
      <c r="C103" s="165" t="s">
        <v>925</v>
      </c>
      <c r="D103" s="165" t="s">
        <v>1020</v>
      </c>
      <c r="E103" s="165" t="s">
        <v>954</v>
      </c>
      <c r="F103" s="165" t="s">
        <v>1032</v>
      </c>
      <c r="G103" s="165" t="s">
        <v>971</v>
      </c>
      <c r="H103" s="165" t="s">
        <v>1819</v>
      </c>
      <c r="I103" s="166">
        <v>44180</v>
      </c>
      <c r="J103" s="165">
        <v>44370</v>
      </c>
      <c r="K103" s="166">
        <v>44388</v>
      </c>
      <c r="L103" s="165">
        <v>44753</v>
      </c>
      <c r="M103" s="165" t="s">
        <v>122</v>
      </c>
      <c r="N103" s="165">
        <v>1</v>
      </c>
    </row>
    <row r="104" spans="1:14" x14ac:dyDescent="0.25">
      <c r="A104" s="165" t="s">
        <v>1820</v>
      </c>
      <c r="B104" s="78">
        <v>82561</v>
      </c>
      <c r="C104" s="165" t="s">
        <v>925</v>
      </c>
      <c r="D104" s="165" t="s">
        <v>927</v>
      </c>
      <c r="E104" s="165" t="s">
        <v>954</v>
      </c>
      <c r="F104" s="165" t="s">
        <v>1032</v>
      </c>
      <c r="G104" s="165" t="s">
        <v>971</v>
      </c>
      <c r="H104" s="165" t="s">
        <v>1820</v>
      </c>
      <c r="I104" s="166">
        <v>44180</v>
      </c>
      <c r="J104" s="165">
        <v>44370</v>
      </c>
      <c r="K104" s="166">
        <v>44388</v>
      </c>
      <c r="L104" s="165">
        <v>44753</v>
      </c>
      <c r="M104" s="165" t="s">
        <v>122</v>
      </c>
      <c r="N104" s="165">
        <v>1</v>
      </c>
    </row>
    <row r="105" spans="1:14" x14ac:dyDescent="0.25">
      <c r="A105" s="165" t="s">
        <v>1821</v>
      </c>
      <c r="B105" s="78">
        <v>98074</v>
      </c>
      <c r="C105" s="165" t="s">
        <v>925</v>
      </c>
      <c r="D105" s="165" t="s">
        <v>1033</v>
      </c>
      <c r="E105" s="165" t="s">
        <v>954</v>
      </c>
      <c r="F105" s="165" t="s">
        <v>1032</v>
      </c>
      <c r="G105" s="165" t="s">
        <v>971</v>
      </c>
      <c r="H105" s="165" t="s">
        <v>1821</v>
      </c>
      <c r="I105" s="166">
        <v>44180</v>
      </c>
      <c r="J105" s="165">
        <v>44370</v>
      </c>
      <c r="K105" s="166">
        <v>44388</v>
      </c>
      <c r="L105" s="165">
        <v>44753</v>
      </c>
      <c r="M105" s="165" t="s">
        <v>122</v>
      </c>
      <c r="N105" s="165">
        <v>0</v>
      </c>
    </row>
    <row r="106" spans="1:14" x14ac:dyDescent="0.25">
      <c r="A106" s="165" t="s">
        <v>1822</v>
      </c>
      <c r="B106" s="78">
        <v>28388</v>
      </c>
      <c r="C106" s="165" t="s">
        <v>912</v>
      </c>
      <c r="D106" s="165" t="s">
        <v>937</v>
      </c>
      <c r="E106" s="165" t="s">
        <v>47</v>
      </c>
      <c r="F106" s="165" t="s">
        <v>1034</v>
      </c>
      <c r="G106" s="165" t="s">
        <v>1035</v>
      </c>
      <c r="H106" s="165" t="s">
        <v>1822</v>
      </c>
      <c r="I106" s="166">
        <v>43713</v>
      </c>
      <c r="J106" s="165">
        <v>43878</v>
      </c>
      <c r="K106" s="166">
        <v>43902</v>
      </c>
      <c r="L106" s="165">
        <v>44267</v>
      </c>
      <c r="M106" s="165" t="s">
        <v>124</v>
      </c>
      <c r="N106" s="165">
        <v>1</v>
      </c>
    </row>
    <row r="107" spans="1:14" x14ac:dyDescent="0.25">
      <c r="A107" s="165" t="s">
        <v>1823</v>
      </c>
      <c r="B107" s="78">
        <v>28388</v>
      </c>
      <c r="C107" s="165" t="s">
        <v>925</v>
      </c>
      <c r="D107" s="165" t="s">
        <v>926</v>
      </c>
      <c r="E107" s="165" t="s">
        <v>47</v>
      </c>
      <c r="F107" s="165" t="s">
        <v>1034</v>
      </c>
      <c r="G107" s="165" t="s">
        <v>1035</v>
      </c>
      <c r="H107" s="165" t="s">
        <v>1823</v>
      </c>
      <c r="I107" s="166">
        <v>43713</v>
      </c>
      <c r="J107" s="165">
        <v>43878</v>
      </c>
      <c r="K107" s="166">
        <v>43902</v>
      </c>
      <c r="L107" s="165">
        <v>44267</v>
      </c>
      <c r="M107" s="165" t="s">
        <v>124</v>
      </c>
      <c r="N107" s="165">
        <v>1</v>
      </c>
    </row>
    <row r="108" spans="1:14" x14ac:dyDescent="0.25">
      <c r="A108" s="165" t="s">
        <v>1824</v>
      </c>
      <c r="B108" s="78">
        <v>28388</v>
      </c>
      <c r="C108" s="165" t="s">
        <v>925</v>
      </c>
      <c r="D108" s="165" t="s">
        <v>927</v>
      </c>
      <c r="E108" s="165" t="s">
        <v>47</v>
      </c>
      <c r="F108" s="165" t="s">
        <v>1034</v>
      </c>
      <c r="G108" s="165" t="s">
        <v>1035</v>
      </c>
      <c r="H108" s="165" t="s">
        <v>1824</v>
      </c>
      <c r="I108" s="166">
        <v>43713</v>
      </c>
      <c r="J108" s="165">
        <v>43878</v>
      </c>
      <c r="K108" s="166">
        <v>43902</v>
      </c>
      <c r="L108" s="165">
        <v>44267</v>
      </c>
      <c r="M108" s="165" t="s">
        <v>124</v>
      </c>
      <c r="N108" s="165">
        <v>1</v>
      </c>
    </row>
    <row r="109" spans="1:14" x14ac:dyDescent="0.25">
      <c r="A109" s="165" t="s">
        <v>1825</v>
      </c>
      <c r="B109" s="78">
        <v>3001192</v>
      </c>
      <c r="C109" s="165" t="s">
        <v>912</v>
      </c>
      <c r="D109" s="165" t="s">
        <v>937</v>
      </c>
      <c r="E109" s="165" t="s">
        <v>1</v>
      </c>
      <c r="F109" s="165" t="s">
        <v>1036</v>
      </c>
      <c r="G109" s="165" t="s">
        <v>936</v>
      </c>
      <c r="H109" s="165" t="s">
        <v>1825</v>
      </c>
      <c r="I109" s="166">
        <v>43396</v>
      </c>
      <c r="J109" s="165">
        <v>43532</v>
      </c>
      <c r="K109" s="166">
        <v>43688</v>
      </c>
      <c r="L109" s="165">
        <v>44053</v>
      </c>
      <c r="M109" s="165" t="s">
        <v>124</v>
      </c>
      <c r="N109" s="165">
        <v>1</v>
      </c>
    </row>
    <row r="110" spans="1:14" x14ac:dyDescent="0.25">
      <c r="A110" s="165" t="s">
        <v>1826</v>
      </c>
      <c r="B110" s="78">
        <v>3000192</v>
      </c>
      <c r="C110" s="165" t="s">
        <v>925</v>
      </c>
      <c r="D110" s="165" t="s">
        <v>926</v>
      </c>
      <c r="E110" s="165" t="s">
        <v>1</v>
      </c>
      <c r="F110" s="165" t="s">
        <v>1036</v>
      </c>
      <c r="G110" s="165" t="s">
        <v>936</v>
      </c>
      <c r="H110" s="165" t="s">
        <v>1826</v>
      </c>
      <c r="I110" s="166">
        <v>43396</v>
      </c>
      <c r="J110" s="165">
        <v>43532</v>
      </c>
      <c r="K110" s="166">
        <v>43688</v>
      </c>
      <c r="L110" s="165">
        <v>44053</v>
      </c>
      <c r="M110" s="165" t="s">
        <v>124</v>
      </c>
      <c r="N110" s="165">
        <v>1</v>
      </c>
    </row>
    <row r="111" spans="1:14" x14ac:dyDescent="0.25">
      <c r="A111" s="165" t="s">
        <v>1827</v>
      </c>
      <c r="B111" s="78">
        <v>3000228</v>
      </c>
      <c r="C111" s="165" t="s">
        <v>925</v>
      </c>
      <c r="D111" s="165" t="s">
        <v>927</v>
      </c>
      <c r="E111" s="165" t="s">
        <v>1</v>
      </c>
      <c r="F111" s="165" t="s">
        <v>1036</v>
      </c>
      <c r="G111" s="165" t="s">
        <v>936</v>
      </c>
      <c r="H111" s="165" t="s">
        <v>1827</v>
      </c>
      <c r="I111" s="166">
        <v>43396</v>
      </c>
      <c r="J111" s="165">
        <v>43532</v>
      </c>
      <c r="K111" s="166">
        <v>43688</v>
      </c>
      <c r="L111" s="165">
        <v>44053</v>
      </c>
      <c r="M111" s="165" t="s">
        <v>124</v>
      </c>
      <c r="N111" s="165">
        <v>1</v>
      </c>
    </row>
    <row r="112" spans="1:14" x14ac:dyDescent="0.25">
      <c r="A112" s="165" t="s">
        <v>1828</v>
      </c>
      <c r="B112" s="78">
        <v>16345</v>
      </c>
      <c r="C112" s="165" t="s">
        <v>912</v>
      </c>
      <c r="D112" s="165" t="s">
        <v>922</v>
      </c>
      <c r="E112" s="165" t="s">
        <v>1</v>
      </c>
      <c r="F112" s="165" t="s">
        <v>1036</v>
      </c>
      <c r="G112" s="165" t="s">
        <v>936</v>
      </c>
      <c r="H112" s="165" t="s">
        <v>1828</v>
      </c>
      <c r="I112" s="166">
        <v>43661</v>
      </c>
      <c r="J112" s="165">
        <v>43810</v>
      </c>
      <c r="K112" s="166">
        <v>43823</v>
      </c>
      <c r="L112" s="165">
        <v>44188</v>
      </c>
      <c r="M112" s="165" t="s">
        <v>124</v>
      </c>
      <c r="N112" s="165">
        <v>1</v>
      </c>
    </row>
    <row r="113" spans="1:14" x14ac:dyDescent="0.25">
      <c r="A113" s="165" t="s">
        <v>1829</v>
      </c>
      <c r="B113" s="78">
        <v>3001903</v>
      </c>
      <c r="C113" s="165" t="s">
        <v>912</v>
      </c>
      <c r="D113" s="165" t="s">
        <v>929</v>
      </c>
      <c r="E113" s="165" t="s">
        <v>954</v>
      </c>
      <c r="F113" s="165" t="s">
        <v>1037</v>
      </c>
      <c r="G113" s="165" t="s">
        <v>1019</v>
      </c>
      <c r="H113" s="165" t="s">
        <v>1829</v>
      </c>
      <c r="I113" s="166">
        <v>43609</v>
      </c>
      <c r="J113" s="165">
        <v>43592</v>
      </c>
      <c r="K113" s="166">
        <v>43612</v>
      </c>
      <c r="L113" s="165">
        <v>43977</v>
      </c>
      <c r="M113" s="165" t="s">
        <v>124</v>
      </c>
      <c r="N113" s="165">
        <v>1</v>
      </c>
    </row>
    <row r="114" spans="1:14" x14ac:dyDescent="0.25">
      <c r="A114" s="165" t="s">
        <v>1830</v>
      </c>
      <c r="B114" s="78">
        <v>3000192</v>
      </c>
      <c r="C114" s="165" t="s">
        <v>925</v>
      </c>
      <c r="D114" s="165" t="s">
        <v>926</v>
      </c>
      <c r="E114" s="165" t="s">
        <v>954</v>
      </c>
      <c r="F114" s="165" t="s">
        <v>1037</v>
      </c>
      <c r="G114" s="165" t="s">
        <v>1019</v>
      </c>
      <c r="H114" s="165" t="s">
        <v>1830</v>
      </c>
      <c r="I114" s="166">
        <v>43609</v>
      </c>
      <c r="J114" s="165">
        <v>43592</v>
      </c>
      <c r="K114" s="166">
        <v>43612</v>
      </c>
      <c r="L114" s="165">
        <v>43977</v>
      </c>
      <c r="M114" s="165" t="s">
        <v>124</v>
      </c>
      <c r="N114" s="165">
        <v>1</v>
      </c>
    </row>
    <row r="115" spans="1:14" x14ac:dyDescent="0.25">
      <c r="A115" s="165" t="s">
        <v>1831</v>
      </c>
      <c r="B115" s="78">
        <v>3000228</v>
      </c>
      <c r="C115" s="165" t="s">
        <v>925</v>
      </c>
      <c r="D115" s="165" t="s">
        <v>927</v>
      </c>
      <c r="E115" s="165" t="s">
        <v>954</v>
      </c>
      <c r="F115" s="165" t="s">
        <v>1037</v>
      </c>
      <c r="G115" s="165" t="s">
        <v>1019</v>
      </c>
      <c r="H115" s="165" t="s">
        <v>1831</v>
      </c>
      <c r="I115" s="166">
        <v>43609</v>
      </c>
      <c r="J115" s="165">
        <v>43592</v>
      </c>
      <c r="K115" s="166">
        <v>43612</v>
      </c>
      <c r="L115" s="165">
        <v>43977</v>
      </c>
      <c r="M115" s="165" t="s">
        <v>124</v>
      </c>
      <c r="N115" s="165">
        <v>1</v>
      </c>
    </row>
    <row r="116" spans="1:14" x14ac:dyDescent="0.25">
      <c r="A116" s="165" t="s">
        <v>1832</v>
      </c>
      <c r="B116" s="78">
        <v>9998</v>
      </c>
      <c r="C116" s="165" t="s">
        <v>912</v>
      </c>
      <c r="D116" s="165" t="s">
        <v>943</v>
      </c>
      <c r="E116" s="165" t="s">
        <v>954</v>
      </c>
      <c r="F116" s="165" t="s">
        <v>1038</v>
      </c>
      <c r="G116" s="165" t="s">
        <v>1019</v>
      </c>
      <c r="H116" s="165" t="s">
        <v>1832</v>
      </c>
      <c r="I116" s="166">
        <v>43738</v>
      </c>
      <c r="J116" s="165">
        <v>43965</v>
      </c>
      <c r="K116" s="166">
        <v>43972</v>
      </c>
      <c r="L116" s="165">
        <v>44337</v>
      </c>
      <c r="M116" s="165" t="s">
        <v>124</v>
      </c>
      <c r="N116" s="165">
        <v>1</v>
      </c>
    </row>
    <row r="117" spans="1:14" x14ac:dyDescent="0.25">
      <c r="A117" s="165" t="s">
        <v>1833</v>
      </c>
      <c r="B117" s="78">
        <v>9999</v>
      </c>
      <c r="C117" s="165" t="s">
        <v>925</v>
      </c>
      <c r="D117" s="165" t="s">
        <v>926</v>
      </c>
      <c r="E117" s="165" t="s">
        <v>954</v>
      </c>
      <c r="F117" s="165" t="s">
        <v>1038</v>
      </c>
      <c r="G117" s="165" t="s">
        <v>1019</v>
      </c>
      <c r="H117" s="165" t="s">
        <v>1833</v>
      </c>
      <c r="I117" s="166">
        <v>43738</v>
      </c>
      <c r="J117" s="165">
        <v>43535</v>
      </c>
      <c r="K117" s="166">
        <v>43556</v>
      </c>
      <c r="L117" s="165">
        <v>43921</v>
      </c>
      <c r="M117" s="165" t="s">
        <v>124</v>
      </c>
      <c r="N117" s="165">
        <v>1</v>
      </c>
    </row>
    <row r="118" spans="1:14" x14ac:dyDescent="0.25">
      <c r="A118" s="165" t="s">
        <v>1834</v>
      </c>
      <c r="B118" s="78">
        <v>99910</v>
      </c>
      <c r="C118" s="165" t="s">
        <v>925</v>
      </c>
      <c r="D118" s="165" t="s">
        <v>927</v>
      </c>
      <c r="E118" s="165" t="s">
        <v>954</v>
      </c>
      <c r="F118" s="165" t="s">
        <v>1038</v>
      </c>
      <c r="G118" s="165" t="s">
        <v>1019</v>
      </c>
      <c r="H118" s="165" t="s">
        <v>1834</v>
      </c>
      <c r="I118" s="166">
        <v>43739</v>
      </c>
      <c r="J118" s="165">
        <v>43546</v>
      </c>
      <c r="K118" s="166">
        <v>43546</v>
      </c>
      <c r="L118" s="165">
        <v>43911</v>
      </c>
      <c r="M118" s="165" t="s">
        <v>124</v>
      </c>
      <c r="N118" s="165">
        <v>1</v>
      </c>
    </row>
    <row r="119" spans="1:14" x14ac:dyDescent="0.25">
      <c r="A119" s="165" t="s">
        <v>1835</v>
      </c>
      <c r="B119" s="78">
        <v>55872</v>
      </c>
      <c r="C119" s="165" t="s">
        <v>912</v>
      </c>
      <c r="D119" s="165" t="s">
        <v>969</v>
      </c>
      <c r="E119" s="165" t="s">
        <v>2</v>
      </c>
      <c r="F119" s="165" t="s">
        <v>1039</v>
      </c>
      <c r="G119" s="165" t="s">
        <v>1040</v>
      </c>
      <c r="H119" s="165" t="s">
        <v>1835</v>
      </c>
      <c r="I119" s="166">
        <v>44097</v>
      </c>
      <c r="J119" s="165">
        <v>44231</v>
      </c>
      <c r="K119" s="166">
        <v>44311</v>
      </c>
      <c r="L119" s="165">
        <v>44676</v>
      </c>
      <c r="M119" s="165" t="s">
        <v>122</v>
      </c>
      <c r="N119" s="165">
        <v>1</v>
      </c>
    </row>
    <row r="120" spans="1:14" x14ac:dyDescent="0.25">
      <c r="A120" s="165" t="s">
        <v>1836</v>
      </c>
      <c r="B120" s="78">
        <v>55441</v>
      </c>
      <c r="C120" s="165" t="s">
        <v>925</v>
      </c>
      <c r="D120" s="165" t="s">
        <v>998</v>
      </c>
      <c r="E120" s="165" t="s">
        <v>2</v>
      </c>
      <c r="F120" s="165" t="s">
        <v>1039</v>
      </c>
      <c r="G120" s="165" t="s">
        <v>1040</v>
      </c>
      <c r="H120" s="165" t="s">
        <v>1836</v>
      </c>
      <c r="I120" s="166">
        <v>44097</v>
      </c>
      <c r="J120" s="165">
        <v>44231</v>
      </c>
      <c r="K120" s="166">
        <v>44311</v>
      </c>
      <c r="L120" s="165">
        <v>44676</v>
      </c>
      <c r="M120" s="165" t="s">
        <v>122</v>
      </c>
      <c r="N120" s="165">
        <v>1</v>
      </c>
    </row>
    <row r="121" spans="1:14" x14ac:dyDescent="0.25">
      <c r="A121" s="165" t="s">
        <v>1837</v>
      </c>
      <c r="B121" s="78">
        <v>16588</v>
      </c>
      <c r="C121" s="165" t="s">
        <v>912</v>
      </c>
      <c r="D121" s="165" t="s">
        <v>1041</v>
      </c>
      <c r="E121" s="165" t="s">
        <v>1</v>
      </c>
      <c r="F121" s="165" t="s">
        <v>1042</v>
      </c>
      <c r="G121" s="165" t="s">
        <v>924</v>
      </c>
      <c r="H121" s="165" t="s">
        <v>1837</v>
      </c>
      <c r="I121" s="166">
        <v>43906</v>
      </c>
      <c r="J121" s="165">
        <v>43979</v>
      </c>
      <c r="K121" s="166">
        <v>43979</v>
      </c>
      <c r="L121" s="165">
        <v>44344</v>
      </c>
      <c r="M121" s="165" t="s">
        <v>124</v>
      </c>
      <c r="N121" s="165">
        <v>1</v>
      </c>
    </row>
    <row r="122" spans="1:14" x14ac:dyDescent="0.25">
      <c r="A122" s="165" t="s">
        <v>1838</v>
      </c>
      <c r="B122" s="78">
        <v>9993</v>
      </c>
      <c r="C122" s="165" t="s">
        <v>912</v>
      </c>
      <c r="D122" s="165" t="s">
        <v>1043</v>
      </c>
      <c r="E122" s="165" t="s">
        <v>1</v>
      </c>
      <c r="F122" s="165" t="s">
        <v>935</v>
      </c>
      <c r="G122" s="165" t="s">
        <v>936</v>
      </c>
      <c r="H122" s="165" t="s">
        <v>1838</v>
      </c>
      <c r="I122" s="166">
        <v>42979</v>
      </c>
      <c r="J122" s="165">
        <v>44011</v>
      </c>
      <c r="K122" s="166">
        <v>44074</v>
      </c>
      <c r="L122" s="165">
        <v>44439</v>
      </c>
      <c r="M122" s="165" t="s">
        <v>124</v>
      </c>
      <c r="N122" s="165">
        <v>1</v>
      </c>
    </row>
    <row r="123" spans="1:14" x14ac:dyDescent="0.25">
      <c r="A123" s="165" t="s">
        <v>1839</v>
      </c>
      <c r="B123" s="78">
        <v>41240</v>
      </c>
      <c r="C123" s="165" t="s">
        <v>912</v>
      </c>
      <c r="D123" s="165" t="s">
        <v>937</v>
      </c>
      <c r="E123" s="165" t="s">
        <v>3</v>
      </c>
      <c r="F123" s="165" t="s">
        <v>1044</v>
      </c>
      <c r="G123" s="165" t="s">
        <v>1045</v>
      </c>
      <c r="H123" s="165" t="s">
        <v>1839</v>
      </c>
      <c r="I123" s="166">
        <v>44176</v>
      </c>
      <c r="J123" s="165">
        <v>44316</v>
      </c>
      <c r="K123" s="166">
        <v>44347</v>
      </c>
      <c r="L123" s="165">
        <v>44712</v>
      </c>
      <c r="M123" s="165" t="s">
        <v>122</v>
      </c>
      <c r="N123" s="165">
        <v>1</v>
      </c>
    </row>
    <row r="124" spans="1:14" x14ac:dyDescent="0.25">
      <c r="A124" s="165" t="s">
        <v>1840</v>
      </c>
      <c r="B124" s="78">
        <v>69371</v>
      </c>
      <c r="C124" s="165" t="s">
        <v>925</v>
      </c>
      <c r="D124" s="165" t="s">
        <v>1046</v>
      </c>
      <c r="E124" s="165" t="s">
        <v>3</v>
      </c>
      <c r="F124" s="165" t="s">
        <v>1044</v>
      </c>
      <c r="G124" s="165" t="s">
        <v>1045</v>
      </c>
      <c r="H124" s="165" t="s">
        <v>1840</v>
      </c>
      <c r="I124" s="166">
        <v>44176</v>
      </c>
      <c r="J124" s="165">
        <v>44316</v>
      </c>
      <c r="K124" s="166">
        <v>44347</v>
      </c>
      <c r="L124" s="165">
        <v>44712</v>
      </c>
      <c r="M124" s="165" t="s">
        <v>122</v>
      </c>
      <c r="N124" s="165">
        <v>1</v>
      </c>
    </row>
    <row r="125" spans="1:14" x14ac:dyDescent="0.25">
      <c r="A125" s="165" t="s">
        <v>1841</v>
      </c>
      <c r="B125" s="78">
        <v>97079</v>
      </c>
      <c r="C125" s="165" t="s">
        <v>925</v>
      </c>
      <c r="D125" s="165" t="s">
        <v>927</v>
      </c>
      <c r="E125" s="165" t="s">
        <v>3</v>
      </c>
      <c r="F125" s="165" t="s">
        <v>1044</v>
      </c>
      <c r="G125" s="165" t="s">
        <v>1045</v>
      </c>
      <c r="H125" s="165" t="s">
        <v>1841</v>
      </c>
      <c r="I125" s="166">
        <v>44176</v>
      </c>
      <c r="J125" s="165">
        <v>44316</v>
      </c>
      <c r="K125" s="166">
        <v>44347</v>
      </c>
      <c r="L125" s="165">
        <v>44712</v>
      </c>
      <c r="M125" s="165" t="s">
        <v>122</v>
      </c>
      <c r="N125" s="165">
        <v>1</v>
      </c>
    </row>
    <row r="126" spans="1:14" x14ac:dyDescent="0.25">
      <c r="A126" s="165" t="s">
        <v>1842</v>
      </c>
      <c r="B126" s="78">
        <v>96117</v>
      </c>
      <c r="C126" s="165" t="s">
        <v>912</v>
      </c>
      <c r="D126" s="165" t="s">
        <v>1011</v>
      </c>
      <c r="E126" s="165" t="s">
        <v>3</v>
      </c>
      <c r="F126" s="165" t="s">
        <v>1047</v>
      </c>
      <c r="G126" s="165" t="s">
        <v>1048</v>
      </c>
      <c r="H126" s="165" t="s">
        <v>1842</v>
      </c>
      <c r="I126" s="166">
        <v>44134</v>
      </c>
      <c r="J126" s="165">
        <v>44243</v>
      </c>
      <c r="K126" s="166">
        <v>44316</v>
      </c>
      <c r="L126" s="165">
        <v>44681</v>
      </c>
      <c r="M126" s="165" t="s">
        <v>122</v>
      </c>
      <c r="N126" s="165">
        <v>1</v>
      </c>
    </row>
    <row r="127" spans="1:14" x14ac:dyDescent="0.25">
      <c r="A127" s="165" t="s">
        <v>1843</v>
      </c>
      <c r="B127" s="78">
        <v>3000217</v>
      </c>
      <c r="C127" s="165" t="s">
        <v>912</v>
      </c>
      <c r="D127" s="165" t="s">
        <v>932</v>
      </c>
      <c r="E127" s="165" t="s">
        <v>3</v>
      </c>
      <c r="F127" s="165" t="s">
        <v>1049</v>
      </c>
      <c r="G127" s="165" t="s">
        <v>978</v>
      </c>
      <c r="H127" s="165" t="s">
        <v>1843</v>
      </c>
      <c r="I127" s="166">
        <v>43539</v>
      </c>
      <c r="J127" s="165">
        <v>43535</v>
      </c>
      <c r="K127" s="166">
        <v>43535</v>
      </c>
      <c r="L127" s="165">
        <v>43900</v>
      </c>
      <c r="M127" s="165" t="s">
        <v>124</v>
      </c>
      <c r="N127" s="165">
        <v>1</v>
      </c>
    </row>
    <row r="128" spans="1:14" x14ac:dyDescent="0.25">
      <c r="A128" s="165" t="s">
        <v>1844</v>
      </c>
      <c r="B128" s="78">
        <v>3000219</v>
      </c>
      <c r="C128" s="165" t="s">
        <v>947</v>
      </c>
      <c r="D128" s="165" t="s">
        <v>967</v>
      </c>
      <c r="E128" s="165" t="s">
        <v>3</v>
      </c>
      <c r="F128" s="165" t="s">
        <v>1049</v>
      </c>
      <c r="G128" s="165" t="s">
        <v>978</v>
      </c>
      <c r="H128" s="165" t="s">
        <v>1844</v>
      </c>
      <c r="I128" s="166">
        <v>43539</v>
      </c>
      <c r="J128" s="165">
        <v>43535</v>
      </c>
      <c r="K128" s="166">
        <v>43535</v>
      </c>
      <c r="L128" s="165">
        <v>43900</v>
      </c>
      <c r="M128" s="165" t="s">
        <v>124</v>
      </c>
      <c r="N128" s="165">
        <v>1</v>
      </c>
    </row>
    <row r="129" spans="1:14" x14ac:dyDescent="0.25">
      <c r="A129" s="165" t="s">
        <v>1845</v>
      </c>
      <c r="B129" s="78">
        <v>99944</v>
      </c>
      <c r="C129" s="165" t="s">
        <v>912</v>
      </c>
      <c r="D129" s="165" t="s">
        <v>937</v>
      </c>
      <c r="E129" s="165" t="s">
        <v>1</v>
      </c>
      <c r="F129" s="165" t="s">
        <v>1050</v>
      </c>
      <c r="G129" s="165" t="s">
        <v>936</v>
      </c>
      <c r="H129" s="165" t="s">
        <v>1845</v>
      </c>
      <c r="I129" s="166">
        <v>43790</v>
      </c>
      <c r="J129" s="165">
        <v>43894</v>
      </c>
      <c r="K129" s="166">
        <v>43935</v>
      </c>
      <c r="L129" s="165">
        <v>44300</v>
      </c>
      <c r="M129" s="165" t="s">
        <v>124</v>
      </c>
      <c r="N129" s="165">
        <v>1</v>
      </c>
    </row>
    <row r="130" spans="1:14" x14ac:dyDescent="0.25">
      <c r="A130" s="165" t="s">
        <v>1846</v>
      </c>
      <c r="B130" s="78">
        <v>99945</v>
      </c>
      <c r="C130" s="165" t="s">
        <v>925</v>
      </c>
      <c r="D130" s="165" t="s">
        <v>926</v>
      </c>
      <c r="E130" s="165" t="s">
        <v>1</v>
      </c>
      <c r="F130" s="165" t="s">
        <v>1050</v>
      </c>
      <c r="G130" s="165" t="s">
        <v>936</v>
      </c>
      <c r="H130" s="165" t="s">
        <v>1846</v>
      </c>
      <c r="I130" s="166">
        <v>43790</v>
      </c>
      <c r="J130" s="165">
        <v>43894</v>
      </c>
      <c r="K130" s="166">
        <v>43935</v>
      </c>
      <c r="L130" s="165">
        <v>44300</v>
      </c>
      <c r="M130" s="165" t="s">
        <v>124</v>
      </c>
      <c r="N130" s="165">
        <v>1</v>
      </c>
    </row>
    <row r="131" spans="1:14" x14ac:dyDescent="0.25">
      <c r="A131" s="165" t="s">
        <v>1847</v>
      </c>
      <c r="B131" s="78">
        <v>99946</v>
      </c>
      <c r="C131" s="165" t="s">
        <v>925</v>
      </c>
      <c r="D131" s="165" t="s">
        <v>927</v>
      </c>
      <c r="E131" s="165" t="s">
        <v>1</v>
      </c>
      <c r="F131" s="165" t="s">
        <v>1050</v>
      </c>
      <c r="G131" s="165" t="s">
        <v>936</v>
      </c>
      <c r="H131" s="165" t="s">
        <v>1847</v>
      </c>
      <c r="I131" s="166">
        <v>43790</v>
      </c>
      <c r="J131" s="165">
        <v>43894</v>
      </c>
      <c r="K131" s="166">
        <v>43935</v>
      </c>
      <c r="L131" s="165">
        <v>44300</v>
      </c>
      <c r="M131" s="165" t="s">
        <v>124</v>
      </c>
      <c r="N131" s="165">
        <v>1</v>
      </c>
    </row>
    <row r="132" spans="1:14" x14ac:dyDescent="0.25">
      <c r="A132" s="165" t="s">
        <v>1848</v>
      </c>
      <c r="B132" s="78">
        <v>23329</v>
      </c>
      <c r="C132" s="165" t="s">
        <v>912</v>
      </c>
      <c r="D132" s="165" t="s">
        <v>937</v>
      </c>
      <c r="E132" s="165" t="s">
        <v>1</v>
      </c>
      <c r="F132" s="165" t="s">
        <v>1051</v>
      </c>
      <c r="G132" s="165" t="s">
        <v>936</v>
      </c>
      <c r="H132" s="165" t="s">
        <v>1848</v>
      </c>
      <c r="I132" s="166">
        <v>44097</v>
      </c>
      <c r="J132" s="165">
        <v>44260</v>
      </c>
      <c r="K132" s="166">
        <v>44273</v>
      </c>
      <c r="L132" s="165">
        <v>44638</v>
      </c>
      <c r="M132" s="165" t="s">
        <v>122</v>
      </c>
      <c r="N132" s="165">
        <v>1</v>
      </c>
    </row>
    <row r="133" spans="1:14" x14ac:dyDescent="0.25">
      <c r="A133" s="165" t="s">
        <v>1849</v>
      </c>
      <c r="B133" s="78">
        <v>91710</v>
      </c>
      <c r="C133" s="165" t="s">
        <v>925</v>
      </c>
      <c r="D133" s="165" t="s">
        <v>926</v>
      </c>
      <c r="E133" s="165" t="s">
        <v>1</v>
      </c>
      <c r="F133" s="165" t="s">
        <v>1051</v>
      </c>
      <c r="G133" s="165" t="s">
        <v>936</v>
      </c>
      <c r="H133" s="165" t="s">
        <v>1849</v>
      </c>
      <c r="I133" s="166">
        <v>44097</v>
      </c>
      <c r="J133" s="165">
        <v>44260</v>
      </c>
      <c r="K133" s="166">
        <v>44273</v>
      </c>
      <c r="L133" s="165">
        <v>44638</v>
      </c>
      <c r="M133" s="165" t="s">
        <v>122</v>
      </c>
      <c r="N133" s="165">
        <v>1</v>
      </c>
    </row>
    <row r="134" spans="1:14" x14ac:dyDescent="0.25">
      <c r="A134" s="165" t="s">
        <v>1850</v>
      </c>
      <c r="B134" s="78">
        <v>31891</v>
      </c>
      <c r="C134" s="165" t="s">
        <v>925</v>
      </c>
      <c r="D134" s="165" t="s">
        <v>927</v>
      </c>
      <c r="E134" s="165" t="s">
        <v>1</v>
      </c>
      <c r="F134" s="165" t="s">
        <v>1051</v>
      </c>
      <c r="G134" s="165" t="s">
        <v>936</v>
      </c>
      <c r="H134" s="165" t="s">
        <v>1850</v>
      </c>
      <c r="I134" s="166">
        <v>44097</v>
      </c>
      <c r="J134" s="165">
        <v>44260</v>
      </c>
      <c r="K134" s="166">
        <v>44273</v>
      </c>
      <c r="L134" s="165">
        <v>44638</v>
      </c>
      <c r="M134" s="165" t="s">
        <v>122</v>
      </c>
      <c r="N134" s="165">
        <v>1</v>
      </c>
    </row>
    <row r="135" spans="1:14" x14ac:dyDescent="0.25">
      <c r="A135" s="165" t="s">
        <v>1851</v>
      </c>
      <c r="B135" s="78">
        <v>58859</v>
      </c>
      <c r="C135" s="165" t="s">
        <v>925</v>
      </c>
      <c r="D135" s="165" t="s">
        <v>979</v>
      </c>
      <c r="E135" s="165" t="s">
        <v>1</v>
      </c>
      <c r="F135" s="165" t="s">
        <v>1051</v>
      </c>
      <c r="G135" s="165" t="s">
        <v>936</v>
      </c>
      <c r="H135" s="165" t="s">
        <v>1851</v>
      </c>
      <c r="I135" s="166">
        <v>44097</v>
      </c>
      <c r="J135" s="165">
        <v>44260</v>
      </c>
      <c r="K135" s="166">
        <v>44273</v>
      </c>
      <c r="L135" s="165">
        <v>44638</v>
      </c>
      <c r="M135" s="165" t="s">
        <v>122</v>
      </c>
      <c r="N135" s="165">
        <v>0</v>
      </c>
    </row>
    <row r="136" spans="1:14" x14ac:dyDescent="0.25">
      <c r="A136" s="165" t="s">
        <v>1852</v>
      </c>
      <c r="B136" s="78">
        <v>99926</v>
      </c>
      <c r="C136" s="165" t="s">
        <v>912</v>
      </c>
      <c r="D136" s="165" t="s">
        <v>1052</v>
      </c>
      <c r="E136" s="165" t="s">
        <v>1</v>
      </c>
      <c r="F136" s="165" t="s">
        <v>935</v>
      </c>
      <c r="G136" s="165" t="s">
        <v>936</v>
      </c>
      <c r="H136" s="165" t="s">
        <v>1852</v>
      </c>
      <c r="I136" s="166">
        <v>43539</v>
      </c>
      <c r="J136" s="165">
        <v>43677</v>
      </c>
      <c r="K136" s="166">
        <v>43728</v>
      </c>
      <c r="L136" s="165">
        <v>44093</v>
      </c>
      <c r="M136" s="165" t="s">
        <v>124</v>
      </c>
      <c r="N136" s="165">
        <v>1</v>
      </c>
    </row>
    <row r="137" spans="1:14" x14ac:dyDescent="0.25">
      <c r="A137" s="165" t="s">
        <v>1853</v>
      </c>
      <c r="B137" s="78">
        <v>99941</v>
      </c>
      <c r="C137" s="165" t="s">
        <v>947</v>
      </c>
      <c r="D137" s="165" t="s">
        <v>1053</v>
      </c>
      <c r="E137" s="165" t="s">
        <v>47</v>
      </c>
      <c r="F137" s="165" t="s">
        <v>1054</v>
      </c>
      <c r="G137" s="165" t="s">
        <v>1055</v>
      </c>
      <c r="H137" s="165" t="s">
        <v>1853</v>
      </c>
      <c r="I137" s="166">
        <v>43676</v>
      </c>
      <c r="J137" s="165">
        <v>43738</v>
      </c>
      <c r="K137" s="166">
        <v>43738</v>
      </c>
      <c r="L137" s="165">
        <v>44103</v>
      </c>
      <c r="M137" s="165" t="s">
        <v>124</v>
      </c>
      <c r="N137" s="165">
        <v>1</v>
      </c>
    </row>
    <row r="138" spans="1:14" x14ac:dyDescent="0.25">
      <c r="A138" s="165" t="s">
        <v>1854</v>
      </c>
      <c r="B138" s="78">
        <v>99942</v>
      </c>
      <c r="C138" s="165" t="s">
        <v>947</v>
      </c>
      <c r="D138" s="165" t="s">
        <v>1015</v>
      </c>
      <c r="E138" s="165" t="s">
        <v>47</v>
      </c>
      <c r="F138" s="165" t="s">
        <v>1054</v>
      </c>
      <c r="G138" s="165" t="s">
        <v>1055</v>
      </c>
      <c r="H138" s="165" t="s">
        <v>1854</v>
      </c>
      <c r="I138" s="166">
        <v>43676</v>
      </c>
      <c r="J138" s="165">
        <v>43738</v>
      </c>
      <c r="K138" s="166">
        <v>43738</v>
      </c>
      <c r="L138" s="165">
        <v>44103</v>
      </c>
      <c r="M138" s="165" t="s">
        <v>124</v>
      </c>
      <c r="N138" s="165">
        <v>1</v>
      </c>
    </row>
    <row r="139" spans="1:14" x14ac:dyDescent="0.25">
      <c r="A139" s="165" t="s">
        <v>1855</v>
      </c>
      <c r="B139" s="78">
        <v>11535</v>
      </c>
      <c r="C139" s="165" t="s">
        <v>912</v>
      </c>
      <c r="D139" s="165" t="s">
        <v>937</v>
      </c>
      <c r="E139" s="165" t="s">
        <v>3</v>
      </c>
      <c r="F139" s="165" t="s">
        <v>1056</v>
      </c>
      <c r="G139" s="165" t="s">
        <v>1057</v>
      </c>
      <c r="H139" s="165" t="s">
        <v>1855</v>
      </c>
      <c r="I139" s="166">
        <v>43575</v>
      </c>
      <c r="J139" s="165">
        <v>43790</v>
      </c>
      <c r="K139" s="166">
        <v>44075</v>
      </c>
      <c r="L139" s="165">
        <v>44440</v>
      </c>
      <c r="M139" s="165" t="s">
        <v>124</v>
      </c>
      <c r="N139" s="165">
        <v>1</v>
      </c>
    </row>
    <row r="140" spans="1:14" x14ac:dyDescent="0.25">
      <c r="A140" s="165" t="s">
        <v>1856</v>
      </c>
      <c r="B140" s="78">
        <v>11535</v>
      </c>
      <c r="C140" s="165" t="s">
        <v>925</v>
      </c>
      <c r="D140" s="165" t="s">
        <v>926</v>
      </c>
      <c r="E140" s="165" t="s">
        <v>3</v>
      </c>
      <c r="F140" s="165" t="s">
        <v>1056</v>
      </c>
      <c r="G140" s="165" t="s">
        <v>1057</v>
      </c>
      <c r="H140" s="165" t="s">
        <v>1856</v>
      </c>
      <c r="I140" s="166">
        <v>43575</v>
      </c>
      <c r="J140" s="165">
        <v>43790</v>
      </c>
      <c r="K140" s="166">
        <v>44075</v>
      </c>
      <c r="L140" s="165">
        <v>44440</v>
      </c>
      <c r="M140" s="165" t="s">
        <v>124</v>
      </c>
      <c r="N140" s="165">
        <v>1</v>
      </c>
    </row>
    <row r="141" spans="1:14" x14ac:dyDescent="0.25">
      <c r="A141" s="165" t="s">
        <v>1857</v>
      </c>
      <c r="B141" s="78">
        <v>11535</v>
      </c>
      <c r="C141" s="165" t="s">
        <v>925</v>
      </c>
      <c r="D141" s="165" t="s">
        <v>927</v>
      </c>
      <c r="E141" s="165" t="s">
        <v>3</v>
      </c>
      <c r="F141" s="165" t="s">
        <v>1056</v>
      </c>
      <c r="G141" s="165" t="s">
        <v>1057</v>
      </c>
      <c r="H141" s="165" t="s">
        <v>1857</v>
      </c>
      <c r="I141" s="166">
        <v>43575</v>
      </c>
      <c r="J141" s="165">
        <v>43790</v>
      </c>
      <c r="K141" s="166">
        <v>44075</v>
      </c>
      <c r="L141" s="165">
        <v>44440</v>
      </c>
      <c r="M141" s="165" t="s">
        <v>124</v>
      </c>
      <c r="N141" s="165">
        <v>1</v>
      </c>
    </row>
    <row r="142" spans="1:14" x14ac:dyDescent="0.25">
      <c r="A142" s="165" t="s">
        <v>1858</v>
      </c>
      <c r="B142" s="78">
        <v>99914</v>
      </c>
      <c r="C142" s="165" t="s">
        <v>912</v>
      </c>
      <c r="D142" s="165" t="s">
        <v>1058</v>
      </c>
      <c r="E142" s="165" t="s">
        <v>1</v>
      </c>
      <c r="F142" s="165" t="s">
        <v>1059</v>
      </c>
      <c r="G142" s="165" t="s">
        <v>936</v>
      </c>
      <c r="H142" s="165" t="s">
        <v>1858</v>
      </c>
      <c r="I142" s="166">
        <v>43238</v>
      </c>
      <c r="J142" s="165">
        <v>43595</v>
      </c>
      <c r="K142" s="166">
        <v>43768</v>
      </c>
      <c r="L142" s="165">
        <v>44133</v>
      </c>
      <c r="M142" s="165" t="s">
        <v>124</v>
      </c>
      <c r="N142" s="165">
        <v>1</v>
      </c>
    </row>
    <row r="143" spans="1:14" x14ac:dyDescent="0.25">
      <c r="A143" s="165" t="s">
        <v>1859</v>
      </c>
      <c r="B143" s="78">
        <v>42312</v>
      </c>
      <c r="C143" s="165" t="s">
        <v>912</v>
      </c>
      <c r="D143" s="165" t="s">
        <v>1060</v>
      </c>
      <c r="E143" s="165" t="s">
        <v>2</v>
      </c>
      <c r="F143" s="165" t="s">
        <v>1061</v>
      </c>
      <c r="G143" s="165" t="s">
        <v>1062</v>
      </c>
      <c r="H143" s="165" t="s">
        <v>1859</v>
      </c>
      <c r="I143" s="166">
        <v>44025</v>
      </c>
      <c r="J143" s="165">
        <v>44085</v>
      </c>
      <c r="K143" s="166">
        <v>44085</v>
      </c>
      <c r="L143" s="165">
        <v>44450</v>
      </c>
      <c r="M143" s="165" t="s">
        <v>124</v>
      </c>
      <c r="N143" s="165">
        <v>1</v>
      </c>
    </row>
    <row r="144" spans="1:14" x14ac:dyDescent="0.25">
      <c r="A144" s="165" t="s">
        <v>1860</v>
      </c>
      <c r="B144" s="78">
        <v>36226</v>
      </c>
      <c r="C144" s="165" t="s">
        <v>947</v>
      </c>
      <c r="D144" s="165" t="s">
        <v>1063</v>
      </c>
      <c r="E144" s="165" t="s">
        <v>3</v>
      </c>
      <c r="F144" s="165" t="s">
        <v>1064</v>
      </c>
      <c r="G144" s="165" t="s">
        <v>1065</v>
      </c>
      <c r="H144" s="165" t="s">
        <v>1860</v>
      </c>
      <c r="I144" s="166">
        <v>43864</v>
      </c>
      <c r="J144" s="165">
        <v>44012</v>
      </c>
      <c r="K144" s="166">
        <v>44012</v>
      </c>
      <c r="L144" s="165">
        <v>44377</v>
      </c>
      <c r="M144" s="165" t="s">
        <v>124</v>
      </c>
      <c r="N144" s="165">
        <v>1</v>
      </c>
    </row>
    <row r="145" spans="1:14" x14ac:dyDescent="0.25">
      <c r="A145" s="165" t="s">
        <v>1861</v>
      </c>
      <c r="B145" s="78">
        <v>86183</v>
      </c>
      <c r="C145" s="165" t="s">
        <v>925</v>
      </c>
      <c r="D145" s="165" t="s">
        <v>1066</v>
      </c>
      <c r="E145" s="165" t="s">
        <v>3</v>
      </c>
      <c r="F145" s="165" t="s">
        <v>1064</v>
      </c>
      <c r="G145" s="165" t="s">
        <v>1065</v>
      </c>
      <c r="H145" s="165" t="s">
        <v>1861</v>
      </c>
      <c r="I145" s="166">
        <v>43864</v>
      </c>
      <c r="J145" s="165">
        <v>44012</v>
      </c>
      <c r="K145" s="166">
        <v>44012</v>
      </c>
      <c r="L145" s="165">
        <v>44377</v>
      </c>
      <c r="M145" s="165" t="s">
        <v>124</v>
      </c>
      <c r="N145" s="165">
        <v>1</v>
      </c>
    </row>
    <row r="146" spans="1:14" x14ac:dyDescent="0.25">
      <c r="A146" s="165" t="s">
        <v>1862</v>
      </c>
      <c r="B146" s="78">
        <v>91210</v>
      </c>
      <c r="C146" s="165" t="s">
        <v>912</v>
      </c>
      <c r="D146" s="165" t="s">
        <v>929</v>
      </c>
      <c r="E146" s="165" t="s">
        <v>1</v>
      </c>
      <c r="F146" s="165" t="s">
        <v>1067</v>
      </c>
      <c r="G146" s="165" t="s">
        <v>936</v>
      </c>
      <c r="H146" s="165" t="s">
        <v>1862</v>
      </c>
      <c r="I146" s="166">
        <v>43738</v>
      </c>
      <c r="J146" s="165">
        <v>43984</v>
      </c>
      <c r="K146" s="166">
        <v>43998</v>
      </c>
      <c r="L146" s="165">
        <v>44363</v>
      </c>
      <c r="M146" s="165" t="s">
        <v>124</v>
      </c>
      <c r="N146" s="165">
        <v>1</v>
      </c>
    </row>
    <row r="147" spans="1:14" x14ac:dyDescent="0.25">
      <c r="A147" s="165" t="s">
        <v>1863</v>
      </c>
      <c r="B147" s="78">
        <v>89941</v>
      </c>
      <c r="C147" s="165" t="s">
        <v>925</v>
      </c>
      <c r="D147" s="165" t="s">
        <v>926</v>
      </c>
      <c r="E147" s="165" t="s">
        <v>1</v>
      </c>
      <c r="F147" s="165" t="s">
        <v>1067</v>
      </c>
      <c r="G147" s="165" t="s">
        <v>936</v>
      </c>
      <c r="H147" s="165" t="s">
        <v>1863</v>
      </c>
      <c r="I147" s="166">
        <v>43738</v>
      </c>
      <c r="J147" s="165">
        <v>43984</v>
      </c>
      <c r="K147" s="166">
        <v>43998</v>
      </c>
      <c r="L147" s="165">
        <v>44363</v>
      </c>
      <c r="M147" s="165" t="s">
        <v>124</v>
      </c>
      <c r="N147" s="165">
        <v>1</v>
      </c>
    </row>
    <row r="148" spans="1:14" x14ac:dyDescent="0.25">
      <c r="A148" s="165" t="s">
        <v>1864</v>
      </c>
      <c r="B148" s="78">
        <v>8034</v>
      </c>
      <c r="C148" s="165" t="s">
        <v>925</v>
      </c>
      <c r="D148" s="165" t="s">
        <v>927</v>
      </c>
      <c r="E148" s="165" t="s">
        <v>1</v>
      </c>
      <c r="F148" s="165" t="s">
        <v>1067</v>
      </c>
      <c r="G148" s="165" t="s">
        <v>936</v>
      </c>
      <c r="H148" s="165" t="s">
        <v>1864</v>
      </c>
      <c r="I148" s="166">
        <v>43738</v>
      </c>
      <c r="J148" s="165">
        <v>43984</v>
      </c>
      <c r="K148" s="166">
        <v>43998</v>
      </c>
      <c r="L148" s="165">
        <v>44363</v>
      </c>
      <c r="M148" s="165" t="s">
        <v>124</v>
      </c>
      <c r="N148" s="165">
        <v>1</v>
      </c>
    </row>
    <row r="149" spans="1:14" x14ac:dyDescent="0.25">
      <c r="A149" s="165" t="s">
        <v>1865</v>
      </c>
      <c r="B149" s="78">
        <v>82650</v>
      </c>
      <c r="C149" s="165" t="s">
        <v>912</v>
      </c>
      <c r="D149" s="165" t="s">
        <v>922</v>
      </c>
      <c r="E149" s="165" t="s">
        <v>2</v>
      </c>
      <c r="F149" s="165" t="s">
        <v>1068</v>
      </c>
      <c r="G149" s="165" t="s">
        <v>1069</v>
      </c>
      <c r="H149" s="165" t="s">
        <v>1865</v>
      </c>
      <c r="I149" s="166">
        <v>44106</v>
      </c>
      <c r="J149" s="165">
        <v>44226</v>
      </c>
      <c r="K149" s="166">
        <v>44244</v>
      </c>
      <c r="L149" s="165">
        <v>44609</v>
      </c>
      <c r="M149" s="165" t="s">
        <v>122</v>
      </c>
      <c r="N149" s="165">
        <v>1</v>
      </c>
    </row>
    <row r="150" spans="1:14" x14ac:dyDescent="0.25">
      <c r="A150" s="165" t="s">
        <v>1866</v>
      </c>
      <c r="B150" s="78">
        <v>47723</v>
      </c>
      <c r="C150" s="165" t="s">
        <v>925</v>
      </c>
      <c r="D150" s="165" t="s">
        <v>926</v>
      </c>
      <c r="E150" s="165" t="s">
        <v>2</v>
      </c>
      <c r="F150" s="165" t="s">
        <v>1068</v>
      </c>
      <c r="G150" s="165" t="s">
        <v>1069</v>
      </c>
      <c r="H150" s="165" t="s">
        <v>1866</v>
      </c>
      <c r="I150" s="166">
        <v>44106</v>
      </c>
      <c r="J150" s="165">
        <v>44226</v>
      </c>
      <c r="K150" s="166">
        <v>44281</v>
      </c>
      <c r="L150" s="165">
        <v>44646</v>
      </c>
      <c r="M150" s="165" t="s">
        <v>122</v>
      </c>
      <c r="N150" s="165">
        <v>1</v>
      </c>
    </row>
    <row r="151" spans="1:14" x14ac:dyDescent="0.25">
      <c r="A151" s="165" t="s">
        <v>1867</v>
      </c>
      <c r="B151" s="78">
        <v>33905</v>
      </c>
      <c r="C151" s="165" t="s">
        <v>925</v>
      </c>
      <c r="D151" s="165" t="s">
        <v>927</v>
      </c>
      <c r="E151" s="165" t="s">
        <v>2</v>
      </c>
      <c r="F151" s="165" t="s">
        <v>1068</v>
      </c>
      <c r="G151" s="165" t="s">
        <v>1069</v>
      </c>
      <c r="H151" s="165" t="s">
        <v>1867</v>
      </c>
      <c r="I151" s="166">
        <v>44106</v>
      </c>
      <c r="J151" s="165">
        <v>44226</v>
      </c>
      <c r="K151" s="166">
        <v>44281</v>
      </c>
      <c r="L151" s="165">
        <v>44646</v>
      </c>
      <c r="M151" s="165" t="s">
        <v>122</v>
      </c>
      <c r="N151" s="165">
        <v>1</v>
      </c>
    </row>
    <row r="152" spans="1:14" x14ac:dyDescent="0.25">
      <c r="A152" s="165" t="s">
        <v>1868</v>
      </c>
      <c r="B152" s="78">
        <v>99915</v>
      </c>
      <c r="C152" s="165" t="s">
        <v>912</v>
      </c>
      <c r="D152" s="165" t="s">
        <v>937</v>
      </c>
      <c r="E152" s="165" t="s">
        <v>3</v>
      </c>
      <c r="F152" s="165" t="s">
        <v>1070</v>
      </c>
      <c r="G152" s="165" t="s">
        <v>1057</v>
      </c>
      <c r="H152" s="165" t="s">
        <v>1868</v>
      </c>
      <c r="I152" s="166">
        <v>43586</v>
      </c>
      <c r="J152" s="165">
        <v>43738</v>
      </c>
      <c r="K152" s="166">
        <v>43775</v>
      </c>
      <c r="L152" s="165">
        <v>44140</v>
      </c>
      <c r="M152" s="165" t="s">
        <v>124</v>
      </c>
      <c r="N152" s="165">
        <v>1</v>
      </c>
    </row>
    <row r="153" spans="1:14" x14ac:dyDescent="0.25">
      <c r="A153" s="165" t="s">
        <v>1869</v>
      </c>
      <c r="B153" s="78" t="s">
        <v>1071</v>
      </c>
      <c r="C153" s="165" t="s">
        <v>925</v>
      </c>
      <c r="D153" s="165" t="s">
        <v>926</v>
      </c>
      <c r="E153" s="165" t="s">
        <v>3</v>
      </c>
      <c r="F153" s="165" t="s">
        <v>1070</v>
      </c>
      <c r="G153" s="165" t="s">
        <v>1057</v>
      </c>
      <c r="H153" s="165" t="s">
        <v>1869</v>
      </c>
      <c r="I153" s="166">
        <v>43788</v>
      </c>
      <c r="J153" s="165">
        <v>43803</v>
      </c>
      <c r="K153" s="166">
        <v>43803</v>
      </c>
      <c r="L153" s="165">
        <v>44168</v>
      </c>
      <c r="M153" s="165" t="s">
        <v>124</v>
      </c>
      <c r="N153" s="165">
        <v>1</v>
      </c>
    </row>
    <row r="154" spans="1:14" x14ac:dyDescent="0.25">
      <c r="A154" s="165" t="s">
        <v>1870</v>
      </c>
      <c r="B154" s="78">
        <v>98224</v>
      </c>
      <c r="C154" s="165" t="s">
        <v>912</v>
      </c>
      <c r="D154" s="165" t="s">
        <v>937</v>
      </c>
      <c r="E154" s="165" t="s">
        <v>1</v>
      </c>
      <c r="F154" s="165" t="s">
        <v>1072</v>
      </c>
      <c r="G154" s="165" t="s">
        <v>931</v>
      </c>
      <c r="H154" s="165" t="s">
        <v>1870</v>
      </c>
      <c r="I154" s="166">
        <v>43615</v>
      </c>
      <c r="J154" s="165">
        <v>43762</v>
      </c>
      <c r="K154" s="166">
        <v>43861</v>
      </c>
      <c r="L154" s="165">
        <v>44226</v>
      </c>
      <c r="M154" s="165" t="s">
        <v>124</v>
      </c>
      <c r="N154" s="165">
        <v>1</v>
      </c>
    </row>
    <row r="155" spans="1:14" x14ac:dyDescent="0.25">
      <c r="A155" s="165" t="s">
        <v>1871</v>
      </c>
      <c r="B155" s="78">
        <v>98224</v>
      </c>
      <c r="C155" s="165" t="s">
        <v>925</v>
      </c>
      <c r="D155" s="165" t="s">
        <v>926</v>
      </c>
      <c r="E155" s="165" t="s">
        <v>1</v>
      </c>
      <c r="F155" s="165" t="s">
        <v>1072</v>
      </c>
      <c r="G155" s="165" t="s">
        <v>931</v>
      </c>
      <c r="H155" s="165" t="s">
        <v>1871</v>
      </c>
      <c r="I155" s="166">
        <v>43615</v>
      </c>
      <c r="J155" s="165">
        <v>43762</v>
      </c>
      <c r="K155" s="166">
        <v>43861</v>
      </c>
      <c r="L155" s="165">
        <v>44226</v>
      </c>
      <c r="M155" s="165" t="s">
        <v>124</v>
      </c>
      <c r="N155" s="165">
        <v>1</v>
      </c>
    </row>
    <row r="156" spans="1:14" x14ac:dyDescent="0.25">
      <c r="A156" s="165" t="s">
        <v>1872</v>
      </c>
      <c r="B156" s="78">
        <v>98224</v>
      </c>
      <c r="C156" s="165" t="s">
        <v>925</v>
      </c>
      <c r="D156" s="165" t="s">
        <v>927</v>
      </c>
      <c r="E156" s="165" t="s">
        <v>1</v>
      </c>
      <c r="F156" s="165" t="s">
        <v>1072</v>
      </c>
      <c r="G156" s="165" t="s">
        <v>931</v>
      </c>
      <c r="H156" s="165" t="s">
        <v>1872</v>
      </c>
      <c r="I156" s="166">
        <v>43615</v>
      </c>
      <c r="J156" s="165">
        <v>43762</v>
      </c>
      <c r="K156" s="166">
        <v>43861</v>
      </c>
      <c r="L156" s="165">
        <v>44226</v>
      </c>
      <c r="M156" s="165" t="s">
        <v>124</v>
      </c>
      <c r="N156" s="165">
        <v>1</v>
      </c>
    </row>
    <row r="157" spans="1:14" x14ac:dyDescent="0.25">
      <c r="A157" s="165" t="s">
        <v>1873</v>
      </c>
      <c r="B157" s="78">
        <v>38822</v>
      </c>
      <c r="C157" s="165" t="s">
        <v>925</v>
      </c>
      <c r="D157" s="165" t="s">
        <v>927</v>
      </c>
      <c r="E157" s="165" t="s">
        <v>2</v>
      </c>
      <c r="F157" s="165" t="s">
        <v>1073</v>
      </c>
      <c r="G157" s="165" t="s">
        <v>1005</v>
      </c>
      <c r="H157" s="165" t="s">
        <v>1873</v>
      </c>
      <c r="I157" s="166">
        <v>43783</v>
      </c>
      <c r="J157" s="165">
        <v>43420</v>
      </c>
      <c r="K157" s="166">
        <v>43847</v>
      </c>
      <c r="L157" s="165">
        <v>44212</v>
      </c>
      <c r="M157" s="165" t="s">
        <v>124</v>
      </c>
      <c r="N157" s="165">
        <v>1</v>
      </c>
    </row>
    <row r="158" spans="1:14" x14ac:dyDescent="0.25">
      <c r="A158" s="165" t="s">
        <v>1874</v>
      </c>
      <c r="B158" s="78">
        <v>92360</v>
      </c>
      <c r="C158" s="165" t="s">
        <v>925</v>
      </c>
      <c r="D158" s="165" t="s">
        <v>926</v>
      </c>
      <c r="E158" s="165" t="s">
        <v>1</v>
      </c>
      <c r="F158" s="165" t="s">
        <v>1074</v>
      </c>
      <c r="G158" s="165" t="s">
        <v>931</v>
      </c>
      <c r="H158" s="165" t="s">
        <v>1874</v>
      </c>
      <c r="I158" s="166">
        <v>43727</v>
      </c>
      <c r="J158" s="165">
        <v>43740</v>
      </c>
      <c r="K158" s="166">
        <v>43740</v>
      </c>
      <c r="L158" s="165">
        <v>44105</v>
      </c>
      <c r="M158" s="165" t="s">
        <v>124</v>
      </c>
      <c r="N158" s="165">
        <v>1</v>
      </c>
    </row>
    <row r="159" spans="1:14" x14ac:dyDescent="0.25">
      <c r="A159" s="165" t="s">
        <v>1875</v>
      </c>
      <c r="B159" s="78">
        <v>92360</v>
      </c>
      <c r="C159" s="165" t="s">
        <v>925</v>
      </c>
      <c r="D159" s="165" t="s">
        <v>927</v>
      </c>
      <c r="E159" s="165" t="s">
        <v>1</v>
      </c>
      <c r="F159" s="165" t="s">
        <v>1074</v>
      </c>
      <c r="G159" s="165" t="s">
        <v>931</v>
      </c>
      <c r="H159" s="165" t="s">
        <v>1875</v>
      </c>
      <c r="I159" s="166">
        <v>43727</v>
      </c>
      <c r="J159" s="165">
        <v>43740</v>
      </c>
      <c r="K159" s="166">
        <v>43740</v>
      </c>
      <c r="L159" s="165">
        <v>44105</v>
      </c>
      <c r="M159" s="165" t="s">
        <v>124</v>
      </c>
      <c r="N159" s="165">
        <v>1</v>
      </c>
    </row>
    <row r="160" spans="1:14" x14ac:dyDescent="0.25">
      <c r="A160" s="165" t="s">
        <v>1876</v>
      </c>
      <c r="B160" s="78">
        <v>3664</v>
      </c>
      <c r="C160" s="165" t="s">
        <v>912</v>
      </c>
      <c r="D160" s="165" t="s">
        <v>943</v>
      </c>
      <c r="E160" s="165" t="s">
        <v>1</v>
      </c>
      <c r="F160" s="165" t="s">
        <v>1075</v>
      </c>
      <c r="G160" s="165" t="s">
        <v>936</v>
      </c>
      <c r="H160" s="165" t="s">
        <v>1876</v>
      </c>
      <c r="I160" s="166">
        <v>43515</v>
      </c>
      <c r="J160" s="165">
        <v>43787</v>
      </c>
      <c r="K160" s="166">
        <v>43797</v>
      </c>
      <c r="L160" s="165">
        <v>44162</v>
      </c>
      <c r="M160" s="165" t="s">
        <v>124</v>
      </c>
      <c r="N160" s="165">
        <v>1</v>
      </c>
    </row>
    <row r="161" spans="1:14" x14ac:dyDescent="0.25">
      <c r="A161" s="165" t="s">
        <v>1877</v>
      </c>
      <c r="B161" s="78">
        <v>3664</v>
      </c>
      <c r="C161" s="165" t="s">
        <v>925</v>
      </c>
      <c r="D161" s="165" t="s">
        <v>926</v>
      </c>
      <c r="E161" s="165" t="s">
        <v>1</v>
      </c>
      <c r="F161" s="165" t="s">
        <v>1075</v>
      </c>
      <c r="G161" s="165" t="s">
        <v>936</v>
      </c>
      <c r="H161" s="165" t="s">
        <v>1877</v>
      </c>
      <c r="I161" s="166">
        <v>43515</v>
      </c>
      <c r="J161" s="165">
        <v>43787</v>
      </c>
      <c r="K161" s="166">
        <v>43797</v>
      </c>
      <c r="L161" s="165">
        <v>44162</v>
      </c>
      <c r="M161" s="165" t="s">
        <v>124</v>
      </c>
      <c r="N161" s="165">
        <v>1</v>
      </c>
    </row>
    <row r="162" spans="1:14" x14ac:dyDescent="0.25">
      <c r="A162" s="165" t="s">
        <v>1878</v>
      </c>
      <c r="B162" s="78">
        <v>3664</v>
      </c>
      <c r="C162" s="165" t="s">
        <v>925</v>
      </c>
      <c r="D162" s="165" t="s">
        <v>927</v>
      </c>
      <c r="E162" s="165" t="s">
        <v>1</v>
      </c>
      <c r="F162" s="165" t="s">
        <v>1075</v>
      </c>
      <c r="G162" s="165" t="s">
        <v>936</v>
      </c>
      <c r="H162" s="165" t="s">
        <v>1878</v>
      </c>
      <c r="I162" s="166">
        <v>43515</v>
      </c>
      <c r="J162" s="165">
        <v>43787</v>
      </c>
      <c r="K162" s="166">
        <v>43797</v>
      </c>
      <c r="L162" s="165">
        <v>44162</v>
      </c>
      <c r="M162" s="165" t="s">
        <v>124</v>
      </c>
      <c r="N162" s="165">
        <v>1</v>
      </c>
    </row>
    <row r="163" spans="1:14" x14ac:dyDescent="0.25">
      <c r="A163" s="165" t="s">
        <v>1879</v>
      </c>
      <c r="B163" s="78">
        <v>3000228</v>
      </c>
      <c r="C163" s="165" t="s">
        <v>925</v>
      </c>
      <c r="D163" s="165" t="s">
        <v>927</v>
      </c>
      <c r="E163" s="165" t="s">
        <v>47</v>
      </c>
      <c r="F163" s="165" t="s">
        <v>1076</v>
      </c>
      <c r="G163" s="165" t="s">
        <v>1077</v>
      </c>
      <c r="H163" s="165" t="s">
        <v>1879</v>
      </c>
      <c r="I163" s="166">
        <v>43661</v>
      </c>
      <c r="J163" s="165">
        <v>43661</v>
      </c>
      <c r="K163" s="166">
        <v>43661</v>
      </c>
      <c r="L163" s="165">
        <v>44026</v>
      </c>
      <c r="M163" s="165" t="s">
        <v>124</v>
      </c>
      <c r="N163" s="165">
        <v>1</v>
      </c>
    </row>
    <row r="164" spans="1:14" x14ac:dyDescent="0.25">
      <c r="A164" s="165" t="s">
        <v>1880</v>
      </c>
      <c r="B164" s="78">
        <v>99948</v>
      </c>
      <c r="C164" s="165" t="s">
        <v>1078</v>
      </c>
      <c r="D164" s="165" t="s">
        <v>1079</v>
      </c>
      <c r="E164" s="165" t="s">
        <v>47</v>
      </c>
      <c r="F164" s="165" t="s">
        <v>1080</v>
      </c>
      <c r="G164" s="165" t="s">
        <v>1081</v>
      </c>
      <c r="H164" s="165" t="s">
        <v>1880</v>
      </c>
      <c r="I164" s="166">
        <v>43329</v>
      </c>
      <c r="J164" s="165">
        <v>43992</v>
      </c>
      <c r="K164" s="166">
        <v>43992</v>
      </c>
      <c r="L164" s="165">
        <v>44357</v>
      </c>
      <c r="M164" s="165" t="s">
        <v>124</v>
      </c>
      <c r="N164" s="165">
        <v>1</v>
      </c>
    </row>
    <row r="165" spans="1:14" x14ac:dyDescent="0.25">
      <c r="A165" s="165" t="s">
        <v>1881</v>
      </c>
      <c r="B165" s="78">
        <v>9997</v>
      </c>
      <c r="C165" s="165" t="s">
        <v>912</v>
      </c>
      <c r="D165" s="165" t="s">
        <v>1082</v>
      </c>
      <c r="E165" s="165" t="s">
        <v>47</v>
      </c>
      <c r="F165" s="165" t="s">
        <v>1054</v>
      </c>
      <c r="G165" s="165" t="s">
        <v>1055</v>
      </c>
      <c r="H165" s="165" t="s">
        <v>1881</v>
      </c>
      <c r="I165" s="166">
        <v>43008</v>
      </c>
      <c r="J165" s="165">
        <v>43307</v>
      </c>
      <c r="K165" s="166">
        <v>43605</v>
      </c>
      <c r="L165" s="165">
        <v>43970</v>
      </c>
      <c r="M165" s="165" t="s">
        <v>124</v>
      </c>
      <c r="N165" s="165">
        <v>1</v>
      </c>
    </row>
    <row r="166" spans="1:14" x14ac:dyDescent="0.25">
      <c r="A166" s="165" t="s">
        <v>1882</v>
      </c>
      <c r="B166" s="78">
        <v>99933</v>
      </c>
      <c r="C166" s="165" t="s">
        <v>912</v>
      </c>
      <c r="D166" s="165" t="s">
        <v>943</v>
      </c>
      <c r="E166" s="165" t="s">
        <v>1</v>
      </c>
      <c r="F166" s="165" t="s">
        <v>935</v>
      </c>
      <c r="G166" s="165" t="s">
        <v>936</v>
      </c>
      <c r="H166" s="165" t="s">
        <v>1882</v>
      </c>
      <c r="I166" s="166">
        <v>43626</v>
      </c>
      <c r="J166" s="165">
        <v>43728</v>
      </c>
      <c r="K166" s="166">
        <v>43747</v>
      </c>
      <c r="L166" s="165">
        <v>44112</v>
      </c>
      <c r="M166" s="165" t="s">
        <v>124</v>
      </c>
      <c r="N166" s="165">
        <v>1</v>
      </c>
    </row>
    <row r="167" spans="1:14" x14ac:dyDescent="0.25">
      <c r="A167" s="165" t="s">
        <v>1883</v>
      </c>
      <c r="B167" s="78">
        <v>99934</v>
      </c>
      <c r="C167" s="165" t="s">
        <v>925</v>
      </c>
      <c r="D167" s="165" t="s">
        <v>926</v>
      </c>
      <c r="E167" s="165" t="s">
        <v>1</v>
      </c>
      <c r="F167" s="165" t="s">
        <v>935</v>
      </c>
      <c r="G167" s="165" t="s">
        <v>936</v>
      </c>
      <c r="H167" s="165" t="s">
        <v>1883</v>
      </c>
      <c r="I167" s="166">
        <v>43626</v>
      </c>
      <c r="J167" s="165">
        <v>43728</v>
      </c>
      <c r="K167" s="166">
        <v>43747</v>
      </c>
      <c r="L167" s="165">
        <v>44112</v>
      </c>
      <c r="M167" s="165" t="s">
        <v>124</v>
      </c>
      <c r="N167" s="165">
        <v>1</v>
      </c>
    </row>
    <row r="168" spans="1:14" x14ac:dyDescent="0.25">
      <c r="A168" s="165" t="s">
        <v>1884</v>
      </c>
      <c r="B168" s="78">
        <v>3002641</v>
      </c>
      <c r="C168" s="165" t="s">
        <v>912</v>
      </c>
      <c r="D168" s="165" t="s">
        <v>929</v>
      </c>
      <c r="E168" s="165" t="s">
        <v>1</v>
      </c>
      <c r="F168" s="165" t="s">
        <v>1083</v>
      </c>
      <c r="G168" s="165" t="s">
        <v>936</v>
      </c>
      <c r="H168" s="165" t="s">
        <v>1884</v>
      </c>
      <c r="I168" s="166">
        <v>43524</v>
      </c>
      <c r="J168" s="165">
        <v>43679</v>
      </c>
      <c r="K168" s="166">
        <v>44211</v>
      </c>
      <c r="L168" s="165">
        <v>44576</v>
      </c>
      <c r="M168" s="165" t="s">
        <v>124</v>
      </c>
      <c r="N168" s="165">
        <v>1</v>
      </c>
    </row>
    <row r="169" spans="1:14" x14ac:dyDescent="0.25">
      <c r="A169" s="165" t="s">
        <v>1885</v>
      </c>
      <c r="B169" s="78">
        <v>99924</v>
      </c>
      <c r="C169" s="165" t="s">
        <v>925</v>
      </c>
      <c r="D169" s="165" t="s">
        <v>926</v>
      </c>
      <c r="E169" s="165" t="s">
        <v>1</v>
      </c>
      <c r="F169" s="165" t="s">
        <v>1083</v>
      </c>
      <c r="G169" s="165" t="s">
        <v>936</v>
      </c>
      <c r="H169" s="165" t="s">
        <v>1885</v>
      </c>
      <c r="I169" s="166">
        <v>43524</v>
      </c>
      <c r="J169" s="165">
        <v>43679</v>
      </c>
      <c r="K169" s="166">
        <v>44211</v>
      </c>
      <c r="L169" s="165">
        <v>44576</v>
      </c>
      <c r="M169" s="165" t="s">
        <v>124</v>
      </c>
      <c r="N169" s="165">
        <v>1</v>
      </c>
    </row>
    <row r="170" spans="1:14" x14ac:dyDescent="0.25">
      <c r="A170" s="165" t="s">
        <v>1886</v>
      </c>
      <c r="B170" s="78">
        <v>99925</v>
      </c>
      <c r="C170" s="165" t="s">
        <v>925</v>
      </c>
      <c r="D170" s="165" t="s">
        <v>927</v>
      </c>
      <c r="E170" s="165" t="s">
        <v>1</v>
      </c>
      <c r="F170" s="165" t="s">
        <v>1083</v>
      </c>
      <c r="G170" s="165" t="s">
        <v>936</v>
      </c>
      <c r="H170" s="165" t="s">
        <v>1886</v>
      </c>
      <c r="I170" s="166">
        <v>43524</v>
      </c>
      <c r="J170" s="165">
        <v>43679</v>
      </c>
      <c r="K170" s="166">
        <v>44211</v>
      </c>
      <c r="L170" s="165">
        <v>44576</v>
      </c>
      <c r="M170" s="165" t="s">
        <v>124</v>
      </c>
      <c r="N170" s="165">
        <v>1</v>
      </c>
    </row>
    <row r="171" spans="1:14" x14ac:dyDescent="0.25">
      <c r="A171" s="165" t="s">
        <v>1887</v>
      </c>
      <c r="B171" s="78">
        <v>29292</v>
      </c>
      <c r="C171" s="165" t="s">
        <v>925</v>
      </c>
      <c r="D171" s="165" t="s">
        <v>927</v>
      </c>
      <c r="E171" s="165" t="s">
        <v>1</v>
      </c>
      <c r="F171" s="165" t="s">
        <v>1084</v>
      </c>
      <c r="G171" s="165" t="s">
        <v>936</v>
      </c>
      <c r="H171" s="165" t="s">
        <v>1887</v>
      </c>
      <c r="I171" s="166">
        <v>43524</v>
      </c>
      <c r="J171" s="165">
        <v>43679</v>
      </c>
      <c r="K171" s="166">
        <v>44222</v>
      </c>
      <c r="L171" s="165">
        <v>44587</v>
      </c>
      <c r="M171" s="165" t="s">
        <v>124</v>
      </c>
      <c r="N171" s="165">
        <v>1</v>
      </c>
    </row>
    <row r="172" spans="1:14" x14ac:dyDescent="0.25">
      <c r="A172" s="165" t="s">
        <v>1888</v>
      </c>
      <c r="B172" s="78">
        <v>55441</v>
      </c>
      <c r="C172" s="165" t="s">
        <v>925</v>
      </c>
      <c r="D172" s="165" t="s">
        <v>998</v>
      </c>
      <c r="E172" s="165" t="s">
        <v>1</v>
      </c>
      <c r="F172" s="165" t="s">
        <v>1084</v>
      </c>
      <c r="G172" s="165" t="s">
        <v>936</v>
      </c>
      <c r="H172" s="165" t="s">
        <v>1888</v>
      </c>
      <c r="I172" s="166">
        <v>44104</v>
      </c>
      <c r="J172" s="165">
        <v>44231</v>
      </c>
      <c r="K172" s="166" t="s">
        <v>949</v>
      </c>
      <c r="L172" s="165">
        <v>0</v>
      </c>
      <c r="M172" s="165" t="s">
        <v>124</v>
      </c>
      <c r="N172" s="165">
        <v>1</v>
      </c>
    </row>
    <row r="173" spans="1:14" x14ac:dyDescent="0.25">
      <c r="A173" s="165" t="s">
        <v>1889</v>
      </c>
      <c r="B173" s="78">
        <v>3000224</v>
      </c>
      <c r="C173" s="165" t="s">
        <v>912</v>
      </c>
      <c r="D173" s="165" t="s">
        <v>1082</v>
      </c>
      <c r="E173" s="165" t="s">
        <v>5</v>
      </c>
      <c r="F173" s="165" t="s">
        <v>1085</v>
      </c>
      <c r="G173" s="165" t="s">
        <v>1086</v>
      </c>
      <c r="H173" s="165" t="s">
        <v>1889</v>
      </c>
      <c r="I173" s="166">
        <v>43059</v>
      </c>
      <c r="J173" s="165">
        <v>43148</v>
      </c>
      <c r="K173" s="166">
        <v>43182</v>
      </c>
      <c r="L173" s="165">
        <v>43547</v>
      </c>
      <c r="M173" s="165" t="s">
        <v>124</v>
      </c>
      <c r="N173" s="165">
        <v>1</v>
      </c>
    </row>
    <row r="174" spans="1:14" x14ac:dyDescent="0.25">
      <c r="A174" s="165" t="s">
        <v>1890</v>
      </c>
      <c r="B174" s="78">
        <v>44524</v>
      </c>
      <c r="C174" s="165" t="s">
        <v>912</v>
      </c>
      <c r="D174" s="165" t="s">
        <v>937</v>
      </c>
      <c r="E174" s="165" t="s">
        <v>954</v>
      </c>
      <c r="F174" s="165" t="s">
        <v>1087</v>
      </c>
      <c r="G174" s="165" t="s">
        <v>971</v>
      </c>
      <c r="H174" s="165" t="s">
        <v>1890</v>
      </c>
      <c r="I174" s="166">
        <v>44119</v>
      </c>
      <c r="J174" s="165">
        <v>44232</v>
      </c>
      <c r="K174" s="166">
        <v>44246</v>
      </c>
      <c r="L174" s="165">
        <v>44611</v>
      </c>
      <c r="M174" s="165" t="s">
        <v>122</v>
      </c>
      <c r="N174" s="165">
        <v>1</v>
      </c>
    </row>
    <row r="175" spans="1:14" x14ac:dyDescent="0.25">
      <c r="A175" s="165" t="s">
        <v>1891</v>
      </c>
      <c r="B175" s="78">
        <v>64563</v>
      </c>
      <c r="C175" s="165" t="s">
        <v>925</v>
      </c>
      <c r="D175" s="165" t="s">
        <v>979</v>
      </c>
      <c r="E175" s="165" t="s">
        <v>954</v>
      </c>
      <c r="F175" s="165" t="s">
        <v>1087</v>
      </c>
      <c r="G175" s="165" t="s">
        <v>971</v>
      </c>
      <c r="H175" s="165" t="s">
        <v>1891</v>
      </c>
      <c r="I175" s="166">
        <v>44119</v>
      </c>
      <c r="J175" s="165">
        <v>44232</v>
      </c>
      <c r="K175" s="166">
        <v>44246</v>
      </c>
      <c r="L175" s="165">
        <v>44611</v>
      </c>
      <c r="M175" s="165" t="s">
        <v>122</v>
      </c>
      <c r="N175" s="165">
        <v>0</v>
      </c>
    </row>
    <row r="176" spans="1:14" x14ac:dyDescent="0.25">
      <c r="A176" s="165" t="s">
        <v>1892</v>
      </c>
      <c r="B176" s="78">
        <v>36932</v>
      </c>
      <c r="C176" s="165" t="s">
        <v>912</v>
      </c>
      <c r="D176" s="165" t="s">
        <v>937</v>
      </c>
      <c r="E176" s="165" t="s">
        <v>954</v>
      </c>
      <c r="F176" s="165" t="s">
        <v>1088</v>
      </c>
      <c r="G176" s="165" t="s">
        <v>997</v>
      </c>
      <c r="H176" s="165" t="s">
        <v>1892</v>
      </c>
      <c r="I176" s="166">
        <v>43668</v>
      </c>
      <c r="J176" s="165">
        <v>43816</v>
      </c>
      <c r="K176" s="166">
        <v>43844</v>
      </c>
      <c r="L176" s="165">
        <v>44209</v>
      </c>
      <c r="M176" s="165" t="s">
        <v>124</v>
      </c>
      <c r="N176" s="165">
        <v>1</v>
      </c>
    </row>
    <row r="177" spans="1:14" x14ac:dyDescent="0.25">
      <c r="A177" s="165" t="s">
        <v>1893</v>
      </c>
      <c r="B177" s="78">
        <v>36932</v>
      </c>
      <c r="C177" s="165" t="s">
        <v>925</v>
      </c>
      <c r="D177" s="165" t="s">
        <v>926</v>
      </c>
      <c r="E177" s="165" t="s">
        <v>954</v>
      </c>
      <c r="F177" s="165" t="s">
        <v>1088</v>
      </c>
      <c r="G177" s="165" t="s">
        <v>997</v>
      </c>
      <c r="H177" s="165" t="s">
        <v>1893</v>
      </c>
      <c r="I177" s="166">
        <v>43668</v>
      </c>
      <c r="J177" s="165">
        <v>43816</v>
      </c>
      <c r="K177" s="166">
        <v>43844</v>
      </c>
      <c r="L177" s="165">
        <v>44209</v>
      </c>
      <c r="M177" s="165" t="s">
        <v>124</v>
      </c>
      <c r="N177" s="165">
        <v>1</v>
      </c>
    </row>
    <row r="178" spans="1:14" x14ac:dyDescent="0.25">
      <c r="A178" s="165" t="s">
        <v>1894</v>
      </c>
      <c r="B178" s="78">
        <v>36932</v>
      </c>
      <c r="C178" s="165" t="s">
        <v>925</v>
      </c>
      <c r="D178" s="165" t="s">
        <v>927</v>
      </c>
      <c r="E178" s="165" t="s">
        <v>954</v>
      </c>
      <c r="F178" s="165" t="s">
        <v>1088</v>
      </c>
      <c r="G178" s="165" t="s">
        <v>997</v>
      </c>
      <c r="H178" s="165" t="s">
        <v>1894</v>
      </c>
      <c r="I178" s="166">
        <v>43668</v>
      </c>
      <c r="J178" s="165">
        <v>43816</v>
      </c>
      <c r="K178" s="166">
        <v>43844</v>
      </c>
      <c r="L178" s="165">
        <v>44209</v>
      </c>
      <c r="M178" s="165" t="s">
        <v>124</v>
      </c>
      <c r="N178" s="165">
        <v>1</v>
      </c>
    </row>
    <row r="179" spans="1:14" x14ac:dyDescent="0.25">
      <c r="A179" s="165" t="s">
        <v>1895</v>
      </c>
      <c r="B179" s="78">
        <v>99935</v>
      </c>
      <c r="C179" s="165" t="s">
        <v>912</v>
      </c>
      <c r="D179" s="165" t="s">
        <v>929</v>
      </c>
      <c r="E179" s="165" t="s">
        <v>1</v>
      </c>
      <c r="F179" s="165" t="s">
        <v>1089</v>
      </c>
      <c r="G179" s="165" t="s">
        <v>936</v>
      </c>
      <c r="H179" s="165" t="s">
        <v>1895</v>
      </c>
      <c r="I179" s="166">
        <v>43586</v>
      </c>
      <c r="J179" s="165">
        <v>43707</v>
      </c>
      <c r="K179" s="166">
        <v>43738</v>
      </c>
      <c r="L179" s="165">
        <v>44103</v>
      </c>
      <c r="M179" s="165" t="s">
        <v>124</v>
      </c>
      <c r="N179" s="165">
        <v>1</v>
      </c>
    </row>
    <row r="180" spans="1:14" x14ac:dyDescent="0.25">
      <c r="A180" s="165" t="s">
        <v>1896</v>
      </c>
      <c r="B180" s="78">
        <v>99936</v>
      </c>
      <c r="C180" s="165" t="s">
        <v>925</v>
      </c>
      <c r="D180" s="165" t="s">
        <v>926</v>
      </c>
      <c r="E180" s="165" t="s">
        <v>1</v>
      </c>
      <c r="F180" s="165" t="s">
        <v>1089</v>
      </c>
      <c r="G180" s="165" t="s">
        <v>936</v>
      </c>
      <c r="H180" s="165" t="s">
        <v>1896</v>
      </c>
      <c r="I180" s="166">
        <v>43586</v>
      </c>
      <c r="J180" s="165">
        <v>43707</v>
      </c>
      <c r="K180" s="166">
        <v>43738</v>
      </c>
      <c r="L180" s="165">
        <v>44103</v>
      </c>
      <c r="M180" s="165" t="s">
        <v>124</v>
      </c>
      <c r="N180" s="165">
        <v>1</v>
      </c>
    </row>
    <row r="181" spans="1:14" x14ac:dyDescent="0.25">
      <c r="A181" s="165" t="s">
        <v>1897</v>
      </c>
      <c r="B181" s="78">
        <v>99937</v>
      </c>
      <c r="C181" s="165" t="s">
        <v>925</v>
      </c>
      <c r="D181" s="165" t="s">
        <v>927</v>
      </c>
      <c r="E181" s="165" t="s">
        <v>1</v>
      </c>
      <c r="F181" s="165" t="s">
        <v>1089</v>
      </c>
      <c r="G181" s="165" t="s">
        <v>936</v>
      </c>
      <c r="H181" s="165" t="s">
        <v>1897</v>
      </c>
      <c r="I181" s="166">
        <v>43586</v>
      </c>
      <c r="J181" s="165">
        <v>43707</v>
      </c>
      <c r="K181" s="166">
        <v>43738</v>
      </c>
      <c r="L181" s="165">
        <v>44103</v>
      </c>
      <c r="M181" s="165" t="s">
        <v>124</v>
      </c>
      <c r="N181" s="165">
        <v>1</v>
      </c>
    </row>
    <row r="182" spans="1:14" x14ac:dyDescent="0.25">
      <c r="A182" s="165" t="s">
        <v>1898</v>
      </c>
      <c r="B182" s="78">
        <v>3000228</v>
      </c>
      <c r="C182" s="165" t="s">
        <v>925</v>
      </c>
      <c r="D182" s="165" t="s">
        <v>927</v>
      </c>
      <c r="E182" s="165" t="s">
        <v>5</v>
      </c>
      <c r="F182" s="165" t="s">
        <v>1090</v>
      </c>
      <c r="G182" s="165" t="s">
        <v>1024</v>
      </c>
      <c r="H182" s="165" t="s">
        <v>1898</v>
      </c>
      <c r="I182" s="166">
        <v>43543</v>
      </c>
      <c r="J182" s="165">
        <v>43577</v>
      </c>
      <c r="K182" s="166">
        <v>43577</v>
      </c>
      <c r="L182" s="165">
        <v>43942</v>
      </c>
      <c r="M182" s="165" t="s">
        <v>124</v>
      </c>
      <c r="N182" s="165">
        <v>1</v>
      </c>
    </row>
    <row r="183" spans="1:14" x14ac:dyDescent="0.25">
      <c r="A183" s="165" t="s">
        <v>1899</v>
      </c>
      <c r="B183" s="78">
        <v>59635</v>
      </c>
      <c r="C183" s="165" t="s">
        <v>912</v>
      </c>
      <c r="D183" s="165" t="s">
        <v>922</v>
      </c>
      <c r="E183" s="165" t="s">
        <v>1</v>
      </c>
      <c r="F183" s="165" t="s">
        <v>1091</v>
      </c>
      <c r="G183" s="165" t="s">
        <v>1092</v>
      </c>
      <c r="H183" s="165" t="s">
        <v>1899</v>
      </c>
      <c r="I183" s="166">
        <v>44073</v>
      </c>
      <c r="J183" s="165">
        <v>44078</v>
      </c>
      <c r="K183" s="166">
        <v>44095</v>
      </c>
      <c r="L183" s="165">
        <v>44460</v>
      </c>
      <c r="M183" s="165" t="s">
        <v>124</v>
      </c>
      <c r="N183" s="165">
        <v>1</v>
      </c>
    </row>
    <row r="184" spans="1:14" x14ac:dyDescent="0.25">
      <c r="A184" s="165" t="s">
        <v>1900</v>
      </c>
      <c r="B184" s="78">
        <v>14599</v>
      </c>
      <c r="C184" s="165" t="s">
        <v>925</v>
      </c>
      <c r="D184" s="165" t="s">
        <v>926</v>
      </c>
      <c r="E184" s="165" t="s">
        <v>1</v>
      </c>
      <c r="F184" s="165" t="s">
        <v>1091</v>
      </c>
      <c r="G184" s="165" t="s">
        <v>1092</v>
      </c>
      <c r="H184" s="165" t="s">
        <v>1900</v>
      </c>
      <c r="I184" s="166">
        <v>44073</v>
      </c>
      <c r="J184" s="165">
        <v>44078</v>
      </c>
      <c r="K184" s="166">
        <v>44095</v>
      </c>
      <c r="L184" s="165">
        <v>44460</v>
      </c>
      <c r="M184" s="165" t="s">
        <v>124</v>
      </c>
      <c r="N184" s="165">
        <v>1</v>
      </c>
    </row>
    <row r="185" spans="1:14" x14ac:dyDescent="0.25">
      <c r="A185" s="165" t="s">
        <v>1901</v>
      </c>
      <c r="B185" s="78">
        <v>94001</v>
      </c>
      <c r="C185" s="165" t="s">
        <v>925</v>
      </c>
      <c r="D185" s="165" t="s">
        <v>927</v>
      </c>
      <c r="E185" s="165" t="s">
        <v>1</v>
      </c>
      <c r="F185" s="165" t="s">
        <v>1091</v>
      </c>
      <c r="G185" s="165" t="s">
        <v>1092</v>
      </c>
      <c r="H185" s="165" t="s">
        <v>1901</v>
      </c>
      <c r="I185" s="166">
        <v>44073</v>
      </c>
      <c r="J185" s="165">
        <v>44078</v>
      </c>
      <c r="K185" s="166">
        <v>44095</v>
      </c>
      <c r="L185" s="165">
        <v>44460</v>
      </c>
      <c r="M185" s="165" t="s">
        <v>124</v>
      </c>
      <c r="N185" s="165">
        <v>1</v>
      </c>
    </row>
    <row r="186" spans="1:14" x14ac:dyDescent="0.25">
      <c r="A186" s="165" t="s">
        <v>1902</v>
      </c>
      <c r="B186" s="78">
        <v>75845</v>
      </c>
      <c r="C186" s="165" t="s">
        <v>912</v>
      </c>
      <c r="D186" s="165" t="s">
        <v>1093</v>
      </c>
      <c r="E186" s="165" t="s">
        <v>3</v>
      </c>
      <c r="F186" s="165" t="s">
        <v>1094</v>
      </c>
      <c r="G186" s="165" t="s">
        <v>962</v>
      </c>
      <c r="H186" s="165" t="s">
        <v>1902</v>
      </c>
      <c r="I186" s="166">
        <v>44201</v>
      </c>
      <c r="J186" s="165">
        <v>44377</v>
      </c>
      <c r="K186" s="166">
        <v>44407</v>
      </c>
      <c r="L186" s="165">
        <v>44772</v>
      </c>
      <c r="M186" s="165" t="s">
        <v>122</v>
      </c>
      <c r="N186" s="165">
        <v>1</v>
      </c>
    </row>
    <row r="187" spans="1:14" x14ac:dyDescent="0.25">
      <c r="A187" s="165" t="s">
        <v>1903</v>
      </c>
      <c r="B187" s="78">
        <v>50875</v>
      </c>
      <c r="C187" s="165" t="s">
        <v>912</v>
      </c>
      <c r="D187" s="165" t="s">
        <v>929</v>
      </c>
      <c r="E187" s="165" t="s">
        <v>1</v>
      </c>
      <c r="F187" s="165" t="s">
        <v>1095</v>
      </c>
      <c r="G187" s="165" t="s">
        <v>942</v>
      </c>
      <c r="H187" s="165" t="s">
        <v>1903</v>
      </c>
      <c r="I187" s="166">
        <v>44075</v>
      </c>
      <c r="J187" s="165">
        <v>44183</v>
      </c>
      <c r="K187" s="166">
        <v>44188</v>
      </c>
      <c r="L187" s="165">
        <v>44553</v>
      </c>
      <c r="M187" s="165" t="s">
        <v>124</v>
      </c>
      <c r="N187" s="165">
        <v>1</v>
      </c>
    </row>
    <row r="188" spans="1:14" x14ac:dyDescent="0.25">
      <c r="A188" s="165" t="s">
        <v>1904</v>
      </c>
      <c r="B188" s="78">
        <v>46436</v>
      </c>
      <c r="C188" s="165" t="s">
        <v>925</v>
      </c>
      <c r="D188" s="165" t="s">
        <v>926</v>
      </c>
      <c r="E188" s="165" t="s">
        <v>1</v>
      </c>
      <c r="F188" s="165" t="s">
        <v>1095</v>
      </c>
      <c r="G188" s="165" t="s">
        <v>942</v>
      </c>
      <c r="H188" s="165" t="s">
        <v>1904</v>
      </c>
      <c r="I188" s="166">
        <v>44075</v>
      </c>
      <c r="J188" s="165">
        <v>44183</v>
      </c>
      <c r="K188" s="166">
        <v>44188</v>
      </c>
      <c r="L188" s="165">
        <v>44553</v>
      </c>
      <c r="M188" s="165" t="s">
        <v>124</v>
      </c>
      <c r="N188" s="165">
        <v>1</v>
      </c>
    </row>
    <row r="189" spans="1:14" x14ac:dyDescent="0.25">
      <c r="A189" s="165" t="s">
        <v>1905</v>
      </c>
      <c r="B189" s="78">
        <v>16928</v>
      </c>
      <c r="C189" s="165" t="s">
        <v>925</v>
      </c>
      <c r="D189" s="165" t="s">
        <v>927</v>
      </c>
      <c r="E189" s="165" t="s">
        <v>1</v>
      </c>
      <c r="F189" s="165" t="s">
        <v>1095</v>
      </c>
      <c r="G189" s="165" t="s">
        <v>942</v>
      </c>
      <c r="H189" s="165" t="s">
        <v>1905</v>
      </c>
      <c r="I189" s="166">
        <v>44075</v>
      </c>
      <c r="J189" s="165">
        <v>44183</v>
      </c>
      <c r="K189" s="166">
        <v>44188</v>
      </c>
      <c r="L189" s="165">
        <v>44553</v>
      </c>
      <c r="M189" s="165" t="s">
        <v>124</v>
      </c>
      <c r="N189" s="165">
        <v>1</v>
      </c>
    </row>
    <row r="190" spans="1:14" x14ac:dyDescent="0.25">
      <c r="A190" s="165" t="s">
        <v>1906</v>
      </c>
      <c r="B190" s="78">
        <v>3000247</v>
      </c>
      <c r="C190" s="165" t="s">
        <v>912</v>
      </c>
      <c r="D190" s="165" t="s">
        <v>929</v>
      </c>
      <c r="E190" s="165" t="s">
        <v>1</v>
      </c>
      <c r="F190" s="165" t="s">
        <v>1096</v>
      </c>
      <c r="G190" s="165" t="s">
        <v>931</v>
      </c>
      <c r="H190" s="165" t="s">
        <v>1906</v>
      </c>
      <c r="I190" s="166">
        <v>43496</v>
      </c>
      <c r="J190" s="165">
        <v>43605</v>
      </c>
      <c r="K190" s="166">
        <v>43615</v>
      </c>
      <c r="L190" s="165">
        <v>43980</v>
      </c>
      <c r="M190" s="165" t="s">
        <v>124</v>
      </c>
      <c r="N190" s="165">
        <v>1</v>
      </c>
    </row>
    <row r="191" spans="1:14" x14ac:dyDescent="0.25">
      <c r="A191" s="165" t="s">
        <v>1907</v>
      </c>
      <c r="B191" s="78">
        <v>3000192</v>
      </c>
      <c r="C191" s="165" t="s">
        <v>925</v>
      </c>
      <c r="D191" s="165" t="s">
        <v>926</v>
      </c>
      <c r="E191" s="165" t="s">
        <v>1</v>
      </c>
      <c r="F191" s="165" t="s">
        <v>1096</v>
      </c>
      <c r="G191" s="165" t="s">
        <v>931</v>
      </c>
      <c r="H191" s="165" t="s">
        <v>1907</v>
      </c>
      <c r="I191" s="166">
        <v>43496</v>
      </c>
      <c r="J191" s="165">
        <v>43605</v>
      </c>
      <c r="K191" s="166">
        <v>43615</v>
      </c>
      <c r="L191" s="165">
        <v>43980</v>
      </c>
      <c r="M191" s="165" t="s">
        <v>124</v>
      </c>
      <c r="N191" s="165">
        <v>1</v>
      </c>
    </row>
    <row r="192" spans="1:14" x14ac:dyDescent="0.25">
      <c r="A192" s="165" t="s">
        <v>1908</v>
      </c>
      <c r="B192" s="78">
        <v>75442</v>
      </c>
      <c r="C192" s="165" t="s">
        <v>912</v>
      </c>
      <c r="D192" s="165" t="s">
        <v>922</v>
      </c>
      <c r="E192" s="165" t="s">
        <v>1</v>
      </c>
      <c r="F192" s="165" t="s">
        <v>1097</v>
      </c>
      <c r="G192" s="165" t="s">
        <v>924</v>
      </c>
      <c r="H192" s="165" t="s">
        <v>1908</v>
      </c>
      <c r="I192" s="166">
        <v>43230</v>
      </c>
      <c r="J192" s="165">
        <v>43979</v>
      </c>
      <c r="K192" s="166">
        <v>44029</v>
      </c>
      <c r="L192" s="165">
        <v>44394</v>
      </c>
      <c r="M192" s="165" t="s">
        <v>124</v>
      </c>
      <c r="N192" s="165">
        <v>1</v>
      </c>
    </row>
    <row r="193" spans="1:14" x14ac:dyDescent="0.25">
      <c r="A193" s="165" t="s">
        <v>1909</v>
      </c>
      <c r="B193" s="78">
        <v>44615</v>
      </c>
      <c r="C193" s="165" t="s">
        <v>925</v>
      </c>
      <c r="D193" s="165" t="s">
        <v>1098</v>
      </c>
      <c r="E193" s="165" t="s">
        <v>1</v>
      </c>
      <c r="F193" s="165" t="s">
        <v>1099</v>
      </c>
      <c r="G193" s="165" t="s">
        <v>924</v>
      </c>
      <c r="H193" s="165" t="s">
        <v>1909</v>
      </c>
      <c r="I193" s="166">
        <v>44022</v>
      </c>
      <c r="J193" s="165">
        <v>44090</v>
      </c>
      <c r="K193" s="166">
        <v>44090</v>
      </c>
      <c r="L193" s="165">
        <v>44455</v>
      </c>
      <c r="M193" s="165" t="s">
        <v>124</v>
      </c>
      <c r="N193" s="165">
        <v>1</v>
      </c>
    </row>
    <row r="194" spans="1:14" x14ac:dyDescent="0.25">
      <c r="A194" s="165" t="s">
        <v>1910</v>
      </c>
      <c r="B194" s="78">
        <v>29209</v>
      </c>
      <c r="C194" s="165" t="s">
        <v>912</v>
      </c>
      <c r="D194" s="165" t="s">
        <v>929</v>
      </c>
      <c r="E194" s="165" t="s">
        <v>1</v>
      </c>
      <c r="F194" s="165" t="s">
        <v>1100</v>
      </c>
      <c r="G194" s="165" t="s">
        <v>959</v>
      </c>
      <c r="H194" s="165" t="s">
        <v>1910</v>
      </c>
      <c r="I194" s="166">
        <v>43861</v>
      </c>
      <c r="J194" s="165">
        <v>44104</v>
      </c>
      <c r="K194" s="166">
        <v>44130</v>
      </c>
      <c r="L194" s="165">
        <v>44495</v>
      </c>
      <c r="M194" s="165" t="s">
        <v>124</v>
      </c>
      <c r="N194" s="165">
        <v>1</v>
      </c>
    </row>
    <row r="195" spans="1:14" x14ac:dyDescent="0.25">
      <c r="A195" s="165" t="s">
        <v>1911</v>
      </c>
      <c r="B195" s="78">
        <v>99525</v>
      </c>
      <c r="C195" s="165" t="s">
        <v>925</v>
      </c>
      <c r="D195" s="165" t="s">
        <v>926</v>
      </c>
      <c r="E195" s="165" t="s">
        <v>1</v>
      </c>
      <c r="F195" s="165" t="s">
        <v>1100</v>
      </c>
      <c r="G195" s="165" t="s">
        <v>959</v>
      </c>
      <c r="H195" s="165" t="s">
        <v>1911</v>
      </c>
      <c r="I195" s="166">
        <v>43861</v>
      </c>
      <c r="J195" s="165">
        <v>44104</v>
      </c>
      <c r="K195" s="166">
        <v>44130</v>
      </c>
      <c r="L195" s="165">
        <v>44495</v>
      </c>
      <c r="M195" s="165" t="s">
        <v>124</v>
      </c>
      <c r="N195" s="165">
        <v>1</v>
      </c>
    </row>
    <row r="196" spans="1:14" x14ac:dyDescent="0.25">
      <c r="A196" s="165" t="s">
        <v>1912</v>
      </c>
      <c r="B196" s="78">
        <v>28436</v>
      </c>
      <c r="C196" s="165" t="s">
        <v>925</v>
      </c>
      <c r="D196" s="165" t="s">
        <v>927</v>
      </c>
      <c r="E196" s="165" t="s">
        <v>1</v>
      </c>
      <c r="F196" s="165" t="s">
        <v>1100</v>
      </c>
      <c r="G196" s="165" t="s">
        <v>959</v>
      </c>
      <c r="H196" s="165" t="s">
        <v>1912</v>
      </c>
      <c r="I196" s="166">
        <v>43861</v>
      </c>
      <c r="J196" s="165">
        <v>44104</v>
      </c>
      <c r="K196" s="166">
        <v>44130</v>
      </c>
      <c r="L196" s="165">
        <v>44495</v>
      </c>
      <c r="M196" s="165" t="s">
        <v>124</v>
      </c>
      <c r="N196" s="165">
        <v>1</v>
      </c>
    </row>
    <row r="197" spans="1:14" x14ac:dyDescent="0.25">
      <c r="A197" s="165" t="s">
        <v>1913</v>
      </c>
      <c r="B197" s="78">
        <v>9996</v>
      </c>
      <c r="C197" s="165" t="s">
        <v>912</v>
      </c>
      <c r="D197" s="165" t="s">
        <v>1101</v>
      </c>
      <c r="E197" s="165" t="s">
        <v>1</v>
      </c>
      <c r="F197" s="165" t="s">
        <v>1102</v>
      </c>
      <c r="G197" s="165" t="s">
        <v>931</v>
      </c>
      <c r="H197" s="165" t="s">
        <v>1913</v>
      </c>
      <c r="I197" s="166">
        <v>42566</v>
      </c>
      <c r="J197" s="165">
        <v>42742</v>
      </c>
      <c r="K197" s="166">
        <v>42842</v>
      </c>
      <c r="L197" s="165">
        <v>43207</v>
      </c>
      <c r="M197" s="165" t="s">
        <v>124</v>
      </c>
      <c r="N197" s="165">
        <v>1</v>
      </c>
    </row>
    <row r="198" spans="1:14" x14ac:dyDescent="0.25">
      <c r="A198" s="165" t="s">
        <v>1914</v>
      </c>
      <c r="B198" s="78">
        <v>10080</v>
      </c>
      <c r="C198" s="165" t="s">
        <v>925</v>
      </c>
      <c r="D198" s="165" t="s">
        <v>927</v>
      </c>
      <c r="E198" s="165" t="s">
        <v>3</v>
      </c>
      <c r="F198" s="165" t="s">
        <v>1103</v>
      </c>
      <c r="G198" s="165" t="s">
        <v>1065</v>
      </c>
      <c r="H198" s="165" t="s">
        <v>1914</v>
      </c>
      <c r="I198" s="166">
        <v>43755</v>
      </c>
      <c r="J198" s="165">
        <v>43808</v>
      </c>
      <c r="K198" s="166">
        <v>43808</v>
      </c>
      <c r="L198" s="165">
        <v>44173</v>
      </c>
      <c r="M198" s="165" t="s">
        <v>124</v>
      </c>
      <c r="N198" s="165">
        <v>1</v>
      </c>
    </row>
    <row r="199" spans="1:14" x14ac:dyDescent="0.25">
      <c r="A199" s="165" t="s">
        <v>1915</v>
      </c>
      <c r="B199" s="78">
        <v>53238</v>
      </c>
      <c r="C199" s="165" t="s">
        <v>925</v>
      </c>
      <c r="D199" s="165" t="s">
        <v>927</v>
      </c>
      <c r="E199" s="165" t="s">
        <v>2</v>
      </c>
      <c r="F199" s="165" t="s">
        <v>1104</v>
      </c>
      <c r="G199" s="165" t="s">
        <v>1040</v>
      </c>
      <c r="H199" s="165" t="s">
        <v>1915</v>
      </c>
      <c r="I199" s="166">
        <v>44127</v>
      </c>
      <c r="J199" s="165">
        <v>44147</v>
      </c>
      <c r="K199" s="166">
        <v>44147</v>
      </c>
      <c r="L199" s="165">
        <v>44512</v>
      </c>
      <c r="M199" s="165" t="s">
        <v>124</v>
      </c>
      <c r="N199" s="165">
        <v>1</v>
      </c>
    </row>
    <row r="200" spans="1:14" x14ac:dyDescent="0.25">
      <c r="A200" s="165" t="s">
        <v>1916</v>
      </c>
      <c r="B200" s="78">
        <v>40476</v>
      </c>
      <c r="C200" s="165" t="s">
        <v>912</v>
      </c>
      <c r="D200" s="165" t="s">
        <v>937</v>
      </c>
      <c r="E200" s="165" t="s">
        <v>1</v>
      </c>
      <c r="F200" s="165" t="s">
        <v>1105</v>
      </c>
      <c r="G200" s="165" t="s">
        <v>936</v>
      </c>
      <c r="H200" s="165" t="s">
        <v>1916</v>
      </c>
      <c r="I200" s="166">
        <v>44074</v>
      </c>
      <c r="J200" s="165">
        <v>44174</v>
      </c>
      <c r="K200" s="166">
        <v>44217</v>
      </c>
      <c r="L200" s="165">
        <v>44582</v>
      </c>
      <c r="M200" s="165" t="s">
        <v>124</v>
      </c>
      <c r="N200" s="165">
        <v>1</v>
      </c>
    </row>
    <row r="201" spans="1:14" x14ac:dyDescent="0.25">
      <c r="A201" s="165" t="s">
        <v>1917</v>
      </c>
      <c r="B201" s="78">
        <v>80362</v>
      </c>
      <c r="C201" s="165" t="s">
        <v>925</v>
      </c>
      <c r="D201" s="165" t="s">
        <v>926</v>
      </c>
      <c r="E201" s="165" t="s">
        <v>1</v>
      </c>
      <c r="F201" s="165" t="s">
        <v>1105</v>
      </c>
      <c r="G201" s="165" t="s">
        <v>936</v>
      </c>
      <c r="H201" s="165" t="s">
        <v>1917</v>
      </c>
      <c r="I201" s="166">
        <v>44074</v>
      </c>
      <c r="J201" s="165">
        <v>44174</v>
      </c>
      <c r="K201" s="166">
        <v>44217</v>
      </c>
      <c r="L201" s="165">
        <v>44582</v>
      </c>
      <c r="M201" s="165" t="s">
        <v>124</v>
      </c>
      <c r="N201" s="165">
        <v>1</v>
      </c>
    </row>
    <row r="202" spans="1:14" x14ac:dyDescent="0.25">
      <c r="A202" s="165" t="s">
        <v>1918</v>
      </c>
      <c r="B202" s="78">
        <v>532381</v>
      </c>
      <c r="C202" s="165" t="s">
        <v>925</v>
      </c>
      <c r="D202" s="165" t="s">
        <v>927</v>
      </c>
      <c r="E202" s="165" t="s">
        <v>1</v>
      </c>
      <c r="F202" s="165" t="s">
        <v>1105</v>
      </c>
      <c r="G202" s="165" t="s">
        <v>936</v>
      </c>
      <c r="H202" s="165" t="s">
        <v>1918</v>
      </c>
      <c r="I202" s="166">
        <v>44074</v>
      </c>
      <c r="J202" s="165">
        <v>44174</v>
      </c>
      <c r="K202" s="166">
        <v>44217</v>
      </c>
      <c r="L202" s="165">
        <v>44582</v>
      </c>
      <c r="M202" s="165" t="s">
        <v>124</v>
      </c>
      <c r="N202" s="165">
        <v>1</v>
      </c>
    </row>
    <row r="203" spans="1:14" x14ac:dyDescent="0.25">
      <c r="A203" s="165" t="s">
        <v>1919</v>
      </c>
      <c r="B203" s="78">
        <v>57951</v>
      </c>
      <c r="C203" s="165" t="s">
        <v>912</v>
      </c>
      <c r="D203" s="165" t="s">
        <v>943</v>
      </c>
      <c r="E203" s="165" t="s">
        <v>1</v>
      </c>
      <c r="F203" s="165" t="s">
        <v>1106</v>
      </c>
      <c r="G203" s="165" t="s">
        <v>924</v>
      </c>
      <c r="H203" s="165" t="s">
        <v>1919</v>
      </c>
      <c r="I203" s="166">
        <v>44134</v>
      </c>
      <c r="J203" s="165">
        <v>44134</v>
      </c>
      <c r="K203" s="166">
        <v>44141</v>
      </c>
      <c r="L203" s="165">
        <v>44506</v>
      </c>
      <c r="M203" s="165" t="s">
        <v>124</v>
      </c>
      <c r="N203" s="165">
        <v>1</v>
      </c>
    </row>
    <row r="204" spans="1:14" x14ac:dyDescent="0.25">
      <c r="A204" s="165" t="s">
        <v>1920</v>
      </c>
      <c r="B204" s="78">
        <v>43071</v>
      </c>
      <c r="C204" s="165" t="s">
        <v>925</v>
      </c>
      <c r="D204" s="165" t="s">
        <v>926</v>
      </c>
      <c r="E204" s="165" t="s">
        <v>1</v>
      </c>
      <c r="F204" s="165" t="s">
        <v>1106</v>
      </c>
      <c r="G204" s="165" t="s">
        <v>924</v>
      </c>
      <c r="H204" s="165" t="s">
        <v>1920</v>
      </c>
      <c r="I204" s="166">
        <v>44134</v>
      </c>
      <c r="J204" s="165">
        <v>44134</v>
      </c>
      <c r="K204" s="166">
        <v>44141</v>
      </c>
      <c r="L204" s="165">
        <v>44506</v>
      </c>
      <c r="M204" s="165" t="s">
        <v>124</v>
      </c>
      <c r="N204" s="165">
        <v>1</v>
      </c>
    </row>
    <row r="205" spans="1:14" x14ac:dyDescent="0.25">
      <c r="A205" s="165" t="s">
        <v>1921</v>
      </c>
      <c r="B205" s="78">
        <v>67213</v>
      </c>
      <c r="C205" s="165" t="s">
        <v>925</v>
      </c>
      <c r="D205" s="165" t="s">
        <v>928</v>
      </c>
      <c r="E205" s="165" t="s">
        <v>1</v>
      </c>
      <c r="F205" s="165" t="s">
        <v>1106</v>
      </c>
      <c r="G205" s="165" t="s">
        <v>924</v>
      </c>
      <c r="H205" s="165" t="s">
        <v>1921</v>
      </c>
      <c r="I205" s="166">
        <v>44134</v>
      </c>
      <c r="J205" s="165">
        <v>44134</v>
      </c>
      <c r="K205" s="166">
        <v>44141</v>
      </c>
      <c r="L205" s="165">
        <v>44506</v>
      </c>
      <c r="M205" s="165" t="s">
        <v>124</v>
      </c>
      <c r="N205" s="165">
        <v>0</v>
      </c>
    </row>
    <row r="206" spans="1:14" x14ac:dyDescent="0.25">
      <c r="A206" s="165" t="s">
        <v>1922</v>
      </c>
      <c r="B206" s="78">
        <v>57409</v>
      </c>
      <c r="C206" s="165" t="s">
        <v>912</v>
      </c>
      <c r="D206" s="165" t="s">
        <v>937</v>
      </c>
      <c r="E206" s="165" t="s">
        <v>954</v>
      </c>
      <c r="F206" s="165" t="s">
        <v>1107</v>
      </c>
      <c r="G206" s="165" t="s">
        <v>1108</v>
      </c>
      <c r="H206" s="165" t="s">
        <v>1922</v>
      </c>
      <c r="I206" s="166">
        <v>43951</v>
      </c>
      <c r="J206" s="165">
        <v>44012</v>
      </c>
      <c r="K206" s="166">
        <v>44024</v>
      </c>
      <c r="L206" s="165">
        <v>44389</v>
      </c>
      <c r="M206" s="165" t="s">
        <v>124</v>
      </c>
      <c r="N206" s="165">
        <v>1</v>
      </c>
    </row>
    <row r="207" spans="1:14" x14ac:dyDescent="0.25">
      <c r="A207" s="165" t="s">
        <v>1923</v>
      </c>
      <c r="B207" s="78">
        <v>9995</v>
      </c>
      <c r="C207" s="165" t="s">
        <v>912</v>
      </c>
      <c r="D207" s="165" t="s">
        <v>1109</v>
      </c>
      <c r="E207" s="165" t="s">
        <v>1</v>
      </c>
      <c r="F207" s="165" t="s">
        <v>1110</v>
      </c>
      <c r="G207" s="165" t="s">
        <v>936</v>
      </c>
      <c r="H207" s="165" t="s">
        <v>1923</v>
      </c>
      <c r="I207" s="166">
        <v>42704</v>
      </c>
      <c r="J207" s="165">
        <v>42977</v>
      </c>
      <c r="K207" s="166">
        <v>42993</v>
      </c>
      <c r="L207" s="165">
        <v>43358</v>
      </c>
      <c r="M207" s="165" t="s">
        <v>124</v>
      </c>
      <c r="N207" s="165">
        <v>1</v>
      </c>
    </row>
    <row r="208" spans="1:14" x14ac:dyDescent="0.25">
      <c r="A208" s="165" t="s">
        <v>1924</v>
      </c>
      <c r="B208" s="78">
        <v>29164</v>
      </c>
      <c r="C208" s="165" t="s">
        <v>925</v>
      </c>
      <c r="D208" s="165" t="s">
        <v>927</v>
      </c>
      <c r="E208" s="165" t="s">
        <v>954</v>
      </c>
      <c r="F208" s="165" t="s">
        <v>1111</v>
      </c>
      <c r="G208" s="165" t="s">
        <v>956</v>
      </c>
      <c r="H208" s="165" t="s">
        <v>1924</v>
      </c>
      <c r="I208" s="166">
        <v>44012</v>
      </c>
      <c r="J208" s="165">
        <v>44033</v>
      </c>
      <c r="K208" s="166">
        <v>44033</v>
      </c>
      <c r="L208" s="165">
        <v>44398</v>
      </c>
      <c r="M208" s="165" t="s">
        <v>124</v>
      </c>
      <c r="N208" s="165">
        <v>1</v>
      </c>
    </row>
    <row r="209" spans="1:14" x14ac:dyDescent="0.25">
      <c r="A209" s="165" t="s">
        <v>1925</v>
      </c>
      <c r="B209" s="78">
        <v>79737</v>
      </c>
      <c r="C209" s="165" t="s">
        <v>912</v>
      </c>
      <c r="D209" s="165" t="s">
        <v>937</v>
      </c>
      <c r="E209" s="165" t="s">
        <v>954</v>
      </c>
      <c r="F209" s="165" t="s">
        <v>1112</v>
      </c>
      <c r="G209" s="165" t="s">
        <v>997</v>
      </c>
      <c r="H209" s="165" t="s">
        <v>1925</v>
      </c>
      <c r="I209" s="166">
        <v>44183</v>
      </c>
      <c r="J209" s="165">
        <v>44286</v>
      </c>
      <c r="K209" s="166">
        <v>44298</v>
      </c>
      <c r="L209" s="165">
        <v>44663</v>
      </c>
      <c r="M209" s="165" t="s">
        <v>122</v>
      </c>
      <c r="N209" s="165">
        <v>1</v>
      </c>
    </row>
    <row r="210" spans="1:14" x14ac:dyDescent="0.25">
      <c r="A210" s="165" t="s">
        <v>1926</v>
      </c>
      <c r="B210" s="78">
        <v>23630</v>
      </c>
      <c r="C210" s="165" t="s">
        <v>925</v>
      </c>
      <c r="D210" s="165" t="s">
        <v>926</v>
      </c>
      <c r="E210" s="165" t="s">
        <v>954</v>
      </c>
      <c r="F210" s="165" t="s">
        <v>1112</v>
      </c>
      <c r="G210" s="165" t="s">
        <v>997</v>
      </c>
      <c r="H210" s="165" t="s">
        <v>1926</v>
      </c>
      <c r="I210" s="166">
        <v>44183</v>
      </c>
      <c r="J210" s="165">
        <v>44286</v>
      </c>
      <c r="K210" s="166">
        <v>44298</v>
      </c>
      <c r="L210" s="165">
        <v>44663</v>
      </c>
      <c r="M210" s="165" t="s">
        <v>122</v>
      </c>
      <c r="N210" s="165">
        <v>1</v>
      </c>
    </row>
    <row r="211" spans="1:14" x14ac:dyDescent="0.25">
      <c r="A211" s="165" t="s">
        <v>1927</v>
      </c>
      <c r="B211" s="78">
        <v>48491</v>
      </c>
      <c r="C211" s="165" t="s">
        <v>925</v>
      </c>
      <c r="D211" s="165" t="s">
        <v>927</v>
      </c>
      <c r="E211" s="165" t="s">
        <v>954</v>
      </c>
      <c r="F211" s="165" t="s">
        <v>1112</v>
      </c>
      <c r="G211" s="165" t="s">
        <v>997</v>
      </c>
      <c r="H211" s="165" t="s">
        <v>1927</v>
      </c>
      <c r="I211" s="166">
        <v>44183</v>
      </c>
      <c r="J211" s="165">
        <v>44286</v>
      </c>
      <c r="K211" s="166">
        <v>44298</v>
      </c>
      <c r="L211" s="165">
        <v>44663</v>
      </c>
      <c r="M211" s="165" t="s">
        <v>122</v>
      </c>
      <c r="N211" s="165">
        <v>1</v>
      </c>
    </row>
    <row r="212" spans="1:14" x14ac:dyDescent="0.25">
      <c r="A212" s="165" t="s">
        <v>1928</v>
      </c>
      <c r="B212" s="78">
        <v>86328</v>
      </c>
      <c r="C212" s="165" t="s">
        <v>912</v>
      </c>
      <c r="D212" s="165" t="s">
        <v>969</v>
      </c>
      <c r="E212" s="165" t="s">
        <v>2</v>
      </c>
      <c r="F212" s="165" t="s">
        <v>1113</v>
      </c>
      <c r="G212" s="165" t="s">
        <v>1114</v>
      </c>
      <c r="H212" s="165" t="s">
        <v>1928</v>
      </c>
      <c r="I212" s="166">
        <v>44084</v>
      </c>
      <c r="J212" s="165">
        <v>44165</v>
      </c>
      <c r="K212" s="166">
        <v>44179</v>
      </c>
      <c r="L212" s="165">
        <v>44544</v>
      </c>
      <c r="M212" s="165" t="s">
        <v>124</v>
      </c>
      <c r="N212" s="165">
        <v>1</v>
      </c>
    </row>
    <row r="213" spans="1:14" x14ac:dyDescent="0.25">
      <c r="A213" s="165" t="s">
        <v>1929</v>
      </c>
      <c r="B213" s="78">
        <v>94496</v>
      </c>
      <c r="C213" s="165" t="s">
        <v>925</v>
      </c>
      <c r="D213" s="165" t="s">
        <v>998</v>
      </c>
      <c r="E213" s="165" t="s">
        <v>2</v>
      </c>
      <c r="F213" s="165" t="s">
        <v>1113</v>
      </c>
      <c r="G213" s="165" t="s">
        <v>1114</v>
      </c>
      <c r="H213" s="165" t="s">
        <v>1929</v>
      </c>
      <c r="I213" s="166">
        <v>44084</v>
      </c>
      <c r="J213" s="165">
        <v>44165</v>
      </c>
      <c r="K213" s="166">
        <v>44179</v>
      </c>
      <c r="L213" s="165">
        <v>44544</v>
      </c>
      <c r="M213" s="165" t="s">
        <v>124</v>
      </c>
      <c r="N213" s="165">
        <v>1</v>
      </c>
    </row>
    <row r="214" spans="1:14" x14ac:dyDescent="0.25">
      <c r="A214" s="165" t="s">
        <v>1930</v>
      </c>
      <c r="B214" s="78">
        <v>79973</v>
      </c>
      <c r="C214" s="165" t="s">
        <v>925</v>
      </c>
      <c r="D214" s="165" t="s">
        <v>927</v>
      </c>
      <c r="E214" s="165" t="s">
        <v>2</v>
      </c>
      <c r="F214" s="165" t="s">
        <v>1113</v>
      </c>
      <c r="G214" s="165" t="s">
        <v>1114</v>
      </c>
      <c r="H214" s="165" t="s">
        <v>1930</v>
      </c>
      <c r="I214" s="166">
        <v>44084</v>
      </c>
      <c r="J214" s="165">
        <v>44165</v>
      </c>
      <c r="K214" s="166">
        <v>44179</v>
      </c>
      <c r="L214" s="165">
        <v>44544</v>
      </c>
      <c r="M214" s="165" t="s">
        <v>124</v>
      </c>
      <c r="N214" s="165">
        <v>1</v>
      </c>
    </row>
    <row r="215" spans="1:14" x14ac:dyDescent="0.25">
      <c r="A215" s="165" t="s">
        <v>1931</v>
      </c>
      <c r="B215" s="78">
        <v>41473</v>
      </c>
      <c r="C215" s="165" t="s">
        <v>912</v>
      </c>
      <c r="D215" s="165" t="s">
        <v>929</v>
      </c>
      <c r="E215" s="165" t="s">
        <v>2</v>
      </c>
      <c r="F215" s="165" t="s">
        <v>1115</v>
      </c>
      <c r="G215" s="165" t="s">
        <v>1040</v>
      </c>
      <c r="H215" s="165" t="s">
        <v>1931</v>
      </c>
      <c r="I215" s="166">
        <v>44012</v>
      </c>
      <c r="J215" s="165">
        <v>44104</v>
      </c>
      <c r="K215" s="166">
        <v>44123</v>
      </c>
      <c r="L215" s="165">
        <v>44488</v>
      </c>
      <c r="M215" s="165" t="s">
        <v>124</v>
      </c>
      <c r="N215" s="165">
        <v>1</v>
      </c>
    </row>
    <row r="216" spans="1:14" x14ac:dyDescent="0.25">
      <c r="A216" s="165" t="s">
        <v>1932</v>
      </c>
      <c r="B216" s="78">
        <v>30372</v>
      </c>
      <c r="C216" s="165" t="s">
        <v>925</v>
      </c>
      <c r="D216" s="165" t="s">
        <v>926</v>
      </c>
      <c r="E216" s="165" t="s">
        <v>2</v>
      </c>
      <c r="F216" s="165" t="s">
        <v>1115</v>
      </c>
      <c r="G216" s="165" t="s">
        <v>1040</v>
      </c>
      <c r="H216" s="165" t="s">
        <v>1932</v>
      </c>
      <c r="I216" s="166">
        <v>44012</v>
      </c>
      <c r="J216" s="165">
        <v>44104</v>
      </c>
      <c r="K216" s="166">
        <v>44123</v>
      </c>
      <c r="L216" s="165">
        <v>44488</v>
      </c>
      <c r="M216" s="165" t="s">
        <v>124</v>
      </c>
      <c r="N216" s="165">
        <v>1</v>
      </c>
    </row>
    <row r="217" spans="1:14" x14ac:dyDescent="0.25">
      <c r="A217" s="165" t="s">
        <v>1933</v>
      </c>
      <c r="B217" s="78">
        <v>36772</v>
      </c>
      <c r="C217" s="165" t="s">
        <v>925</v>
      </c>
      <c r="D217" s="165" t="s">
        <v>927</v>
      </c>
      <c r="E217" s="165" t="s">
        <v>2</v>
      </c>
      <c r="F217" s="165" t="s">
        <v>1115</v>
      </c>
      <c r="G217" s="165" t="s">
        <v>1040</v>
      </c>
      <c r="H217" s="165" t="s">
        <v>1933</v>
      </c>
      <c r="I217" s="166">
        <v>44012</v>
      </c>
      <c r="J217" s="165">
        <v>44104</v>
      </c>
      <c r="K217" s="166">
        <v>44123</v>
      </c>
      <c r="L217" s="165">
        <v>44488</v>
      </c>
      <c r="M217" s="165" t="s">
        <v>124</v>
      </c>
      <c r="N217" s="165">
        <v>1</v>
      </c>
    </row>
    <row r="218" spans="1:14" x14ac:dyDescent="0.25">
      <c r="A218" s="165" t="s">
        <v>1934</v>
      </c>
      <c r="B218" s="78">
        <v>47498</v>
      </c>
      <c r="C218" s="165" t="s">
        <v>912</v>
      </c>
      <c r="D218" s="165" t="s">
        <v>937</v>
      </c>
      <c r="E218" s="165" t="s">
        <v>3</v>
      </c>
      <c r="F218" s="165" t="s">
        <v>1116</v>
      </c>
      <c r="G218" s="165" t="s">
        <v>962</v>
      </c>
      <c r="H218" s="165" t="s">
        <v>1934</v>
      </c>
      <c r="I218" s="166">
        <v>43630</v>
      </c>
      <c r="J218" s="165">
        <v>43906</v>
      </c>
      <c r="K218" s="166">
        <v>43946</v>
      </c>
      <c r="L218" s="165">
        <v>44311</v>
      </c>
      <c r="M218" s="165" t="s">
        <v>124</v>
      </c>
      <c r="N218" s="165">
        <v>1</v>
      </c>
    </row>
    <row r="219" spans="1:14" x14ac:dyDescent="0.25">
      <c r="A219" s="165" t="s">
        <v>1935</v>
      </c>
      <c r="B219" s="78">
        <v>28494</v>
      </c>
      <c r="C219" s="165" t="s">
        <v>925</v>
      </c>
      <c r="D219" s="165" t="s">
        <v>926</v>
      </c>
      <c r="E219" s="165" t="s">
        <v>3</v>
      </c>
      <c r="F219" s="165" t="s">
        <v>1116</v>
      </c>
      <c r="G219" s="165" t="s">
        <v>962</v>
      </c>
      <c r="H219" s="165" t="s">
        <v>1935</v>
      </c>
      <c r="I219" s="166">
        <v>43630</v>
      </c>
      <c r="J219" s="165">
        <v>43906</v>
      </c>
      <c r="K219" s="166">
        <v>43946</v>
      </c>
      <c r="L219" s="165">
        <v>44311</v>
      </c>
      <c r="M219" s="165" t="s">
        <v>124</v>
      </c>
      <c r="N219" s="165">
        <v>1</v>
      </c>
    </row>
    <row r="220" spans="1:14" x14ac:dyDescent="0.25">
      <c r="A220" s="165" t="s">
        <v>1936</v>
      </c>
      <c r="B220" s="78">
        <v>16030</v>
      </c>
      <c r="C220" s="165" t="s">
        <v>925</v>
      </c>
      <c r="D220" s="165" t="s">
        <v>927</v>
      </c>
      <c r="E220" s="165" t="s">
        <v>3</v>
      </c>
      <c r="F220" s="165" t="s">
        <v>1116</v>
      </c>
      <c r="G220" s="165" t="s">
        <v>962</v>
      </c>
      <c r="H220" s="165" t="s">
        <v>1936</v>
      </c>
      <c r="I220" s="166">
        <v>43630</v>
      </c>
      <c r="J220" s="165">
        <v>43906</v>
      </c>
      <c r="K220" s="166">
        <v>43946</v>
      </c>
      <c r="L220" s="165">
        <v>44311</v>
      </c>
      <c r="M220" s="165" t="s">
        <v>124</v>
      </c>
      <c r="N220" s="165">
        <v>1</v>
      </c>
    </row>
    <row r="221" spans="1:14" x14ac:dyDescent="0.25">
      <c r="A221" s="165" t="s">
        <v>1937</v>
      </c>
      <c r="B221" s="78">
        <v>9994</v>
      </c>
      <c r="C221" s="165" t="s">
        <v>912</v>
      </c>
      <c r="D221" s="165" t="s">
        <v>1109</v>
      </c>
      <c r="E221" s="165" t="s">
        <v>1</v>
      </c>
      <c r="F221" s="165" t="s">
        <v>1117</v>
      </c>
      <c r="G221" s="165" t="s">
        <v>942</v>
      </c>
      <c r="H221" s="165" t="s">
        <v>1937</v>
      </c>
      <c r="I221" s="166">
        <v>43048</v>
      </c>
      <c r="J221" s="165">
        <v>43276</v>
      </c>
      <c r="K221" s="166">
        <v>43280</v>
      </c>
      <c r="L221" s="165">
        <v>43645</v>
      </c>
      <c r="M221" s="165" t="s">
        <v>124</v>
      </c>
      <c r="N221" s="165">
        <v>1</v>
      </c>
    </row>
    <row r="222" spans="1:14" x14ac:dyDescent="0.25">
      <c r="A222" s="165" t="s">
        <v>1938</v>
      </c>
      <c r="B222" s="78">
        <v>25541</v>
      </c>
      <c r="C222" s="165" t="s">
        <v>912</v>
      </c>
      <c r="D222" s="165" t="s">
        <v>937</v>
      </c>
      <c r="E222" s="165" t="s">
        <v>1</v>
      </c>
      <c r="F222" s="165" t="s">
        <v>1117</v>
      </c>
      <c r="G222" s="165" t="s">
        <v>942</v>
      </c>
      <c r="H222" s="165" t="s">
        <v>1938</v>
      </c>
      <c r="I222" s="166">
        <v>44306</v>
      </c>
      <c r="J222" s="165">
        <v>44316</v>
      </c>
      <c r="K222" s="166">
        <v>44339</v>
      </c>
      <c r="L222" s="165">
        <v>44704</v>
      </c>
      <c r="M222" s="165" t="s">
        <v>122</v>
      </c>
      <c r="N222" s="165">
        <v>1</v>
      </c>
    </row>
    <row r="223" spans="1:14" x14ac:dyDescent="0.25">
      <c r="A223" s="165" t="s">
        <v>1939</v>
      </c>
      <c r="B223" s="78">
        <v>55616</v>
      </c>
      <c r="C223" s="165" t="s">
        <v>925</v>
      </c>
      <c r="D223" s="165" t="s">
        <v>1118</v>
      </c>
      <c r="E223" s="165" t="s">
        <v>1</v>
      </c>
      <c r="F223" s="165" t="s">
        <v>1119</v>
      </c>
      <c r="G223" s="165" t="s">
        <v>936</v>
      </c>
      <c r="H223" s="165" t="s">
        <v>1939</v>
      </c>
      <c r="I223" s="166">
        <v>43755</v>
      </c>
      <c r="J223" s="165">
        <v>43774</v>
      </c>
      <c r="K223" s="166">
        <v>43774</v>
      </c>
      <c r="L223" s="165">
        <v>44139</v>
      </c>
      <c r="M223" s="165" t="s">
        <v>124</v>
      </c>
      <c r="N223" s="165">
        <v>0</v>
      </c>
    </row>
    <row r="224" spans="1:14" x14ac:dyDescent="0.25">
      <c r="A224" s="165" t="s">
        <v>1940</v>
      </c>
      <c r="B224" s="78">
        <v>35159</v>
      </c>
      <c r="C224" s="165" t="s">
        <v>912</v>
      </c>
      <c r="D224" s="165" t="s">
        <v>969</v>
      </c>
      <c r="E224" s="165" t="s">
        <v>5</v>
      </c>
      <c r="F224" s="165" t="s">
        <v>1120</v>
      </c>
      <c r="G224" s="165" t="s">
        <v>1086</v>
      </c>
      <c r="H224" s="165" t="s">
        <v>1940</v>
      </c>
      <c r="I224" s="166">
        <v>43936</v>
      </c>
      <c r="J224" s="165">
        <v>44105</v>
      </c>
      <c r="K224" s="166">
        <v>44112</v>
      </c>
      <c r="L224" s="165">
        <v>44477</v>
      </c>
      <c r="M224" s="165" t="s">
        <v>124</v>
      </c>
      <c r="N224" s="165">
        <v>1</v>
      </c>
    </row>
    <row r="225" spans="1:14" x14ac:dyDescent="0.25">
      <c r="A225" s="165" t="s">
        <v>1941</v>
      </c>
      <c r="B225" s="78">
        <v>57046</v>
      </c>
      <c r="C225" s="165" t="s">
        <v>925</v>
      </c>
      <c r="D225" s="165" t="s">
        <v>926</v>
      </c>
      <c r="E225" s="165" t="s">
        <v>5</v>
      </c>
      <c r="F225" s="165" t="s">
        <v>1120</v>
      </c>
      <c r="G225" s="165" t="s">
        <v>1086</v>
      </c>
      <c r="H225" s="165" t="s">
        <v>1941</v>
      </c>
      <c r="I225" s="166">
        <v>43936</v>
      </c>
      <c r="J225" s="165">
        <v>44105</v>
      </c>
      <c r="K225" s="166">
        <v>44112</v>
      </c>
      <c r="L225" s="165">
        <v>44477</v>
      </c>
      <c r="M225" s="165" t="s">
        <v>124</v>
      </c>
      <c r="N225" s="165">
        <v>1</v>
      </c>
    </row>
    <row r="226" spans="1:14" x14ac:dyDescent="0.25">
      <c r="A226" s="165" t="s">
        <v>1942</v>
      </c>
      <c r="B226" s="78">
        <v>13817</v>
      </c>
      <c r="C226" s="165" t="s">
        <v>925</v>
      </c>
      <c r="D226" s="165" t="s">
        <v>927</v>
      </c>
      <c r="E226" s="165" t="s">
        <v>5</v>
      </c>
      <c r="F226" s="165" t="s">
        <v>1120</v>
      </c>
      <c r="G226" s="165" t="s">
        <v>1086</v>
      </c>
      <c r="H226" s="165" t="s">
        <v>1942</v>
      </c>
      <c r="I226" s="166">
        <v>43936</v>
      </c>
      <c r="J226" s="165">
        <v>44105</v>
      </c>
      <c r="K226" s="166">
        <v>44112</v>
      </c>
      <c r="L226" s="165">
        <v>44477</v>
      </c>
      <c r="M226" s="165" t="s">
        <v>124</v>
      </c>
      <c r="N226" s="165">
        <v>1</v>
      </c>
    </row>
    <row r="227" spans="1:14" x14ac:dyDescent="0.25">
      <c r="A227" s="165" t="s">
        <v>1943</v>
      </c>
      <c r="B227" s="78">
        <v>19403</v>
      </c>
      <c r="C227" s="165" t="s">
        <v>925</v>
      </c>
      <c r="D227" s="165" t="s">
        <v>928</v>
      </c>
      <c r="E227" s="165" t="s">
        <v>5</v>
      </c>
      <c r="F227" s="165" t="s">
        <v>1120</v>
      </c>
      <c r="G227" s="165" t="s">
        <v>1086</v>
      </c>
      <c r="H227" s="165" t="s">
        <v>1943</v>
      </c>
      <c r="I227" s="166">
        <v>43936</v>
      </c>
      <c r="J227" s="165">
        <v>44105</v>
      </c>
      <c r="K227" s="166">
        <v>44112</v>
      </c>
      <c r="L227" s="165">
        <v>44477</v>
      </c>
      <c r="M227" s="165" t="s">
        <v>124</v>
      </c>
      <c r="N227" s="165">
        <v>0</v>
      </c>
    </row>
    <row r="228" spans="1:14" x14ac:dyDescent="0.25">
      <c r="A228" s="165" t="s">
        <v>1944</v>
      </c>
      <c r="B228" s="78">
        <v>46971</v>
      </c>
      <c r="C228" s="165" t="s">
        <v>912</v>
      </c>
      <c r="D228" s="165" t="s">
        <v>937</v>
      </c>
      <c r="E228" s="165" t="s">
        <v>954</v>
      </c>
      <c r="F228" s="165" t="s">
        <v>1121</v>
      </c>
      <c r="G228" s="165" t="s">
        <v>1013</v>
      </c>
      <c r="H228" s="165" t="s">
        <v>1944</v>
      </c>
      <c r="I228" s="166">
        <v>43828</v>
      </c>
      <c r="J228" s="165">
        <v>44118</v>
      </c>
      <c r="K228" s="166">
        <v>44148</v>
      </c>
      <c r="L228" s="165">
        <v>44513</v>
      </c>
      <c r="M228" s="165" t="s">
        <v>124</v>
      </c>
      <c r="N228" s="165">
        <v>1</v>
      </c>
    </row>
    <row r="229" spans="1:14" x14ac:dyDescent="0.25">
      <c r="A229" s="165" t="s">
        <v>1945</v>
      </c>
      <c r="B229" s="78">
        <v>60577</v>
      </c>
      <c r="C229" s="165" t="s">
        <v>925</v>
      </c>
      <c r="D229" s="165" t="s">
        <v>926</v>
      </c>
      <c r="E229" s="165" t="s">
        <v>954</v>
      </c>
      <c r="F229" s="165" t="s">
        <v>1121</v>
      </c>
      <c r="G229" s="165" t="s">
        <v>1013</v>
      </c>
      <c r="H229" s="165" t="s">
        <v>1945</v>
      </c>
      <c r="I229" s="166">
        <v>43828</v>
      </c>
      <c r="J229" s="165">
        <v>44118</v>
      </c>
      <c r="K229" s="166">
        <v>44148</v>
      </c>
      <c r="L229" s="165">
        <v>44513</v>
      </c>
      <c r="M229" s="165" t="s">
        <v>124</v>
      </c>
      <c r="N229" s="165">
        <v>1</v>
      </c>
    </row>
    <row r="230" spans="1:14" x14ac:dyDescent="0.25">
      <c r="A230" s="165" t="s">
        <v>1946</v>
      </c>
      <c r="B230" s="78">
        <v>50024</v>
      </c>
      <c r="C230" s="165" t="s">
        <v>925</v>
      </c>
      <c r="D230" s="165" t="s">
        <v>927</v>
      </c>
      <c r="E230" s="165" t="s">
        <v>954</v>
      </c>
      <c r="F230" s="165" t="s">
        <v>1121</v>
      </c>
      <c r="G230" s="165" t="s">
        <v>1013</v>
      </c>
      <c r="H230" s="165" t="s">
        <v>1946</v>
      </c>
      <c r="I230" s="166">
        <v>43828</v>
      </c>
      <c r="J230" s="165">
        <v>44118</v>
      </c>
      <c r="K230" s="166">
        <v>44148</v>
      </c>
      <c r="L230" s="165">
        <v>44513</v>
      </c>
      <c r="M230" s="165" t="s">
        <v>124</v>
      </c>
      <c r="N230" s="165">
        <v>1</v>
      </c>
    </row>
    <row r="231" spans="1:14" x14ac:dyDescent="0.25">
      <c r="A231" s="165" t="s">
        <v>1947</v>
      </c>
      <c r="B231" s="78">
        <v>65803</v>
      </c>
      <c r="C231" s="165" t="s">
        <v>947</v>
      </c>
      <c r="D231" s="165" t="s">
        <v>1122</v>
      </c>
      <c r="E231" s="165" t="s">
        <v>2</v>
      </c>
      <c r="F231" s="165" t="s">
        <v>1061</v>
      </c>
      <c r="G231" s="165" t="s">
        <v>1040</v>
      </c>
      <c r="H231" s="165" t="s">
        <v>1947</v>
      </c>
      <c r="I231" s="166">
        <v>44028</v>
      </c>
      <c r="J231" s="165">
        <v>44102</v>
      </c>
      <c r="K231" s="166">
        <v>44102</v>
      </c>
      <c r="L231" s="165">
        <v>44467</v>
      </c>
      <c r="M231" s="165" t="s">
        <v>124</v>
      </c>
      <c r="N231" s="165">
        <v>1</v>
      </c>
    </row>
    <row r="232" spans="1:14" x14ac:dyDescent="0.25">
      <c r="A232" s="165" t="s">
        <v>1948</v>
      </c>
      <c r="B232" s="78">
        <v>72824</v>
      </c>
      <c r="C232" s="165" t="s">
        <v>912</v>
      </c>
      <c r="D232" s="165" t="s">
        <v>969</v>
      </c>
      <c r="E232" s="165" t="s">
        <v>1</v>
      </c>
      <c r="F232" s="165" t="s">
        <v>1123</v>
      </c>
      <c r="G232" s="165" t="s">
        <v>942</v>
      </c>
      <c r="H232" s="165" t="s">
        <v>1948</v>
      </c>
      <c r="I232" s="166">
        <v>44074</v>
      </c>
      <c r="J232" s="165">
        <v>44183</v>
      </c>
      <c r="K232" s="166">
        <v>44316</v>
      </c>
      <c r="L232" s="165">
        <v>44681</v>
      </c>
      <c r="M232" s="165" t="s">
        <v>122</v>
      </c>
      <c r="N232" s="165">
        <v>1</v>
      </c>
    </row>
    <row r="233" spans="1:14" x14ac:dyDescent="0.25">
      <c r="A233" s="165" t="s">
        <v>1949</v>
      </c>
      <c r="B233" s="78">
        <v>85866</v>
      </c>
      <c r="C233" s="165" t="s">
        <v>925</v>
      </c>
      <c r="D233" s="165" t="s">
        <v>926</v>
      </c>
      <c r="E233" s="165" t="s">
        <v>1</v>
      </c>
      <c r="F233" s="165" t="s">
        <v>1123</v>
      </c>
      <c r="G233" s="165" t="s">
        <v>942</v>
      </c>
      <c r="H233" s="165" t="s">
        <v>1949</v>
      </c>
      <c r="I233" s="166">
        <v>44104</v>
      </c>
      <c r="J233" s="165">
        <v>44183</v>
      </c>
      <c r="K233" s="166">
        <v>44316</v>
      </c>
      <c r="L233" s="165">
        <v>44681</v>
      </c>
      <c r="M233" s="165" t="s">
        <v>122</v>
      </c>
      <c r="N233" s="165">
        <v>1</v>
      </c>
    </row>
    <row r="234" spans="1:14" x14ac:dyDescent="0.25">
      <c r="A234" s="165" t="s">
        <v>1950</v>
      </c>
      <c r="B234" s="78">
        <v>39649</v>
      </c>
      <c r="C234" s="165" t="s">
        <v>925</v>
      </c>
      <c r="D234" s="165" t="s">
        <v>927</v>
      </c>
      <c r="E234" s="165" t="s">
        <v>1</v>
      </c>
      <c r="F234" s="165" t="s">
        <v>1123</v>
      </c>
      <c r="G234" s="165" t="s">
        <v>942</v>
      </c>
      <c r="H234" s="165" t="s">
        <v>1950</v>
      </c>
      <c r="I234" s="166">
        <v>44104</v>
      </c>
      <c r="J234" s="165">
        <v>44183</v>
      </c>
      <c r="K234" s="166">
        <v>44316</v>
      </c>
      <c r="L234" s="165">
        <v>44681</v>
      </c>
      <c r="M234" s="165" t="s">
        <v>122</v>
      </c>
      <c r="N234" s="165">
        <v>1</v>
      </c>
    </row>
    <row r="235" spans="1:14" x14ac:dyDescent="0.25">
      <c r="A235" s="165" t="s">
        <v>1951</v>
      </c>
      <c r="B235" s="78">
        <v>70059</v>
      </c>
      <c r="C235" s="165" t="s">
        <v>912</v>
      </c>
      <c r="D235" s="165" t="s">
        <v>943</v>
      </c>
      <c r="E235" s="165" t="s">
        <v>954</v>
      </c>
      <c r="F235" s="165" t="s">
        <v>1124</v>
      </c>
      <c r="G235" s="165" t="s">
        <v>997</v>
      </c>
      <c r="H235" s="165" t="s">
        <v>1951</v>
      </c>
      <c r="I235" s="166">
        <v>43706</v>
      </c>
      <c r="J235" s="165">
        <v>43875</v>
      </c>
      <c r="K235" s="166">
        <v>43893</v>
      </c>
      <c r="L235" s="165">
        <v>44258</v>
      </c>
      <c r="M235" s="165" t="s">
        <v>124</v>
      </c>
      <c r="N235" s="165">
        <v>1</v>
      </c>
    </row>
    <row r="236" spans="1:14" x14ac:dyDescent="0.25">
      <c r="A236" s="165" t="s">
        <v>1952</v>
      </c>
      <c r="B236" s="78">
        <v>58778</v>
      </c>
      <c r="C236" s="165" t="s">
        <v>925</v>
      </c>
      <c r="D236" s="165" t="s">
        <v>926</v>
      </c>
      <c r="E236" s="165" t="s">
        <v>954</v>
      </c>
      <c r="F236" s="165" t="s">
        <v>1124</v>
      </c>
      <c r="G236" s="165" t="s">
        <v>997</v>
      </c>
      <c r="H236" s="165" t="s">
        <v>1952</v>
      </c>
      <c r="I236" s="166">
        <v>43706</v>
      </c>
      <c r="J236" s="165">
        <v>43875</v>
      </c>
      <c r="K236" s="166">
        <v>43893</v>
      </c>
      <c r="L236" s="165">
        <v>44258</v>
      </c>
      <c r="M236" s="165" t="s">
        <v>124</v>
      </c>
      <c r="N236" s="165">
        <v>1</v>
      </c>
    </row>
    <row r="237" spans="1:14" x14ac:dyDescent="0.25">
      <c r="A237" s="165" t="s">
        <v>1953</v>
      </c>
      <c r="B237" s="78">
        <v>99943</v>
      </c>
      <c r="C237" s="165" t="s">
        <v>925</v>
      </c>
      <c r="D237" s="165" t="s">
        <v>927</v>
      </c>
      <c r="E237" s="165" t="s">
        <v>954</v>
      </c>
      <c r="F237" s="165" t="s">
        <v>1124</v>
      </c>
      <c r="G237" s="165" t="s">
        <v>997</v>
      </c>
      <c r="H237" s="165" t="s">
        <v>1953</v>
      </c>
      <c r="I237" s="166">
        <v>43706</v>
      </c>
      <c r="J237" s="165">
        <v>43875</v>
      </c>
      <c r="K237" s="166">
        <v>43893</v>
      </c>
      <c r="L237" s="165">
        <v>44258</v>
      </c>
      <c r="M237" s="165" t="s">
        <v>124</v>
      </c>
      <c r="N237" s="165">
        <v>1</v>
      </c>
    </row>
    <row r="238" spans="1:14" x14ac:dyDescent="0.25">
      <c r="A238" s="165" t="s">
        <v>1954</v>
      </c>
      <c r="B238" s="78">
        <v>3713</v>
      </c>
      <c r="C238" s="165" t="s">
        <v>912</v>
      </c>
      <c r="D238" s="165" t="s">
        <v>929</v>
      </c>
      <c r="E238" s="165" t="s">
        <v>1</v>
      </c>
      <c r="F238" s="165" t="s">
        <v>1125</v>
      </c>
      <c r="G238" s="165" t="s">
        <v>924</v>
      </c>
      <c r="H238" s="165" t="s">
        <v>1954</v>
      </c>
      <c r="I238" s="166">
        <v>43707</v>
      </c>
      <c r="J238" s="165">
        <v>44074</v>
      </c>
      <c r="K238" s="166">
        <v>44168</v>
      </c>
      <c r="L238" s="165">
        <v>44533</v>
      </c>
      <c r="M238" s="165" t="s">
        <v>124</v>
      </c>
      <c r="N238" s="165">
        <v>1</v>
      </c>
    </row>
    <row r="239" spans="1:14" x14ac:dyDescent="0.25">
      <c r="A239" s="165" t="s">
        <v>1955</v>
      </c>
      <c r="B239" s="78">
        <v>33398</v>
      </c>
      <c r="C239" s="165" t="s">
        <v>925</v>
      </c>
      <c r="D239" s="165" t="s">
        <v>926</v>
      </c>
      <c r="E239" s="165" t="s">
        <v>1</v>
      </c>
      <c r="F239" s="165" t="s">
        <v>1125</v>
      </c>
      <c r="G239" s="165" t="s">
        <v>924</v>
      </c>
      <c r="H239" s="165" t="s">
        <v>1955</v>
      </c>
      <c r="I239" s="166">
        <v>43707</v>
      </c>
      <c r="J239" s="165">
        <v>44074</v>
      </c>
      <c r="K239" s="166">
        <v>44168</v>
      </c>
      <c r="L239" s="165">
        <v>44533</v>
      </c>
      <c r="M239" s="165" t="s">
        <v>124</v>
      </c>
      <c r="N239" s="165">
        <v>1</v>
      </c>
    </row>
    <row r="240" spans="1:14" x14ac:dyDescent="0.25">
      <c r="A240" s="165" t="s">
        <v>1956</v>
      </c>
      <c r="B240" s="78">
        <v>29164</v>
      </c>
      <c r="C240" s="165" t="s">
        <v>925</v>
      </c>
      <c r="D240" s="165" t="s">
        <v>927</v>
      </c>
      <c r="E240" s="165" t="s">
        <v>1</v>
      </c>
      <c r="F240" s="165" t="s">
        <v>1125</v>
      </c>
      <c r="G240" s="165" t="s">
        <v>924</v>
      </c>
      <c r="H240" s="165" t="s">
        <v>1956</v>
      </c>
      <c r="I240" s="166">
        <v>43707</v>
      </c>
      <c r="J240" s="165">
        <v>44074</v>
      </c>
      <c r="K240" s="166">
        <v>44168</v>
      </c>
      <c r="L240" s="165">
        <v>44533</v>
      </c>
      <c r="M240" s="165" t="s">
        <v>124</v>
      </c>
      <c r="N240" s="165">
        <v>1</v>
      </c>
    </row>
    <row r="241" spans="1:14" x14ac:dyDescent="0.25">
      <c r="A241" s="165" t="s">
        <v>1957</v>
      </c>
      <c r="B241" s="78">
        <v>73892</v>
      </c>
      <c r="C241" s="165" t="s">
        <v>912</v>
      </c>
      <c r="D241" s="165" t="s">
        <v>969</v>
      </c>
      <c r="E241" s="165" t="s">
        <v>954</v>
      </c>
      <c r="F241" s="165" t="s">
        <v>1126</v>
      </c>
      <c r="G241" s="165" t="s">
        <v>971</v>
      </c>
      <c r="H241" s="165" t="s">
        <v>1957</v>
      </c>
      <c r="I241" s="166">
        <v>44298</v>
      </c>
      <c r="J241" s="165">
        <v>44312</v>
      </c>
      <c r="K241" s="166">
        <v>44336</v>
      </c>
      <c r="L241" s="165">
        <v>44701</v>
      </c>
      <c r="M241" s="165" t="s">
        <v>122</v>
      </c>
      <c r="N241" s="165">
        <v>1</v>
      </c>
    </row>
    <row r="242" spans="1:14" x14ac:dyDescent="0.25">
      <c r="A242" s="165" t="s">
        <v>1958</v>
      </c>
      <c r="B242" s="78">
        <v>78217</v>
      </c>
      <c r="C242" s="165" t="s">
        <v>925</v>
      </c>
      <c r="D242" s="165" t="s">
        <v>1046</v>
      </c>
      <c r="E242" s="165" t="s">
        <v>954</v>
      </c>
      <c r="F242" s="165" t="s">
        <v>1126</v>
      </c>
      <c r="G242" s="165" t="s">
        <v>971</v>
      </c>
      <c r="H242" s="165" t="s">
        <v>1958</v>
      </c>
      <c r="I242" s="166">
        <v>44335</v>
      </c>
      <c r="J242" s="165">
        <v>44408</v>
      </c>
      <c r="K242" s="166">
        <v>44408</v>
      </c>
      <c r="L242" s="165">
        <v>44773</v>
      </c>
      <c r="M242" s="165" t="s">
        <v>122</v>
      </c>
      <c r="N242" s="165">
        <v>1</v>
      </c>
    </row>
    <row r="243" spans="1:14" x14ac:dyDescent="0.25">
      <c r="A243" s="165" t="s">
        <v>1959</v>
      </c>
      <c r="B243" s="78">
        <v>69511</v>
      </c>
      <c r="C243" s="165" t="s">
        <v>925</v>
      </c>
      <c r="D243" s="165" t="s">
        <v>927</v>
      </c>
      <c r="E243" s="165" t="s">
        <v>954</v>
      </c>
      <c r="F243" s="165" t="s">
        <v>1126</v>
      </c>
      <c r="G243" s="165" t="s">
        <v>971</v>
      </c>
      <c r="H243" s="165" t="s">
        <v>1959</v>
      </c>
      <c r="I243" s="166">
        <v>44335</v>
      </c>
      <c r="J243" s="165">
        <v>44408</v>
      </c>
      <c r="K243" s="166">
        <v>44408</v>
      </c>
      <c r="L243" s="165">
        <v>44773</v>
      </c>
      <c r="M243" s="165" t="s">
        <v>122</v>
      </c>
      <c r="N243" s="165">
        <v>1</v>
      </c>
    </row>
    <row r="244" spans="1:14" x14ac:dyDescent="0.25">
      <c r="A244" s="165" t="s">
        <v>1960</v>
      </c>
      <c r="B244" s="78">
        <v>3002629</v>
      </c>
      <c r="C244" s="165" t="s">
        <v>912</v>
      </c>
      <c r="D244" s="165" t="s">
        <v>943</v>
      </c>
      <c r="E244" s="165" t="s">
        <v>954</v>
      </c>
      <c r="F244" s="165" t="s">
        <v>1127</v>
      </c>
      <c r="G244" s="165" t="s">
        <v>1128</v>
      </c>
      <c r="H244" s="165" t="s">
        <v>1960</v>
      </c>
      <c r="I244" s="166">
        <v>43616</v>
      </c>
      <c r="J244" s="165">
        <v>43707</v>
      </c>
      <c r="K244" s="166">
        <v>43714</v>
      </c>
      <c r="L244" s="165">
        <v>44079</v>
      </c>
      <c r="M244" s="165" t="s">
        <v>124</v>
      </c>
      <c r="N244" s="165">
        <v>1</v>
      </c>
    </row>
    <row r="245" spans="1:14" x14ac:dyDescent="0.25">
      <c r="A245" s="165" t="s">
        <v>1961</v>
      </c>
      <c r="B245" s="78">
        <v>57531</v>
      </c>
      <c r="C245" s="165" t="s">
        <v>912</v>
      </c>
      <c r="D245" s="165" t="s">
        <v>943</v>
      </c>
      <c r="E245" s="165" t="s">
        <v>954</v>
      </c>
      <c r="F245" s="165" t="s">
        <v>1129</v>
      </c>
      <c r="G245" s="165" t="s">
        <v>1128</v>
      </c>
      <c r="H245" s="165" t="s">
        <v>1961</v>
      </c>
      <c r="I245" s="166">
        <v>43980</v>
      </c>
      <c r="J245" s="165">
        <v>44035</v>
      </c>
      <c r="K245" s="166">
        <v>44035</v>
      </c>
      <c r="L245" s="165">
        <v>44400</v>
      </c>
      <c r="M245" s="165" t="s">
        <v>124</v>
      </c>
      <c r="N245" s="165">
        <v>1</v>
      </c>
    </row>
    <row r="246" spans="1:14" x14ac:dyDescent="0.25">
      <c r="A246" s="165" t="s">
        <v>1962</v>
      </c>
      <c r="B246" s="78">
        <v>51854</v>
      </c>
      <c r="C246" s="165" t="s">
        <v>912</v>
      </c>
      <c r="D246" s="165" t="s">
        <v>929</v>
      </c>
      <c r="E246" s="165" t="s">
        <v>1</v>
      </c>
      <c r="F246" s="165" t="s">
        <v>1130</v>
      </c>
      <c r="G246" s="165" t="s">
        <v>936</v>
      </c>
      <c r="H246" s="165" t="s">
        <v>1962</v>
      </c>
      <c r="I246" s="166">
        <v>44271</v>
      </c>
      <c r="J246" s="165">
        <v>44411</v>
      </c>
      <c r="K246" s="166">
        <v>44422</v>
      </c>
      <c r="L246" s="165">
        <v>44787</v>
      </c>
      <c r="M246" s="165" t="s">
        <v>122</v>
      </c>
      <c r="N246" s="165">
        <v>1</v>
      </c>
    </row>
    <row r="247" spans="1:14" x14ac:dyDescent="0.25">
      <c r="A247" s="165" t="s">
        <v>1963</v>
      </c>
      <c r="B247" s="78">
        <v>66689</v>
      </c>
      <c r="C247" s="165" t="s">
        <v>925</v>
      </c>
      <c r="D247" s="165" t="s">
        <v>1131</v>
      </c>
      <c r="E247" s="165" t="s">
        <v>1</v>
      </c>
      <c r="F247" s="165" t="s">
        <v>1130</v>
      </c>
      <c r="G247" s="165" t="s">
        <v>936</v>
      </c>
      <c r="H247" s="165" t="s">
        <v>1963</v>
      </c>
      <c r="I247" s="166">
        <v>44398</v>
      </c>
      <c r="J247" s="165">
        <v>44411</v>
      </c>
      <c r="K247" s="166">
        <v>44422</v>
      </c>
      <c r="L247" s="165">
        <v>44787</v>
      </c>
      <c r="M247" s="165" t="s">
        <v>122</v>
      </c>
      <c r="N247" s="165">
        <v>0</v>
      </c>
    </row>
    <row r="248" spans="1:14" x14ac:dyDescent="0.25">
      <c r="A248" s="165" t="s">
        <v>1964</v>
      </c>
      <c r="B248" s="78">
        <v>69918</v>
      </c>
      <c r="C248" s="165" t="s">
        <v>912</v>
      </c>
      <c r="D248" s="165" t="s">
        <v>969</v>
      </c>
      <c r="E248" s="165" t="s">
        <v>1</v>
      </c>
      <c r="F248" s="165" t="s">
        <v>1132</v>
      </c>
      <c r="G248" s="165" t="s">
        <v>942</v>
      </c>
      <c r="H248" s="165" t="s">
        <v>1964</v>
      </c>
      <c r="I248" s="166">
        <v>44196</v>
      </c>
      <c r="J248" s="165">
        <v>44347</v>
      </c>
      <c r="K248" s="166">
        <v>44351</v>
      </c>
      <c r="L248" s="165">
        <v>44716</v>
      </c>
      <c r="M248" s="165" t="s">
        <v>122</v>
      </c>
      <c r="N248" s="165">
        <v>1</v>
      </c>
    </row>
    <row r="249" spans="1:14" x14ac:dyDescent="0.25">
      <c r="A249" s="165" t="s">
        <v>1965</v>
      </c>
      <c r="B249" s="78">
        <v>40046</v>
      </c>
      <c r="C249" s="165" t="s">
        <v>912</v>
      </c>
      <c r="D249" s="165" t="s">
        <v>937</v>
      </c>
      <c r="E249" s="165" t="s">
        <v>954</v>
      </c>
      <c r="F249" s="165" t="s">
        <v>1133</v>
      </c>
      <c r="G249" s="165" t="s">
        <v>956</v>
      </c>
      <c r="H249" s="165" t="s">
        <v>1965</v>
      </c>
      <c r="I249" s="166">
        <v>44078</v>
      </c>
      <c r="J249" s="165">
        <v>44134</v>
      </c>
      <c r="K249" s="166">
        <v>44148</v>
      </c>
      <c r="L249" s="165">
        <v>44513</v>
      </c>
      <c r="M249" s="165" t="s">
        <v>124</v>
      </c>
      <c r="N249" s="165">
        <v>1</v>
      </c>
    </row>
    <row r="250" spans="1:14" x14ac:dyDescent="0.25">
      <c r="A250" s="165" t="s">
        <v>1966</v>
      </c>
      <c r="B250" s="78">
        <v>59748</v>
      </c>
      <c r="C250" s="165" t="s">
        <v>925</v>
      </c>
      <c r="D250" s="165" t="s">
        <v>926</v>
      </c>
      <c r="E250" s="165" t="s">
        <v>954</v>
      </c>
      <c r="F250" s="165" t="s">
        <v>1133</v>
      </c>
      <c r="G250" s="165" t="s">
        <v>956</v>
      </c>
      <c r="H250" s="165" t="s">
        <v>1966</v>
      </c>
      <c r="I250" s="166">
        <v>44078</v>
      </c>
      <c r="J250" s="165">
        <v>44134</v>
      </c>
      <c r="K250" s="166">
        <v>44148</v>
      </c>
      <c r="L250" s="165">
        <v>44513</v>
      </c>
      <c r="M250" s="165" t="s">
        <v>124</v>
      </c>
      <c r="N250" s="165">
        <v>1</v>
      </c>
    </row>
    <row r="251" spans="1:14" x14ac:dyDescent="0.25">
      <c r="A251" s="165" t="s">
        <v>1967</v>
      </c>
      <c r="B251" s="78">
        <v>70359</v>
      </c>
      <c r="C251" s="165" t="s">
        <v>925</v>
      </c>
      <c r="D251" s="165" t="s">
        <v>927</v>
      </c>
      <c r="E251" s="165" t="s">
        <v>954</v>
      </c>
      <c r="F251" s="165" t="s">
        <v>1133</v>
      </c>
      <c r="G251" s="165" t="s">
        <v>956</v>
      </c>
      <c r="H251" s="165" t="s">
        <v>1967</v>
      </c>
      <c r="I251" s="166">
        <v>44078</v>
      </c>
      <c r="J251" s="165">
        <v>44134</v>
      </c>
      <c r="K251" s="166">
        <v>44148</v>
      </c>
      <c r="L251" s="165">
        <v>44513</v>
      </c>
      <c r="M251" s="165" t="s">
        <v>124</v>
      </c>
      <c r="N251" s="165">
        <v>1</v>
      </c>
    </row>
    <row r="252" spans="1:14" x14ac:dyDescent="0.25">
      <c r="A252" s="165" t="s">
        <v>1968</v>
      </c>
      <c r="B252" s="78">
        <v>3001107</v>
      </c>
      <c r="C252" s="165" t="s">
        <v>912</v>
      </c>
      <c r="D252" s="165" t="s">
        <v>1134</v>
      </c>
      <c r="E252" s="165" t="s">
        <v>1</v>
      </c>
      <c r="F252" s="165" t="s">
        <v>1135</v>
      </c>
      <c r="G252" s="165" t="s">
        <v>931</v>
      </c>
      <c r="H252" s="165" t="s">
        <v>1968</v>
      </c>
      <c r="I252" s="166">
        <v>43081</v>
      </c>
      <c r="J252" s="165">
        <v>43328</v>
      </c>
      <c r="K252" s="166">
        <v>43346</v>
      </c>
      <c r="L252" s="165">
        <v>43711</v>
      </c>
      <c r="M252" s="165" t="s">
        <v>124</v>
      </c>
      <c r="N252" s="165">
        <v>1</v>
      </c>
    </row>
    <row r="253" spans="1:14" x14ac:dyDescent="0.25">
      <c r="A253" s="165" t="s">
        <v>1969</v>
      </c>
      <c r="B253" s="78">
        <v>57868</v>
      </c>
      <c r="C253" s="165" t="s">
        <v>912</v>
      </c>
      <c r="D253" s="165" t="s">
        <v>1136</v>
      </c>
      <c r="E253" s="165" t="s">
        <v>2</v>
      </c>
      <c r="F253" s="165" t="s">
        <v>1137</v>
      </c>
      <c r="G253" s="165" t="s">
        <v>1138</v>
      </c>
      <c r="H253" s="165" t="s">
        <v>1969</v>
      </c>
      <c r="I253" s="166">
        <v>44043</v>
      </c>
      <c r="J253" s="165">
        <v>44499</v>
      </c>
      <c r="K253" s="166">
        <v>44134</v>
      </c>
      <c r="L253" s="165">
        <v>44499</v>
      </c>
      <c r="M253" s="165" t="s">
        <v>124</v>
      </c>
      <c r="N253" s="165">
        <v>1</v>
      </c>
    </row>
    <row r="254" spans="1:14" x14ac:dyDescent="0.25">
      <c r="A254" s="165" t="s">
        <v>1970</v>
      </c>
      <c r="B254" s="78">
        <v>77067</v>
      </c>
      <c r="C254" s="165" t="s">
        <v>912</v>
      </c>
      <c r="D254" s="165" t="s">
        <v>999</v>
      </c>
      <c r="E254" s="165" t="s">
        <v>1</v>
      </c>
      <c r="F254" s="165" t="s">
        <v>1139</v>
      </c>
      <c r="G254" s="165" t="s">
        <v>1140</v>
      </c>
      <c r="H254" s="165" t="s">
        <v>1970</v>
      </c>
      <c r="I254" s="166">
        <v>44225</v>
      </c>
      <c r="J254" s="165">
        <v>44273</v>
      </c>
      <c r="K254" s="166">
        <v>44273</v>
      </c>
      <c r="L254" s="165">
        <v>44638</v>
      </c>
      <c r="M254" s="165" t="s">
        <v>122</v>
      </c>
      <c r="N254" s="165">
        <v>1</v>
      </c>
    </row>
    <row r="255" spans="1:14" x14ac:dyDescent="0.25">
      <c r="A255" s="165" t="s">
        <v>1971</v>
      </c>
      <c r="B255" s="78">
        <v>64907</v>
      </c>
      <c r="C255" s="165" t="s">
        <v>912</v>
      </c>
      <c r="D255" s="165" t="s">
        <v>1141</v>
      </c>
      <c r="E255" s="165" t="s">
        <v>3</v>
      </c>
      <c r="F255" s="165" t="s">
        <v>1142</v>
      </c>
      <c r="G255" s="165" t="s">
        <v>1143</v>
      </c>
      <c r="H255" s="165" t="s">
        <v>1971</v>
      </c>
      <c r="I255" s="166">
        <v>44148</v>
      </c>
      <c r="J255" s="165">
        <v>44253</v>
      </c>
      <c r="K255" s="166">
        <v>44254</v>
      </c>
      <c r="L255" s="165">
        <v>44619</v>
      </c>
      <c r="M255" s="165" t="s">
        <v>122</v>
      </c>
      <c r="N255" s="165">
        <v>1</v>
      </c>
    </row>
    <row r="256" spans="1:14" x14ac:dyDescent="0.25">
      <c r="A256" s="165" t="s">
        <v>1972</v>
      </c>
      <c r="B256" s="78">
        <v>27393</v>
      </c>
      <c r="C256" s="165" t="s">
        <v>912</v>
      </c>
      <c r="D256" s="165" t="s">
        <v>969</v>
      </c>
      <c r="E256" s="165" t="s">
        <v>3</v>
      </c>
      <c r="F256" s="165" t="s">
        <v>1144</v>
      </c>
      <c r="G256" s="165" t="s">
        <v>1065</v>
      </c>
      <c r="H256" s="165" t="s">
        <v>1972</v>
      </c>
      <c r="I256" s="166">
        <v>44207</v>
      </c>
      <c r="J256" s="165">
        <v>44347</v>
      </c>
      <c r="K256" s="166">
        <v>44364</v>
      </c>
      <c r="L256" s="165">
        <v>44729</v>
      </c>
      <c r="M256" s="165" t="s">
        <v>122</v>
      </c>
      <c r="N256" s="165">
        <v>1</v>
      </c>
    </row>
    <row r="257" spans="1:14" x14ac:dyDescent="0.25">
      <c r="A257" s="165" t="s">
        <v>1973</v>
      </c>
      <c r="B257" s="78">
        <v>88574</v>
      </c>
      <c r="C257" s="165" t="s">
        <v>925</v>
      </c>
      <c r="D257" s="165" t="s">
        <v>1145</v>
      </c>
      <c r="E257" s="165" t="s">
        <v>3</v>
      </c>
      <c r="F257" s="165" t="s">
        <v>1144</v>
      </c>
      <c r="G257" s="165" t="s">
        <v>1065</v>
      </c>
      <c r="H257" s="165" t="s">
        <v>1973</v>
      </c>
      <c r="I257" s="166">
        <v>44207</v>
      </c>
      <c r="J257" s="165">
        <v>44347</v>
      </c>
      <c r="K257" s="166">
        <v>44364</v>
      </c>
      <c r="L257" s="165">
        <v>44729</v>
      </c>
      <c r="M257" s="165" t="s">
        <v>122</v>
      </c>
      <c r="N257" s="165">
        <v>1</v>
      </c>
    </row>
    <row r="258" spans="1:14" x14ac:dyDescent="0.25">
      <c r="A258" s="165" t="s">
        <v>1974</v>
      </c>
      <c r="B258" s="78">
        <v>88927</v>
      </c>
      <c r="C258" s="165" t="s">
        <v>925</v>
      </c>
      <c r="D258" s="165" t="s">
        <v>927</v>
      </c>
      <c r="E258" s="165" t="s">
        <v>3</v>
      </c>
      <c r="F258" s="165" t="s">
        <v>1144</v>
      </c>
      <c r="G258" s="165" t="s">
        <v>1065</v>
      </c>
      <c r="H258" s="165" t="s">
        <v>1974</v>
      </c>
      <c r="I258" s="166">
        <v>44207</v>
      </c>
      <c r="J258" s="165">
        <v>44347</v>
      </c>
      <c r="K258" s="166">
        <v>44364</v>
      </c>
      <c r="L258" s="165">
        <v>44729</v>
      </c>
      <c r="M258" s="165" t="s">
        <v>122</v>
      </c>
      <c r="N258" s="165">
        <v>1</v>
      </c>
    </row>
    <row r="259" spans="1:14" x14ac:dyDescent="0.25">
      <c r="A259" s="165" t="s">
        <v>1975</v>
      </c>
      <c r="B259" s="78">
        <v>9992</v>
      </c>
      <c r="C259" s="165" t="s">
        <v>912</v>
      </c>
      <c r="D259" s="165" t="s">
        <v>937</v>
      </c>
      <c r="E259" s="165" t="s">
        <v>2</v>
      </c>
      <c r="F259" s="165" t="s">
        <v>1146</v>
      </c>
      <c r="G259" s="165" t="s">
        <v>1069</v>
      </c>
      <c r="H259" s="165" t="s">
        <v>1975</v>
      </c>
      <c r="I259" s="166">
        <v>43410</v>
      </c>
      <c r="J259" s="165">
        <v>43570</v>
      </c>
      <c r="K259" s="166">
        <v>43585</v>
      </c>
      <c r="L259" s="165">
        <v>43950</v>
      </c>
      <c r="M259" s="165" t="s">
        <v>124</v>
      </c>
      <c r="N259" s="165">
        <v>1</v>
      </c>
    </row>
    <row r="260" spans="1:14" x14ac:dyDescent="0.25">
      <c r="A260" s="165" t="s">
        <v>1976</v>
      </c>
      <c r="B260" s="78">
        <v>85704</v>
      </c>
      <c r="C260" s="165" t="s">
        <v>912</v>
      </c>
      <c r="D260" s="165" t="s">
        <v>932</v>
      </c>
      <c r="E260" s="165" t="s">
        <v>954</v>
      </c>
      <c r="F260" s="165" t="s">
        <v>1018</v>
      </c>
      <c r="G260" s="165" t="s">
        <v>1019</v>
      </c>
      <c r="H260" s="165" t="s">
        <v>1976</v>
      </c>
      <c r="I260" s="166">
        <v>43586</v>
      </c>
      <c r="J260" s="165">
        <v>43754</v>
      </c>
      <c r="K260" s="166">
        <v>44120</v>
      </c>
      <c r="L260" s="165">
        <v>44485</v>
      </c>
      <c r="M260" s="165" t="s">
        <v>124</v>
      </c>
      <c r="N260" s="165">
        <v>1</v>
      </c>
    </row>
    <row r="261" spans="1:14" x14ac:dyDescent="0.25">
      <c r="A261" s="165" t="s">
        <v>1977</v>
      </c>
      <c r="B261" s="78">
        <v>85704</v>
      </c>
      <c r="C261" s="165" t="s">
        <v>925</v>
      </c>
      <c r="D261" s="165" t="s">
        <v>1147</v>
      </c>
      <c r="E261" s="165" t="s">
        <v>954</v>
      </c>
      <c r="F261" s="165" t="s">
        <v>1018</v>
      </c>
      <c r="G261" s="165" t="s">
        <v>1019</v>
      </c>
      <c r="H261" s="165" t="s">
        <v>1977</v>
      </c>
      <c r="I261" s="166">
        <v>43586</v>
      </c>
      <c r="J261" s="165">
        <v>43754</v>
      </c>
      <c r="K261" s="166">
        <v>44120</v>
      </c>
      <c r="L261" s="165">
        <v>44485</v>
      </c>
      <c r="M261" s="165" t="s">
        <v>124</v>
      </c>
      <c r="N261" s="165">
        <v>1</v>
      </c>
    </row>
    <row r="262" spans="1:14" x14ac:dyDescent="0.25">
      <c r="A262" s="165" t="s">
        <v>1978</v>
      </c>
      <c r="B262" s="78">
        <v>85704</v>
      </c>
      <c r="C262" s="165" t="s">
        <v>925</v>
      </c>
      <c r="D262" s="165" t="s">
        <v>926</v>
      </c>
      <c r="E262" s="165" t="s">
        <v>954</v>
      </c>
      <c r="F262" s="165" t="s">
        <v>1018</v>
      </c>
      <c r="G262" s="165" t="s">
        <v>1019</v>
      </c>
      <c r="H262" s="165" t="s">
        <v>1978</v>
      </c>
      <c r="I262" s="166">
        <v>43586</v>
      </c>
      <c r="J262" s="165">
        <v>43754</v>
      </c>
      <c r="K262" s="166">
        <v>44120</v>
      </c>
      <c r="L262" s="165">
        <v>44485</v>
      </c>
      <c r="M262" s="165" t="s">
        <v>124</v>
      </c>
      <c r="N262" s="165">
        <v>1</v>
      </c>
    </row>
    <row r="263" spans="1:14" x14ac:dyDescent="0.25">
      <c r="A263" s="165" t="s">
        <v>1979</v>
      </c>
      <c r="B263" s="78">
        <v>85704</v>
      </c>
      <c r="C263" s="165" t="s">
        <v>912</v>
      </c>
      <c r="D263" s="165" t="s">
        <v>1148</v>
      </c>
      <c r="E263" s="165" t="s">
        <v>954</v>
      </c>
      <c r="F263" s="165" t="s">
        <v>1018</v>
      </c>
      <c r="G263" s="165" t="s">
        <v>1019</v>
      </c>
      <c r="H263" s="165" t="s">
        <v>1979</v>
      </c>
      <c r="I263" s="166">
        <v>43586</v>
      </c>
      <c r="J263" s="165">
        <v>43754</v>
      </c>
      <c r="K263" s="166">
        <v>44120</v>
      </c>
      <c r="L263" s="165">
        <v>44485</v>
      </c>
      <c r="M263" s="165" t="s">
        <v>124</v>
      </c>
      <c r="N263" s="165">
        <v>1</v>
      </c>
    </row>
    <row r="264" spans="1:14" x14ac:dyDescent="0.25">
      <c r="A264" s="165" t="s">
        <v>1980</v>
      </c>
      <c r="B264" s="78">
        <v>3002674</v>
      </c>
      <c r="C264" s="165" t="s">
        <v>912</v>
      </c>
      <c r="D264" s="165" t="s">
        <v>937</v>
      </c>
      <c r="E264" s="165" t="s">
        <v>3</v>
      </c>
      <c r="F264" s="165" t="s">
        <v>1149</v>
      </c>
      <c r="G264" s="165" t="s">
        <v>1003</v>
      </c>
      <c r="H264" s="165" t="s">
        <v>1980</v>
      </c>
      <c r="I264" s="166">
        <v>43544</v>
      </c>
      <c r="J264" s="165">
        <v>43720</v>
      </c>
      <c r="K264" s="166">
        <v>43747</v>
      </c>
      <c r="L264" s="165">
        <v>44112</v>
      </c>
      <c r="M264" s="165" t="s">
        <v>124</v>
      </c>
      <c r="N264" s="165">
        <v>1</v>
      </c>
    </row>
    <row r="265" spans="1:14" x14ac:dyDescent="0.25">
      <c r="A265" s="165" t="s">
        <v>1981</v>
      </c>
      <c r="B265" s="78">
        <v>3000192</v>
      </c>
      <c r="C265" s="165" t="s">
        <v>925</v>
      </c>
      <c r="D265" s="165" t="s">
        <v>926</v>
      </c>
      <c r="E265" s="165" t="s">
        <v>3</v>
      </c>
      <c r="F265" s="165" t="s">
        <v>1149</v>
      </c>
      <c r="G265" s="165" t="s">
        <v>1003</v>
      </c>
      <c r="H265" s="165" t="s">
        <v>1981</v>
      </c>
      <c r="I265" s="166">
        <v>43544</v>
      </c>
      <c r="J265" s="165">
        <v>43720</v>
      </c>
      <c r="K265" s="166">
        <v>43747</v>
      </c>
      <c r="L265" s="165">
        <v>44112</v>
      </c>
      <c r="M265" s="165" t="s">
        <v>124</v>
      </c>
      <c r="N265" s="165">
        <v>1</v>
      </c>
    </row>
    <row r="266" spans="1:14" x14ac:dyDescent="0.25">
      <c r="A266" s="165" t="s">
        <v>1982</v>
      </c>
      <c r="B266" s="78">
        <v>3000228</v>
      </c>
      <c r="C266" s="165" t="s">
        <v>925</v>
      </c>
      <c r="D266" s="165" t="s">
        <v>927</v>
      </c>
      <c r="E266" s="165" t="s">
        <v>3</v>
      </c>
      <c r="F266" s="165" t="s">
        <v>1149</v>
      </c>
      <c r="G266" s="165" t="s">
        <v>1003</v>
      </c>
      <c r="H266" s="165" t="s">
        <v>1982</v>
      </c>
      <c r="I266" s="166">
        <v>43544</v>
      </c>
      <c r="J266" s="165">
        <v>43720</v>
      </c>
      <c r="K266" s="166">
        <v>43747</v>
      </c>
      <c r="L266" s="165">
        <v>44112</v>
      </c>
      <c r="M266" s="165" t="s">
        <v>124</v>
      </c>
      <c r="N266" s="165">
        <v>1</v>
      </c>
    </row>
    <row r="267" spans="1:14" x14ac:dyDescent="0.25">
      <c r="A267" s="165" t="s">
        <v>1983</v>
      </c>
      <c r="B267" s="78">
        <v>3000192</v>
      </c>
      <c r="C267" s="165" t="s">
        <v>925</v>
      </c>
      <c r="D267" s="165" t="s">
        <v>926</v>
      </c>
      <c r="E267" s="165" t="s">
        <v>3</v>
      </c>
      <c r="F267" s="165" t="s">
        <v>1150</v>
      </c>
      <c r="G267" s="165" t="s">
        <v>962</v>
      </c>
      <c r="H267" s="165" t="s">
        <v>1983</v>
      </c>
      <c r="I267" s="166">
        <v>43575</v>
      </c>
      <c r="J267" s="165">
        <v>43617</v>
      </c>
      <c r="K267" s="166">
        <v>43617</v>
      </c>
      <c r="L267" s="165">
        <v>43982</v>
      </c>
      <c r="M267" s="165" t="s">
        <v>124</v>
      </c>
      <c r="N267" s="165">
        <v>1</v>
      </c>
    </row>
    <row r="268" spans="1:14" x14ac:dyDescent="0.25">
      <c r="A268" s="165" t="s">
        <v>1984</v>
      </c>
      <c r="B268" s="78">
        <v>20191502</v>
      </c>
      <c r="C268" s="165" t="s">
        <v>912</v>
      </c>
      <c r="D268" s="165" t="s">
        <v>1151</v>
      </c>
      <c r="E268" s="165" t="s">
        <v>954</v>
      </c>
      <c r="F268" s="165" t="s">
        <v>1152</v>
      </c>
      <c r="G268" s="165" t="s">
        <v>997</v>
      </c>
      <c r="H268" s="165" t="s">
        <v>1984</v>
      </c>
      <c r="I268" s="166">
        <v>43312</v>
      </c>
      <c r="J268" s="165">
        <v>43451</v>
      </c>
      <c r="K268" s="166">
        <v>43511</v>
      </c>
      <c r="L268" s="165">
        <v>43876</v>
      </c>
      <c r="M268" s="165" t="s">
        <v>124</v>
      </c>
      <c r="N268" s="165">
        <v>1</v>
      </c>
    </row>
    <row r="269" spans="1:14" x14ac:dyDescent="0.25">
      <c r="A269" s="165" t="s">
        <v>1985</v>
      </c>
      <c r="B269" s="78">
        <v>78022</v>
      </c>
      <c r="C269" s="165" t="s">
        <v>912</v>
      </c>
      <c r="D269" s="165" t="s">
        <v>937</v>
      </c>
      <c r="E269" s="165" t="s">
        <v>954</v>
      </c>
      <c r="F269" s="165" t="s">
        <v>1153</v>
      </c>
      <c r="G269" s="165" t="s">
        <v>1019</v>
      </c>
      <c r="H269" s="165" t="s">
        <v>1985</v>
      </c>
      <c r="I269" s="166">
        <v>43951</v>
      </c>
      <c r="J269" s="165">
        <v>44000</v>
      </c>
      <c r="K269" s="166">
        <v>44018</v>
      </c>
      <c r="L269" s="165">
        <v>44383</v>
      </c>
      <c r="M269" s="165" t="s">
        <v>124</v>
      </c>
      <c r="N269" s="165">
        <v>1</v>
      </c>
    </row>
    <row r="270" spans="1:14" x14ac:dyDescent="0.25">
      <c r="A270" s="165" t="s">
        <v>1986</v>
      </c>
      <c r="B270" s="78">
        <v>82688</v>
      </c>
      <c r="C270" s="165" t="s">
        <v>925</v>
      </c>
      <c r="D270" s="165" t="s">
        <v>927</v>
      </c>
      <c r="E270" s="165" t="s">
        <v>954</v>
      </c>
      <c r="F270" s="165" t="s">
        <v>1037</v>
      </c>
      <c r="G270" s="165" t="s">
        <v>1019</v>
      </c>
      <c r="H270" s="165" t="s">
        <v>1986</v>
      </c>
      <c r="I270" s="166">
        <v>43726</v>
      </c>
      <c r="J270" s="165">
        <v>43755</v>
      </c>
      <c r="K270" s="166">
        <v>43755</v>
      </c>
      <c r="L270" s="165">
        <v>44120</v>
      </c>
      <c r="M270" s="165" t="s">
        <v>124</v>
      </c>
      <c r="N270" s="165">
        <v>1</v>
      </c>
    </row>
    <row r="271" spans="1:14" x14ac:dyDescent="0.25">
      <c r="A271" s="165" t="s">
        <v>1987</v>
      </c>
      <c r="B271" s="78">
        <v>98426</v>
      </c>
      <c r="C271" s="165" t="s">
        <v>912</v>
      </c>
      <c r="D271" s="165" t="s">
        <v>1154</v>
      </c>
      <c r="E271" s="165" t="s">
        <v>47</v>
      </c>
      <c r="F271" s="165" t="s">
        <v>1155</v>
      </c>
      <c r="G271" s="165" t="s">
        <v>1156</v>
      </c>
      <c r="H271" s="165" t="s">
        <v>1987</v>
      </c>
      <c r="I271" s="166">
        <v>43852</v>
      </c>
      <c r="J271" s="165">
        <v>43903</v>
      </c>
      <c r="K271" s="166">
        <v>44113</v>
      </c>
      <c r="L271" s="165">
        <v>44478</v>
      </c>
      <c r="M271" s="165" t="s">
        <v>124</v>
      </c>
      <c r="N271" s="165">
        <v>1</v>
      </c>
    </row>
    <row r="272" spans="1:14" x14ac:dyDescent="0.25">
      <c r="A272" s="165" t="s">
        <v>1988</v>
      </c>
      <c r="B272" s="78">
        <v>53783</v>
      </c>
      <c r="C272" s="165" t="s">
        <v>912</v>
      </c>
      <c r="D272" s="165" t="s">
        <v>1041</v>
      </c>
      <c r="E272" s="165" t="s">
        <v>1</v>
      </c>
      <c r="F272" s="165" t="s">
        <v>933</v>
      </c>
      <c r="G272" s="165" t="s">
        <v>924</v>
      </c>
      <c r="H272" s="165" t="s">
        <v>1988</v>
      </c>
      <c r="I272" s="166">
        <v>43997</v>
      </c>
      <c r="J272" s="165">
        <v>44056</v>
      </c>
      <c r="K272" s="166">
        <v>44056</v>
      </c>
      <c r="L272" s="165">
        <v>44421</v>
      </c>
      <c r="M272" s="165" t="s">
        <v>124</v>
      </c>
      <c r="N272" s="165">
        <v>1</v>
      </c>
    </row>
    <row r="273" spans="1:14" x14ac:dyDescent="0.25">
      <c r="A273" s="165" t="s">
        <v>1989</v>
      </c>
      <c r="B273" s="78">
        <v>42353</v>
      </c>
      <c r="C273" s="165" t="s">
        <v>912</v>
      </c>
      <c r="D273" s="165" t="s">
        <v>1157</v>
      </c>
      <c r="E273" s="165" t="s">
        <v>3</v>
      </c>
      <c r="F273" s="165" t="s">
        <v>1158</v>
      </c>
      <c r="G273" s="165" t="s">
        <v>1065</v>
      </c>
      <c r="H273" s="165" t="s">
        <v>1989</v>
      </c>
      <c r="I273" s="166">
        <v>44078</v>
      </c>
      <c r="J273" s="165">
        <v>44169</v>
      </c>
      <c r="K273" s="166">
        <v>44281</v>
      </c>
      <c r="L273" s="165">
        <v>44646</v>
      </c>
      <c r="M273" s="165" t="s">
        <v>122</v>
      </c>
      <c r="N273" s="165">
        <v>1</v>
      </c>
    </row>
    <row r="274" spans="1:14" x14ac:dyDescent="0.25">
      <c r="A274" s="165" t="s">
        <v>1990</v>
      </c>
      <c r="B274" s="78">
        <v>3002515</v>
      </c>
      <c r="C274" s="165" t="s">
        <v>912</v>
      </c>
      <c r="D274" s="165" t="s">
        <v>1159</v>
      </c>
      <c r="E274" s="165" t="s">
        <v>47</v>
      </c>
      <c r="F274" s="165" t="s">
        <v>1160</v>
      </c>
      <c r="G274" s="165" t="s">
        <v>1161</v>
      </c>
      <c r="H274" s="165" t="s">
        <v>1990</v>
      </c>
      <c r="I274" s="166">
        <v>43461</v>
      </c>
      <c r="J274" s="165">
        <v>43664</v>
      </c>
      <c r="K274" s="166">
        <v>43871</v>
      </c>
      <c r="L274" s="165">
        <v>44236</v>
      </c>
      <c r="M274" s="165" t="s">
        <v>124</v>
      </c>
      <c r="N274" s="165">
        <v>1</v>
      </c>
    </row>
    <row r="275" spans="1:14" x14ac:dyDescent="0.25">
      <c r="A275" s="165" t="s">
        <v>1991</v>
      </c>
      <c r="B275" s="78">
        <v>3002521</v>
      </c>
      <c r="C275" s="165" t="s">
        <v>925</v>
      </c>
      <c r="D275" s="165" t="s">
        <v>1162</v>
      </c>
      <c r="E275" s="165" t="s">
        <v>47</v>
      </c>
      <c r="F275" s="165" t="s">
        <v>1160</v>
      </c>
      <c r="G275" s="165" t="s">
        <v>1161</v>
      </c>
      <c r="H275" s="165" t="s">
        <v>1991</v>
      </c>
      <c r="I275" s="166">
        <v>43461</v>
      </c>
      <c r="J275" s="165">
        <v>43664</v>
      </c>
      <c r="K275" s="166">
        <v>43506</v>
      </c>
      <c r="L275" s="165">
        <v>43871</v>
      </c>
      <c r="M275" s="165" t="s">
        <v>124</v>
      </c>
      <c r="N275" s="165">
        <v>1</v>
      </c>
    </row>
    <row r="276" spans="1:14" x14ac:dyDescent="0.25">
      <c r="A276" s="165" t="s">
        <v>1992</v>
      </c>
      <c r="B276" s="78">
        <v>3000228</v>
      </c>
      <c r="C276" s="165" t="s">
        <v>925</v>
      </c>
      <c r="D276" s="165" t="s">
        <v>927</v>
      </c>
      <c r="E276" s="165" t="s">
        <v>47</v>
      </c>
      <c r="F276" s="165" t="s">
        <v>1160</v>
      </c>
      <c r="G276" s="165" t="s">
        <v>1161</v>
      </c>
      <c r="H276" s="165" t="s">
        <v>1992</v>
      </c>
      <c r="I276" s="166">
        <v>43461</v>
      </c>
      <c r="J276" s="165">
        <v>43664</v>
      </c>
      <c r="K276" s="166">
        <v>43506</v>
      </c>
      <c r="L276" s="165">
        <v>43871</v>
      </c>
      <c r="M276" s="165" t="s">
        <v>124</v>
      </c>
      <c r="N276" s="165">
        <v>1</v>
      </c>
    </row>
    <row r="277" spans="1:14" x14ac:dyDescent="0.25">
      <c r="A277" s="165" t="s">
        <v>1993</v>
      </c>
      <c r="B277" s="78">
        <v>67090</v>
      </c>
      <c r="C277" s="165" t="s">
        <v>947</v>
      </c>
      <c r="D277" s="165" t="s">
        <v>1163</v>
      </c>
      <c r="E277" s="165" t="s">
        <v>2</v>
      </c>
      <c r="F277" s="165" t="s">
        <v>1164</v>
      </c>
      <c r="G277" s="165" t="s">
        <v>1005</v>
      </c>
      <c r="H277" s="165" t="s">
        <v>1993</v>
      </c>
      <c r="I277" s="166">
        <v>43979</v>
      </c>
      <c r="J277" s="165">
        <v>44011</v>
      </c>
      <c r="K277" s="166">
        <v>44011</v>
      </c>
      <c r="L277" s="165">
        <v>44376</v>
      </c>
      <c r="M277" s="165" t="s">
        <v>124</v>
      </c>
      <c r="N277" s="165">
        <v>1</v>
      </c>
    </row>
    <row r="278" spans="1:14" x14ac:dyDescent="0.25">
      <c r="A278" s="165" t="s">
        <v>1994</v>
      </c>
      <c r="B278" s="78">
        <v>90486</v>
      </c>
      <c r="C278" s="165" t="s">
        <v>912</v>
      </c>
      <c r="D278" s="165" t="s">
        <v>945</v>
      </c>
      <c r="E278" s="165" t="s">
        <v>3</v>
      </c>
      <c r="F278" s="165" t="s">
        <v>1165</v>
      </c>
      <c r="G278" s="165" t="s">
        <v>1065</v>
      </c>
      <c r="H278" s="165" t="s">
        <v>1994</v>
      </c>
      <c r="I278" s="166">
        <v>44189</v>
      </c>
      <c r="J278" s="165">
        <v>44365</v>
      </c>
      <c r="K278" s="166">
        <v>44469</v>
      </c>
      <c r="L278" s="165">
        <v>44834</v>
      </c>
      <c r="M278" s="165" t="s">
        <v>122</v>
      </c>
      <c r="N278" s="165">
        <v>1</v>
      </c>
    </row>
    <row r="279" spans="1:14" x14ac:dyDescent="0.25">
      <c r="A279" s="165" t="s">
        <v>1995</v>
      </c>
      <c r="B279" s="78">
        <v>90486</v>
      </c>
      <c r="C279" s="165" t="s">
        <v>947</v>
      </c>
      <c r="D279" s="165" t="s">
        <v>1166</v>
      </c>
      <c r="E279" s="165" t="s">
        <v>3</v>
      </c>
      <c r="F279" s="165" t="s">
        <v>1165</v>
      </c>
      <c r="G279" s="165" t="s">
        <v>1065</v>
      </c>
      <c r="H279" s="165" t="s">
        <v>1995</v>
      </c>
      <c r="I279" s="166">
        <v>44189</v>
      </c>
      <c r="J279" s="165">
        <v>44365</v>
      </c>
      <c r="K279" s="166">
        <v>44469</v>
      </c>
      <c r="L279" s="165">
        <v>44834</v>
      </c>
      <c r="M279" s="165" t="s">
        <v>122</v>
      </c>
      <c r="N279" s="165">
        <v>1</v>
      </c>
    </row>
    <row r="280" spans="1:14" x14ac:dyDescent="0.25">
      <c r="A280" s="165" t="s">
        <v>1996</v>
      </c>
      <c r="B280" s="78">
        <v>90486</v>
      </c>
      <c r="C280" s="165" t="s">
        <v>947</v>
      </c>
      <c r="D280" s="165" t="s">
        <v>1167</v>
      </c>
      <c r="E280" s="165" t="s">
        <v>3</v>
      </c>
      <c r="F280" s="165" t="s">
        <v>1165</v>
      </c>
      <c r="G280" s="165" t="s">
        <v>1065</v>
      </c>
      <c r="H280" s="165" t="s">
        <v>1996</v>
      </c>
      <c r="I280" s="166">
        <v>44189</v>
      </c>
      <c r="J280" s="165">
        <v>44365</v>
      </c>
      <c r="K280" s="166">
        <v>44469</v>
      </c>
      <c r="L280" s="165">
        <v>44834</v>
      </c>
      <c r="M280" s="165" t="s">
        <v>122</v>
      </c>
      <c r="N280" s="165">
        <v>1</v>
      </c>
    </row>
    <row r="281" spans="1:14" x14ac:dyDescent="0.25">
      <c r="A281" s="165" t="s">
        <v>1997</v>
      </c>
      <c r="B281" s="78">
        <v>90486</v>
      </c>
      <c r="C281" s="165" t="s">
        <v>947</v>
      </c>
      <c r="D281" s="165" t="s">
        <v>1168</v>
      </c>
      <c r="E281" s="165" t="s">
        <v>3</v>
      </c>
      <c r="F281" s="165" t="s">
        <v>1165</v>
      </c>
      <c r="G281" s="165" t="s">
        <v>1065</v>
      </c>
      <c r="H281" s="165" t="s">
        <v>1997</v>
      </c>
      <c r="I281" s="166">
        <v>44189</v>
      </c>
      <c r="J281" s="165">
        <v>44365</v>
      </c>
      <c r="K281" s="166">
        <v>44469</v>
      </c>
      <c r="L281" s="165">
        <v>44834</v>
      </c>
      <c r="M281" s="165" t="s">
        <v>122</v>
      </c>
      <c r="N281" s="165">
        <v>1</v>
      </c>
    </row>
    <row r="282" spans="1:14" x14ac:dyDescent="0.25">
      <c r="A282" s="165" t="s">
        <v>1998</v>
      </c>
      <c r="B282" s="78">
        <v>90486</v>
      </c>
      <c r="C282" s="165" t="s">
        <v>947</v>
      </c>
      <c r="D282" s="165" t="s">
        <v>1169</v>
      </c>
      <c r="E282" s="165" t="s">
        <v>3</v>
      </c>
      <c r="F282" s="165" t="s">
        <v>1165</v>
      </c>
      <c r="G282" s="165" t="s">
        <v>1065</v>
      </c>
      <c r="H282" s="165" t="s">
        <v>1998</v>
      </c>
      <c r="I282" s="166">
        <v>44189</v>
      </c>
      <c r="J282" s="165">
        <v>44365</v>
      </c>
      <c r="K282" s="166">
        <v>44469</v>
      </c>
      <c r="L282" s="165">
        <v>44834</v>
      </c>
      <c r="M282" s="165" t="s">
        <v>122</v>
      </c>
      <c r="N282" s="165">
        <v>1</v>
      </c>
    </row>
    <row r="283" spans="1:14" x14ac:dyDescent="0.25">
      <c r="A283" s="165" t="s">
        <v>1999</v>
      </c>
      <c r="B283" s="78">
        <v>60261</v>
      </c>
      <c r="C283" s="165" t="s">
        <v>912</v>
      </c>
      <c r="D283" s="165" t="s">
        <v>937</v>
      </c>
      <c r="E283" s="165" t="s">
        <v>3</v>
      </c>
      <c r="F283" s="165" t="s">
        <v>1170</v>
      </c>
      <c r="G283" s="165" t="s">
        <v>1171</v>
      </c>
      <c r="H283" s="165" t="s">
        <v>1999</v>
      </c>
      <c r="I283" s="166">
        <v>43738</v>
      </c>
      <c r="J283" s="165">
        <v>43894</v>
      </c>
      <c r="K283" s="166">
        <v>44008</v>
      </c>
      <c r="L283" s="165">
        <v>44373</v>
      </c>
      <c r="M283" s="165" t="s">
        <v>124</v>
      </c>
      <c r="N283" s="165">
        <v>1</v>
      </c>
    </row>
    <row r="284" spans="1:14" x14ac:dyDescent="0.25">
      <c r="A284" s="165" t="s">
        <v>2000</v>
      </c>
      <c r="B284" s="78">
        <v>28494</v>
      </c>
      <c r="C284" s="165" t="s">
        <v>925</v>
      </c>
      <c r="D284" s="165" t="s">
        <v>926</v>
      </c>
      <c r="E284" s="165" t="s">
        <v>3</v>
      </c>
      <c r="F284" s="165" t="s">
        <v>1170</v>
      </c>
      <c r="G284" s="165" t="s">
        <v>1171</v>
      </c>
      <c r="H284" s="165" t="s">
        <v>2000</v>
      </c>
      <c r="I284" s="166">
        <v>43738</v>
      </c>
      <c r="J284" s="165">
        <v>43894</v>
      </c>
      <c r="K284" s="166">
        <v>44008</v>
      </c>
      <c r="L284" s="165">
        <v>44373</v>
      </c>
      <c r="M284" s="165" t="s">
        <v>124</v>
      </c>
      <c r="N284" s="165">
        <v>1</v>
      </c>
    </row>
    <row r="285" spans="1:14" x14ac:dyDescent="0.25">
      <c r="A285" s="165" t="s">
        <v>2001</v>
      </c>
      <c r="B285" s="78">
        <v>99947</v>
      </c>
      <c r="C285" s="165" t="s">
        <v>925</v>
      </c>
      <c r="D285" s="165" t="s">
        <v>927</v>
      </c>
      <c r="E285" s="165" t="s">
        <v>3</v>
      </c>
      <c r="F285" s="165" t="s">
        <v>1170</v>
      </c>
      <c r="G285" s="165" t="s">
        <v>1171</v>
      </c>
      <c r="H285" s="165" t="s">
        <v>2001</v>
      </c>
      <c r="I285" s="166">
        <v>43738</v>
      </c>
      <c r="J285" s="165">
        <v>43894</v>
      </c>
      <c r="K285" s="166">
        <v>44008</v>
      </c>
      <c r="L285" s="165">
        <v>44373</v>
      </c>
      <c r="M285" s="165" t="s">
        <v>124</v>
      </c>
      <c r="N285" s="165">
        <v>1</v>
      </c>
    </row>
    <row r="286" spans="1:14" x14ac:dyDescent="0.25">
      <c r="A286" s="165" t="s">
        <v>2002</v>
      </c>
      <c r="B286" s="78">
        <v>99921</v>
      </c>
      <c r="C286" s="165" t="s">
        <v>947</v>
      </c>
      <c r="D286" s="165" t="s">
        <v>1172</v>
      </c>
      <c r="E286" s="165" t="s">
        <v>1</v>
      </c>
      <c r="F286" s="165" t="s">
        <v>1075</v>
      </c>
      <c r="G286" s="165" t="s">
        <v>936</v>
      </c>
      <c r="H286" s="165" t="s">
        <v>2002</v>
      </c>
      <c r="I286" s="166">
        <v>43511</v>
      </c>
      <c r="J286" s="165">
        <v>43738</v>
      </c>
      <c r="K286" s="166">
        <v>43738</v>
      </c>
      <c r="L286" s="165">
        <v>44103</v>
      </c>
      <c r="M286" s="165" t="s">
        <v>124</v>
      </c>
      <c r="N286" s="165">
        <v>1</v>
      </c>
    </row>
    <row r="287" spans="1:14" x14ac:dyDescent="0.25">
      <c r="A287" s="165" t="s">
        <v>2003</v>
      </c>
      <c r="B287" s="78">
        <v>99922</v>
      </c>
      <c r="C287" s="165" t="s">
        <v>947</v>
      </c>
      <c r="D287" s="165" t="s">
        <v>1173</v>
      </c>
      <c r="E287" s="165" t="s">
        <v>1</v>
      </c>
      <c r="F287" s="165" t="s">
        <v>1075</v>
      </c>
      <c r="G287" s="165" t="s">
        <v>936</v>
      </c>
      <c r="H287" s="165" t="s">
        <v>2003</v>
      </c>
      <c r="I287" s="166">
        <v>43511</v>
      </c>
      <c r="J287" s="165">
        <v>43738</v>
      </c>
      <c r="K287" s="166">
        <v>43738</v>
      </c>
      <c r="L287" s="165">
        <v>44103</v>
      </c>
      <c r="M287" s="165" t="s">
        <v>124</v>
      </c>
      <c r="N287" s="165">
        <v>1</v>
      </c>
    </row>
    <row r="288" spans="1:14" x14ac:dyDescent="0.25">
      <c r="A288" s="165" t="s">
        <v>2004</v>
      </c>
      <c r="B288" s="78">
        <v>99927</v>
      </c>
      <c r="C288" s="165" t="s">
        <v>947</v>
      </c>
      <c r="D288" s="165" t="s">
        <v>1053</v>
      </c>
      <c r="E288" s="165" t="s">
        <v>3</v>
      </c>
      <c r="F288" s="165" t="s">
        <v>1174</v>
      </c>
      <c r="G288" s="165" t="s">
        <v>1175</v>
      </c>
      <c r="H288" s="165" t="s">
        <v>2004</v>
      </c>
      <c r="I288" s="166">
        <v>43588</v>
      </c>
      <c r="J288" s="165">
        <v>43662</v>
      </c>
      <c r="K288" s="166">
        <v>43662</v>
      </c>
      <c r="L288" s="165">
        <v>44027</v>
      </c>
      <c r="M288" s="165" t="s">
        <v>124</v>
      </c>
      <c r="N288" s="165">
        <v>1</v>
      </c>
    </row>
    <row r="289" spans="1:14" x14ac:dyDescent="0.25">
      <c r="A289" s="165" t="s">
        <v>2005</v>
      </c>
      <c r="B289" s="78">
        <v>56895</v>
      </c>
      <c r="C289" s="165" t="s">
        <v>947</v>
      </c>
      <c r="D289" s="165" t="s">
        <v>1176</v>
      </c>
      <c r="E289" s="165" t="s">
        <v>1</v>
      </c>
      <c r="F289" s="165" t="s">
        <v>935</v>
      </c>
      <c r="G289" s="165" t="s">
        <v>936</v>
      </c>
      <c r="H289" s="165" t="s">
        <v>2005</v>
      </c>
      <c r="I289" s="166">
        <v>43756</v>
      </c>
      <c r="J289" s="165">
        <v>43803</v>
      </c>
      <c r="K289" s="166">
        <v>43803</v>
      </c>
      <c r="L289" s="165">
        <v>44168</v>
      </c>
      <c r="M289" s="165" t="s">
        <v>124</v>
      </c>
      <c r="N289" s="165">
        <v>1</v>
      </c>
    </row>
    <row r="290" spans="1:14" x14ac:dyDescent="0.25">
      <c r="A290" s="165" t="s">
        <v>2006</v>
      </c>
      <c r="B290" s="78">
        <v>56895</v>
      </c>
      <c r="C290" s="165" t="s">
        <v>947</v>
      </c>
      <c r="D290" s="165" t="s">
        <v>1177</v>
      </c>
      <c r="E290" s="165" t="s">
        <v>1</v>
      </c>
      <c r="F290" s="165" t="s">
        <v>935</v>
      </c>
      <c r="G290" s="165" t="s">
        <v>936</v>
      </c>
      <c r="H290" s="165" t="s">
        <v>2006</v>
      </c>
      <c r="I290" s="166">
        <v>43756</v>
      </c>
      <c r="J290" s="165">
        <v>43803</v>
      </c>
      <c r="K290" s="166">
        <v>43803</v>
      </c>
      <c r="L290" s="165">
        <v>44168</v>
      </c>
      <c r="M290" s="165" t="s">
        <v>124</v>
      </c>
      <c r="N290" s="165">
        <v>0</v>
      </c>
    </row>
    <row r="291" spans="1:14" x14ac:dyDescent="0.25">
      <c r="A291" s="165" t="s">
        <v>2007</v>
      </c>
      <c r="B291" s="78">
        <v>31493</v>
      </c>
      <c r="C291" s="165" t="s">
        <v>912</v>
      </c>
      <c r="D291" s="165" t="s">
        <v>937</v>
      </c>
      <c r="E291" s="165" t="s">
        <v>1</v>
      </c>
      <c r="F291" s="165" t="s">
        <v>1178</v>
      </c>
      <c r="G291" s="165" t="s">
        <v>936</v>
      </c>
      <c r="H291" s="165" t="s">
        <v>2007</v>
      </c>
      <c r="I291" s="166">
        <v>43598</v>
      </c>
      <c r="J291" s="165">
        <v>43775</v>
      </c>
      <c r="K291" s="166">
        <v>43810</v>
      </c>
      <c r="L291" s="165">
        <v>44175</v>
      </c>
      <c r="M291" s="165" t="s">
        <v>124</v>
      </c>
      <c r="N291" s="165">
        <v>1</v>
      </c>
    </row>
    <row r="292" spans="1:14" x14ac:dyDescent="0.25">
      <c r="A292" s="165" t="s">
        <v>2008</v>
      </c>
      <c r="B292" s="78">
        <v>31493</v>
      </c>
      <c r="C292" s="165" t="s">
        <v>925</v>
      </c>
      <c r="D292" s="165" t="s">
        <v>926</v>
      </c>
      <c r="E292" s="165" t="s">
        <v>1</v>
      </c>
      <c r="F292" s="165" t="s">
        <v>1178</v>
      </c>
      <c r="G292" s="165" t="s">
        <v>936</v>
      </c>
      <c r="H292" s="165" t="s">
        <v>2008</v>
      </c>
      <c r="I292" s="166">
        <v>43598</v>
      </c>
      <c r="J292" s="165">
        <v>43775</v>
      </c>
      <c r="K292" s="166">
        <v>43810</v>
      </c>
      <c r="L292" s="165">
        <v>44175</v>
      </c>
      <c r="M292" s="165" t="s">
        <v>124</v>
      </c>
      <c r="N292" s="165">
        <v>1</v>
      </c>
    </row>
    <row r="293" spans="1:14" x14ac:dyDescent="0.25">
      <c r="A293" s="165" t="s">
        <v>2009</v>
      </c>
      <c r="B293" s="78">
        <v>31493</v>
      </c>
      <c r="C293" s="165" t="s">
        <v>925</v>
      </c>
      <c r="D293" s="165" t="s">
        <v>927</v>
      </c>
      <c r="E293" s="165" t="s">
        <v>1</v>
      </c>
      <c r="F293" s="165" t="s">
        <v>1178</v>
      </c>
      <c r="G293" s="165" t="s">
        <v>936</v>
      </c>
      <c r="H293" s="165" t="s">
        <v>2009</v>
      </c>
      <c r="I293" s="166">
        <v>43598</v>
      </c>
      <c r="J293" s="165">
        <v>43775</v>
      </c>
      <c r="K293" s="166">
        <v>43810</v>
      </c>
      <c r="L293" s="165">
        <v>44175</v>
      </c>
      <c r="M293" s="165" t="s">
        <v>124</v>
      </c>
      <c r="N293" s="165">
        <v>1</v>
      </c>
    </row>
    <row r="294" spans="1:14" x14ac:dyDescent="0.25">
      <c r="A294" s="165" t="s">
        <v>2010</v>
      </c>
      <c r="B294" s="78">
        <v>59891</v>
      </c>
      <c r="C294" s="165" t="s">
        <v>912</v>
      </c>
      <c r="D294" s="165" t="s">
        <v>937</v>
      </c>
      <c r="E294" s="165" t="s">
        <v>1</v>
      </c>
      <c r="F294" s="165" t="s">
        <v>935</v>
      </c>
      <c r="G294" s="165" t="s">
        <v>936</v>
      </c>
      <c r="H294" s="165" t="s">
        <v>2010</v>
      </c>
      <c r="I294" s="166">
        <v>43301</v>
      </c>
      <c r="J294" s="165">
        <v>43791</v>
      </c>
      <c r="K294" s="166">
        <v>43812</v>
      </c>
      <c r="L294" s="165">
        <v>44177</v>
      </c>
      <c r="M294" s="165" t="s">
        <v>124</v>
      </c>
      <c r="N294" s="165">
        <v>1</v>
      </c>
    </row>
    <row r="295" spans="1:14" x14ac:dyDescent="0.25">
      <c r="A295" s="165" t="s">
        <v>2011</v>
      </c>
      <c r="B295" s="78">
        <v>59891</v>
      </c>
      <c r="C295" s="165" t="s">
        <v>925</v>
      </c>
      <c r="D295" s="165" t="s">
        <v>926</v>
      </c>
      <c r="E295" s="165" t="s">
        <v>1</v>
      </c>
      <c r="F295" s="165" t="s">
        <v>935</v>
      </c>
      <c r="G295" s="165" t="s">
        <v>936</v>
      </c>
      <c r="H295" s="165" t="s">
        <v>2011</v>
      </c>
      <c r="I295" s="166">
        <v>43301</v>
      </c>
      <c r="J295" s="165">
        <v>43791</v>
      </c>
      <c r="K295" s="166">
        <v>43812</v>
      </c>
      <c r="L295" s="165">
        <v>44177</v>
      </c>
      <c r="M295" s="165" t="s">
        <v>124</v>
      </c>
      <c r="N295" s="165">
        <v>1</v>
      </c>
    </row>
    <row r="296" spans="1:14" x14ac:dyDescent="0.25">
      <c r="A296" s="165" t="s">
        <v>2012</v>
      </c>
      <c r="B296" s="78">
        <v>47823</v>
      </c>
      <c r="C296" s="165" t="s">
        <v>912</v>
      </c>
      <c r="D296" s="165" t="s">
        <v>922</v>
      </c>
      <c r="E296" s="165" t="s">
        <v>3</v>
      </c>
      <c r="F296" s="165" t="s">
        <v>1179</v>
      </c>
      <c r="G296" s="165" t="s">
        <v>962</v>
      </c>
      <c r="H296" s="165" t="s">
        <v>2012</v>
      </c>
      <c r="I296" s="166">
        <v>43830</v>
      </c>
      <c r="J296" s="165">
        <v>44078</v>
      </c>
      <c r="K296" s="166">
        <v>44113</v>
      </c>
      <c r="L296" s="165">
        <v>44478</v>
      </c>
      <c r="M296" s="165" t="s">
        <v>124</v>
      </c>
      <c r="N296" s="165">
        <v>1</v>
      </c>
    </row>
    <row r="297" spans="1:14" x14ac:dyDescent="0.25">
      <c r="A297" s="165" t="s">
        <v>2013</v>
      </c>
      <c r="B297" s="78">
        <v>89271</v>
      </c>
      <c r="C297" s="165" t="s">
        <v>925</v>
      </c>
      <c r="D297" s="165" t="s">
        <v>926</v>
      </c>
      <c r="E297" s="165" t="s">
        <v>3</v>
      </c>
      <c r="F297" s="165" t="s">
        <v>1179</v>
      </c>
      <c r="G297" s="165" t="s">
        <v>962</v>
      </c>
      <c r="H297" s="165" t="s">
        <v>2013</v>
      </c>
      <c r="I297" s="166">
        <v>43830</v>
      </c>
      <c r="J297" s="165">
        <v>44078</v>
      </c>
      <c r="K297" s="166">
        <v>44113</v>
      </c>
      <c r="L297" s="165">
        <v>44478</v>
      </c>
      <c r="M297" s="165" t="s">
        <v>124</v>
      </c>
      <c r="N297" s="165">
        <v>1</v>
      </c>
    </row>
    <row r="298" spans="1:14" x14ac:dyDescent="0.25">
      <c r="A298" s="165" t="s">
        <v>2014</v>
      </c>
      <c r="B298" s="78">
        <v>64467</v>
      </c>
      <c r="C298" s="165" t="s">
        <v>925</v>
      </c>
      <c r="D298" s="165" t="s">
        <v>927</v>
      </c>
      <c r="E298" s="165" t="s">
        <v>3</v>
      </c>
      <c r="F298" s="165" t="s">
        <v>1179</v>
      </c>
      <c r="G298" s="165" t="s">
        <v>962</v>
      </c>
      <c r="H298" s="165" t="s">
        <v>2014</v>
      </c>
      <c r="I298" s="166">
        <v>43830</v>
      </c>
      <c r="J298" s="165">
        <v>44078</v>
      </c>
      <c r="K298" s="166">
        <v>44113</v>
      </c>
      <c r="L298" s="165">
        <v>44478</v>
      </c>
      <c r="M298" s="165" t="s">
        <v>124</v>
      </c>
      <c r="N298" s="165">
        <v>1</v>
      </c>
    </row>
    <row r="299" spans="1:14" x14ac:dyDescent="0.25">
      <c r="A299" s="165" t="s">
        <v>2015</v>
      </c>
      <c r="B299" s="78">
        <v>69200</v>
      </c>
      <c r="C299" s="165" t="s">
        <v>912</v>
      </c>
      <c r="D299" s="165" t="s">
        <v>932</v>
      </c>
      <c r="E299" s="165" t="s">
        <v>1</v>
      </c>
      <c r="F299" s="165" t="s">
        <v>1139</v>
      </c>
      <c r="G299" s="165" t="s">
        <v>1140</v>
      </c>
      <c r="H299" s="165" t="s">
        <v>2015</v>
      </c>
      <c r="I299" s="166">
        <v>43592</v>
      </c>
      <c r="J299" s="165">
        <v>43958</v>
      </c>
      <c r="K299" s="166" t="s">
        <v>949</v>
      </c>
      <c r="L299" s="165">
        <v>0</v>
      </c>
      <c r="M299" s="165" t="s">
        <v>124</v>
      </c>
      <c r="N299" s="165">
        <v>1</v>
      </c>
    </row>
    <row r="300" spans="1:14" x14ac:dyDescent="0.25">
      <c r="A300" s="165" t="s">
        <v>2016</v>
      </c>
      <c r="B300" s="78">
        <v>22449</v>
      </c>
      <c r="C300" s="165" t="s">
        <v>925</v>
      </c>
      <c r="D300" s="165" t="s">
        <v>926</v>
      </c>
      <c r="E300" s="165" t="s">
        <v>1</v>
      </c>
      <c r="F300" s="165" t="s">
        <v>1139</v>
      </c>
      <c r="G300" s="165" t="s">
        <v>1140</v>
      </c>
      <c r="H300" s="165" t="s">
        <v>2016</v>
      </c>
      <c r="I300" s="166">
        <v>43592</v>
      </c>
      <c r="J300" s="165">
        <v>43958</v>
      </c>
      <c r="K300" s="166" t="s">
        <v>949</v>
      </c>
      <c r="L300" s="165">
        <v>0</v>
      </c>
      <c r="M300" s="165" t="s">
        <v>124</v>
      </c>
      <c r="N300" s="165">
        <v>1</v>
      </c>
    </row>
    <row r="301" spans="1:14" x14ac:dyDescent="0.25">
      <c r="A301" s="165" t="s">
        <v>2017</v>
      </c>
      <c r="B301" s="78">
        <v>3221</v>
      </c>
      <c r="C301" s="165" t="s">
        <v>912</v>
      </c>
      <c r="D301" s="165" t="s">
        <v>943</v>
      </c>
      <c r="E301" s="165" t="s">
        <v>1</v>
      </c>
      <c r="F301" s="165" t="s">
        <v>1180</v>
      </c>
      <c r="G301" s="165" t="s">
        <v>1140</v>
      </c>
      <c r="H301" s="165" t="s">
        <v>2017</v>
      </c>
      <c r="I301" s="166">
        <v>43593</v>
      </c>
      <c r="J301" s="165">
        <v>43916</v>
      </c>
      <c r="K301" s="166" t="s">
        <v>949</v>
      </c>
      <c r="L301" s="165">
        <v>0</v>
      </c>
      <c r="M301" s="165" t="s">
        <v>124</v>
      </c>
      <c r="N301" s="165">
        <v>1</v>
      </c>
    </row>
    <row r="302" spans="1:14" x14ac:dyDescent="0.25">
      <c r="A302" s="165" t="s">
        <v>2018</v>
      </c>
      <c r="B302" s="78">
        <v>3221</v>
      </c>
      <c r="C302" s="165" t="s">
        <v>925</v>
      </c>
      <c r="D302" s="165" t="s">
        <v>926</v>
      </c>
      <c r="E302" s="165" t="s">
        <v>1</v>
      </c>
      <c r="F302" s="165" t="s">
        <v>1180</v>
      </c>
      <c r="G302" s="165" t="s">
        <v>1140</v>
      </c>
      <c r="H302" s="165" t="s">
        <v>2018</v>
      </c>
      <c r="I302" s="166">
        <v>43593</v>
      </c>
      <c r="J302" s="165">
        <v>43916</v>
      </c>
      <c r="K302" s="166" t="s">
        <v>949</v>
      </c>
      <c r="L302" s="165">
        <v>0</v>
      </c>
      <c r="M302" s="165" t="s">
        <v>124</v>
      </c>
      <c r="N302" s="165">
        <v>1</v>
      </c>
    </row>
    <row r="303" spans="1:14" x14ac:dyDescent="0.25">
      <c r="A303" s="165" t="s">
        <v>2019</v>
      </c>
      <c r="B303" s="78">
        <v>68730</v>
      </c>
      <c r="C303" s="165" t="s">
        <v>912</v>
      </c>
      <c r="D303" s="165" t="s">
        <v>969</v>
      </c>
      <c r="E303" s="165" t="s">
        <v>1</v>
      </c>
      <c r="F303" s="165" t="s">
        <v>1181</v>
      </c>
      <c r="G303" s="165" t="s">
        <v>936</v>
      </c>
      <c r="H303" s="165" t="s">
        <v>2019</v>
      </c>
      <c r="I303" s="166">
        <v>44204</v>
      </c>
      <c r="J303" s="165">
        <v>44350</v>
      </c>
      <c r="K303" s="166">
        <v>44364</v>
      </c>
      <c r="L303" s="165">
        <v>44729</v>
      </c>
      <c r="M303" s="165" t="s">
        <v>122</v>
      </c>
      <c r="N303" s="165">
        <v>1</v>
      </c>
    </row>
    <row r="304" spans="1:14" x14ac:dyDescent="0.25">
      <c r="A304" s="165" t="s">
        <v>2020</v>
      </c>
      <c r="B304" s="78">
        <v>16794</v>
      </c>
      <c r="C304" s="165" t="s">
        <v>925</v>
      </c>
      <c r="D304" s="165" t="s">
        <v>1020</v>
      </c>
      <c r="E304" s="165" t="s">
        <v>1</v>
      </c>
      <c r="F304" s="165" t="s">
        <v>1181</v>
      </c>
      <c r="G304" s="165" t="s">
        <v>936</v>
      </c>
      <c r="H304" s="165" t="s">
        <v>2020</v>
      </c>
      <c r="I304" s="166">
        <v>44176</v>
      </c>
      <c r="J304" s="165">
        <v>44350</v>
      </c>
      <c r="K304" s="166">
        <v>44364</v>
      </c>
      <c r="L304" s="165">
        <v>44729</v>
      </c>
      <c r="M304" s="165" t="s">
        <v>122</v>
      </c>
      <c r="N304" s="165">
        <v>1</v>
      </c>
    </row>
    <row r="305" spans="1:14" x14ac:dyDescent="0.25">
      <c r="A305" s="165" t="s">
        <v>2021</v>
      </c>
      <c r="B305" s="78">
        <v>3002522</v>
      </c>
      <c r="C305" s="165" t="s">
        <v>912</v>
      </c>
      <c r="D305" s="165" t="s">
        <v>1182</v>
      </c>
      <c r="E305" s="165" t="s">
        <v>1</v>
      </c>
      <c r="F305" s="165" t="s">
        <v>1042</v>
      </c>
      <c r="G305" s="165" t="s">
        <v>936</v>
      </c>
      <c r="H305" s="165" t="s">
        <v>2021</v>
      </c>
      <c r="I305" s="166" t="s">
        <v>1183</v>
      </c>
      <c r="J305" s="165">
        <v>43605</v>
      </c>
      <c r="K305" s="166">
        <v>43615</v>
      </c>
      <c r="L305" s="165">
        <v>43980</v>
      </c>
      <c r="M305" s="165" t="s">
        <v>124</v>
      </c>
      <c r="N305" s="165">
        <v>1</v>
      </c>
    </row>
    <row r="306" spans="1:14" x14ac:dyDescent="0.25">
      <c r="A306" s="165" t="s">
        <v>2022</v>
      </c>
      <c r="B306" s="78">
        <v>93114</v>
      </c>
      <c r="C306" s="165" t="s">
        <v>912</v>
      </c>
      <c r="D306" s="165" t="s">
        <v>957</v>
      </c>
      <c r="E306" s="165" t="s">
        <v>1</v>
      </c>
      <c r="F306" s="165" t="s">
        <v>935</v>
      </c>
      <c r="G306" s="165" t="s">
        <v>936</v>
      </c>
      <c r="H306" s="165" t="s">
        <v>2022</v>
      </c>
      <c r="I306" s="166">
        <v>43658</v>
      </c>
      <c r="J306" s="165">
        <v>43798</v>
      </c>
      <c r="K306" s="166">
        <v>43823</v>
      </c>
      <c r="L306" s="165">
        <v>44188</v>
      </c>
      <c r="M306" s="165" t="s">
        <v>124</v>
      </c>
      <c r="N306" s="165">
        <v>1</v>
      </c>
    </row>
    <row r="307" spans="1:14" x14ac:dyDescent="0.25">
      <c r="A307" s="165" t="s">
        <v>2023</v>
      </c>
      <c r="B307" s="78">
        <v>93114</v>
      </c>
      <c r="C307" s="165" t="s">
        <v>925</v>
      </c>
      <c r="D307" s="165" t="s">
        <v>926</v>
      </c>
      <c r="E307" s="165" t="s">
        <v>1</v>
      </c>
      <c r="F307" s="165" t="s">
        <v>935</v>
      </c>
      <c r="G307" s="165" t="s">
        <v>936</v>
      </c>
      <c r="H307" s="165" t="s">
        <v>2023</v>
      </c>
      <c r="I307" s="166">
        <v>43658</v>
      </c>
      <c r="J307" s="165">
        <v>43798</v>
      </c>
      <c r="K307" s="166">
        <v>43823</v>
      </c>
      <c r="L307" s="165">
        <v>44188</v>
      </c>
      <c r="M307" s="165" t="s">
        <v>124</v>
      </c>
      <c r="N307" s="165">
        <v>1</v>
      </c>
    </row>
    <row r="308" spans="1:14" x14ac:dyDescent="0.25">
      <c r="A308" s="165" t="s">
        <v>2024</v>
      </c>
      <c r="B308" s="78">
        <v>93114</v>
      </c>
      <c r="C308" s="165" t="s">
        <v>925</v>
      </c>
      <c r="D308" s="165" t="s">
        <v>927</v>
      </c>
      <c r="E308" s="165" t="s">
        <v>1</v>
      </c>
      <c r="F308" s="165" t="s">
        <v>935</v>
      </c>
      <c r="G308" s="165" t="s">
        <v>936</v>
      </c>
      <c r="H308" s="165" t="s">
        <v>2024</v>
      </c>
      <c r="I308" s="166">
        <v>43658</v>
      </c>
      <c r="J308" s="165">
        <v>43798</v>
      </c>
      <c r="K308" s="166">
        <v>43823</v>
      </c>
      <c r="L308" s="165">
        <v>44188</v>
      </c>
      <c r="M308" s="165" t="s">
        <v>124</v>
      </c>
      <c r="N308" s="165">
        <v>1</v>
      </c>
    </row>
    <row r="309" spans="1:14" x14ac:dyDescent="0.25">
      <c r="A309" s="165" t="s">
        <v>2025</v>
      </c>
      <c r="B309" s="78">
        <v>9991</v>
      </c>
      <c r="C309" s="165" t="s">
        <v>912</v>
      </c>
      <c r="D309" s="165" t="s">
        <v>1184</v>
      </c>
      <c r="E309" s="165" t="s">
        <v>1</v>
      </c>
      <c r="F309" s="165" t="s">
        <v>1185</v>
      </c>
      <c r="G309" s="165" t="s">
        <v>936</v>
      </c>
      <c r="H309" s="165" t="s">
        <v>2025</v>
      </c>
      <c r="I309" s="166">
        <v>44137</v>
      </c>
      <c r="J309" s="165">
        <v>44133</v>
      </c>
      <c r="K309" s="166">
        <v>44281</v>
      </c>
      <c r="L309" s="165">
        <v>44646</v>
      </c>
      <c r="M309" s="165" t="s">
        <v>122</v>
      </c>
      <c r="N309" s="165">
        <v>1</v>
      </c>
    </row>
    <row r="310" spans="1:14" x14ac:dyDescent="0.25">
      <c r="A310" s="165" t="s">
        <v>2026</v>
      </c>
      <c r="B310" s="78">
        <v>82866</v>
      </c>
      <c r="C310" s="165" t="s">
        <v>912</v>
      </c>
      <c r="D310" s="165" t="s">
        <v>969</v>
      </c>
      <c r="E310" s="165" t="s">
        <v>1</v>
      </c>
      <c r="F310" s="165" t="s">
        <v>1186</v>
      </c>
      <c r="G310" s="165" t="s">
        <v>942</v>
      </c>
      <c r="H310" s="165" t="s">
        <v>2026</v>
      </c>
      <c r="I310" s="166">
        <v>44158</v>
      </c>
      <c r="J310" s="165">
        <v>44254</v>
      </c>
      <c r="K310" s="166">
        <v>44260</v>
      </c>
      <c r="L310" s="165">
        <v>44625</v>
      </c>
      <c r="M310" s="165" t="s">
        <v>122</v>
      </c>
      <c r="N310" s="165">
        <v>1</v>
      </c>
    </row>
    <row r="311" spans="1:14" x14ac:dyDescent="0.25">
      <c r="A311" s="165" t="s">
        <v>2027</v>
      </c>
      <c r="B311" s="78">
        <v>55073</v>
      </c>
      <c r="C311" s="165" t="s">
        <v>925</v>
      </c>
      <c r="D311" s="165" t="s">
        <v>926</v>
      </c>
      <c r="E311" s="165" t="s">
        <v>1</v>
      </c>
      <c r="F311" s="165" t="s">
        <v>1186</v>
      </c>
      <c r="G311" s="165" t="s">
        <v>942</v>
      </c>
      <c r="H311" s="165" t="s">
        <v>2027</v>
      </c>
      <c r="I311" s="166">
        <v>44158</v>
      </c>
      <c r="J311" s="165">
        <v>44254</v>
      </c>
      <c r="K311" s="166">
        <v>44260</v>
      </c>
      <c r="L311" s="165">
        <v>44625</v>
      </c>
      <c r="M311" s="165" t="s">
        <v>122</v>
      </c>
      <c r="N311" s="165">
        <v>1</v>
      </c>
    </row>
    <row r="312" spans="1:14" x14ac:dyDescent="0.25">
      <c r="A312" s="165" t="s">
        <v>2028</v>
      </c>
      <c r="B312" s="78">
        <v>99931</v>
      </c>
      <c r="C312" s="165" t="s">
        <v>925</v>
      </c>
      <c r="D312" s="165" t="s">
        <v>927</v>
      </c>
      <c r="E312" s="165" t="s">
        <v>1</v>
      </c>
      <c r="F312" s="165" t="s">
        <v>1075</v>
      </c>
      <c r="G312" s="165" t="s">
        <v>936</v>
      </c>
      <c r="H312" s="165" t="s">
        <v>2028</v>
      </c>
      <c r="I312" s="166">
        <v>43738</v>
      </c>
      <c r="J312" s="165">
        <v>43738</v>
      </c>
      <c r="K312" s="166">
        <v>43738</v>
      </c>
      <c r="L312" s="165">
        <v>44103</v>
      </c>
      <c r="M312" s="165" t="s">
        <v>124</v>
      </c>
      <c r="N312" s="165">
        <v>1</v>
      </c>
    </row>
    <row r="313" spans="1:14" x14ac:dyDescent="0.25">
      <c r="A313" s="165" t="s">
        <v>2029</v>
      </c>
      <c r="B313" s="78">
        <v>99938</v>
      </c>
      <c r="C313" s="165" t="s">
        <v>912</v>
      </c>
      <c r="D313" s="165" t="s">
        <v>937</v>
      </c>
      <c r="E313" s="165" t="s">
        <v>1</v>
      </c>
      <c r="F313" s="165" t="s">
        <v>1075</v>
      </c>
      <c r="G313" s="165" t="s">
        <v>924</v>
      </c>
      <c r="H313" s="165" t="s">
        <v>2029</v>
      </c>
      <c r="I313" s="166">
        <v>43131</v>
      </c>
      <c r="J313" s="165">
        <v>43738</v>
      </c>
      <c r="K313" s="166">
        <v>43754</v>
      </c>
      <c r="L313" s="165">
        <v>44119</v>
      </c>
      <c r="M313" s="165" t="s">
        <v>124</v>
      </c>
      <c r="N313" s="165">
        <v>1</v>
      </c>
    </row>
    <row r="314" spans="1:14" x14ac:dyDescent="0.25">
      <c r="A314" s="165" t="s">
        <v>2030</v>
      </c>
      <c r="B314" s="78">
        <v>99939</v>
      </c>
      <c r="C314" s="165" t="s">
        <v>925</v>
      </c>
      <c r="D314" s="165" t="s">
        <v>926</v>
      </c>
      <c r="E314" s="165" t="s">
        <v>1</v>
      </c>
      <c r="F314" s="165" t="s">
        <v>1075</v>
      </c>
      <c r="G314" s="165" t="s">
        <v>924</v>
      </c>
      <c r="H314" s="165" t="s">
        <v>2030</v>
      </c>
      <c r="I314" s="166">
        <v>43131</v>
      </c>
      <c r="J314" s="165">
        <v>43738</v>
      </c>
      <c r="K314" s="166">
        <v>43754</v>
      </c>
      <c r="L314" s="165">
        <v>44119</v>
      </c>
      <c r="M314" s="165" t="s">
        <v>124</v>
      </c>
      <c r="N314" s="165">
        <v>1</v>
      </c>
    </row>
    <row r="315" spans="1:14" x14ac:dyDescent="0.25">
      <c r="A315" s="165" t="s">
        <v>2031</v>
      </c>
      <c r="B315" s="78">
        <v>33991</v>
      </c>
      <c r="C315" s="165" t="s">
        <v>912</v>
      </c>
      <c r="D315" s="165" t="s">
        <v>937</v>
      </c>
      <c r="E315" s="165" t="s">
        <v>1</v>
      </c>
      <c r="F315" s="165" t="s">
        <v>1187</v>
      </c>
      <c r="G315" s="165" t="s">
        <v>959</v>
      </c>
      <c r="H315" s="165" t="s">
        <v>2031</v>
      </c>
      <c r="I315" s="166">
        <v>43684</v>
      </c>
      <c r="J315" s="165">
        <v>43844</v>
      </c>
      <c r="K315" s="166">
        <v>43868</v>
      </c>
      <c r="L315" s="165">
        <v>44233</v>
      </c>
      <c r="M315" s="165" t="s">
        <v>124</v>
      </c>
      <c r="N315" s="165">
        <v>1</v>
      </c>
    </row>
    <row r="316" spans="1:14" x14ac:dyDescent="0.25">
      <c r="A316" s="165" t="s">
        <v>2032</v>
      </c>
      <c r="B316" s="78">
        <v>33991</v>
      </c>
      <c r="C316" s="165" t="s">
        <v>925</v>
      </c>
      <c r="D316" s="165" t="s">
        <v>926</v>
      </c>
      <c r="E316" s="165" t="s">
        <v>1</v>
      </c>
      <c r="F316" s="165" t="s">
        <v>1187</v>
      </c>
      <c r="G316" s="165" t="s">
        <v>959</v>
      </c>
      <c r="H316" s="165" t="s">
        <v>2032</v>
      </c>
      <c r="I316" s="166">
        <v>43684</v>
      </c>
      <c r="J316" s="165">
        <v>43844</v>
      </c>
      <c r="K316" s="166">
        <v>43868</v>
      </c>
      <c r="L316" s="165">
        <v>44233</v>
      </c>
      <c r="M316" s="165" t="s">
        <v>124</v>
      </c>
      <c r="N316" s="165">
        <v>1</v>
      </c>
    </row>
    <row r="317" spans="1:14" x14ac:dyDescent="0.25">
      <c r="A317" s="165" t="s">
        <v>2033</v>
      </c>
      <c r="B317" s="78">
        <v>33991</v>
      </c>
      <c r="C317" s="165" t="s">
        <v>925</v>
      </c>
      <c r="D317" s="165" t="s">
        <v>927</v>
      </c>
      <c r="E317" s="165" t="s">
        <v>1</v>
      </c>
      <c r="F317" s="165" t="s">
        <v>1187</v>
      </c>
      <c r="G317" s="165" t="s">
        <v>959</v>
      </c>
      <c r="H317" s="165" t="s">
        <v>2033</v>
      </c>
      <c r="I317" s="166">
        <v>43684</v>
      </c>
      <c r="J317" s="165">
        <v>43844</v>
      </c>
      <c r="K317" s="166">
        <v>43868</v>
      </c>
      <c r="L317" s="165">
        <v>44233</v>
      </c>
      <c r="M317" s="165" t="s">
        <v>124</v>
      </c>
      <c r="N317" s="165">
        <v>1</v>
      </c>
    </row>
    <row r="318" spans="1:14" x14ac:dyDescent="0.25">
      <c r="A318" s="165" t="s">
        <v>2034</v>
      </c>
      <c r="B318" s="78">
        <v>86411</v>
      </c>
      <c r="C318" s="165" t="s">
        <v>912</v>
      </c>
      <c r="D318" s="165" t="s">
        <v>929</v>
      </c>
      <c r="E318" s="165" t="s">
        <v>1</v>
      </c>
      <c r="F318" s="165" t="s">
        <v>1188</v>
      </c>
      <c r="G318" s="165" t="s">
        <v>936</v>
      </c>
      <c r="H318" s="165" t="s">
        <v>2034</v>
      </c>
      <c r="I318" s="166">
        <v>43763</v>
      </c>
      <c r="J318" s="165">
        <v>44006</v>
      </c>
      <c r="K318" s="166">
        <v>44086</v>
      </c>
      <c r="L318" s="165">
        <v>44451</v>
      </c>
      <c r="M318" s="165" t="s">
        <v>124</v>
      </c>
      <c r="N318" s="165">
        <v>1</v>
      </c>
    </row>
    <row r="319" spans="1:14" x14ac:dyDescent="0.25">
      <c r="A319" s="165" t="s">
        <v>2035</v>
      </c>
      <c r="B319" s="78">
        <v>21667</v>
      </c>
      <c r="C319" s="165" t="s">
        <v>925</v>
      </c>
      <c r="D319" s="165" t="s">
        <v>926</v>
      </c>
      <c r="E319" s="165" t="s">
        <v>1</v>
      </c>
      <c r="F319" s="165" t="s">
        <v>1188</v>
      </c>
      <c r="G319" s="165" t="s">
        <v>936</v>
      </c>
      <c r="H319" s="165" t="s">
        <v>2035</v>
      </c>
      <c r="I319" s="166">
        <v>43763</v>
      </c>
      <c r="J319" s="165">
        <v>44006</v>
      </c>
      <c r="K319" s="166">
        <v>44086</v>
      </c>
      <c r="L319" s="165">
        <v>44451</v>
      </c>
      <c r="M319" s="165" t="s">
        <v>124</v>
      </c>
      <c r="N319" s="165">
        <v>1</v>
      </c>
    </row>
    <row r="320" spans="1:14" x14ac:dyDescent="0.25">
      <c r="A320" s="165" t="s">
        <v>2036</v>
      </c>
      <c r="B320" s="78">
        <v>93194</v>
      </c>
      <c r="C320" s="165" t="s">
        <v>925</v>
      </c>
      <c r="D320" s="165" t="s">
        <v>927</v>
      </c>
      <c r="E320" s="165" t="s">
        <v>1</v>
      </c>
      <c r="F320" s="165" t="s">
        <v>1188</v>
      </c>
      <c r="G320" s="165" t="s">
        <v>936</v>
      </c>
      <c r="H320" s="165" t="s">
        <v>2036</v>
      </c>
      <c r="I320" s="166">
        <v>43763</v>
      </c>
      <c r="J320" s="165">
        <v>44006</v>
      </c>
      <c r="K320" s="166">
        <v>44086</v>
      </c>
      <c r="L320" s="165">
        <v>44451</v>
      </c>
      <c r="M320" s="165" t="s">
        <v>124</v>
      </c>
      <c r="N320" s="165">
        <v>1</v>
      </c>
    </row>
    <row r="321" spans="1:14" x14ac:dyDescent="0.25">
      <c r="A321" s="165" t="s">
        <v>2037</v>
      </c>
      <c r="B321" s="78">
        <v>86746</v>
      </c>
      <c r="C321" s="165" t="s">
        <v>912</v>
      </c>
      <c r="D321" s="165" t="s">
        <v>969</v>
      </c>
      <c r="E321" s="165" t="s">
        <v>3</v>
      </c>
      <c r="F321" s="165" t="s">
        <v>1189</v>
      </c>
      <c r="G321" s="165" t="s">
        <v>1190</v>
      </c>
      <c r="H321" s="165" t="s">
        <v>2037</v>
      </c>
      <c r="I321" s="166">
        <v>44104</v>
      </c>
      <c r="J321" s="165">
        <v>44226</v>
      </c>
      <c r="K321" s="166">
        <v>44253</v>
      </c>
      <c r="L321" s="165">
        <v>44618</v>
      </c>
      <c r="M321" s="165" t="s">
        <v>122</v>
      </c>
      <c r="N321" s="165">
        <v>1</v>
      </c>
    </row>
    <row r="322" spans="1:14" x14ac:dyDescent="0.25">
      <c r="A322" s="165" t="s">
        <v>2038</v>
      </c>
      <c r="B322" s="78">
        <v>9283</v>
      </c>
      <c r="C322" s="165" t="s">
        <v>947</v>
      </c>
      <c r="D322" s="165" t="s">
        <v>1191</v>
      </c>
      <c r="E322" s="165" t="s">
        <v>2</v>
      </c>
      <c r="F322" s="165" t="s">
        <v>1061</v>
      </c>
      <c r="G322" s="165" t="s">
        <v>1040</v>
      </c>
      <c r="H322" s="165" t="s">
        <v>2038</v>
      </c>
      <c r="I322" s="166">
        <v>43794</v>
      </c>
      <c r="J322" s="165">
        <v>43903</v>
      </c>
      <c r="K322" s="166">
        <v>43903</v>
      </c>
      <c r="L322" s="165">
        <v>44268</v>
      </c>
      <c r="M322" s="165" t="s">
        <v>124</v>
      </c>
      <c r="N322" s="165">
        <v>1</v>
      </c>
    </row>
    <row r="323" spans="1:14" x14ac:dyDescent="0.25">
      <c r="A323" s="165" t="s">
        <v>2039</v>
      </c>
      <c r="B323" s="78">
        <v>81650</v>
      </c>
      <c r="C323" s="165" t="s">
        <v>912</v>
      </c>
      <c r="D323" s="165" t="s">
        <v>943</v>
      </c>
      <c r="E323" s="165" t="s">
        <v>954</v>
      </c>
      <c r="F323" s="165" t="s">
        <v>1192</v>
      </c>
      <c r="G323" s="165" t="s">
        <v>997</v>
      </c>
      <c r="H323" s="165" t="s">
        <v>2039</v>
      </c>
      <c r="I323" s="166">
        <v>44236</v>
      </c>
      <c r="J323" s="165">
        <v>44377</v>
      </c>
      <c r="K323" s="166">
        <v>44389</v>
      </c>
      <c r="L323" s="165">
        <v>44754</v>
      </c>
      <c r="M323" s="165" t="s">
        <v>122</v>
      </c>
      <c r="N323" s="165">
        <v>1</v>
      </c>
    </row>
    <row r="324" spans="1:14" x14ac:dyDescent="0.25">
      <c r="A324" s="165" t="s">
        <v>2040</v>
      </c>
      <c r="B324" s="78">
        <v>71327</v>
      </c>
      <c r="C324" s="165" t="s">
        <v>925</v>
      </c>
      <c r="D324" s="165" t="s">
        <v>1046</v>
      </c>
      <c r="E324" s="165" t="s">
        <v>954</v>
      </c>
      <c r="F324" s="165" t="s">
        <v>1192</v>
      </c>
      <c r="G324" s="165" t="s">
        <v>997</v>
      </c>
      <c r="H324" s="165" t="s">
        <v>2040</v>
      </c>
      <c r="I324" s="166">
        <v>44236</v>
      </c>
      <c r="J324" s="165">
        <v>44377</v>
      </c>
      <c r="K324" s="166">
        <v>44389</v>
      </c>
      <c r="L324" s="165">
        <v>44754</v>
      </c>
      <c r="M324" s="165" t="s">
        <v>122</v>
      </c>
      <c r="N324" s="165">
        <v>1</v>
      </c>
    </row>
    <row r="325" spans="1:14" x14ac:dyDescent="0.25">
      <c r="A325" s="165" t="s">
        <v>2041</v>
      </c>
      <c r="B325" s="78">
        <v>37079</v>
      </c>
      <c r="C325" s="165" t="s">
        <v>925</v>
      </c>
      <c r="D325" s="165" t="s">
        <v>927</v>
      </c>
      <c r="E325" s="165" t="s">
        <v>954</v>
      </c>
      <c r="F325" s="165" t="s">
        <v>1192</v>
      </c>
      <c r="G325" s="165" t="s">
        <v>997</v>
      </c>
      <c r="H325" s="165" t="s">
        <v>2041</v>
      </c>
      <c r="I325" s="166">
        <v>44236</v>
      </c>
      <c r="J325" s="165">
        <v>44377</v>
      </c>
      <c r="K325" s="166">
        <v>44389</v>
      </c>
      <c r="L325" s="165">
        <v>44754</v>
      </c>
      <c r="M325" s="165" t="s">
        <v>122</v>
      </c>
      <c r="N325" s="165">
        <v>1</v>
      </c>
    </row>
    <row r="326" spans="1:14" x14ac:dyDescent="0.25">
      <c r="A326" s="165" t="s">
        <v>2042</v>
      </c>
      <c r="B326" s="78">
        <v>19607</v>
      </c>
      <c r="C326" s="165" t="s">
        <v>912</v>
      </c>
      <c r="D326" s="165" t="s">
        <v>922</v>
      </c>
      <c r="E326" s="165" t="s">
        <v>1</v>
      </c>
      <c r="F326" s="165" t="s">
        <v>1193</v>
      </c>
      <c r="G326" s="165" t="s">
        <v>924</v>
      </c>
      <c r="H326" s="165" t="s">
        <v>2042</v>
      </c>
      <c r="I326" s="166">
        <v>44019</v>
      </c>
      <c r="J326" s="165">
        <v>44134</v>
      </c>
      <c r="K326" s="166">
        <v>44142</v>
      </c>
      <c r="L326" s="165">
        <v>44507</v>
      </c>
      <c r="M326" s="165" t="s">
        <v>124</v>
      </c>
      <c r="N326" s="165">
        <v>1</v>
      </c>
    </row>
    <row r="327" spans="1:14" x14ac:dyDescent="0.25">
      <c r="A327" s="165" t="s">
        <v>2043</v>
      </c>
      <c r="B327" s="78">
        <v>59955</v>
      </c>
      <c r="C327" s="165" t="s">
        <v>925</v>
      </c>
      <c r="D327" s="165" t="s">
        <v>927</v>
      </c>
      <c r="E327" s="165" t="s">
        <v>1</v>
      </c>
      <c r="F327" s="165" t="s">
        <v>1193</v>
      </c>
      <c r="G327" s="165" t="s">
        <v>924</v>
      </c>
      <c r="H327" s="165" t="s">
        <v>2043</v>
      </c>
      <c r="I327" s="166">
        <v>44019</v>
      </c>
      <c r="J327" s="165">
        <v>44134</v>
      </c>
      <c r="K327" s="166">
        <v>44142</v>
      </c>
      <c r="L327" s="165">
        <v>44507</v>
      </c>
      <c r="M327" s="165" t="s">
        <v>124</v>
      </c>
      <c r="N327" s="165">
        <v>1</v>
      </c>
    </row>
    <row r="328" spans="1:14" x14ac:dyDescent="0.25">
      <c r="A328" s="165" t="s">
        <v>2044</v>
      </c>
      <c r="B328" s="78">
        <v>73508</v>
      </c>
      <c r="C328" s="165" t="s">
        <v>912</v>
      </c>
      <c r="D328" s="165" t="s">
        <v>976</v>
      </c>
      <c r="E328" s="165" t="s">
        <v>2</v>
      </c>
      <c r="F328" s="165" t="s">
        <v>1039</v>
      </c>
      <c r="G328" s="165" t="s">
        <v>1040</v>
      </c>
      <c r="H328" s="165" t="s">
        <v>2044</v>
      </c>
      <c r="I328" s="166">
        <v>44104</v>
      </c>
      <c r="J328" s="165">
        <v>44183</v>
      </c>
      <c r="K328" s="166">
        <v>44205</v>
      </c>
      <c r="L328" s="165">
        <v>44570</v>
      </c>
      <c r="M328" s="165" t="s">
        <v>124</v>
      </c>
      <c r="N328" s="165">
        <v>1</v>
      </c>
    </row>
    <row r="329" spans="1:14" x14ac:dyDescent="0.25">
      <c r="A329" s="165" t="s">
        <v>2045</v>
      </c>
      <c r="B329" s="78">
        <v>59053</v>
      </c>
      <c r="C329" s="165" t="s">
        <v>925</v>
      </c>
      <c r="D329" s="165" t="s">
        <v>926</v>
      </c>
      <c r="E329" s="165" t="s">
        <v>2</v>
      </c>
      <c r="F329" s="165" t="s">
        <v>1039</v>
      </c>
      <c r="G329" s="165" t="s">
        <v>1040</v>
      </c>
      <c r="H329" s="165" t="s">
        <v>2045</v>
      </c>
      <c r="I329" s="166">
        <v>44155</v>
      </c>
      <c r="J329" s="165">
        <v>44183</v>
      </c>
      <c r="K329" s="166">
        <v>44205</v>
      </c>
      <c r="L329" s="165">
        <v>44570</v>
      </c>
      <c r="M329" s="165" t="s">
        <v>124</v>
      </c>
      <c r="N329" s="165">
        <v>1</v>
      </c>
    </row>
    <row r="330" spans="1:14" x14ac:dyDescent="0.25">
      <c r="A330" s="165" t="s">
        <v>2046</v>
      </c>
      <c r="B330" s="78">
        <v>74629</v>
      </c>
      <c r="C330" s="165" t="s">
        <v>912</v>
      </c>
      <c r="D330" s="165" t="s">
        <v>969</v>
      </c>
      <c r="E330" s="165" t="s">
        <v>954</v>
      </c>
      <c r="F330" s="165" t="s">
        <v>1087</v>
      </c>
      <c r="G330" s="165" t="s">
        <v>956</v>
      </c>
      <c r="H330" s="165" t="s">
        <v>2046</v>
      </c>
      <c r="I330" s="166">
        <v>44090</v>
      </c>
      <c r="J330" s="165">
        <v>44172</v>
      </c>
      <c r="K330" s="166">
        <v>44183</v>
      </c>
      <c r="L330" s="165">
        <v>44548</v>
      </c>
      <c r="M330" s="165" t="s">
        <v>124</v>
      </c>
      <c r="N330" s="165">
        <v>1</v>
      </c>
    </row>
    <row r="331" spans="1:14" x14ac:dyDescent="0.25">
      <c r="A331" s="165" t="s">
        <v>2047</v>
      </c>
      <c r="B331" s="78">
        <v>56629</v>
      </c>
      <c r="C331" s="165" t="s">
        <v>925</v>
      </c>
      <c r="D331" s="165" t="s">
        <v>998</v>
      </c>
      <c r="E331" s="165" t="s">
        <v>954</v>
      </c>
      <c r="F331" s="165" t="s">
        <v>1087</v>
      </c>
      <c r="G331" s="165" t="s">
        <v>956</v>
      </c>
      <c r="H331" s="165" t="s">
        <v>2047</v>
      </c>
      <c r="I331" s="166">
        <v>44090</v>
      </c>
      <c r="J331" s="165">
        <v>44172</v>
      </c>
      <c r="K331" s="166">
        <v>44183</v>
      </c>
      <c r="L331" s="165">
        <v>44548</v>
      </c>
      <c r="M331" s="165" t="s">
        <v>124</v>
      </c>
      <c r="N331" s="165">
        <v>1</v>
      </c>
    </row>
    <row r="332" spans="1:14" x14ac:dyDescent="0.25">
      <c r="A332" s="165" t="s">
        <v>2048</v>
      </c>
      <c r="B332" s="78">
        <v>99923</v>
      </c>
      <c r="C332" s="165" t="s">
        <v>912</v>
      </c>
      <c r="D332" s="165" t="s">
        <v>976</v>
      </c>
      <c r="E332" s="165" t="s">
        <v>2</v>
      </c>
      <c r="F332" s="165" t="s">
        <v>1194</v>
      </c>
      <c r="G332" s="165" t="s">
        <v>1005</v>
      </c>
      <c r="H332" s="165" t="s">
        <v>2048</v>
      </c>
      <c r="I332" s="166">
        <v>43378</v>
      </c>
      <c r="J332" s="165">
        <v>43679</v>
      </c>
      <c r="K332" s="166">
        <v>43717</v>
      </c>
      <c r="L332" s="165">
        <v>44082</v>
      </c>
      <c r="M332" s="165" t="s">
        <v>124</v>
      </c>
      <c r="N332" s="165">
        <v>1</v>
      </c>
    </row>
    <row r="333" spans="1:14" x14ac:dyDescent="0.25">
      <c r="A333" s="165" t="s">
        <v>2049</v>
      </c>
      <c r="B333" s="78">
        <v>79466</v>
      </c>
      <c r="C333" s="165" t="s">
        <v>925</v>
      </c>
      <c r="D333" s="165" t="s">
        <v>927</v>
      </c>
      <c r="E333" s="165" t="s">
        <v>1</v>
      </c>
      <c r="F333" s="165" t="s">
        <v>1195</v>
      </c>
      <c r="G333" s="165" t="s">
        <v>924</v>
      </c>
      <c r="H333" s="165" t="s">
        <v>2049</v>
      </c>
      <c r="I333" s="166">
        <v>43983</v>
      </c>
      <c r="J333" s="165">
        <v>44005</v>
      </c>
      <c r="K333" s="166">
        <v>44005</v>
      </c>
      <c r="L333" s="165">
        <v>44370</v>
      </c>
      <c r="M333" s="165" t="s">
        <v>124</v>
      </c>
      <c r="N333" s="165">
        <v>1</v>
      </c>
    </row>
    <row r="334" spans="1:14" x14ac:dyDescent="0.25">
      <c r="A334" s="165" t="s">
        <v>2050</v>
      </c>
      <c r="B334" s="78">
        <v>79251</v>
      </c>
      <c r="C334" s="165" t="s">
        <v>912</v>
      </c>
      <c r="D334" s="165" t="s">
        <v>922</v>
      </c>
      <c r="E334" s="165" t="s">
        <v>954</v>
      </c>
      <c r="F334" s="165" t="s">
        <v>1196</v>
      </c>
      <c r="G334" s="165" t="s">
        <v>1197</v>
      </c>
      <c r="H334" s="165" t="s">
        <v>2050</v>
      </c>
      <c r="I334" s="166">
        <v>44134</v>
      </c>
      <c r="J334" s="165">
        <v>44270</v>
      </c>
      <c r="K334" s="166">
        <v>44345</v>
      </c>
      <c r="L334" s="165">
        <v>44710</v>
      </c>
      <c r="M334" s="165" t="s">
        <v>122</v>
      </c>
      <c r="N334" s="165">
        <v>1</v>
      </c>
    </row>
    <row r="335" spans="1:14" x14ac:dyDescent="0.25">
      <c r="A335" s="165" t="s">
        <v>2051</v>
      </c>
      <c r="B335" s="78">
        <v>89929</v>
      </c>
      <c r="C335" s="165" t="s">
        <v>925</v>
      </c>
      <c r="D335" s="165" t="s">
        <v>926</v>
      </c>
      <c r="E335" s="165" t="s">
        <v>954</v>
      </c>
      <c r="F335" s="165" t="s">
        <v>1196</v>
      </c>
      <c r="G335" s="165" t="s">
        <v>1197</v>
      </c>
      <c r="H335" s="165" t="s">
        <v>2051</v>
      </c>
      <c r="I335" s="166">
        <v>44134</v>
      </c>
      <c r="J335" s="165">
        <v>44270</v>
      </c>
      <c r="K335" s="166">
        <v>44345</v>
      </c>
      <c r="L335" s="165">
        <v>44710</v>
      </c>
      <c r="M335" s="165" t="s">
        <v>122</v>
      </c>
      <c r="N335" s="165">
        <v>1</v>
      </c>
    </row>
    <row r="336" spans="1:14" x14ac:dyDescent="0.25">
      <c r="A336" s="165" t="s">
        <v>2052</v>
      </c>
      <c r="B336" s="78">
        <v>72279</v>
      </c>
      <c r="C336" s="165" t="s">
        <v>925</v>
      </c>
      <c r="D336" s="165" t="s">
        <v>1198</v>
      </c>
      <c r="E336" s="165" t="s">
        <v>954</v>
      </c>
      <c r="F336" s="165" t="s">
        <v>1196</v>
      </c>
      <c r="G336" s="165" t="s">
        <v>1197</v>
      </c>
      <c r="H336" s="165" t="s">
        <v>2052</v>
      </c>
      <c r="I336" s="166">
        <v>44134</v>
      </c>
      <c r="J336" s="165">
        <v>44270</v>
      </c>
      <c r="K336" s="166">
        <v>44345</v>
      </c>
      <c r="L336" s="165">
        <v>44710</v>
      </c>
      <c r="M336" s="165" t="s">
        <v>122</v>
      </c>
      <c r="N336" s="165">
        <v>0</v>
      </c>
    </row>
    <row r="337" spans="1:14" x14ac:dyDescent="0.25">
      <c r="A337" s="165" t="s">
        <v>2053</v>
      </c>
      <c r="B337" s="78">
        <v>63272</v>
      </c>
      <c r="C337" s="165" t="s">
        <v>925</v>
      </c>
      <c r="D337" s="165" t="s">
        <v>927</v>
      </c>
      <c r="E337" s="165" t="s">
        <v>954</v>
      </c>
      <c r="F337" s="165" t="s">
        <v>1196</v>
      </c>
      <c r="G337" s="165" t="s">
        <v>1197</v>
      </c>
      <c r="H337" s="165" t="s">
        <v>2053</v>
      </c>
      <c r="I337" s="166">
        <v>44134</v>
      </c>
      <c r="J337" s="165">
        <v>44270</v>
      </c>
      <c r="K337" s="166">
        <v>44345</v>
      </c>
      <c r="L337" s="165">
        <v>44710</v>
      </c>
      <c r="M337" s="165" t="s">
        <v>122</v>
      </c>
      <c r="N337" s="165">
        <v>1</v>
      </c>
    </row>
    <row r="338" spans="1:14" x14ac:dyDescent="0.25">
      <c r="A338" s="165" t="s">
        <v>2054</v>
      </c>
      <c r="B338" s="78">
        <v>49643</v>
      </c>
      <c r="C338" s="165" t="s">
        <v>912</v>
      </c>
      <c r="D338" s="165" t="s">
        <v>943</v>
      </c>
      <c r="E338" s="165" t="s">
        <v>2</v>
      </c>
      <c r="F338" s="165" t="s">
        <v>1061</v>
      </c>
      <c r="G338" s="165" t="s">
        <v>1062</v>
      </c>
      <c r="H338" s="165" t="s">
        <v>2054</v>
      </c>
      <c r="I338" s="166">
        <v>43981</v>
      </c>
      <c r="J338" s="165">
        <v>44267</v>
      </c>
      <c r="K338" s="166">
        <v>44347</v>
      </c>
      <c r="L338" s="165">
        <v>44712</v>
      </c>
      <c r="M338" s="165" t="s">
        <v>122</v>
      </c>
      <c r="N338" s="165">
        <v>1</v>
      </c>
    </row>
    <row r="339" spans="1:14" x14ac:dyDescent="0.25">
      <c r="A339" s="165" t="s">
        <v>2055</v>
      </c>
      <c r="B339" s="78">
        <v>95835</v>
      </c>
      <c r="C339" s="165" t="s">
        <v>925</v>
      </c>
      <c r="D339" s="165" t="s">
        <v>927</v>
      </c>
      <c r="E339" s="165" t="s">
        <v>2</v>
      </c>
      <c r="F339" s="165" t="s">
        <v>1061</v>
      </c>
      <c r="G339" s="165" t="s">
        <v>1062</v>
      </c>
      <c r="H339" s="165" t="s">
        <v>2055</v>
      </c>
      <c r="I339" s="166">
        <v>43981</v>
      </c>
      <c r="J339" s="165">
        <v>44267</v>
      </c>
      <c r="K339" s="166">
        <v>44347</v>
      </c>
      <c r="L339" s="165">
        <v>44712</v>
      </c>
      <c r="M339" s="165" t="s">
        <v>122</v>
      </c>
      <c r="N339" s="165">
        <v>1</v>
      </c>
    </row>
    <row r="340" spans="1:14" x14ac:dyDescent="0.25">
      <c r="A340" s="165" t="s">
        <v>2056</v>
      </c>
      <c r="B340" s="78">
        <v>58223</v>
      </c>
      <c r="C340" s="165" t="s">
        <v>925</v>
      </c>
      <c r="D340" s="165" t="s">
        <v>926</v>
      </c>
      <c r="E340" s="165" t="s">
        <v>2</v>
      </c>
      <c r="F340" s="165" t="s">
        <v>1061</v>
      </c>
      <c r="G340" s="165" t="s">
        <v>1062</v>
      </c>
      <c r="H340" s="165" t="s">
        <v>2056</v>
      </c>
      <c r="I340" s="166">
        <v>43981</v>
      </c>
      <c r="J340" s="165">
        <v>44267</v>
      </c>
      <c r="K340" s="166">
        <v>44347</v>
      </c>
      <c r="L340" s="165">
        <v>44712</v>
      </c>
      <c r="M340" s="165" t="s">
        <v>122</v>
      </c>
      <c r="N340" s="165">
        <v>1</v>
      </c>
    </row>
    <row r="341" spans="1:14" x14ac:dyDescent="0.25">
      <c r="A341" s="165" t="s">
        <v>2057</v>
      </c>
      <c r="B341" s="78">
        <v>3001903</v>
      </c>
      <c r="C341" s="165" t="s">
        <v>912</v>
      </c>
      <c r="D341" s="165" t="s">
        <v>929</v>
      </c>
      <c r="E341" s="165" t="s">
        <v>1</v>
      </c>
      <c r="F341" s="165" t="s">
        <v>1199</v>
      </c>
      <c r="G341" s="165" t="s">
        <v>1140</v>
      </c>
      <c r="H341" s="165" t="s">
        <v>2057</v>
      </c>
      <c r="I341" s="166">
        <v>43524</v>
      </c>
      <c r="J341" s="165">
        <v>43510</v>
      </c>
      <c r="K341" s="166">
        <v>43517</v>
      </c>
      <c r="L341" s="165">
        <v>43882</v>
      </c>
      <c r="M341" s="165" t="s">
        <v>124</v>
      </c>
      <c r="N341" s="165">
        <v>1</v>
      </c>
    </row>
    <row r="342" spans="1:14" x14ac:dyDescent="0.25">
      <c r="A342" s="165" t="s">
        <v>2058</v>
      </c>
      <c r="B342" s="78">
        <v>3000192</v>
      </c>
      <c r="C342" s="165" t="s">
        <v>925</v>
      </c>
      <c r="D342" s="165" t="s">
        <v>926</v>
      </c>
      <c r="E342" s="165" t="s">
        <v>1</v>
      </c>
      <c r="F342" s="165" t="s">
        <v>1199</v>
      </c>
      <c r="G342" s="165" t="s">
        <v>1140</v>
      </c>
      <c r="H342" s="165" t="s">
        <v>2058</v>
      </c>
      <c r="I342" s="166">
        <v>43524</v>
      </c>
      <c r="J342" s="165">
        <v>43510</v>
      </c>
      <c r="K342" s="166">
        <v>43517</v>
      </c>
      <c r="L342" s="165">
        <v>43882</v>
      </c>
      <c r="M342" s="165" t="s">
        <v>124</v>
      </c>
      <c r="N342" s="165">
        <v>1</v>
      </c>
    </row>
    <row r="343" spans="1:14" x14ac:dyDescent="0.25">
      <c r="A343" s="165" t="s">
        <v>2059</v>
      </c>
      <c r="B343" s="78">
        <v>3000228</v>
      </c>
      <c r="C343" s="165" t="s">
        <v>925</v>
      </c>
      <c r="D343" s="165" t="s">
        <v>927</v>
      </c>
      <c r="E343" s="165" t="s">
        <v>1</v>
      </c>
      <c r="F343" s="165" t="s">
        <v>1200</v>
      </c>
      <c r="G343" s="165" t="s">
        <v>1140</v>
      </c>
      <c r="H343" s="165" t="s">
        <v>2059</v>
      </c>
      <c r="I343" s="166">
        <v>43658</v>
      </c>
      <c r="J343" s="165">
        <v>43689</v>
      </c>
      <c r="K343" s="166">
        <v>43689</v>
      </c>
      <c r="L343" s="165">
        <v>44054</v>
      </c>
      <c r="M343" s="165" t="s">
        <v>124</v>
      </c>
      <c r="N343" s="165">
        <v>1</v>
      </c>
    </row>
    <row r="344" spans="1:14" x14ac:dyDescent="0.25">
      <c r="A344" s="165" t="s">
        <v>2060</v>
      </c>
      <c r="B344" s="78">
        <v>62750</v>
      </c>
      <c r="C344" s="165" t="s">
        <v>925</v>
      </c>
      <c r="D344" s="165" t="s">
        <v>927</v>
      </c>
      <c r="E344" s="165" t="s">
        <v>1</v>
      </c>
      <c r="F344" s="165" t="s">
        <v>1201</v>
      </c>
      <c r="G344" s="165" t="s">
        <v>1140</v>
      </c>
      <c r="H344" s="165" t="s">
        <v>2060</v>
      </c>
      <c r="I344" s="166" t="s">
        <v>1202</v>
      </c>
      <c r="J344" s="165">
        <v>43990</v>
      </c>
      <c r="K344" s="166">
        <v>43990</v>
      </c>
      <c r="L344" s="165">
        <v>44355</v>
      </c>
      <c r="M344" s="165" t="s">
        <v>124</v>
      </c>
      <c r="N344" s="165">
        <v>1</v>
      </c>
    </row>
    <row r="345" spans="1:14" x14ac:dyDescent="0.25">
      <c r="A345" s="165" t="s">
        <v>2061</v>
      </c>
      <c r="B345" s="78">
        <v>3000228</v>
      </c>
      <c r="C345" s="165" t="s">
        <v>925</v>
      </c>
      <c r="D345" s="165" t="s">
        <v>927</v>
      </c>
      <c r="E345" s="165" t="s">
        <v>2</v>
      </c>
      <c r="F345" s="165" t="s">
        <v>1146</v>
      </c>
      <c r="G345" s="165" t="s">
        <v>1069</v>
      </c>
      <c r="H345" s="165" t="s">
        <v>2061</v>
      </c>
      <c r="I345" s="166">
        <v>43410</v>
      </c>
      <c r="J345" s="165">
        <v>43570</v>
      </c>
      <c r="K345" s="166">
        <v>43585</v>
      </c>
      <c r="L345" s="165">
        <v>43950</v>
      </c>
      <c r="M345" s="165" t="s">
        <v>124</v>
      </c>
      <c r="N345" s="165">
        <v>1</v>
      </c>
    </row>
    <row r="346" spans="1:14" x14ac:dyDescent="0.25">
      <c r="A346" s="165" t="s">
        <v>2062</v>
      </c>
      <c r="B346" s="78">
        <v>78008</v>
      </c>
      <c r="C346" s="165" t="s">
        <v>912</v>
      </c>
      <c r="D346" s="165" t="s">
        <v>1203</v>
      </c>
      <c r="E346" s="165" t="s">
        <v>1</v>
      </c>
      <c r="F346" s="165" t="s">
        <v>935</v>
      </c>
      <c r="G346" s="165" t="s">
        <v>936</v>
      </c>
      <c r="H346" s="165" t="s">
        <v>2062</v>
      </c>
      <c r="I346" s="166">
        <v>44331</v>
      </c>
      <c r="J346" s="165">
        <v>44405</v>
      </c>
      <c r="K346" s="166">
        <v>44460</v>
      </c>
      <c r="L346" s="165">
        <v>44825</v>
      </c>
      <c r="M346" s="165" t="s">
        <v>122</v>
      </c>
      <c r="N346" s="165">
        <v>1</v>
      </c>
    </row>
    <row r="347" spans="1:14" x14ac:dyDescent="0.25">
      <c r="A347" s="165" t="s">
        <v>2063</v>
      </c>
      <c r="B347" s="78">
        <v>49371</v>
      </c>
      <c r="C347" s="165" t="s">
        <v>925</v>
      </c>
      <c r="D347" s="165" t="s">
        <v>1204</v>
      </c>
      <c r="E347" s="165" t="s">
        <v>1</v>
      </c>
      <c r="F347" s="165" t="s">
        <v>935</v>
      </c>
      <c r="G347" s="165" t="s">
        <v>936</v>
      </c>
      <c r="H347" s="165" t="s">
        <v>2063</v>
      </c>
      <c r="I347" s="166">
        <v>44396</v>
      </c>
      <c r="J347" s="165">
        <v>44405</v>
      </c>
      <c r="K347" s="166">
        <v>44460</v>
      </c>
      <c r="L347" s="165">
        <v>44825</v>
      </c>
      <c r="M347" s="165" t="s">
        <v>122</v>
      </c>
      <c r="N347" s="165">
        <v>0</v>
      </c>
    </row>
    <row r="348" spans="1:14" x14ac:dyDescent="0.25">
      <c r="A348" s="165" t="s">
        <v>2064</v>
      </c>
      <c r="B348" s="78">
        <v>40976</v>
      </c>
      <c r="C348" s="165" t="s">
        <v>912</v>
      </c>
      <c r="D348" s="165" t="s">
        <v>1031</v>
      </c>
      <c r="E348" s="165" t="s">
        <v>2</v>
      </c>
      <c r="F348" s="165" t="s">
        <v>1205</v>
      </c>
      <c r="G348" s="165" t="s">
        <v>1206</v>
      </c>
      <c r="H348" s="165" t="s">
        <v>2064</v>
      </c>
      <c r="I348" s="166">
        <v>44345</v>
      </c>
      <c r="J348" s="165">
        <v>44439</v>
      </c>
      <c r="K348" s="166">
        <v>44521</v>
      </c>
      <c r="L348" s="165">
        <v>44886</v>
      </c>
      <c r="M348" s="165" t="s">
        <v>122</v>
      </c>
      <c r="N348" s="165">
        <v>1</v>
      </c>
    </row>
    <row r="349" spans="1:14" x14ac:dyDescent="0.25">
      <c r="A349" s="165" t="s">
        <v>2065</v>
      </c>
      <c r="B349" s="78">
        <v>11441</v>
      </c>
      <c r="C349" s="165" t="s">
        <v>925</v>
      </c>
      <c r="D349" s="165" t="s">
        <v>1207</v>
      </c>
      <c r="E349" s="165" t="s">
        <v>2</v>
      </c>
      <c r="F349" s="165" t="s">
        <v>1205</v>
      </c>
      <c r="G349" s="165" t="s">
        <v>1206</v>
      </c>
      <c r="H349" s="165" t="s">
        <v>2065</v>
      </c>
      <c r="I349" s="166">
        <v>44345</v>
      </c>
      <c r="J349" s="165">
        <v>44439</v>
      </c>
      <c r="K349" s="166">
        <v>44521</v>
      </c>
      <c r="L349" s="165">
        <v>44886</v>
      </c>
      <c r="M349" s="165" t="s">
        <v>122</v>
      </c>
      <c r="N349" s="165">
        <v>1</v>
      </c>
    </row>
    <row r="350" spans="1:14" x14ac:dyDescent="0.25">
      <c r="A350" s="165" t="s">
        <v>2066</v>
      </c>
      <c r="B350" s="78">
        <v>68618</v>
      </c>
      <c r="C350" s="165" t="s">
        <v>925</v>
      </c>
      <c r="D350" s="165" t="s">
        <v>927</v>
      </c>
      <c r="E350" s="165" t="s">
        <v>2</v>
      </c>
      <c r="F350" s="165" t="s">
        <v>1205</v>
      </c>
      <c r="G350" s="165" t="s">
        <v>1206</v>
      </c>
      <c r="H350" s="165" t="s">
        <v>2066</v>
      </c>
      <c r="I350" s="166">
        <v>44345</v>
      </c>
      <c r="J350" s="165">
        <v>44439</v>
      </c>
      <c r="K350" s="166">
        <v>44521</v>
      </c>
      <c r="L350" s="165">
        <v>44886</v>
      </c>
      <c r="M350" s="165" t="s">
        <v>122</v>
      </c>
      <c r="N350" s="165">
        <v>1</v>
      </c>
    </row>
    <row r="351" spans="1:14" x14ac:dyDescent="0.25">
      <c r="A351" s="165" t="s">
        <v>2067</v>
      </c>
      <c r="B351" s="78">
        <v>24822</v>
      </c>
      <c r="C351" s="165" t="s">
        <v>912</v>
      </c>
      <c r="D351" s="165" t="s">
        <v>937</v>
      </c>
      <c r="E351" s="165" t="s">
        <v>1</v>
      </c>
      <c r="F351" s="165" t="s">
        <v>1208</v>
      </c>
      <c r="G351" s="165" t="s">
        <v>942</v>
      </c>
      <c r="H351" s="165" t="s">
        <v>2067</v>
      </c>
      <c r="I351" s="166">
        <v>44271</v>
      </c>
      <c r="J351" s="165">
        <v>44377</v>
      </c>
      <c r="K351" s="166">
        <v>44469</v>
      </c>
      <c r="L351" s="165">
        <v>44834</v>
      </c>
      <c r="M351" s="165" t="s">
        <v>122</v>
      </c>
      <c r="N351" s="165">
        <v>1</v>
      </c>
    </row>
    <row r="352" spans="1:14" x14ac:dyDescent="0.25">
      <c r="A352" s="165" t="s">
        <v>2068</v>
      </c>
      <c r="B352" s="78">
        <v>25330</v>
      </c>
      <c r="C352" s="165" t="s">
        <v>925</v>
      </c>
      <c r="D352" s="165" t="s">
        <v>1046</v>
      </c>
      <c r="E352" s="165" t="s">
        <v>1</v>
      </c>
      <c r="F352" s="165" t="s">
        <v>1208</v>
      </c>
      <c r="G352" s="165" t="s">
        <v>942</v>
      </c>
      <c r="H352" s="165" t="s">
        <v>2068</v>
      </c>
      <c r="I352" s="166">
        <v>44271</v>
      </c>
      <c r="J352" s="165">
        <v>44377</v>
      </c>
      <c r="K352" s="166">
        <v>44469</v>
      </c>
      <c r="L352" s="165">
        <v>44834</v>
      </c>
      <c r="M352" s="165" t="s">
        <v>122</v>
      </c>
      <c r="N352" s="165">
        <v>1</v>
      </c>
    </row>
    <row r="353" spans="1:14" x14ac:dyDescent="0.25">
      <c r="A353" s="165" t="s">
        <v>2069</v>
      </c>
      <c r="B353" s="78">
        <v>15176</v>
      </c>
      <c r="C353" s="165" t="s">
        <v>925</v>
      </c>
      <c r="D353" s="165" t="s">
        <v>927</v>
      </c>
      <c r="E353" s="165" t="s">
        <v>1</v>
      </c>
      <c r="F353" s="165" t="s">
        <v>1208</v>
      </c>
      <c r="G353" s="165" t="s">
        <v>942</v>
      </c>
      <c r="H353" s="165" t="s">
        <v>2069</v>
      </c>
      <c r="I353" s="166">
        <v>44271</v>
      </c>
      <c r="J353" s="165">
        <v>44377</v>
      </c>
      <c r="K353" s="166">
        <v>44469</v>
      </c>
      <c r="L353" s="165">
        <v>44834</v>
      </c>
      <c r="M353" s="165" t="s">
        <v>122</v>
      </c>
      <c r="N353" s="165">
        <v>1</v>
      </c>
    </row>
    <row r="354" spans="1:14" x14ac:dyDescent="0.25">
      <c r="A354" s="165" t="s">
        <v>2070</v>
      </c>
      <c r="B354" s="78">
        <v>52520</v>
      </c>
      <c r="C354" s="165" t="s">
        <v>912</v>
      </c>
      <c r="D354" s="165" t="s">
        <v>943</v>
      </c>
      <c r="E354" s="165" t="s">
        <v>1</v>
      </c>
      <c r="F354" s="165" t="s">
        <v>1087</v>
      </c>
      <c r="G354" s="165" t="s">
        <v>956</v>
      </c>
      <c r="H354" s="165" t="s">
        <v>2070</v>
      </c>
      <c r="I354" s="166">
        <v>44371</v>
      </c>
      <c r="J354" s="165">
        <v>44469</v>
      </c>
      <c r="K354" s="166">
        <v>44474</v>
      </c>
      <c r="L354" s="165">
        <v>44839</v>
      </c>
      <c r="M354" s="165" t="s">
        <v>122</v>
      </c>
      <c r="N354" s="165">
        <v>1</v>
      </c>
    </row>
    <row r="355" spans="1:14" x14ac:dyDescent="0.25">
      <c r="A355" s="165" t="s">
        <v>2071</v>
      </c>
      <c r="B355" s="78">
        <v>12963</v>
      </c>
      <c r="C355" s="165" t="s">
        <v>912</v>
      </c>
      <c r="D355" s="165" t="s">
        <v>1209</v>
      </c>
      <c r="E355" s="165" t="s">
        <v>2</v>
      </c>
      <c r="F355" s="165" t="s">
        <v>1210</v>
      </c>
      <c r="G355" s="165" t="s">
        <v>1013</v>
      </c>
      <c r="H355" s="165" t="s">
        <v>2071</v>
      </c>
      <c r="I355" s="166">
        <v>44127</v>
      </c>
      <c r="J355" s="165">
        <v>44286</v>
      </c>
      <c r="K355" s="166">
        <v>44484</v>
      </c>
      <c r="L355" s="165">
        <v>44849</v>
      </c>
      <c r="M355" s="165" t="s">
        <v>122</v>
      </c>
      <c r="N355" s="165">
        <v>1</v>
      </c>
    </row>
    <row r="356" spans="1:14" x14ac:dyDescent="0.25">
      <c r="A356" s="165" t="s">
        <v>2072</v>
      </c>
      <c r="B356" s="78">
        <v>67788</v>
      </c>
      <c r="C356" s="165" t="s">
        <v>912</v>
      </c>
      <c r="D356" s="165" t="s">
        <v>937</v>
      </c>
      <c r="E356" s="165" t="s">
        <v>3</v>
      </c>
      <c r="F356" s="165" t="s">
        <v>1211</v>
      </c>
      <c r="G356" s="165" t="s">
        <v>962</v>
      </c>
      <c r="H356" s="165" t="s">
        <v>2072</v>
      </c>
      <c r="I356" s="166">
        <v>44372</v>
      </c>
      <c r="J356" s="165">
        <v>44463</v>
      </c>
      <c r="K356" s="166">
        <v>44484</v>
      </c>
      <c r="L356" s="165">
        <v>44849</v>
      </c>
      <c r="M356" s="165" t="s">
        <v>122</v>
      </c>
      <c r="N356" s="165">
        <v>1</v>
      </c>
    </row>
    <row r="357" spans="1:14" x14ac:dyDescent="0.25">
      <c r="A357" s="165" t="s">
        <v>2073</v>
      </c>
      <c r="B357" s="78">
        <v>61502</v>
      </c>
      <c r="C357" s="165" t="s">
        <v>912</v>
      </c>
      <c r="D357" s="165" t="s">
        <v>969</v>
      </c>
      <c r="E357" s="165" t="s">
        <v>1</v>
      </c>
      <c r="F357" s="165" t="s">
        <v>1212</v>
      </c>
      <c r="G357" s="165" t="s">
        <v>1213</v>
      </c>
      <c r="H357" s="165" t="s">
        <v>2073</v>
      </c>
      <c r="I357" s="166">
        <v>44225</v>
      </c>
      <c r="J357" s="165">
        <v>44439</v>
      </c>
      <c r="K357" s="166">
        <v>44491</v>
      </c>
      <c r="L357" s="165">
        <v>44856</v>
      </c>
      <c r="M357" s="165" t="s">
        <v>122</v>
      </c>
      <c r="N357" s="165">
        <v>1</v>
      </c>
    </row>
    <row r="358" spans="1:14" x14ac:dyDescent="0.25">
      <c r="A358" s="165" t="s">
        <v>2074</v>
      </c>
      <c r="B358" s="78">
        <v>12843</v>
      </c>
      <c r="C358" s="165" t="s">
        <v>925</v>
      </c>
      <c r="D358" s="165" t="s">
        <v>1025</v>
      </c>
      <c r="E358" s="165" t="s">
        <v>1</v>
      </c>
      <c r="F358" s="165" t="s">
        <v>1212</v>
      </c>
      <c r="G358" s="165" t="s">
        <v>1213</v>
      </c>
      <c r="H358" s="165" t="s">
        <v>2074</v>
      </c>
      <c r="I358" s="166">
        <v>44225</v>
      </c>
      <c r="J358" s="165">
        <v>44439</v>
      </c>
      <c r="K358" s="166">
        <v>44491</v>
      </c>
      <c r="L358" s="165">
        <v>44856</v>
      </c>
      <c r="M358" s="165" t="s">
        <v>122</v>
      </c>
      <c r="N358" s="165">
        <v>0</v>
      </c>
    </row>
    <row r="359" spans="1:14" x14ac:dyDescent="0.25">
      <c r="A359" s="165" t="s">
        <v>2075</v>
      </c>
      <c r="B359" s="78">
        <v>12247</v>
      </c>
      <c r="C359" s="165" t="s">
        <v>912</v>
      </c>
      <c r="D359" s="165" t="s">
        <v>922</v>
      </c>
      <c r="E359" s="165" t="s">
        <v>1</v>
      </c>
      <c r="F359" s="165" t="s">
        <v>1214</v>
      </c>
      <c r="G359" s="165" t="s">
        <v>942</v>
      </c>
      <c r="H359" s="165" t="s">
        <v>2075</v>
      </c>
      <c r="I359" s="166">
        <v>44223</v>
      </c>
      <c r="J359" s="165">
        <v>44326</v>
      </c>
      <c r="K359" s="166">
        <v>44485</v>
      </c>
      <c r="L359" s="165">
        <v>44850</v>
      </c>
      <c r="M359" s="165" t="s">
        <v>122</v>
      </c>
      <c r="N359" s="165">
        <v>1</v>
      </c>
    </row>
    <row r="360" spans="1:14" x14ac:dyDescent="0.25">
      <c r="A360" s="165" t="s">
        <v>2076</v>
      </c>
      <c r="B360" s="78">
        <v>40917</v>
      </c>
      <c r="C360" s="165" t="s">
        <v>925</v>
      </c>
      <c r="D360" s="165" t="s">
        <v>1198</v>
      </c>
      <c r="E360" s="165" t="s">
        <v>1</v>
      </c>
      <c r="F360" s="165" t="s">
        <v>1214</v>
      </c>
      <c r="G360" s="165" t="s">
        <v>942</v>
      </c>
      <c r="H360" s="165" t="s">
        <v>2076</v>
      </c>
      <c r="I360" s="166">
        <v>44223</v>
      </c>
      <c r="J360" s="165">
        <v>44326</v>
      </c>
      <c r="K360" s="166">
        <v>44485</v>
      </c>
      <c r="L360" s="165">
        <v>44850</v>
      </c>
      <c r="M360" s="165" t="s">
        <v>122</v>
      </c>
      <c r="N360" s="165">
        <v>0</v>
      </c>
    </row>
    <row r="361" spans="1:14" x14ac:dyDescent="0.25">
      <c r="A361" s="165" t="s">
        <v>2077</v>
      </c>
      <c r="B361" s="78">
        <v>45572</v>
      </c>
      <c r="C361" s="165" t="s">
        <v>925</v>
      </c>
      <c r="D361" s="165" t="s">
        <v>927</v>
      </c>
      <c r="E361" s="165" t="s">
        <v>1</v>
      </c>
      <c r="F361" s="165" t="s">
        <v>1214</v>
      </c>
      <c r="G361" s="165" t="s">
        <v>942</v>
      </c>
      <c r="H361" s="165" t="s">
        <v>2077</v>
      </c>
      <c r="I361" s="166">
        <v>44223</v>
      </c>
      <c r="J361" s="165">
        <v>44326</v>
      </c>
      <c r="K361" s="166">
        <v>44485</v>
      </c>
      <c r="L361" s="165">
        <v>44850</v>
      </c>
      <c r="M361" s="165" t="s">
        <v>122</v>
      </c>
      <c r="N361" s="165">
        <v>1</v>
      </c>
    </row>
    <row r="362" spans="1:14" x14ac:dyDescent="0.25">
      <c r="A362" s="165" t="s">
        <v>2078</v>
      </c>
      <c r="B362" s="78">
        <v>28578</v>
      </c>
      <c r="C362" s="165" t="s">
        <v>925</v>
      </c>
      <c r="D362" s="165" t="s">
        <v>1020</v>
      </c>
      <c r="E362" s="165" t="s">
        <v>1</v>
      </c>
      <c r="F362" s="165" t="s">
        <v>1214</v>
      </c>
      <c r="G362" s="165" t="s">
        <v>942</v>
      </c>
      <c r="H362" s="165" t="s">
        <v>2078</v>
      </c>
      <c r="I362" s="166">
        <v>44223</v>
      </c>
      <c r="J362" s="165">
        <v>44326</v>
      </c>
      <c r="K362" s="166">
        <v>44485</v>
      </c>
      <c r="L362" s="165">
        <v>44850</v>
      </c>
      <c r="M362" s="165" t="s">
        <v>122</v>
      </c>
      <c r="N362" s="165">
        <v>1</v>
      </c>
    </row>
    <row r="363" spans="1:14" x14ac:dyDescent="0.25">
      <c r="A363" s="165" t="s">
        <v>2079</v>
      </c>
      <c r="B363" s="78">
        <v>71477</v>
      </c>
      <c r="C363" s="165" t="s">
        <v>912</v>
      </c>
      <c r="D363" s="165" t="s">
        <v>929</v>
      </c>
      <c r="E363" s="165" t="s">
        <v>3</v>
      </c>
      <c r="F363" s="165" t="s">
        <v>1215</v>
      </c>
      <c r="G363" s="165" t="s">
        <v>962</v>
      </c>
      <c r="H363" s="165" t="s">
        <v>2079</v>
      </c>
      <c r="I363" s="166">
        <v>44286</v>
      </c>
      <c r="J363" s="165">
        <v>44475</v>
      </c>
      <c r="K363" s="166">
        <v>44500</v>
      </c>
      <c r="L363" s="165">
        <v>44865</v>
      </c>
      <c r="M363" s="165" t="s">
        <v>122</v>
      </c>
      <c r="N363" s="165">
        <v>1</v>
      </c>
    </row>
    <row r="364" spans="1:14" x14ac:dyDescent="0.25">
      <c r="A364" s="165" t="s">
        <v>2080</v>
      </c>
      <c r="B364" s="78">
        <v>83313</v>
      </c>
      <c r="C364" s="165" t="s">
        <v>925</v>
      </c>
      <c r="D364" s="165" t="s">
        <v>927</v>
      </c>
      <c r="E364" s="165" t="s">
        <v>3</v>
      </c>
      <c r="F364" s="165" t="s">
        <v>1215</v>
      </c>
      <c r="G364" s="165" t="s">
        <v>962</v>
      </c>
      <c r="H364" s="165" t="s">
        <v>2080</v>
      </c>
      <c r="I364" s="166">
        <v>44286</v>
      </c>
      <c r="J364" s="165">
        <v>44475</v>
      </c>
      <c r="K364" s="166">
        <v>44500</v>
      </c>
      <c r="L364" s="165">
        <v>44865</v>
      </c>
      <c r="M364" s="165" t="s">
        <v>122</v>
      </c>
      <c r="N364" s="165">
        <v>1</v>
      </c>
    </row>
    <row r="365" spans="1:14" x14ac:dyDescent="0.25">
      <c r="A365" s="165" t="s">
        <v>2081</v>
      </c>
      <c r="B365" s="78">
        <v>21657</v>
      </c>
      <c r="C365" s="165" t="s">
        <v>925</v>
      </c>
      <c r="D365" s="165" t="s">
        <v>1020</v>
      </c>
      <c r="E365" s="165" t="s">
        <v>3</v>
      </c>
      <c r="F365" s="165" t="s">
        <v>1215</v>
      </c>
      <c r="G365" s="165" t="s">
        <v>962</v>
      </c>
      <c r="H365" s="165" t="s">
        <v>2081</v>
      </c>
      <c r="I365" s="166">
        <v>44286</v>
      </c>
      <c r="J365" s="165">
        <v>44475</v>
      </c>
      <c r="K365" s="166">
        <v>44500</v>
      </c>
      <c r="L365" s="165">
        <v>44865</v>
      </c>
      <c r="M365" s="165" t="s">
        <v>122</v>
      </c>
      <c r="N365" s="165">
        <v>1</v>
      </c>
    </row>
    <row r="366" spans="1:14" x14ac:dyDescent="0.25">
      <c r="A366" s="165" t="s">
        <v>2082</v>
      </c>
      <c r="B366" s="78">
        <v>82782</v>
      </c>
      <c r="C366" s="165" t="s">
        <v>912</v>
      </c>
      <c r="D366" s="165" t="s">
        <v>969</v>
      </c>
      <c r="E366" s="165" t="s">
        <v>1</v>
      </c>
      <c r="F366" s="165" t="s">
        <v>935</v>
      </c>
      <c r="G366" s="165" t="s">
        <v>936</v>
      </c>
      <c r="H366" s="165" t="s">
        <v>2082</v>
      </c>
      <c r="I366" s="166">
        <v>44356</v>
      </c>
      <c r="J366" s="165">
        <v>44490</v>
      </c>
      <c r="K366" s="166">
        <v>44498</v>
      </c>
      <c r="L366" s="165">
        <v>44863</v>
      </c>
      <c r="M366" s="165" t="s">
        <v>122</v>
      </c>
      <c r="N366" s="165">
        <v>1</v>
      </c>
    </row>
    <row r="367" spans="1:14" x14ac:dyDescent="0.25">
      <c r="A367" s="165" t="s">
        <v>2083</v>
      </c>
      <c r="B367" s="78">
        <v>30858</v>
      </c>
      <c r="C367" s="165" t="s">
        <v>912</v>
      </c>
      <c r="D367" s="165" t="s">
        <v>937</v>
      </c>
      <c r="E367" s="165" t="s">
        <v>5</v>
      </c>
      <c r="F367" s="165" t="s">
        <v>1216</v>
      </c>
      <c r="G367" s="165" t="s">
        <v>1024</v>
      </c>
      <c r="H367" s="165" t="s">
        <v>2083</v>
      </c>
      <c r="I367" s="166">
        <v>44370</v>
      </c>
      <c r="J367" s="165">
        <v>44499</v>
      </c>
      <c r="K367" s="166">
        <v>44519</v>
      </c>
      <c r="L367" s="165">
        <v>44884</v>
      </c>
      <c r="M367" s="165" t="s">
        <v>122</v>
      </c>
      <c r="N367" s="165">
        <v>1</v>
      </c>
    </row>
    <row r="368" spans="1:14" x14ac:dyDescent="0.25">
      <c r="A368" s="165" t="s">
        <v>2084</v>
      </c>
      <c r="B368" s="78">
        <v>25634</v>
      </c>
      <c r="C368" s="165" t="s">
        <v>912</v>
      </c>
      <c r="D368" s="165" t="s">
        <v>929</v>
      </c>
      <c r="E368" s="165" t="s">
        <v>5</v>
      </c>
      <c r="F368" s="165" t="s">
        <v>1217</v>
      </c>
      <c r="G368" s="165" t="s">
        <v>931</v>
      </c>
      <c r="H368" s="165" t="s">
        <v>2084</v>
      </c>
      <c r="I368" s="166">
        <v>44407</v>
      </c>
      <c r="J368" s="165">
        <v>44499</v>
      </c>
      <c r="K368" s="166">
        <v>44506</v>
      </c>
      <c r="L368" s="165">
        <v>44871</v>
      </c>
      <c r="M368" s="165" t="s">
        <v>122</v>
      </c>
      <c r="N368" s="165">
        <v>1</v>
      </c>
    </row>
    <row r="369" spans="1:14" x14ac:dyDescent="0.25">
      <c r="A369" s="165" t="s">
        <v>2085</v>
      </c>
      <c r="B369" s="78">
        <v>40566</v>
      </c>
      <c r="C369" s="165" t="s">
        <v>925</v>
      </c>
      <c r="D369" s="165" t="s">
        <v>1020</v>
      </c>
      <c r="E369" s="165" t="s">
        <v>5</v>
      </c>
      <c r="F369" s="165" t="s">
        <v>1217</v>
      </c>
      <c r="G369" s="165" t="s">
        <v>931</v>
      </c>
      <c r="H369" s="165" t="s">
        <v>2085</v>
      </c>
      <c r="I369" s="166">
        <v>44407</v>
      </c>
      <c r="J369" s="165">
        <v>44499</v>
      </c>
      <c r="K369" s="166">
        <v>44506</v>
      </c>
      <c r="L369" s="165">
        <v>44871</v>
      </c>
      <c r="M369" s="165" t="s">
        <v>122</v>
      </c>
      <c r="N369" s="165">
        <v>1</v>
      </c>
    </row>
    <row r="370" spans="1:14" x14ac:dyDescent="0.25">
      <c r="A370" s="165" t="s">
        <v>2086</v>
      </c>
      <c r="B370" s="78">
        <v>24543</v>
      </c>
      <c r="C370" s="165" t="s">
        <v>925</v>
      </c>
      <c r="D370" s="165" t="s">
        <v>927</v>
      </c>
      <c r="E370" s="165" t="s">
        <v>5</v>
      </c>
      <c r="F370" s="165" t="s">
        <v>1217</v>
      </c>
      <c r="G370" s="165" t="s">
        <v>931</v>
      </c>
      <c r="H370" s="165" t="s">
        <v>2086</v>
      </c>
      <c r="I370" s="166">
        <v>44407</v>
      </c>
      <c r="J370" s="165">
        <v>44499</v>
      </c>
      <c r="K370" s="166">
        <v>44506</v>
      </c>
      <c r="L370" s="165">
        <v>44871</v>
      </c>
      <c r="M370" s="165" t="s">
        <v>122</v>
      </c>
      <c r="N370" s="165">
        <v>1</v>
      </c>
    </row>
    <row r="371" spans="1:14" x14ac:dyDescent="0.25">
      <c r="A371" s="165" t="s">
        <v>2087</v>
      </c>
      <c r="B371" s="78">
        <v>83477</v>
      </c>
      <c r="C371" s="165" t="s">
        <v>912</v>
      </c>
      <c r="D371" s="165" t="s">
        <v>1031</v>
      </c>
      <c r="E371" s="165" t="s">
        <v>5</v>
      </c>
      <c r="F371" s="165" t="s">
        <v>1218</v>
      </c>
      <c r="G371" s="165" t="s">
        <v>1024</v>
      </c>
      <c r="H371" s="165" t="s">
        <v>2087</v>
      </c>
      <c r="I371" s="166">
        <v>44523</v>
      </c>
      <c r="J371" s="165">
        <v>44498</v>
      </c>
      <c r="K371" s="166">
        <v>44512</v>
      </c>
      <c r="L371" s="165">
        <v>44877</v>
      </c>
      <c r="M371" s="165" t="s">
        <v>122</v>
      </c>
      <c r="N371" s="165">
        <v>1</v>
      </c>
    </row>
    <row r="372" spans="1:14" x14ac:dyDescent="0.25">
      <c r="A372" s="165" t="s">
        <v>2088</v>
      </c>
      <c r="B372" s="78">
        <v>48400</v>
      </c>
      <c r="C372" s="165" t="s">
        <v>912</v>
      </c>
      <c r="D372" s="165" t="s">
        <v>1219</v>
      </c>
      <c r="E372" s="165" t="s">
        <v>1</v>
      </c>
      <c r="F372" s="165" t="s">
        <v>1180</v>
      </c>
      <c r="G372" s="165" t="s">
        <v>1140</v>
      </c>
      <c r="H372" s="165" t="s">
        <v>2088</v>
      </c>
      <c r="I372" s="166">
        <v>44404</v>
      </c>
      <c r="J372" s="165">
        <v>44501</v>
      </c>
      <c r="K372" s="166">
        <v>44512</v>
      </c>
      <c r="L372" s="165">
        <v>44877</v>
      </c>
      <c r="M372" s="165" t="s">
        <v>122</v>
      </c>
      <c r="N372" s="165">
        <v>1</v>
      </c>
    </row>
    <row r="373" spans="1:14" x14ac:dyDescent="0.25">
      <c r="A373" s="165" t="s">
        <v>2089</v>
      </c>
      <c r="B373" s="78">
        <v>76883</v>
      </c>
      <c r="C373" s="165" t="s">
        <v>912</v>
      </c>
      <c r="D373" s="165" t="s">
        <v>1220</v>
      </c>
      <c r="E373" s="165" t="s">
        <v>1</v>
      </c>
      <c r="F373" s="165" t="s">
        <v>1180</v>
      </c>
      <c r="G373" s="165" t="s">
        <v>1140</v>
      </c>
      <c r="H373" s="165" t="s">
        <v>2089</v>
      </c>
      <c r="I373" s="166">
        <v>44404</v>
      </c>
      <c r="J373" s="165">
        <v>44501</v>
      </c>
      <c r="K373" s="166"/>
      <c r="L373" s="165">
        <v>365</v>
      </c>
      <c r="M373" s="165" t="s">
        <v>124</v>
      </c>
      <c r="N373" s="165">
        <v>1</v>
      </c>
    </row>
    <row r="374" spans="1:14" x14ac:dyDescent="0.25">
      <c r="A374" s="165" t="s">
        <v>2090</v>
      </c>
      <c r="B374" s="78">
        <v>43927</v>
      </c>
      <c r="C374" s="165" t="s">
        <v>912</v>
      </c>
      <c r="D374" s="165" t="s">
        <v>1221</v>
      </c>
      <c r="E374" s="165" t="s">
        <v>1</v>
      </c>
      <c r="F374" s="165" t="s">
        <v>1222</v>
      </c>
      <c r="G374" s="165" t="s">
        <v>936</v>
      </c>
      <c r="H374" s="165" t="s">
        <v>2090</v>
      </c>
      <c r="I374" s="166">
        <v>44215</v>
      </c>
      <c r="J374" s="165">
        <v>44316</v>
      </c>
      <c r="K374" s="166">
        <v>44530</v>
      </c>
      <c r="L374" s="165">
        <v>44895</v>
      </c>
      <c r="M374" s="165" t="s">
        <v>122</v>
      </c>
      <c r="N374" s="165">
        <v>1</v>
      </c>
    </row>
    <row r="375" spans="1:14" x14ac:dyDescent="0.25">
      <c r="A375" s="165" t="s">
        <v>2091</v>
      </c>
      <c r="B375" s="78">
        <v>99865</v>
      </c>
      <c r="C375" s="165" t="s">
        <v>912</v>
      </c>
      <c r="D375" s="165" t="s">
        <v>969</v>
      </c>
      <c r="E375" s="165" t="s">
        <v>5</v>
      </c>
      <c r="F375" s="165" t="s">
        <v>1223</v>
      </c>
      <c r="G375" s="165" t="s">
        <v>931</v>
      </c>
      <c r="H375" s="165" t="s">
        <v>2091</v>
      </c>
      <c r="I375" s="166">
        <v>44480</v>
      </c>
      <c r="J375" s="165">
        <v>44522</v>
      </c>
      <c r="K375" s="166">
        <v>44526</v>
      </c>
      <c r="L375" s="165">
        <v>44891</v>
      </c>
      <c r="M375" s="165" t="s">
        <v>122</v>
      </c>
      <c r="N375" s="165">
        <v>1</v>
      </c>
    </row>
    <row r="376" spans="1:14" x14ac:dyDescent="0.25">
      <c r="A376" s="165" t="s">
        <v>2092</v>
      </c>
      <c r="B376" s="78">
        <v>53768</v>
      </c>
      <c r="C376" s="165" t="s">
        <v>925</v>
      </c>
      <c r="D376" s="165" t="s">
        <v>1046</v>
      </c>
      <c r="E376" s="165" t="s">
        <v>5</v>
      </c>
      <c r="F376" s="165" t="s">
        <v>1223</v>
      </c>
      <c r="G376" s="165" t="s">
        <v>931</v>
      </c>
      <c r="H376" s="165" t="s">
        <v>2092</v>
      </c>
      <c r="I376" s="166">
        <v>44490</v>
      </c>
      <c r="J376" s="165">
        <v>44522</v>
      </c>
      <c r="K376" s="166">
        <v>44526</v>
      </c>
      <c r="L376" s="165">
        <v>44891</v>
      </c>
      <c r="M376" s="165" t="s">
        <v>122</v>
      </c>
      <c r="N376" s="165">
        <v>1</v>
      </c>
    </row>
    <row r="377" spans="1:14" x14ac:dyDescent="0.25">
      <c r="A377" s="165" t="s">
        <v>2093</v>
      </c>
      <c r="B377" s="78">
        <v>51927</v>
      </c>
      <c r="C377" s="165" t="s">
        <v>912</v>
      </c>
      <c r="D377" s="165" t="s">
        <v>937</v>
      </c>
      <c r="E377" s="165" t="s">
        <v>5</v>
      </c>
      <c r="F377" s="165" t="s">
        <v>1224</v>
      </c>
      <c r="G377" s="165" t="s">
        <v>1024</v>
      </c>
      <c r="H377" s="165" t="s">
        <v>2093</v>
      </c>
      <c r="I377" s="166">
        <v>44351</v>
      </c>
      <c r="J377" s="165">
        <v>44498</v>
      </c>
      <c r="K377" s="166">
        <v>44526</v>
      </c>
      <c r="L377" s="165">
        <v>44891</v>
      </c>
      <c r="M377" s="165" t="s">
        <v>122</v>
      </c>
      <c r="N377" s="165">
        <v>1</v>
      </c>
    </row>
    <row r="378" spans="1:14" x14ac:dyDescent="0.25">
      <c r="A378" s="165" t="s">
        <v>2094</v>
      </c>
      <c r="B378" s="78">
        <v>25330</v>
      </c>
      <c r="C378" s="165" t="s">
        <v>925</v>
      </c>
      <c r="D378" s="165" t="s">
        <v>1046</v>
      </c>
      <c r="E378" s="165" t="s">
        <v>5</v>
      </c>
      <c r="F378" s="165" t="s">
        <v>1224</v>
      </c>
      <c r="G378" s="165" t="s">
        <v>1024</v>
      </c>
      <c r="H378" s="165" t="s">
        <v>2094</v>
      </c>
      <c r="I378" s="166">
        <v>44351</v>
      </c>
      <c r="J378" s="165">
        <v>44498</v>
      </c>
      <c r="K378" s="166">
        <v>44526</v>
      </c>
      <c r="L378" s="165">
        <v>44891</v>
      </c>
      <c r="M378" s="165" t="s">
        <v>122</v>
      </c>
      <c r="N378" s="165">
        <v>1</v>
      </c>
    </row>
    <row r="379" spans="1:14" x14ac:dyDescent="0.25">
      <c r="A379" s="165" t="s">
        <v>2095</v>
      </c>
      <c r="B379" s="78">
        <v>62792</v>
      </c>
      <c r="C379" s="165" t="s">
        <v>925</v>
      </c>
      <c r="D379" s="165" t="s">
        <v>927</v>
      </c>
      <c r="E379" s="165" t="s">
        <v>5</v>
      </c>
      <c r="F379" s="165" t="s">
        <v>1224</v>
      </c>
      <c r="G379" s="165" t="s">
        <v>1024</v>
      </c>
      <c r="H379" s="165" t="s">
        <v>2095</v>
      </c>
      <c r="I379" s="166">
        <v>44351</v>
      </c>
      <c r="J379" s="165">
        <v>44498</v>
      </c>
      <c r="K379" s="166">
        <v>44526</v>
      </c>
      <c r="L379" s="165">
        <v>44891</v>
      </c>
      <c r="M379" s="165" t="s">
        <v>122</v>
      </c>
      <c r="N379" s="165">
        <v>1</v>
      </c>
    </row>
    <row r="380" spans="1:14" x14ac:dyDescent="0.25">
      <c r="A380" s="165" t="s">
        <v>2096</v>
      </c>
      <c r="B380" s="78">
        <v>26328</v>
      </c>
      <c r="C380" s="165" t="s">
        <v>925</v>
      </c>
      <c r="D380" s="165" t="s">
        <v>1145</v>
      </c>
      <c r="E380" s="165" t="s">
        <v>5</v>
      </c>
      <c r="F380" s="165" t="s">
        <v>1225</v>
      </c>
      <c r="G380" s="165" t="s">
        <v>1024</v>
      </c>
      <c r="H380" s="165" t="s">
        <v>2096</v>
      </c>
      <c r="I380" s="166">
        <v>44474</v>
      </c>
      <c r="J380" s="165">
        <v>44533</v>
      </c>
      <c r="K380" s="166" t="s">
        <v>10</v>
      </c>
      <c r="L380" s="165">
        <v>0</v>
      </c>
      <c r="M380" s="165" t="s">
        <v>124</v>
      </c>
      <c r="N380" s="165">
        <v>1</v>
      </c>
    </row>
    <row r="381" spans="1:14" x14ac:dyDescent="0.25">
      <c r="A381" s="165" t="s">
        <v>2097</v>
      </c>
      <c r="B381" s="78">
        <v>70236</v>
      </c>
      <c r="C381" s="165" t="s">
        <v>912</v>
      </c>
      <c r="D381" s="165" t="s">
        <v>969</v>
      </c>
      <c r="E381" s="165" t="s">
        <v>1</v>
      </c>
      <c r="F381" s="165" t="s">
        <v>1226</v>
      </c>
      <c r="G381" s="165" t="s">
        <v>1140</v>
      </c>
      <c r="H381" s="165" t="s">
        <v>2097</v>
      </c>
      <c r="I381" s="166">
        <v>44424</v>
      </c>
      <c r="J381" s="165">
        <v>44536</v>
      </c>
      <c r="K381" s="166">
        <v>44539</v>
      </c>
      <c r="L381" s="165">
        <v>44904</v>
      </c>
      <c r="M381" s="165" t="s">
        <v>122</v>
      </c>
      <c r="N381" s="165">
        <v>1</v>
      </c>
    </row>
    <row r="382" spans="1:14" x14ac:dyDescent="0.25">
      <c r="A382" s="165" t="s">
        <v>2098</v>
      </c>
      <c r="B382" s="78">
        <v>86102</v>
      </c>
      <c r="C382" s="165" t="s">
        <v>925</v>
      </c>
      <c r="D382" s="165" t="s">
        <v>1025</v>
      </c>
      <c r="E382" s="165" t="s">
        <v>1</v>
      </c>
      <c r="F382" s="165" t="s">
        <v>1226</v>
      </c>
      <c r="G382" s="165" t="s">
        <v>1140</v>
      </c>
      <c r="H382" s="165" t="s">
        <v>2098</v>
      </c>
      <c r="I382" s="166">
        <v>44424</v>
      </c>
      <c r="J382" s="165">
        <v>44536</v>
      </c>
      <c r="K382" s="166">
        <v>44539</v>
      </c>
      <c r="L382" s="165">
        <v>44904</v>
      </c>
      <c r="M382" s="165" t="s">
        <v>122</v>
      </c>
      <c r="N382" s="165">
        <v>0</v>
      </c>
    </row>
    <row r="383" spans="1:14" x14ac:dyDescent="0.25">
      <c r="A383" s="165" t="s">
        <v>2099</v>
      </c>
      <c r="B383" s="78">
        <v>92027</v>
      </c>
      <c r="C383" s="165" t="s">
        <v>912</v>
      </c>
      <c r="D383" s="165" t="s">
        <v>969</v>
      </c>
      <c r="E383" s="165" t="s">
        <v>5</v>
      </c>
      <c r="F383" s="165" t="s">
        <v>1216</v>
      </c>
      <c r="G383" s="165" t="s">
        <v>1024</v>
      </c>
      <c r="H383" s="165" t="s">
        <v>2099</v>
      </c>
      <c r="I383" s="166">
        <v>44456</v>
      </c>
      <c r="J383" s="165">
        <v>44522</v>
      </c>
      <c r="K383" s="166">
        <v>44533</v>
      </c>
      <c r="L383" s="165">
        <v>44898</v>
      </c>
      <c r="M383" s="165" t="s">
        <v>122</v>
      </c>
      <c r="N383" s="165">
        <v>1</v>
      </c>
    </row>
    <row r="384" spans="1:14" x14ac:dyDescent="0.25">
      <c r="A384" s="165" t="s">
        <v>2100</v>
      </c>
      <c r="B384" s="78">
        <v>79904</v>
      </c>
      <c r="C384" s="165" t="s">
        <v>925</v>
      </c>
      <c r="D384" s="165" t="s">
        <v>1046</v>
      </c>
      <c r="E384" s="165" t="s">
        <v>1</v>
      </c>
      <c r="F384" s="165" t="s">
        <v>1227</v>
      </c>
      <c r="G384" s="165" t="s">
        <v>936</v>
      </c>
      <c r="H384" s="165" t="s">
        <v>2100</v>
      </c>
      <c r="I384" s="166">
        <v>44421</v>
      </c>
      <c r="J384" s="165">
        <v>44530</v>
      </c>
      <c r="K384" s="166">
        <v>44539</v>
      </c>
      <c r="L384" s="165">
        <v>44904</v>
      </c>
      <c r="M384" s="165" t="s">
        <v>122</v>
      </c>
      <c r="N384" s="165">
        <v>1</v>
      </c>
    </row>
    <row r="385" spans="1:14" x14ac:dyDescent="0.25">
      <c r="A385" s="165" t="s">
        <v>2101</v>
      </c>
      <c r="B385" s="78">
        <v>53561</v>
      </c>
      <c r="C385" s="165" t="s">
        <v>912</v>
      </c>
      <c r="D385" s="165" t="s">
        <v>943</v>
      </c>
      <c r="E385" s="165" t="s">
        <v>1</v>
      </c>
      <c r="F385" s="165" t="s">
        <v>1227</v>
      </c>
      <c r="G385" s="165" t="s">
        <v>936</v>
      </c>
      <c r="H385" s="165" t="s">
        <v>2101</v>
      </c>
      <c r="I385" s="166">
        <v>44421</v>
      </c>
      <c r="J385" s="165">
        <v>44530</v>
      </c>
      <c r="K385" s="166">
        <v>44539</v>
      </c>
      <c r="L385" s="165">
        <v>44904</v>
      </c>
      <c r="M385" s="165" t="s">
        <v>122</v>
      </c>
      <c r="N385" s="165">
        <v>1</v>
      </c>
    </row>
    <row r="386" spans="1:14" x14ac:dyDescent="0.25">
      <c r="A386" s="165" t="s">
        <v>2102</v>
      </c>
      <c r="B386" s="78">
        <v>39365</v>
      </c>
      <c r="C386" s="165" t="s">
        <v>925</v>
      </c>
      <c r="D386" s="165" t="s">
        <v>1228</v>
      </c>
      <c r="E386" s="165" t="s">
        <v>1</v>
      </c>
      <c r="F386" s="165" t="s">
        <v>1227</v>
      </c>
      <c r="G386" s="165" t="s">
        <v>936</v>
      </c>
      <c r="H386" s="165" t="s">
        <v>2102</v>
      </c>
      <c r="I386" s="166">
        <v>44421</v>
      </c>
      <c r="J386" s="165">
        <v>44530</v>
      </c>
      <c r="K386" s="166">
        <v>44539</v>
      </c>
      <c r="L386" s="165">
        <v>44904</v>
      </c>
      <c r="M386" s="165" t="s">
        <v>122</v>
      </c>
      <c r="N386" s="165">
        <v>0</v>
      </c>
    </row>
    <row r="387" spans="1:14" x14ac:dyDescent="0.25">
      <c r="A387" s="165" t="s">
        <v>2103</v>
      </c>
      <c r="B387" s="78">
        <v>17456</v>
      </c>
      <c r="C387" s="165" t="s">
        <v>925</v>
      </c>
      <c r="D387" s="165" t="s">
        <v>759</v>
      </c>
      <c r="E387" s="165" t="s">
        <v>1</v>
      </c>
      <c r="F387" s="165" t="s">
        <v>995</v>
      </c>
      <c r="G387" s="165" t="s">
        <v>936</v>
      </c>
      <c r="H387" s="165" t="s">
        <v>2103</v>
      </c>
      <c r="I387" s="166">
        <v>44460</v>
      </c>
      <c r="J387" s="165">
        <v>44284</v>
      </c>
      <c r="K387" s="166" t="s">
        <v>10</v>
      </c>
      <c r="L387" s="165">
        <v>0</v>
      </c>
      <c r="M387" s="165" t="s">
        <v>124</v>
      </c>
      <c r="N387" s="165">
        <v>1</v>
      </c>
    </row>
    <row r="388" spans="1:14" x14ac:dyDescent="0.25">
      <c r="A388" s="165" t="s">
        <v>2104</v>
      </c>
      <c r="B388" s="78">
        <v>94662</v>
      </c>
      <c r="C388" s="165" t="s">
        <v>912</v>
      </c>
      <c r="D388" s="165" t="s">
        <v>937</v>
      </c>
      <c r="E388" s="165" t="s">
        <v>1</v>
      </c>
      <c r="F388" s="165" t="s">
        <v>995</v>
      </c>
      <c r="G388" s="165" t="s">
        <v>936</v>
      </c>
      <c r="H388" s="165" t="s">
        <v>2104</v>
      </c>
      <c r="I388" s="166">
        <v>44460</v>
      </c>
      <c r="J388" s="165">
        <v>44186</v>
      </c>
      <c r="K388" s="166">
        <v>44533</v>
      </c>
      <c r="L388" s="165">
        <v>44898</v>
      </c>
      <c r="M388" s="165" t="s">
        <v>122</v>
      </c>
      <c r="N388" s="165">
        <v>1</v>
      </c>
    </row>
    <row r="389" spans="1:14" x14ac:dyDescent="0.25">
      <c r="A389" s="165" t="s">
        <v>2105</v>
      </c>
      <c r="B389" s="78">
        <v>74833</v>
      </c>
      <c r="C389" s="165" t="s">
        <v>912</v>
      </c>
      <c r="D389" s="165" t="s">
        <v>1031</v>
      </c>
      <c r="E389" s="165" t="s">
        <v>5</v>
      </c>
      <c r="F389" s="165" t="s">
        <v>1229</v>
      </c>
      <c r="G389" s="165" t="s">
        <v>1086</v>
      </c>
      <c r="H389" s="165" t="s">
        <v>2105</v>
      </c>
      <c r="I389" s="166">
        <v>44439</v>
      </c>
      <c r="J389" s="165">
        <v>44533</v>
      </c>
      <c r="K389" s="166">
        <v>44540</v>
      </c>
      <c r="L389" s="165">
        <v>44905</v>
      </c>
      <c r="M389" s="165" t="s">
        <v>122</v>
      </c>
      <c r="N389" s="165">
        <v>1</v>
      </c>
    </row>
    <row r="390" spans="1:14" x14ac:dyDescent="0.25">
      <c r="A390" s="165" t="s">
        <v>2106</v>
      </c>
      <c r="B390" s="78">
        <v>44195</v>
      </c>
      <c r="C390" s="165" t="s">
        <v>912</v>
      </c>
      <c r="D390" s="165" t="s">
        <v>1230</v>
      </c>
      <c r="E390" s="165" t="s">
        <v>954</v>
      </c>
      <c r="F390" s="165" t="s">
        <v>1192</v>
      </c>
      <c r="G390" s="165" t="s">
        <v>997</v>
      </c>
      <c r="H390" s="165" t="s">
        <v>2106</v>
      </c>
      <c r="I390" s="166">
        <v>44377</v>
      </c>
      <c r="J390" s="165">
        <v>44536</v>
      </c>
      <c r="K390" s="166"/>
      <c r="L390" s="165">
        <v>365</v>
      </c>
      <c r="M390" s="165" t="s">
        <v>124</v>
      </c>
      <c r="N390" s="165">
        <v>1</v>
      </c>
    </row>
    <row r="391" spans="1:14" x14ac:dyDescent="0.25">
      <c r="A391" s="165" t="s">
        <v>2107</v>
      </c>
      <c r="B391" s="78">
        <v>78751</v>
      </c>
      <c r="C391" s="165" t="s">
        <v>912</v>
      </c>
      <c r="D391" s="165" t="s">
        <v>937</v>
      </c>
      <c r="E391" s="165" t="s">
        <v>1</v>
      </c>
      <c r="F391" s="165" t="s">
        <v>1231</v>
      </c>
      <c r="G391" s="165" t="s">
        <v>1140</v>
      </c>
      <c r="H391" s="165" t="s">
        <v>2107</v>
      </c>
      <c r="I391" s="166">
        <v>44284</v>
      </c>
      <c r="J391" s="165">
        <v>44536</v>
      </c>
      <c r="K391" s="166">
        <v>44543</v>
      </c>
      <c r="L391" s="165">
        <v>44908</v>
      </c>
      <c r="M391" s="165" t="s">
        <v>122</v>
      </c>
      <c r="N391" s="165">
        <v>1</v>
      </c>
    </row>
    <row r="392" spans="1:14" x14ac:dyDescent="0.25">
      <c r="A392" s="165" t="s">
        <v>2108</v>
      </c>
      <c r="B392" s="78">
        <v>86456</v>
      </c>
      <c r="C392" s="165" t="s">
        <v>925</v>
      </c>
      <c r="D392" s="165" t="s">
        <v>1046</v>
      </c>
      <c r="E392" s="165" t="s">
        <v>1</v>
      </c>
      <c r="F392" s="165" t="s">
        <v>1231</v>
      </c>
      <c r="G392" s="165" t="s">
        <v>1140</v>
      </c>
      <c r="H392" s="165" t="s">
        <v>2108</v>
      </c>
      <c r="I392" s="166">
        <v>44284</v>
      </c>
      <c r="J392" s="165">
        <v>44536</v>
      </c>
      <c r="K392" s="166">
        <v>44543</v>
      </c>
      <c r="L392" s="165">
        <v>44908</v>
      </c>
      <c r="M392" s="165" t="s">
        <v>122</v>
      </c>
      <c r="N392" s="165">
        <v>1</v>
      </c>
    </row>
    <row r="393" spans="1:14" x14ac:dyDescent="0.25">
      <c r="A393" s="165" t="s">
        <v>2109</v>
      </c>
      <c r="B393" s="78">
        <v>26566</v>
      </c>
      <c r="C393" s="165" t="s">
        <v>925</v>
      </c>
      <c r="D393" s="165" t="s">
        <v>927</v>
      </c>
      <c r="E393" s="165" t="s">
        <v>1</v>
      </c>
      <c r="F393" s="165" t="s">
        <v>1231</v>
      </c>
      <c r="G393" s="165" t="s">
        <v>1140</v>
      </c>
      <c r="H393" s="165" t="s">
        <v>2109</v>
      </c>
      <c r="I393" s="166">
        <v>44284</v>
      </c>
      <c r="J393" s="165">
        <v>44536</v>
      </c>
      <c r="K393" s="166">
        <v>44543</v>
      </c>
      <c r="L393" s="165">
        <v>44908</v>
      </c>
      <c r="M393" s="165" t="s">
        <v>122</v>
      </c>
      <c r="N393" s="165">
        <v>1</v>
      </c>
    </row>
    <row r="394" spans="1:14" x14ac:dyDescent="0.25">
      <c r="A394" s="165" t="s">
        <v>2110</v>
      </c>
      <c r="B394" s="78">
        <v>19028</v>
      </c>
      <c r="C394" s="165" t="s">
        <v>912</v>
      </c>
      <c r="D394" s="165" t="s">
        <v>969</v>
      </c>
      <c r="E394" s="165" t="s">
        <v>1</v>
      </c>
      <c r="F394" s="165" t="s">
        <v>1232</v>
      </c>
      <c r="G394" s="165" t="s">
        <v>1140</v>
      </c>
      <c r="H394" s="165" t="s">
        <v>2110</v>
      </c>
      <c r="I394" s="166">
        <v>44353</v>
      </c>
      <c r="J394" s="165">
        <v>44499</v>
      </c>
      <c r="K394" s="166"/>
      <c r="L394" s="165">
        <v>365</v>
      </c>
      <c r="M394" s="165" t="s">
        <v>124</v>
      </c>
      <c r="N394" s="165">
        <v>1</v>
      </c>
    </row>
    <row r="395" spans="1:14" x14ac:dyDescent="0.25">
      <c r="A395" s="165" t="s">
        <v>2111</v>
      </c>
      <c r="B395" s="78">
        <v>95699</v>
      </c>
      <c r="C395" s="165" t="s">
        <v>912</v>
      </c>
      <c r="D395" s="165" t="s">
        <v>1011</v>
      </c>
      <c r="E395" s="165" t="s">
        <v>1</v>
      </c>
      <c r="F395" s="165" t="s">
        <v>1233</v>
      </c>
      <c r="G395" s="165" t="s">
        <v>1140</v>
      </c>
      <c r="H395" s="165" t="s">
        <v>2111</v>
      </c>
      <c r="I395" s="166">
        <v>44438</v>
      </c>
      <c r="J395" s="165">
        <v>44438</v>
      </c>
      <c r="K395" s="166"/>
      <c r="L395" s="165">
        <v>365</v>
      </c>
      <c r="M395" s="165" t="s">
        <v>124</v>
      </c>
      <c r="N395" s="165">
        <v>1</v>
      </c>
    </row>
    <row r="396" spans="1:14" x14ac:dyDescent="0.25">
      <c r="A396" s="165" t="s">
        <v>2112</v>
      </c>
      <c r="B396" s="78">
        <v>39891</v>
      </c>
      <c r="C396" s="165" t="s">
        <v>912</v>
      </c>
      <c r="D396" s="165" t="s">
        <v>922</v>
      </c>
      <c r="E396" s="165" t="s">
        <v>3</v>
      </c>
      <c r="F396" s="165" t="s">
        <v>1142</v>
      </c>
      <c r="G396" s="165" t="s">
        <v>1143</v>
      </c>
      <c r="H396" s="165" t="s">
        <v>2112</v>
      </c>
      <c r="I396" s="166">
        <v>44539</v>
      </c>
      <c r="J396" s="165">
        <v>44362</v>
      </c>
      <c r="K396" s="166">
        <v>44550</v>
      </c>
      <c r="L396" s="165">
        <v>44915</v>
      </c>
      <c r="M396" s="165" t="s">
        <v>122</v>
      </c>
      <c r="N396" s="165">
        <v>1</v>
      </c>
    </row>
    <row r="397" spans="1:14" x14ac:dyDescent="0.25">
      <c r="A397" s="165" t="s">
        <v>2113</v>
      </c>
      <c r="B397" s="78">
        <v>94611</v>
      </c>
      <c r="C397" s="165" t="s">
        <v>925</v>
      </c>
      <c r="D397" s="165" t="s">
        <v>927</v>
      </c>
      <c r="E397" s="165" t="s">
        <v>3</v>
      </c>
      <c r="F397" s="165" t="s">
        <v>1142</v>
      </c>
      <c r="G397" s="165" t="s">
        <v>1143</v>
      </c>
      <c r="H397" s="165" t="s">
        <v>2113</v>
      </c>
      <c r="I397" s="166">
        <v>44539</v>
      </c>
      <c r="J397" s="165">
        <v>44362</v>
      </c>
      <c r="K397" s="166">
        <v>44550</v>
      </c>
      <c r="L397" s="165">
        <v>44915</v>
      </c>
      <c r="M397" s="165" t="s">
        <v>122</v>
      </c>
      <c r="N397" s="165">
        <v>1</v>
      </c>
    </row>
    <row r="398" spans="1:14" x14ac:dyDescent="0.25">
      <c r="A398" s="165" t="s">
        <v>2114</v>
      </c>
      <c r="B398" s="78">
        <v>95650</v>
      </c>
      <c r="C398" s="165" t="s">
        <v>912</v>
      </c>
      <c r="D398" s="165" t="s">
        <v>943</v>
      </c>
      <c r="E398" s="165" t="s">
        <v>1</v>
      </c>
      <c r="F398" s="165" t="s">
        <v>988</v>
      </c>
      <c r="G398" s="165" t="s">
        <v>942</v>
      </c>
      <c r="H398" s="165" t="s">
        <v>2114</v>
      </c>
      <c r="I398" s="166">
        <v>44356</v>
      </c>
      <c r="J398" s="165">
        <v>44497</v>
      </c>
      <c r="K398" s="166"/>
      <c r="L398" s="165">
        <v>365</v>
      </c>
      <c r="M398" s="165" t="s">
        <v>124</v>
      </c>
      <c r="N398" s="165">
        <v>1</v>
      </c>
    </row>
    <row r="399" spans="1:14" x14ac:dyDescent="0.25">
      <c r="A399" s="165" t="s">
        <v>2115</v>
      </c>
      <c r="B399" s="78">
        <v>20841</v>
      </c>
      <c r="C399" s="165" t="s">
        <v>925</v>
      </c>
      <c r="D399" s="165" t="s">
        <v>1046</v>
      </c>
      <c r="E399" s="165" t="s">
        <v>1</v>
      </c>
      <c r="F399" s="165" t="s">
        <v>988</v>
      </c>
      <c r="G399" s="165" t="s">
        <v>942</v>
      </c>
      <c r="H399" s="165" t="s">
        <v>2115</v>
      </c>
      <c r="I399" s="166">
        <v>44356</v>
      </c>
      <c r="J399" s="165">
        <v>44497</v>
      </c>
      <c r="K399" s="166"/>
      <c r="L399" s="165">
        <v>365</v>
      </c>
      <c r="M399" s="165" t="s">
        <v>124</v>
      </c>
      <c r="N399" s="165">
        <v>1</v>
      </c>
    </row>
    <row r="400" spans="1:14" x14ac:dyDescent="0.25">
      <c r="A400" s="165" t="s">
        <v>2116</v>
      </c>
      <c r="B400" s="78">
        <v>20074</v>
      </c>
      <c r="C400" s="165" t="s">
        <v>925</v>
      </c>
      <c r="D400" s="165" t="s">
        <v>927</v>
      </c>
      <c r="E400" s="165" t="s">
        <v>1</v>
      </c>
      <c r="F400" s="165" t="s">
        <v>988</v>
      </c>
      <c r="G400" s="165" t="s">
        <v>942</v>
      </c>
      <c r="H400" s="165" t="s">
        <v>2116</v>
      </c>
      <c r="I400" s="166">
        <v>44356</v>
      </c>
      <c r="J400" s="165">
        <v>44497</v>
      </c>
      <c r="K400" s="166"/>
      <c r="L400" s="165">
        <v>365</v>
      </c>
      <c r="M400" s="165" t="s">
        <v>124</v>
      </c>
      <c r="N400" s="165">
        <v>1</v>
      </c>
    </row>
    <row r="401" spans="1:14" x14ac:dyDescent="0.25">
      <c r="A401" s="165" t="s">
        <v>2117</v>
      </c>
      <c r="B401" s="78">
        <v>27999</v>
      </c>
      <c r="C401" s="165" t="s">
        <v>912</v>
      </c>
      <c r="D401" s="165" t="s">
        <v>1234</v>
      </c>
      <c r="E401" s="165" t="s">
        <v>1</v>
      </c>
      <c r="F401" s="165" t="s">
        <v>1235</v>
      </c>
      <c r="G401" s="165" t="s">
        <v>1140</v>
      </c>
      <c r="H401" s="165" t="s">
        <v>2117</v>
      </c>
      <c r="I401" s="166">
        <v>44368</v>
      </c>
      <c r="J401" s="165">
        <v>44469</v>
      </c>
      <c r="K401" s="166"/>
      <c r="L401" s="165">
        <v>365</v>
      </c>
      <c r="M401" s="165" t="s">
        <v>124</v>
      </c>
      <c r="N401" s="165">
        <v>1</v>
      </c>
    </row>
    <row r="402" spans="1:14" x14ac:dyDescent="0.25">
      <c r="A402" s="165" t="s">
        <v>2118</v>
      </c>
      <c r="B402" s="78">
        <v>39544</v>
      </c>
      <c r="C402" s="165" t="s">
        <v>912</v>
      </c>
      <c r="D402" s="165" t="s">
        <v>937</v>
      </c>
      <c r="E402" s="165" t="s">
        <v>1</v>
      </c>
      <c r="F402" s="165" t="s">
        <v>1236</v>
      </c>
      <c r="G402" s="165" t="s">
        <v>936</v>
      </c>
      <c r="H402" s="165" t="s">
        <v>2118</v>
      </c>
      <c r="I402" s="166">
        <v>44291</v>
      </c>
      <c r="J402" s="165">
        <v>44439</v>
      </c>
      <c r="K402" s="166"/>
      <c r="L402" s="165">
        <v>365</v>
      </c>
      <c r="M402" s="165" t="s">
        <v>124</v>
      </c>
      <c r="N402" s="165">
        <v>1</v>
      </c>
    </row>
    <row r="403" spans="1:14" x14ac:dyDescent="0.25">
      <c r="A403" s="165" t="s">
        <v>2119</v>
      </c>
      <c r="B403" s="78">
        <v>31545</v>
      </c>
      <c r="C403" s="165" t="s">
        <v>925</v>
      </c>
      <c r="D403" s="165" t="s">
        <v>1046</v>
      </c>
      <c r="E403" s="165" t="s">
        <v>1</v>
      </c>
      <c r="F403" s="165" t="s">
        <v>1236</v>
      </c>
      <c r="G403" s="165" t="s">
        <v>936</v>
      </c>
      <c r="H403" s="165" t="s">
        <v>2119</v>
      </c>
      <c r="I403" s="166">
        <v>44291</v>
      </c>
      <c r="J403" s="165">
        <v>44439</v>
      </c>
      <c r="K403" s="166"/>
      <c r="L403" s="165">
        <v>365</v>
      </c>
      <c r="M403" s="165" t="s">
        <v>124</v>
      </c>
      <c r="N403" s="165">
        <v>1</v>
      </c>
    </row>
    <row r="404" spans="1:14" x14ac:dyDescent="0.25">
      <c r="A404" s="165" t="s">
        <v>2120</v>
      </c>
      <c r="B404" s="78">
        <v>26541</v>
      </c>
      <c r="C404" s="165" t="s">
        <v>925</v>
      </c>
      <c r="D404" s="165" t="s">
        <v>927</v>
      </c>
      <c r="E404" s="165" t="s">
        <v>1</v>
      </c>
      <c r="F404" s="165" t="s">
        <v>1236</v>
      </c>
      <c r="G404" s="165" t="s">
        <v>936</v>
      </c>
      <c r="H404" s="165" t="s">
        <v>2120</v>
      </c>
      <c r="I404" s="166">
        <v>44291</v>
      </c>
      <c r="J404" s="165">
        <v>44439</v>
      </c>
      <c r="K404" s="166"/>
      <c r="L404" s="165">
        <v>365</v>
      </c>
      <c r="M404" s="165" t="s">
        <v>124</v>
      </c>
      <c r="N404" s="165">
        <v>1</v>
      </c>
    </row>
    <row r="405" spans="1:14" x14ac:dyDescent="0.25">
      <c r="A405" s="165" t="s">
        <v>2121</v>
      </c>
      <c r="B405" s="78">
        <v>93548</v>
      </c>
      <c r="C405" s="165" t="s">
        <v>912</v>
      </c>
      <c r="D405" s="165" t="s">
        <v>943</v>
      </c>
      <c r="E405" s="165" t="s">
        <v>1237</v>
      </c>
      <c r="F405" s="165" t="s">
        <v>1238</v>
      </c>
      <c r="G405" s="165" t="s">
        <v>956</v>
      </c>
      <c r="H405" s="165" t="s">
        <v>2121</v>
      </c>
      <c r="I405" s="166">
        <v>44400</v>
      </c>
      <c r="J405" s="165">
        <v>44540</v>
      </c>
      <c r="K405" s="166">
        <v>44551</v>
      </c>
      <c r="L405" s="165">
        <v>44916</v>
      </c>
      <c r="M405" s="165" t="s">
        <v>122</v>
      </c>
      <c r="N405" s="165">
        <v>1</v>
      </c>
    </row>
    <row r="406" spans="1:14" x14ac:dyDescent="0.25">
      <c r="A406" s="165" t="s">
        <v>2122</v>
      </c>
      <c r="B406" s="78">
        <v>34140</v>
      </c>
      <c r="C406" s="165" t="s">
        <v>925</v>
      </c>
      <c r="D406" s="165" t="s">
        <v>1046</v>
      </c>
      <c r="E406" s="165" t="s">
        <v>1237</v>
      </c>
      <c r="F406" s="165" t="s">
        <v>1238</v>
      </c>
      <c r="G406" s="165" t="s">
        <v>956</v>
      </c>
      <c r="H406" s="165" t="s">
        <v>2122</v>
      </c>
      <c r="I406" s="166">
        <v>44400</v>
      </c>
      <c r="J406" s="165">
        <v>44540</v>
      </c>
      <c r="K406" s="166">
        <v>44551</v>
      </c>
      <c r="L406" s="165">
        <v>44916</v>
      </c>
      <c r="M406" s="165" t="s">
        <v>122</v>
      </c>
      <c r="N406" s="165">
        <v>1</v>
      </c>
    </row>
    <row r="407" spans="1:14" x14ac:dyDescent="0.25">
      <c r="A407" s="165" t="s">
        <v>2123</v>
      </c>
      <c r="B407" s="78">
        <v>66626</v>
      </c>
      <c r="C407" s="165" t="s">
        <v>925</v>
      </c>
      <c r="D407" s="165" t="s">
        <v>927</v>
      </c>
      <c r="E407" s="165" t="s">
        <v>1237</v>
      </c>
      <c r="F407" s="165" t="s">
        <v>1238</v>
      </c>
      <c r="G407" s="165" t="s">
        <v>956</v>
      </c>
      <c r="H407" s="165" t="s">
        <v>2123</v>
      </c>
      <c r="I407" s="166">
        <v>44400</v>
      </c>
      <c r="J407" s="165">
        <v>44540</v>
      </c>
      <c r="K407" s="166">
        <v>44551</v>
      </c>
      <c r="L407" s="165">
        <v>44916</v>
      </c>
      <c r="M407" s="165" t="s">
        <v>122</v>
      </c>
      <c r="N407" s="165">
        <v>1</v>
      </c>
    </row>
    <row r="408" spans="1:14" x14ac:dyDescent="0.25">
      <c r="A408" s="165" t="s">
        <v>2124</v>
      </c>
      <c r="B408" s="78">
        <v>28731</v>
      </c>
      <c r="C408" s="165" t="s">
        <v>925</v>
      </c>
      <c r="D408" s="165" t="s">
        <v>1228</v>
      </c>
      <c r="E408" s="165" t="s">
        <v>1237</v>
      </c>
      <c r="F408" s="165" t="s">
        <v>1238</v>
      </c>
      <c r="G408" s="165" t="s">
        <v>956</v>
      </c>
      <c r="H408" s="165" t="s">
        <v>2124</v>
      </c>
      <c r="I408" s="166">
        <v>44400</v>
      </c>
      <c r="J408" s="165">
        <v>44540</v>
      </c>
      <c r="K408" s="166">
        <v>44551</v>
      </c>
      <c r="L408" s="165">
        <v>44916</v>
      </c>
      <c r="M408" s="165" t="s">
        <v>122</v>
      </c>
      <c r="N408" s="165">
        <v>0</v>
      </c>
    </row>
    <row r="409" spans="1:14" x14ac:dyDescent="0.25">
      <c r="A409" s="165" t="s">
        <v>2125</v>
      </c>
      <c r="B409" s="78">
        <v>85047</v>
      </c>
      <c r="C409" s="165" t="s">
        <v>912</v>
      </c>
      <c r="D409" s="165" t="s">
        <v>969</v>
      </c>
      <c r="E409" s="165" t="s">
        <v>3</v>
      </c>
      <c r="F409" s="165" t="s">
        <v>1239</v>
      </c>
      <c r="G409" s="165" t="s">
        <v>1057</v>
      </c>
      <c r="H409" s="165" t="s">
        <v>2125</v>
      </c>
      <c r="I409" s="166">
        <v>44406</v>
      </c>
      <c r="J409" s="165">
        <v>44540</v>
      </c>
      <c r="K409" s="166">
        <v>44550</v>
      </c>
      <c r="L409" s="165">
        <v>44915</v>
      </c>
      <c r="M409" s="165" t="s">
        <v>122</v>
      </c>
      <c r="N409" s="165">
        <v>1</v>
      </c>
    </row>
    <row r="410" spans="1:14" x14ac:dyDescent="0.25">
      <c r="A410" s="165" t="s">
        <v>2126</v>
      </c>
      <c r="B410" s="78">
        <v>76882</v>
      </c>
      <c r="C410" s="165" t="s">
        <v>925</v>
      </c>
      <c r="D410" s="165" t="s">
        <v>1145</v>
      </c>
      <c r="E410" s="165" t="s">
        <v>3</v>
      </c>
      <c r="F410" s="165" t="s">
        <v>1239</v>
      </c>
      <c r="G410" s="165" t="s">
        <v>1057</v>
      </c>
      <c r="H410" s="165" t="s">
        <v>2126</v>
      </c>
      <c r="I410" s="166">
        <v>44406</v>
      </c>
      <c r="J410" s="165">
        <v>44540</v>
      </c>
      <c r="K410" s="166">
        <v>44550</v>
      </c>
      <c r="L410" s="165">
        <v>44915</v>
      </c>
      <c r="M410" s="165" t="s">
        <v>122</v>
      </c>
      <c r="N410" s="165">
        <v>1</v>
      </c>
    </row>
    <row r="411" spans="1:14" x14ac:dyDescent="0.25">
      <c r="A411" s="165" t="s">
        <v>2127</v>
      </c>
      <c r="B411" s="78">
        <v>81472</v>
      </c>
      <c r="C411" s="165" t="s">
        <v>912</v>
      </c>
      <c r="D411" s="165" t="s">
        <v>937</v>
      </c>
      <c r="E411" s="165" t="s">
        <v>1</v>
      </c>
      <c r="F411" s="165" t="s">
        <v>1240</v>
      </c>
      <c r="G411" s="165" t="s">
        <v>936</v>
      </c>
      <c r="H411" s="165" t="s">
        <v>2127</v>
      </c>
      <c r="I411" s="166">
        <v>44517</v>
      </c>
      <c r="J411" s="165">
        <v>44547</v>
      </c>
      <c r="K411" s="166">
        <v>44573</v>
      </c>
      <c r="L411" s="165">
        <v>44938</v>
      </c>
      <c r="M411" s="165" t="s">
        <v>122</v>
      </c>
      <c r="N411" s="165">
        <v>1</v>
      </c>
    </row>
    <row r="412" spans="1:14" x14ac:dyDescent="0.25">
      <c r="A412" s="165" t="s">
        <v>2128</v>
      </c>
      <c r="B412" s="78">
        <v>63414</v>
      </c>
      <c r="C412" s="165" t="s">
        <v>925</v>
      </c>
      <c r="D412" s="165" t="s">
        <v>1046</v>
      </c>
      <c r="E412" s="165" t="s">
        <v>1</v>
      </c>
      <c r="F412" s="165" t="s">
        <v>1240</v>
      </c>
      <c r="G412" s="165" t="s">
        <v>936</v>
      </c>
      <c r="H412" s="165" t="s">
        <v>2128</v>
      </c>
      <c r="I412" s="166">
        <v>44517</v>
      </c>
      <c r="J412" s="165">
        <v>44547</v>
      </c>
      <c r="K412" s="166">
        <v>44573</v>
      </c>
      <c r="L412" s="165">
        <v>44938</v>
      </c>
      <c r="M412" s="165" t="s">
        <v>122</v>
      </c>
      <c r="N412" s="165">
        <v>1</v>
      </c>
    </row>
    <row r="413" spans="1:14" x14ac:dyDescent="0.25">
      <c r="A413" s="165" t="s">
        <v>2129</v>
      </c>
      <c r="B413" s="78">
        <v>59538</v>
      </c>
      <c r="C413" s="165" t="s">
        <v>925</v>
      </c>
      <c r="D413" s="165" t="s">
        <v>1241</v>
      </c>
      <c r="E413" s="165" t="s">
        <v>1</v>
      </c>
      <c r="F413" s="165" t="s">
        <v>1130</v>
      </c>
      <c r="G413" s="165" t="s">
        <v>936</v>
      </c>
      <c r="H413" s="165" t="s">
        <v>2129</v>
      </c>
      <c r="I413" s="166">
        <v>44518</v>
      </c>
      <c r="J413" s="165">
        <v>44547</v>
      </c>
      <c r="K413" s="166" t="s">
        <v>10</v>
      </c>
      <c r="L413" s="165">
        <v>0</v>
      </c>
      <c r="M413" s="165" t="s">
        <v>124</v>
      </c>
      <c r="N413" s="165">
        <v>1</v>
      </c>
    </row>
    <row r="414" spans="1:14" x14ac:dyDescent="0.25">
      <c r="A414" s="165" t="s">
        <v>2130</v>
      </c>
      <c r="B414" s="78">
        <v>49869</v>
      </c>
      <c r="C414" s="165" t="s">
        <v>912</v>
      </c>
      <c r="D414" s="165" t="s">
        <v>929</v>
      </c>
      <c r="E414" s="165" t="s">
        <v>1</v>
      </c>
      <c r="F414" s="165" t="s">
        <v>1084</v>
      </c>
      <c r="G414" s="165" t="s">
        <v>936</v>
      </c>
      <c r="H414" s="165" t="s">
        <v>2130</v>
      </c>
      <c r="I414" s="166">
        <v>44447</v>
      </c>
      <c r="J414" s="165">
        <v>44547</v>
      </c>
      <c r="K414" s="166">
        <v>44557</v>
      </c>
      <c r="L414" s="165">
        <v>44922</v>
      </c>
      <c r="M414" s="165" t="s">
        <v>122</v>
      </c>
      <c r="N414" s="165">
        <v>1</v>
      </c>
    </row>
    <row r="415" spans="1:14" x14ac:dyDescent="0.25">
      <c r="A415" s="165" t="s">
        <v>2131</v>
      </c>
      <c r="B415" s="78">
        <v>99201</v>
      </c>
      <c r="C415" s="165" t="s">
        <v>925</v>
      </c>
      <c r="D415" s="165" t="s">
        <v>1046</v>
      </c>
      <c r="E415" s="165" t="s">
        <v>1</v>
      </c>
      <c r="F415" s="165" t="s">
        <v>1084</v>
      </c>
      <c r="G415" s="165" t="s">
        <v>936</v>
      </c>
      <c r="H415" s="165" t="s">
        <v>2131</v>
      </c>
      <c r="I415" s="166">
        <v>44447</v>
      </c>
      <c r="J415" s="165">
        <v>44547</v>
      </c>
      <c r="K415" s="166">
        <v>44557</v>
      </c>
      <c r="L415" s="165">
        <v>44922</v>
      </c>
      <c r="M415" s="165" t="s">
        <v>122</v>
      </c>
      <c r="N415" s="165">
        <v>1</v>
      </c>
    </row>
    <row r="416" spans="1:14" x14ac:dyDescent="0.25">
      <c r="A416" s="165" t="s">
        <v>2132</v>
      </c>
      <c r="B416" s="78">
        <v>89315</v>
      </c>
      <c r="C416" s="165" t="s">
        <v>925</v>
      </c>
      <c r="D416" s="165" t="s">
        <v>1046</v>
      </c>
      <c r="E416" s="165" t="s">
        <v>5</v>
      </c>
      <c r="F416" s="165" t="s">
        <v>1223</v>
      </c>
      <c r="G416" s="165" t="s">
        <v>931</v>
      </c>
      <c r="H416" s="165" t="s">
        <v>2132</v>
      </c>
      <c r="I416" s="166">
        <v>44551</v>
      </c>
      <c r="J416" s="165">
        <v>44553</v>
      </c>
      <c r="K416" s="166" t="s">
        <v>10</v>
      </c>
      <c r="L416" s="165">
        <v>0</v>
      </c>
      <c r="M416" s="165" t="s">
        <v>124</v>
      </c>
      <c r="N416" s="165">
        <v>1</v>
      </c>
    </row>
    <row r="417" spans="1:14" x14ac:dyDescent="0.25">
      <c r="A417" s="165" t="s">
        <v>2133</v>
      </c>
      <c r="B417" s="78">
        <v>26947</v>
      </c>
      <c r="C417" s="165" t="s">
        <v>912</v>
      </c>
      <c r="D417" s="165" t="s">
        <v>1242</v>
      </c>
      <c r="E417" s="165" t="s">
        <v>3</v>
      </c>
      <c r="F417" s="165" t="s">
        <v>1243</v>
      </c>
      <c r="G417" s="165" t="s">
        <v>1057</v>
      </c>
      <c r="H417" s="165" t="s">
        <v>2133</v>
      </c>
      <c r="I417" s="166">
        <v>44476</v>
      </c>
      <c r="J417" s="165">
        <v>44553</v>
      </c>
      <c r="K417" s="166">
        <v>44582</v>
      </c>
      <c r="L417" s="165">
        <v>44947</v>
      </c>
      <c r="M417" s="165" t="s">
        <v>122</v>
      </c>
      <c r="N417" s="165">
        <v>1</v>
      </c>
    </row>
    <row r="418" spans="1:14" x14ac:dyDescent="0.25">
      <c r="A418" s="165" t="s">
        <v>2134</v>
      </c>
      <c r="B418" s="78">
        <v>50869</v>
      </c>
      <c r="C418" s="165" t="s">
        <v>912</v>
      </c>
      <c r="D418" s="165" t="s">
        <v>1244</v>
      </c>
      <c r="E418" s="165" t="s">
        <v>4</v>
      </c>
      <c r="F418" s="165" t="s">
        <v>1037</v>
      </c>
      <c r="G418" s="165" t="s">
        <v>1197</v>
      </c>
      <c r="H418" s="165" t="s">
        <v>2134</v>
      </c>
      <c r="I418" s="166">
        <v>44552</v>
      </c>
      <c r="J418" s="165">
        <v>44553</v>
      </c>
      <c r="K418" s="166" t="s">
        <v>2135</v>
      </c>
      <c r="L418" s="165">
        <v>0</v>
      </c>
      <c r="M418" s="165" t="s">
        <v>124</v>
      </c>
      <c r="N418" s="165">
        <v>1</v>
      </c>
    </row>
    <row r="419" spans="1:14" x14ac:dyDescent="0.25">
      <c r="A419" s="165" t="s">
        <v>2136</v>
      </c>
      <c r="B419" s="78">
        <v>38950</v>
      </c>
      <c r="C419" s="165" t="s">
        <v>912</v>
      </c>
      <c r="D419" s="165" t="s">
        <v>1245</v>
      </c>
      <c r="E419" s="165" t="s">
        <v>3</v>
      </c>
      <c r="F419" s="165" t="s">
        <v>1246</v>
      </c>
      <c r="G419" s="165" t="s">
        <v>978</v>
      </c>
      <c r="H419" s="165" t="s">
        <v>2136</v>
      </c>
      <c r="I419" s="166">
        <v>44439</v>
      </c>
      <c r="J419" s="165">
        <v>44559</v>
      </c>
      <c r="K419" s="166"/>
      <c r="L419" s="165">
        <v>365</v>
      </c>
      <c r="M419" s="165" t="s">
        <v>124</v>
      </c>
      <c r="N419" s="165">
        <v>1</v>
      </c>
    </row>
    <row r="420" spans="1:14" x14ac:dyDescent="0.25">
      <c r="A420" s="165" t="s">
        <v>2137</v>
      </c>
      <c r="B420" s="78">
        <v>55307</v>
      </c>
      <c r="C420" s="165" t="s">
        <v>912</v>
      </c>
      <c r="D420" s="165" t="s">
        <v>1247</v>
      </c>
      <c r="E420" s="165" t="s">
        <v>1</v>
      </c>
      <c r="F420" s="165" t="s">
        <v>935</v>
      </c>
      <c r="G420" s="165" t="s">
        <v>936</v>
      </c>
      <c r="H420" s="165" t="s">
        <v>2137</v>
      </c>
      <c r="I420" s="166">
        <v>44251</v>
      </c>
      <c r="J420" s="165">
        <v>44559</v>
      </c>
      <c r="K420" s="166"/>
      <c r="L420" s="165">
        <v>365</v>
      </c>
      <c r="M420" s="165" t="s">
        <v>124</v>
      </c>
      <c r="N420" s="165">
        <v>1</v>
      </c>
    </row>
    <row r="421" spans="1:14" x14ac:dyDescent="0.25">
      <c r="A421" s="165" t="s">
        <v>2138</v>
      </c>
      <c r="B421" s="78">
        <v>11513</v>
      </c>
      <c r="C421" s="165" t="s">
        <v>912</v>
      </c>
      <c r="D421" s="165" t="s">
        <v>1669</v>
      </c>
      <c r="E421" s="165" t="s">
        <v>1</v>
      </c>
      <c r="F421" s="165" t="s">
        <v>1670</v>
      </c>
      <c r="G421" s="165" t="s">
        <v>942</v>
      </c>
      <c r="H421" s="165" t="s">
        <v>2138</v>
      </c>
      <c r="I421" s="166">
        <v>44407</v>
      </c>
      <c r="J421" s="165">
        <v>44547</v>
      </c>
      <c r="K421" s="166">
        <v>44596</v>
      </c>
      <c r="L421" s="165">
        <v>44961</v>
      </c>
      <c r="M421" s="165" t="s">
        <v>122</v>
      </c>
      <c r="N421" s="165">
        <v>1</v>
      </c>
    </row>
    <row r="422" spans="1:14" x14ac:dyDescent="0.25">
      <c r="A422" s="165" t="s">
        <v>2139</v>
      </c>
      <c r="B422" s="78">
        <v>53768</v>
      </c>
      <c r="C422" s="165" t="s">
        <v>925</v>
      </c>
      <c r="D422" s="165" t="s">
        <v>1046</v>
      </c>
      <c r="E422" s="165" t="s">
        <v>1</v>
      </c>
      <c r="F422" s="165" t="s">
        <v>1670</v>
      </c>
      <c r="G422" s="165" t="s">
        <v>942</v>
      </c>
      <c r="H422" s="165" t="s">
        <v>2139</v>
      </c>
      <c r="I422" s="166">
        <v>44407</v>
      </c>
      <c r="J422" s="165">
        <v>44589</v>
      </c>
      <c r="K422" s="166">
        <v>44596</v>
      </c>
      <c r="L422" s="165">
        <v>44961</v>
      </c>
      <c r="M422" s="165" t="s">
        <v>122</v>
      </c>
      <c r="N422" s="165">
        <v>1</v>
      </c>
    </row>
    <row r="423" spans="1:14" x14ac:dyDescent="0.25">
      <c r="A423" s="165" t="s">
        <v>2140</v>
      </c>
      <c r="B423" s="78">
        <v>38049</v>
      </c>
      <c r="C423" s="165" t="s">
        <v>912</v>
      </c>
      <c r="D423" s="165" t="s">
        <v>1245</v>
      </c>
      <c r="E423" s="165" t="s">
        <v>5</v>
      </c>
      <c r="F423" s="165" t="s">
        <v>1248</v>
      </c>
      <c r="G423" s="165" t="s">
        <v>1024</v>
      </c>
      <c r="H423" s="165" t="s">
        <v>2140</v>
      </c>
      <c r="I423" s="166">
        <v>44224</v>
      </c>
      <c r="J423" s="165">
        <v>44568</v>
      </c>
      <c r="K423" s="166"/>
      <c r="L423" s="165">
        <v>365</v>
      </c>
      <c r="M423" s="165" t="s">
        <v>124</v>
      </c>
      <c r="N423" s="165">
        <v>1</v>
      </c>
    </row>
    <row r="424" spans="1:14" x14ac:dyDescent="0.25">
      <c r="A424" s="165" t="s">
        <v>2141</v>
      </c>
      <c r="B424" s="78">
        <v>32668</v>
      </c>
      <c r="C424" s="165" t="s">
        <v>912</v>
      </c>
      <c r="D424" s="165" t="s">
        <v>2142</v>
      </c>
      <c r="E424" s="165" t="s">
        <v>2</v>
      </c>
      <c r="F424" s="165" t="s">
        <v>2143</v>
      </c>
      <c r="G424" s="165" t="s">
        <v>1013</v>
      </c>
      <c r="H424" s="165" t="s">
        <v>2141</v>
      </c>
      <c r="I424" s="166">
        <v>44805</v>
      </c>
      <c r="J424" s="165">
        <v>44586</v>
      </c>
      <c r="K424" s="166"/>
      <c r="L424" s="165">
        <v>365</v>
      </c>
      <c r="M424" s="165" t="s">
        <v>124</v>
      </c>
      <c r="N424" s="165">
        <v>1</v>
      </c>
    </row>
  </sheetData>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A6BDA-6662-4D9A-AF3D-8909C5253612}">
  <sheetPr codeName="Planilha7"/>
  <dimension ref="A1:AH2437"/>
  <sheetViews>
    <sheetView workbookViewId="0"/>
  </sheetViews>
  <sheetFormatPr defaultRowHeight="15" x14ac:dyDescent="0.25"/>
  <cols>
    <col min="1" max="1" width="10.7109375" bestFit="1" customWidth="1"/>
    <col min="2" max="2" width="18.7109375" bestFit="1" customWidth="1"/>
    <col min="3" max="3" width="24.42578125" bestFit="1" customWidth="1"/>
    <col min="4" max="4" width="8" bestFit="1" customWidth="1"/>
    <col min="5" max="5" width="12.5703125" bestFit="1" customWidth="1"/>
    <col min="6" max="6" width="81.140625" bestFit="1" customWidth="1"/>
    <col min="7" max="7" width="15.42578125" bestFit="1" customWidth="1"/>
    <col min="8" max="8" width="31.140625" bestFit="1" customWidth="1"/>
    <col min="9" max="9" width="20.5703125" bestFit="1" customWidth="1"/>
    <col min="10" max="10" width="21.85546875" bestFit="1" customWidth="1"/>
    <col min="11" max="11" width="10.28515625" bestFit="1" customWidth="1"/>
    <col min="12" max="12" width="12" bestFit="1" customWidth="1"/>
    <col min="13" max="13" width="22.140625" bestFit="1" customWidth="1"/>
    <col min="14" max="14" width="12" bestFit="1" customWidth="1"/>
    <col min="15" max="15" width="22.140625" style="78" bestFit="1" customWidth="1"/>
    <col min="16" max="16" width="12" style="78" bestFit="1" customWidth="1"/>
    <col min="17" max="17" width="22.140625" style="78" bestFit="1" customWidth="1"/>
    <col min="18" max="18" width="15.42578125" style="78" bestFit="1" customWidth="1"/>
    <col min="19" max="19" width="17.42578125" style="78" bestFit="1" customWidth="1"/>
    <col min="20" max="22" width="8.5703125" style="78" bestFit="1" customWidth="1"/>
    <col min="23" max="24" width="12.140625" style="78" bestFit="1" customWidth="1"/>
    <col min="25" max="25" width="21.7109375" bestFit="1" customWidth="1"/>
    <col min="26" max="26" width="15.85546875" bestFit="1" customWidth="1"/>
    <col min="27" max="27" width="21.7109375" bestFit="1" customWidth="1"/>
    <col min="28" max="28" width="15.42578125" style="78" bestFit="1" customWidth="1"/>
    <col min="29" max="29" width="17.42578125" style="78" bestFit="1" customWidth="1"/>
    <col min="30" max="30" width="7.140625" style="78" bestFit="1" customWidth="1"/>
    <col min="31" max="32" width="8.140625" style="78" bestFit="1" customWidth="1"/>
    <col min="33" max="34" width="12.140625" style="78" bestFit="1" customWidth="1"/>
    <col min="35" max="35" width="15.42578125" bestFit="1" customWidth="1"/>
    <col min="36" max="36" width="17.42578125" bestFit="1" customWidth="1"/>
    <col min="37" max="37" width="7.140625" bestFit="1" customWidth="1"/>
    <col min="40" max="41" width="12.140625" bestFit="1" customWidth="1"/>
  </cols>
  <sheetData>
    <row r="1" spans="1:34" x14ac:dyDescent="0.25">
      <c r="A1" t="s">
        <v>139</v>
      </c>
      <c r="B1" t="s">
        <v>1249</v>
      </c>
      <c r="C1" t="s">
        <v>640</v>
      </c>
      <c r="D1" t="s">
        <v>52</v>
      </c>
      <c r="E1" t="s">
        <v>1650</v>
      </c>
      <c r="F1" t="s">
        <v>1251</v>
      </c>
      <c r="G1" t="s">
        <v>325</v>
      </c>
      <c r="H1" t="s">
        <v>49</v>
      </c>
      <c r="I1" t="s">
        <v>1252</v>
      </c>
      <c r="J1" t="s">
        <v>1672</v>
      </c>
      <c r="K1" t="s">
        <v>140</v>
      </c>
      <c r="L1" t="s">
        <v>1673</v>
      </c>
      <c r="M1" t="s">
        <v>1674</v>
      </c>
      <c r="N1" t="s">
        <v>1675</v>
      </c>
      <c r="O1" t="s">
        <v>1676</v>
      </c>
      <c r="P1" t="s">
        <v>1677</v>
      </c>
      <c r="Q1" t="s">
        <v>1678</v>
      </c>
      <c r="R1" t="s">
        <v>1253</v>
      </c>
      <c r="S1" t="s">
        <v>1254</v>
      </c>
      <c r="T1" t="s">
        <v>1679</v>
      </c>
      <c r="U1" t="s">
        <v>1680</v>
      </c>
      <c r="V1" t="s">
        <v>1681</v>
      </c>
      <c r="W1"/>
      <c r="X1"/>
      <c r="AB1"/>
      <c r="AC1"/>
      <c r="AD1"/>
      <c r="AE1"/>
      <c r="AF1"/>
      <c r="AG1"/>
      <c r="AH1"/>
    </row>
    <row r="2" spans="1:34" x14ac:dyDescent="0.25">
      <c r="A2" s="78" t="s">
        <v>1255</v>
      </c>
      <c r="B2" s="165" t="s">
        <v>1256</v>
      </c>
      <c r="C2" s="165" t="s">
        <v>1257</v>
      </c>
      <c r="D2" s="165">
        <v>4</v>
      </c>
      <c r="E2" s="165" t="s">
        <v>1250</v>
      </c>
      <c r="F2" s="165" t="s">
        <v>1258</v>
      </c>
      <c r="G2" s="165" t="s">
        <v>1671</v>
      </c>
      <c r="H2" s="165" t="s">
        <v>1259</v>
      </c>
      <c r="I2" s="165">
        <v>44201</v>
      </c>
      <c r="J2">
        <v>44201</v>
      </c>
      <c r="K2" s="165" t="s">
        <v>1671</v>
      </c>
      <c r="L2">
        <v>665.04666666599996</v>
      </c>
      <c r="M2">
        <v>44229</v>
      </c>
      <c r="N2">
        <v>665.04666666599996</v>
      </c>
      <c r="O2">
        <v>44260</v>
      </c>
      <c r="P2">
        <v>665.04666666599996</v>
      </c>
      <c r="Q2">
        <v>44291</v>
      </c>
      <c r="R2" s="165">
        <v>1995.1399999979999</v>
      </c>
      <c r="S2" s="165">
        <v>44201</v>
      </c>
      <c r="T2" t="s">
        <v>1267</v>
      </c>
      <c r="U2" s="165" t="s">
        <v>1267</v>
      </c>
      <c r="V2" s="165" t="s">
        <v>1267</v>
      </c>
      <c r="W2"/>
      <c r="X2"/>
      <c r="AB2"/>
      <c r="AC2"/>
      <c r="AD2"/>
      <c r="AE2"/>
      <c r="AF2"/>
      <c r="AG2"/>
      <c r="AH2"/>
    </row>
    <row r="3" spans="1:34" x14ac:dyDescent="0.25">
      <c r="A3" s="78" t="s">
        <v>1255</v>
      </c>
      <c r="B3" s="165" t="s">
        <v>1261</v>
      </c>
      <c r="C3" s="165" t="s">
        <v>1262</v>
      </c>
      <c r="D3" s="165">
        <v>1</v>
      </c>
      <c r="E3" s="165" t="s">
        <v>1250</v>
      </c>
      <c r="F3" s="165" t="s">
        <v>1263</v>
      </c>
      <c r="G3" s="165" t="s">
        <v>1671</v>
      </c>
      <c r="H3" s="165" t="s">
        <v>1259</v>
      </c>
      <c r="I3" s="165">
        <v>44201</v>
      </c>
      <c r="J3">
        <v>44201</v>
      </c>
      <c r="K3" s="165" t="s">
        <v>1671</v>
      </c>
      <c r="L3">
        <v>333.47</v>
      </c>
      <c r="M3">
        <v>44229</v>
      </c>
      <c r="N3">
        <v>280.57</v>
      </c>
      <c r="O3">
        <v>44260</v>
      </c>
      <c r="P3">
        <v>280.56666660000002</v>
      </c>
      <c r="Q3">
        <v>44291</v>
      </c>
      <c r="R3" s="165">
        <v>894.60666660000004</v>
      </c>
      <c r="S3" s="165">
        <v>44201</v>
      </c>
      <c r="T3" t="s">
        <v>1267</v>
      </c>
      <c r="U3" s="165" t="s">
        <v>1267</v>
      </c>
      <c r="V3" s="165" t="s">
        <v>1267</v>
      </c>
      <c r="W3"/>
      <c r="X3"/>
      <c r="AB3"/>
      <c r="AC3"/>
      <c r="AD3"/>
      <c r="AE3"/>
      <c r="AF3"/>
      <c r="AG3"/>
      <c r="AH3"/>
    </row>
    <row r="4" spans="1:34" x14ac:dyDescent="0.25">
      <c r="A4" s="78" t="s">
        <v>1255</v>
      </c>
      <c r="B4" s="165" t="s">
        <v>97</v>
      </c>
      <c r="C4" s="165" t="s">
        <v>1264</v>
      </c>
      <c r="D4" s="165">
        <v>1</v>
      </c>
      <c r="E4" s="165" t="s">
        <v>1250</v>
      </c>
      <c r="F4" s="165" t="s">
        <v>1265</v>
      </c>
      <c r="G4" s="165" t="s">
        <v>1671</v>
      </c>
      <c r="H4" s="165" t="s">
        <v>929</v>
      </c>
      <c r="I4" s="165">
        <v>44202</v>
      </c>
      <c r="J4">
        <v>44202</v>
      </c>
      <c r="K4" s="165" t="s">
        <v>1671</v>
      </c>
      <c r="L4">
        <v>71</v>
      </c>
      <c r="M4">
        <v>44203</v>
      </c>
      <c r="O4"/>
      <c r="P4"/>
      <c r="Q4"/>
      <c r="R4" s="165">
        <v>71</v>
      </c>
      <c r="S4" s="165">
        <v>44203</v>
      </c>
      <c r="T4" t="s">
        <v>1267</v>
      </c>
      <c r="U4" s="165" t="s">
        <v>1267</v>
      </c>
      <c r="V4" s="165" t="s">
        <v>1267</v>
      </c>
      <c r="W4"/>
      <c r="X4"/>
      <c r="AB4"/>
      <c r="AC4"/>
      <c r="AD4"/>
      <c r="AE4"/>
      <c r="AF4"/>
      <c r="AG4"/>
      <c r="AH4"/>
    </row>
    <row r="5" spans="1:34" x14ac:dyDescent="0.25">
      <c r="A5" s="78" t="s">
        <v>1255</v>
      </c>
      <c r="B5" s="165" t="s">
        <v>97</v>
      </c>
      <c r="C5" s="165" t="s">
        <v>1268</v>
      </c>
      <c r="D5" s="165">
        <v>1</v>
      </c>
      <c r="E5" s="165" t="s">
        <v>1250</v>
      </c>
      <c r="F5" s="165" t="s">
        <v>1269</v>
      </c>
      <c r="G5" s="165" t="s">
        <v>1671</v>
      </c>
      <c r="H5" s="165" t="s">
        <v>1270</v>
      </c>
      <c r="I5" s="165">
        <v>44202</v>
      </c>
      <c r="J5">
        <v>44202</v>
      </c>
      <c r="K5" s="165" t="s">
        <v>1671</v>
      </c>
      <c r="L5">
        <v>145</v>
      </c>
      <c r="M5">
        <v>44203</v>
      </c>
      <c r="O5"/>
      <c r="P5"/>
      <c r="Q5"/>
      <c r="R5" s="165">
        <v>145</v>
      </c>
      <c r="S5" s="165">
        <v>44203</v>
      </c>
      <c r="T5" t="s">
        <v>1267</v>
      </c>
      <c r="U5" s="165" t="s">
        <v>1267</v>
      </c>
      <c r="V5" s="165" t="s">
        <v>1267</v>
      </c>
      <c r="W5"/>
      <c r="X5"/>
      <c r="AB5"/>
      <c r="AC5"/>
      <c r="AD5"/>
      <c r="AE5"/>
      <c r="AF5"/>
      <c r="AG5"/>
      <c r="AH5"/>
    </row>
    <row r="6" spans="1:34" x14ac:dyDescent="0.25">
      <c r="A6" s="78">
        <v>20210121</v>
      </c>
      <c r="B6" s="165" t="s">
        <v>1256</v>
      </c>
      <c r="C6" s="165" t="s">
        <v>1257</v>
      </c>
      <c r="D6" s="165">
        <v>1</v>
      </c>
      <c r="E6" s="165" t="s">
        <v>1250</v>
      </c>
      <c r="F6" s="165" t="s">
        <v>1271</v>
      </c>
      <c r="G6" s="165" t="s">
        <v>1671</v>
      </c>
      <c r="H6" s="165" t="s">
        <v>943</v>
      </c>
      <c r="I6" s="165">
        <v>44202</v>
      </c>
      <c r="J6">
        <v>44202</v>
      </c>
      <c r="K6" s="165" t="s">
        <v>1671</v>
      </c>
      <c r="L6">
        <v>1001.78</v>
      </c>
      <c r="M6">
        <v>44209</v>
      </c>
      <c r="O6"/>
      <c r="P6"/>
      <c r="Q6"/>
      <c r="R6" s="165">
        <v>1001.78</v>
      </c>
      <c r="S6" s="165">
        <v>44202</v>
      </c>
      <c r="T6" t="s">
        <v>1267</v>
      </c>
      <c r="U6" s="165" t="s">
        <v>1267</v>
      </c>
      <c r="V6" s="165" t="s">
        <v>1267</v>
      </c>
      <c r="W6"/>
      <c r="X6"/>
      <c r="AB6"/>
      <c r="AC6"/>
      <c r="AD6"/>
      <c r="AE6"/>
      <c r="AF6"/>
      <c r="AG6"/>
      <c r="AH6"/>
    </row>
    <row r="7" spans="1:34" x14ac:dyDescent="0.25">
      <c r="A7" s="78">
        <v>20210429</v>
      </c>
      <c r="B7" s="165" t="s">
        <v>97</v>
      </c>
      <c r="C7" s="165" t="s">
        <v>1272</v>
      </c>
      <c r="D7" s="165">
        <v>2</v>
      </c>
      <c r="E7" s="165" t="s">
        <v>1250</v>
      </c>
      <c r="F7" s="165" t="s">
        <v>1273</v>
      </c>
      <c r="G7" s="165" t="s">
        <v>1671</v>
      </c>
      <c r="H7" s="165" t="s">
        <v>969</v>
      </c>
      <c r="I7" s="165">
        <v>44214</v>
      </c>
      <c r="J7">
        <v>44214</v>
      </c>
      <c r="K7" s="165" t="s">
        <v>1671</v>
      </c>
      <c r="L7">
        <v>340</v>
      </c>
      <c r="M7">
        <v>44216</v>
      </c>
      <c r="O7"/>
      <c r="P7"/>
      <c r="Q7"/>
      <c r="R7" s="165">
        <v>680</v>
      </c>
      <c r="S7" s="165">
        <v>44216</v>
      </c>
      <c r="T7" t="s">
        <v>1267</v>
      </c>
      <c r="U7" s="165" t="s">
        <v>1267</v>
      </c>
      <c r="V7" s="165" t="s">
        <v>1267</v>
      </c>
      <c r="W7"/>
      <c r="X7"/>
      <c r="AB7"/>
      <c r="AC7"/>
      <c r="AD7"/>
      <c r="AE7"/>
      <c r="AF7"/>
      <c r="AG7"/>
      <c r="AH7"/>
    </row>
    <row r="8" spans="1:34" x14ac:dyDescent="0.25">
      <c r="A8" s="78">
        <v>20210116</v>
      </c>
      <c r="B8" s="165" t="s">
        <v>1261</v>
      </c>
      <c r="C8" s="165" t="s">
        <v>1262</v>
      </c>
      <c r="D8" s="165">
        <v>3</v>
      </c>
      <c r="E8" s="165" t="s">
        <v>1250</v>
      </c>
      <c r="F8" s="165" t="s">
        <v>1263</v>
      </c>
      <c r="G8" s="165" t="s">
        <v>1671</v>
      </c>
      <c r="H8" s="165" t="s">
        <v>922</v>
      </c>
      <c r="I8" s="165">
        <v>44214</v>
      </c>
      <c r="J8">
        <v>44214</v>
      </c>
      <c r="K8" s="165" t="s">
        <v>1671</v>
      </c>
      <c r="L8">
        <v>460</v>
      </c>
      <c r="M8">
        <v>44214</v>
      </c>
      <c r="O8"/>
      <c r="P8"/>
      <c r="Q8"/>
      <c r="R8" s="165">
        <v>1380</v>
      </c>
      <c r="S8" s="165">
        <v>44214</v>
      </c>
      <c r="T8" t="s">
        <v>1267</v>
      </c>
      <c r="U8" s="165" t="s">
        <v>1267</v>
      </c>
      <c r="V8" s="165" t="s">
        <v>1267</v>
      </c>
      <c r="W8"/>
      <c r="X8"/>
      <c r="AB8"/>
      <c r="AC8"/>
      <c r="AD8"/>
      <c r="AE8"/>
      <c r="AF8"/>
      <c r="AG8"/>
      <c r="AH8"/>
    </row>
    <row r="9" spans="1:34" x14ac:dyDescent="0.25">
      <c r="A9" s="78">
        <v>20210116</v>
      </c>
      <c r="B9" s="165" t="s">
        <v>97</v>
      </c>
      <c r="C9" s="165" t="s">
        <v>1274</v>
      </c>
      <c r="D9" s="165">
        <v>1</v>
      </c>
      <c r="E9" s="165" t="s">
        <v>1250</v>
      </c>
      <c r="F9" s="165" t="s">
        <v>1275</v>
      </c>
      <c r="G9" s="165" t="s">
        <v>1671</v>
      </c>
      <c r="H9" s="165" t="s">
        <v>922</v>
      </c>
      <c r="I9" s="165">
        <v>44214</v>
      </c>
      <c r="J9">
        <v>44214</v>
      </c>
      <c r="K9" s="165" t="s">
        <v>1671</v>
      </c>
      <c r="L9">
        <v>3250</v>
      </c>
      <c r="M9">
        <v>44214</v>
      </c>
      <c r="O9"/>
      <c r="P9"/>
      <c r="Q9"/>
      <c r="R9" s="165">
        <v>3250</v>
      </c>
      <c r="S9" s="165">
        <v>44214</v>
      </c>
      <c r="T9" t="s">
        <v>1267</v>
      </c>
      <c r="U9" s="165" t="s">
        <v>1267</v>
      </c>
      <c r="V9" s="165" t="s">
        <v>1267</v>
      </c>
      <c r="W9"/>
      <c r="X9"/>
      <c r="AB9"/>
      <c r="AC9"/>
      <c r="AD9"/>
      <c r="AE9"/>
      <c r="AF9"/>
      <c r="AG9"/>
      <c r="AH9"/>
    </row>
    <row r="10" spans="1:34" x14ac:dyDescent="0.25">
      <c r="A10" s="78">
        <v>20210118</v>
      </c>
      <c r="B10" s="165" t="s">
        <v>97</v>
      </c>
      <c r="C10" s="165" t="s">
        <v>1276</v>
      </c>
      <c r="D10" s="165">
        <v>1</v>
      </c>
      <c r="E10" s="165" t="s">
        <v>1250</v>
      </c>
      <c r="F10" s="165" t="s">
        <v>1277</v>
      </c>
      <c r="G10" s="165" t="s">
        <v>1671</v>
      </c>
      <c r="H10" s="165" t="s">
        <v>1043</v>
      </c>
      <c r="I10" s="165">
        <v>44215</v>
      </c>
      <c r="J10">
        <v>44215</v>
      </c>
      <c r="K10" s="165" t="s">
        <v>1671</v>
      </c>
      <c r="L10">
        <v>650</v>
      </c>
      <c r="M10">
        <v>44218</v>
      </c>
      <c r="O10"/>
      <c r="P10"/>
      <c r="Q10"/>
      <c r="R10" s="165">
        <v>650</v>
      </c>
      <c r="S10" s="165">
        <v>44215</v>
      </c>
      <c r="T10" t="s">
        <v>1267</v>
      </c>
      <c r="U10" s="165" t="s">
        <v>1267</v>
      </c>
      <c r="V10" s="165" t="s">
        <v>1267</v>
      </c>
      <c r="W10"/>
      <c r="X10"/>
      <c r="AB10"/>
      <c r="AC10"/>
      <c r="AD10"/>
      <c r="AE10"/>
      <c r="AF10"/>
      <c r="AG10"/>
      <c r="AH10"/>
    </row>
    <row r="11" spans="1:34" x14ac:dyDescent="0.25">
      <c r="A11" s="78">
        <v>20210118</v>
      </c>
      <c r="B11" s="165" t="s">
        <v>97</v>
      </c>
      <c r="C11" s="165" t="s">
        <v>1264</v>
      </c>
      <c r="D11" s="165">
        <v>1</v>
      </c>
      <c r="E11" s="165" t="s">
        <v>1250</v>
      </c>
      <c r="F11" s="165" t="s">
        <v>1278</v>
      </c>
      <c r="G11" s="165" t="s">
        <v>1671</v>
      </c>
      <c r="H11" s="165" t="s">
        <v>1043</v>
      </c>
      <c r="I11" s="165">
        <v>44376</v>
      </c>
      <c r="J11">
        <v>44465</v>
      </c>
      <c r="K11" s="165" t="s">
        <v>1671</v>
      </c>
      <c r="L11">
        <v>149</v>
      </c>
      <c r="M11">
        <v>44431</v>
      </c>
      <c r="O11"/>
      <c r="P11"/>
      <c r="Q11"/>
      <c r="R11" s="165">
        <v>149</v>
      </c>
      <c r="S11" s="165">
        <v>44216</v>
      </c>
      <c r="T11" t="s">
        <v>1267</v>
      </c>
      <c r="U11" s="165" t="s">
        <v>1267</v>
      </c>
      <c r="V11" s="165" t="s">
        <v>1267</v>
      </c>
      <c r="W11"/>
      <c r="X11"/>
      <c r="AB11"/>
      <c r="AC11"/>
      <c r="AD11"/>
      <c r="AE11"/>
      <c r="AF11"/>
      <c r="AG11"/>
      <c r="AH11"/>
    </row>
    <row r="12" spans="1:34" x14ac:dyDescent="0.25">
      <c r="A12" s="78">
        <v>20210425</v>
      </c>
      <c r="B12" s="165" t="s">
        <v>97</v>
      </c>
      <c r="C12" s="165" t="s">
        <v>1272</v>
      </c>
      <c r="D12" s="165">
        <v>3</v>
      </c>
      <c r="E12" s="165" t="s">
        <v>1250</v>
      </c>
      <c r="F12" s="165" t="s">
        <v>1273</v>
      </c>
      <c r="G12" s="165" t="s">
        <v>1671</v>
      </c>
      <c r="H12" s="165" t="s">
        <v>1009</v>
      </c>
      <c r="I12" s="165">
        <v>44217</v>
      </c>
      <c r="J12">
        <v>44217</v>
      </c>
      <c r="K12" s="165" t="s">
        <v>1671</v>
      </c>
      <c r="L12">
        <v>345.71</v>
      </c>
      <c r="M12">
        <v>44255</v>
      </c>
      <c r="O12"/>
      <c r="P12"/>
      <c r="Q12"/>
      <c r="R12" s="165">
        <v>1037.1300000000001</v>
      </c>
      <c r="S12" s="165">
        <v>44217</v>
      </c>
      <c r="T12" t="s">
        <v>1267</v>
      </c>
      <c r="U12" s="165" t="s">
        <v>1267</v>
      </c>
      <c r="V12" s="165" t="s">
        <v>1267</v>
      </c>
      <c r="W12"/>
      <c r="X12"/>
      <c r="AB12"/>
      <c r="AC12"/>
      <c r="AD12"/>
      <c r="AE12"/>
      <c r="AF12"/>
      <c r="AG12"/>
      <c r="AH12"/>
    </row>
    <row r="13" spans="1:34" x14ac:dyDescent="0.25">
      <c r="A13" s="78">
        <v>20210116</v>
      </c>
      <c r="B13" s="165" t="s">
        <v>97</v>
      </c>
      <c r="C13" s="165" t="s">
        <v>1279</v>
      </c>
      <c r="D13" s="165">
        <v>1</v>
      </c>
      <c r="E13" s="165" t="s">
        <v>1250</v>
      </c>
      <c r="F13" s="165" t="s">
        <v>1280</v>
      </c>
      <c r="G13" s="165" t="s">
        <v>1671</v>
      </c>
      <c r="H13" s="165" t="s">
        <v>922</v>
      </c>
      <c r="I13" s="165">
        <v>44218</v>
      </c>
      <c r="J13">
        <v>44218</v>
      </c>
      <c r="K13" s="165" t="s">
        <v>1671</v>
      </c>
      <c r="L13">
        <v>337.5</v>
      </c>
      <c r="M13">
        <v>44223</v>
      </c>
      <c r="O13"/>
      <c r="P13"/>
      <c r="Q13"/>
      <c r="R13" s="165">
        <v>337.5</v>
      </c>
      <c r="S13" s="165">
        <v>44224</v>
      </c>
      <c r="T13" t="s">
        <v>1267</v>
      </c>
      <c r="U13" s="165" t="s">
        <v>1267</v>
      </c>
      <c r="V13" s="165" t="s">
        <v>1267</v>
      </c>
      <c r="W13"/>
      <c r="X13"/>
      <c r="AB13"/>
      <c r="AC13"/>
      <c r="AD13"/>
      <c r="AE13"/>
      <c r="AF13"/>
      <c r="AG13"/>
      <c r="AH13"/>
    </row>
    <row r="14" spans="1:34" x14ac:dyDescent="0.25">
      <c r="A14" s="78" t="s">
        <v>1255</v>
      </c>
      <c r="B14" s="165" t="s">
        <v>1256</v>
      </c>
      <c r="C14" s="165" t="s">
        <v>1281</v>
      </c>
      <c r="D14" s="165">
        <v>1</v>
      </c>
      <c r="E14" s="165" t="s">
        <v>1250</v>
      </c>
      <c r="F14" s="165" t="s">
        <v>1282</v>
      </c>
      <c r="G14" s="165" t="s">
        <v>1671</v>
      </c>
      <c r="H14" s="165" t="s">
        <v>1270</v>
      </c>
      <c r="I14" s="165">
        <v>44200</v>
      </c>
      <c r="J14">
        <v>44200</v>
      </c>
      <c r="K14" s="165" t="s">
        <v>1671</v>
      </c>
      <c r="L14">
        <v>74.55</v>
      </c>
      <c r="M14">
        <v>44230</v>
      </c>
      <c r="O14"/>
      <c r="P14"/>
      <c r="Q14"/>
      <c r="R14" s="165">
        <v>74.55</v>
      </c>
      <c r="S14" s="165">
        <v>44218</v>
      </c>
      <c r="T14" t="s">
        <v>1267</v>
      </c>
      <c r="U14" s="165" t="s">
        <v>1267</v>
      </c>
      <c r="V14" s="165" t="s">
        <v>1267</v>
      </c>
      <c r="W14"/>
      <c r="X14"/>
      <c r="AB14"/>
      <c r="AC14"/>
      <c r="AD14"/>
      <c r="AE14"/>
      <c r="AF14"/>
      <c r="AG14"/>
      <c r="AH14"/>
    </row>
    <row r="15" spans="1:34" x14ac:dyDescent="0.25">
      <c r="A15" s="78" t="s">
        <v>1255</v>
      </c>
      <c r="B15" s="165" t="s">
        <v>1256</v>
      </c>
      <c r="C15" s="165" t="s">
        <v>1257</v>
      </c>
      <c r="D15" s="165">
        <v>1</v>
      </c>
      <c r="E15" s="165" t="s">
        <v>1250</v>
      </c>
      <c r="F15" s="165" t="s">
        <v>1271</v>
      </c>
      <c r="G15" s="165" t="s">
        <v>1671</v>
      </c>
      <c r="H15" s="165" t="s">
        <v>1270</v>
      </c>
      <c r="I15" s="165">
        <v>44218</v>
      </c>
      <c r="J15">
        <v>44218</v>
      </c>
      <c r="K15" s="165" t="s">
        <v>1671</v>
      </c>
      <c r="L15">
        <v>1405</v>
      </c>
      <c r="M15">
        <v>44225</v>
      </c>
      <c r="N15">
        <v>1405</v>
      </c>
      <c r="O15">
        <v>44239</v>
      </c>
      <c r="P15"/>
      <c r="Q15"/>
      <c r="R15" s="165">
        <v>2810</v>
      </c>
      <c r="S15" s="165">
        <v>44218</v>
      </c>
      <c r="T15" t="s">
        <v>1267</v>
      </c>
      <c r="U15" s="165" t="s">
        <v>1267</v>
      </c>
      <c r="V15" s="165" t="s">
        <v>1267</v>
      </c>
      <c r="W15"/>
      <c r="X15"/>
      <c r="AB15"/>
      <c r="AC15"/>
      <c r="AD15"/>
      <c r="AE15"/>
      <c r="AF15"/>
      <c r="AG15"/>
      <c r="AH15"/>
    </row>
    <row r="16" spans="1:34" x14ac:dyDescent="0.25">
      <c r="A16" s="78" t="s">
        <v>1255</v>
      </c>
      <c r="B16" s="165" t="s">
        <v>97</v>
      </c>
      <c r="C16" s="165" t="s">
        <v>1283</v>
      </c>
      <c r="D16" s="165">
        <v>1</v>
      </c>
      <c r="E16" s="165" t="s">
        <v>1250</v>
      </c>
      <c r="F16" s="165" t="s">
        <v>1284</v>
      </c>
      <c r="G16" s="165" t="s">
        <v>1671</v>
      </c>
      <c r="H16" s="165" t="s">
        <v>1270</v>
      </c>
      <c r="I16" s="165">
        <v>44221</v>
      </c>
      <c r="J16">
        <v>44221</v>
      </c>
      <c r="K16" s="165" t="s">
        <v>1671</v>
      </c>
      <c r="L16">
        <v>1921.58</v>
      </c>
      <c r="M16">
        <v>44221</v>
      </c>
      <c r="O16"/>
      <c r="P16"/>
      <c r="Q16"/>
      <c r="R16" s="165">
        <v>1921.58</v>
      </c>
      <c r="S16" s="165">
        <v>44221</v>
      </c>
      <c r="T16" t="s">
        <v>1267</v>
      </c>
      <c r="U16" s="165" t="s">
        <v>1267</v>
      </c>
      <c r="V16" s="165" t="s">
        <v>1267</v>
      </c>
      <c r="W16"/>
      <c r="X16"/>
      <c r="AB16"/>
      <c r="AC16"/>
      <c r="AD16"/>
      <c r="AE16"/>
      <c r="AF16"/>
      <c r="AG16"/>
      <c r="AH16"/>
    </row>
    <row r="17" spans="1:34" x14ac:dyDescent="0.25">
      <c r="A17" s="78" t="s">
        <v>1255</v>
      </c>
      <c r="B17" s="165" t="s">
        <v>1261</v>
      </c>
      <c r="C17" s="165" t="s">
        <v>1262</v>
      </c>
      <c r="D17" s="165">
        <v>1</v>
      </c>
      <c r="E17" s="165" t="s">
        <v>1250</v>
      </c>
      <c r="F17" s="165" t="s">
        <v>1263</v>
      </c>
      <c r="G17" s="165" t="s">
        <v>1671</v>
      </c>
      <c r="H17" s="165" t="s">
        <v>1270</v>
      </c>
      <c r="I17" s="165">
        <v>44221</v>
      </c>
      <c r="J17">
        <v>44223</v>
      </c>
      <c r="K17" s="165" t="s">
        <v>1671</v>
      </c>
      <c r="L17">
        <v>460</v>
      </c>
      <c r="M17">
        <v>44222</v>
      </c>
      <c r="O17"/>
      <c r="P17"/>
      <c r="Q17"/>
      <c r="R17" s="165">
        <v>460</v>
      </c>
      <c r="S17" s="165">
        <v>44222</v>
      </c>
      <c r="T17" t="s">
        <v>1267</v>
      </c>
      <c r="U17" s="165" t="s">
        <v>1267</v>
      </c>
      <c r="V17" s="165" t="s">
        <v>1267</v>
      </c>
      <c r="W17"/>
      <c r="X17"/>
      <c r="AB17"/>
      <c r="AC17"/>
      <c r="AD17"/>
      <c r="AE17"/>
      <c r="AF17"/>
      <c r="AG17"/>
      <c r="AH17"/>
    </row>
    <row r="18" spans="1:34" x14ac:dyDescent="0.25">
      <c r="A18" s="78" t="s">
        <v>1255</v>
      </c>
      <c r="B18" s="165" t="s">
        <v>97</v>
      </c>
      <c r="C18" s="165" t="s">
        <v>1264</v>
      </c>
      <c r="D18" s="165">
        <v>1</v>
      </c>
      <c r="E18" s="165" t="s">
        <v>1250</v>
      </c>
      <c r="F18" s="165" t="s">
        <v>1265</v>
      </c>
      <c r="G18" s="165" t="s">
        <v>1671</v>
      </c>
      <c r="H18" s="165" t="s">
        <v>1270</v>
      </c>
      <c r="I18" s="165">
        <v>44221</v>
      </c>
      <c r="J18">
        <v>44223</v>
      </c>
      <c r="K18" s="165" t="s">
        <v>1671</v>
      </c>
      <c r="L18">
        <v>73</v>
      </c>
      <c r="M18">
        <v>44222</v>
      </c>
      <c r="O18"/>
      <c r="P18"/>
      <c r="Q18"/>
      <c r="R18" s="165">
        <v>73</v>
      </c>
      <c r="S18" s="165">
        <v>44222</v>
      </c>
      <c r="T18" t="s">
        <v>1267</v>
      </c>
      <c r="U18" s="165" t="s">
        <v>1267</v>
      </c>
      <c r="V18" s="165" t="s">
        <v>1267</v>
      </c>
      <c r="W18"/>
      <c r="X18"/>
      <c r="AB18"/>
      <c r="AC18"/>
      <c r="AD18"/>
      <c r="AE18"/>
      <c r="AF18"/>
      <c r="AG18"/>
      <c r="AH18"/>
    </row>
    <row r="19" spans="1:34" x14ac:dyDescent="0.25">
      <c r="A19" s="78" t="s">
        <v>1255</v>
      </c>
      <c r="B19" s="165" t="s">
        <v>1256</v>
      </c>
      <c r="C19" s="165" t="s">
        <v>1257</v>
      </c>
      <c r="D19" s="165">
        <v>1</v>
      </c>
      <c r="E19" s="165" t="s">
        <v>1250</v>
      </c>
      <c r="F19" s="165" t="s">
        <v>1258</v>
      </c>
      <c r="G19" s="165" t="s">
        <v>1671</v>
      </c>
      <c r="H19" s="165" t="s">
        <v>1270</v>
      </c>
      <c r="I19" s="165">
        <v>44195</v>
      </c>
      <c r="J19">
        <v>44195</v>
      </c>
      <c r="K19" s="165" t="s">
        <v>1671</v>
      </c>
      <c r="L19">
        <v>983.03</v>
      </c>
      <c r="M19">
        <v>44223</v>
      </c>
      <c r="O19"/>
      <c r="P19"/>
      <c r="Q19"/>
      <c r="R19" s="165">
        <v>983.03</v>
      </c>
      <c r="S19" s="165">
        <v>44223</v>
      </c>
      <c r="T19" t="s">
        <v>1267</v>
      </c>
      <c r="U19" s="165" t="s">
        <v>1267</v>
      </c>
      <c r="V19" s="165" t="s">
        <v>1267</v>
      </c>
      <c r="W19"/>
      <c r="X19"/>
      <c r="AB19"/>
      <c r="AC19"/>
      <c r="AD19"/>
      <c r="AE19"/>
      <c r="AF19"/>
      <c r="AG19"/>
      <c r="AH19"/>
    </row>
    <row r="20" spans="1:34" x14ac:dyDescent="0.25">
      <c r="A20" s="78" t="s">
        <v>1255</v>
      </c>
      <c r="B20" s="165" t="s">
        <v>1261</v>
      </c>
      <c r="C20" s="165" t="s">
        <v>1262</v>
      </c>
      <c r="D20" s="165">
        <v>1</v>
      </c>
      <c r="E20" s="165" t="s">
        <v>1250</v>
      </c>
      <c r="F20" s="165" t="s">
        <v>1263</v>
      </c>
      <c r="G20" s="165" t="s">
        <v>1671</v>
      </c>
      <c r="H20" s="165" t="s">
        <v>1270</v>
      </c>
      <c r="I20" s="165">
        <v>44195</v>
      </c>
      <c r="J20">
        <v>44195</v>
      </c>
      <c r="K20" s="165" t="s">
        <v>1671</v>
      </c>
      <c r="L20">
        <v>897.6</v>
      </c>
      <c r="M20">
        <v>44223</v>
      </c>
      <c r="O20"/>
      <c r="P20"/>
      <c r="Q20"/>
      <c r="R20" s="165">
        <v>897.6</v>
      </c>
      <c r="S20" s="165">
        <v>44223</v>
      </c>
      <c r="T20" t="s">
        <v>1267</v>
      </c>
      <c r="U20" s="165" t="s">
        <v>1267</v>
      </c>
      <c r="V20" s="165" t="s">
        <v>1267</v>
      </c>
      <c r="W20"/>
      <c r="X20"/>
      <c r="AB20"/>
      <c r="AC20"/>
      <c r="AD20"/>
      <c r="AE20"/>
      <c r="AF20"/>
      <c r="AG20"/>
      <c r="AH20"/>
    </row>
    <row r="21" spans="1:34" x14ac:dyDescent="0.25">
      <c r="A21" s="78" t="s">
        <v>1255</v>
      </c>
      <c r="B21" s="165" t="s">
        <v>1285</v>
      </c>
      <c r="C21" s="165" t="s">
        <v>1286</v>
      </c>
      <c r="D21" s="165">
        <v>1</v>
      </c>
      <c r="E21" s="165" t="s">
        <v>1250</v>
      </c>
      <c r="F21" s="165" t="s">
        <v>1287</v>
      </c>
      <c r="G21" s="165" t="s">
        <v>1671</v>
      </c>
      <c r="H21" s="165" t="s">
        <v>1270</v>
      </c>
      <c r="I21" s="165">
        <v>44218</v>
      </c>
      <c r="J21">
        <v>44218</v>
      </c>
      <c r="K21" s="165" t="s">
        <v>1671</v>
      </c>
      <c r="L21">
        <v>378.67</v>
      </c>
      <c r="M21">
        <v>44218</v>
      </c>
      <c r="O21"/>
      <c r="P21"/>
      <c r="Q21"/>
      <c r="R21" s="165">
        <v>378.67</v>
      </c>
      <c r="S21" s="165">
        <v>44218</v>
      </c>
      <c r="T21" t="s">
        <v>1267</v>
      </c>
      <c r="U21" s="165" t="s">
        <v>1267</v>
      </c>
      <c r="V21" s="165" t="s">
        <v>1267</v>
      </c>
      <c r="W21"/>
      <c r="X21"/>
      <c r="AB21"/>
      <c r="AC21"/>
      <c r="AD21"/>
      <c r="AE21"/>
      <c r="AF21"/>
      <c r="AG21"/>
      <c r="AH21"/>
    </row>
    <row r="22" spans="1:34" x14ac:dyDescent="0.25">
      <c r="A22" s="78" t="s">
        <v>1255</v>
      </c>
      <c r="B22" s="165" t="s">
        <v>1261</v>
      </c>
      <c r="C22" s="165" t="s">
        <v>1262</v>
      </c>
      <c r="D22" s="165">
        <v>1</v>
      </c>
      <c r="E22" s="165" t="s">
        <v>1250</v>
      </c>
      <c r="F22" s="165" t="s">
        <v>1263</v>
      </c>
      <c r="G22" s="165" t="s">
        <v>1671</v>
      </c>
      <c r="H22" s="165" t="s">
        <v>1270</v>
      </c>
      <c r="I22" s="165">
        <v>44187</v>
      </c>
      <c r="J22">
        <v>44187</v>
      </c>
      <c r="K22" s="165" t="s">
        <v>1671</v>
      </c>
      <c r="L22">
        <v>1037.73</v>
      </c>
      <c r="M22">
        <v>44218</v>
      </c>
      <c r="O22"/>
      <c r="P22"/>
      <c r="Q22"/>
      <c r="R22" s="165">
        <v>1037.73</v>
      </c>
      <c r="S22" s="165">
        <v>44218</v>
      </c>
      <c r="T22" t="s">
        <v>1267</v>
      </c>
      <c r="U22" s="165" t="s">
        <v>1267</v>
      </c>
      <c r="V22" s="165" t="s">
        <v>1267</v>
      </c>
      <c r="W22"/>
      <c r="X22"/>
      <c r="AB22"/>
      <c r="AC22"/>
      <c r="AD22"/>
      <c r="AE22"/>
      <c r="AF22"/>
      <c r="AG22"/>
      <c r="AH22"/>
    </row>
    <row r="23" spans="1:34" x14ac:dyDescent="0.25">
      <c r="A23" s="78" t="s">
        <v>1255</v>
      </c>
      <c r="B23" s="165" t="s">
        <v>97</v>
      </c>
      <c r="C23" s="165" t="s">
        <v>1288</v>
      </c>
      <c r="D23" s="165">
        <v>1</v>
      </c>
      <c r="E23" s="165" t="s">
        <v>1250</v>
      </c>
      <c r="F23" s="165" t="s">
        <v>1289</v>
      </c>
      <c r="G23" s="165" t="s">
        <v>1671</v>
      </c>
      <c r="H23" s="165" t="s">
        <v>1270</v>
      </c>
      <c r="I23" s="165">
        <v>44165</v>
      </c>
      <c r="J23">
        <v>44165</v>
      </c>
      <c r="K23" s="165" t="s">
        <v>1671</v>
      </c>
      <c r="L23">
        <v>650</v>
      </c>
      <c r="M23">
        <v>44217</v>
      </c>
      <c r="O23"/>
      <c r="P23"/>
      <c r="Q23"/>
      <c r="R23" s="165">
        <v>650</v>
      </c>
      <c r="S23" s="165">
        <v>44165</v>
      </c>
      <c r="T23" t="s">
        <v>1267</v>
      </c>
      <c r="U23" s="165" t="s">
        <v>1267</v>
      </c>
      <c r="V23" s="165" t="s">
        <v>1267</v>
      </c>
      <c r="W23"/>
      <c r="X23"/>
      <c r="AB23"/>
      <c r="AC23"/>
      <c r="AD23"/>
      <c r="AE23"/>
      <c r="AF23"/>
      <c r="AG23"/>
      <c r="AH23"/>
    </row>
    <row r="24" spans="1:34" x14ac:dyDescent="0.25">
      <c r="A24" s="78" t="s">
        <v>1255</v>
      </c>
      <c r="B24" s="165" t="s">
        <v>97</v>
      </c>
      <c r="C24" s="165" t="s">
        <v>1288</v>
      </c>
      <c r="D24" s="165">
        <v>1</v>
      </c>
      <c r="E24" s="165" t="s">
        <v>1250</v>
      </c>
      <c r="F24" s="165" t="s">
        <v>1290</v>
      </c>
      <c r="G24" s="165" t="s">
        <v>1671</v>
      </c>
      <c r="H24" s="165" t="s">
        <v>1270</v>
      </c>
      <c r="I24" s="165">
        <v>44165</v>
      </c>
      <c r="J24">
        <v>44165</v>
      </c>
      <c r="K24" s="165" t="s">
        <v>1671</v>
      </c>
      <c r="L24">
        <v>90</v>
      </c>
      <c r="M24">
        <v>44217</v>
      </c>
      <c r="O24"/>
      <c r="P24"/>
      <c r="Q24"/>
      <c r="R24" s="165">
        <v>90</v>
      </c>
      <c r="S24" s="165">
        <v>44165</v>
      </c>
      <c r="T24" t="s">
        <v>1267</v>
      </c>
      <c r="U24" s="165" t="s">
        <v>1267</v>
      </c>
      <c r="V24" s="165" t="s">
        <v>1267</v>
      </c>
      <c r="W24"/>
      <c r="X24"/>
      <c r="AB24"/>
      <c r="AC24"/>
      <c r="AD24"/>
      <c r="AE24"/>
      <c r="AF24"/>
      <c r="AG24"/>
      <c r="AH24"/>
    </row>
    <row r="25" spans="1:34" x14ac:dyDescent="0.25">
      <c r="A25" s="78" t="s">
        <v>1255</v>
      </c>
      <c r="B25" s="165" t="s">
        <v>97</v>
      </c>
      <c r="C25" s="165" t="s">
        <v>1288</v>
      </c>
      <c r="D25" s="165">
        <v>1</v>
      </c>
      <c r="E25" s="165" t="s">
        <v>1250</v>
      </c>
      <c r="F25" s="165" t="s">
        <v>1289</v>
      </c>
      <c r="G25" s="165" t="s">
        <v>1671</v>
      </c>
      <c r="H25" s="165" t="s">
        <v>1270</v>
      </c>
      <c r="I25" s="165">
        <v>44160</v>
      </c>
      <c r="J25">
        <v>44160</v>
      </c>
      <c r="K25" s="165" t="s">
        <v>1671</v>
      </c>
      <c r="L25">
        <v>650</v>
      </c>
      <c r="M25">
        <v>44217</v>
      </c>
      <c r="O25"/>
      <c r="P25"/>
      <c r="Q25"/>
      <c r="R25" s="165">
        <v>650</v>
      </c>
      <c r="S25" s="165">
        <v>44160</v>
      </c>
      <c r="T25" t="s">
        <v>1267</v>
      </c>
      <c r="U25" s="165" t="s">
        <v>1267</v>
      </c>
      <c r="V25" s="165" t="s">
        <v>1267</v>
      </c>
      <c r="W25"/>
      <c r="X25"/>
      <c r="AB25"/>
      <c r="AC25"/>
      <c r="AD25"/>
      <c r="AE25"/>
      <c r="AF25"/>
      <c r="AG25"/>
      <c r="AH25"/>
    </row>
    <row r="26" spans="1:34" x14ac:dyDescent="0.25">
      <c r="A26" s="78" t="s">
        <v>1255</v>
      </c>
      <c r="B26" s="165" t="s">
        <v>97</v>
      </c>
      <c r="C26" s="165" t="s">
        <v>1288</v>
      </c>
      <c r="D26" s="165">
        <v>1</v>
      </c>
      <c r="E26" s="165" t="s">
        <v>1250</v>
      </c>
      <c r="F26" s="165" t="s">
        <v>1290</v>
      </c>
      <c r="G26" s="165" t="s">
        <v>1671</v>
      </c>
      <c r="H26" s="165" t="s">
        <v>1270</v>
      </c>
      <c r="I26" s="165">
        <v>44160</v>
      </c>
      <c r="J26">
        <v>44160</v>
      </c>
      <c r="K26" s="165" t="s">
        <v>1671</v>
      </c>
      <c r="L26">
        <v>90</v>
      </c>
      <c r="M26">
        <v>44217</v>
      </c>
      <c r="O26"/>
      <c r="P26"/>
      <c r="Q26"/>
      <c r="R26" s="165">
        <v>90</v>
      </c>
      <c r="S26" s="165">
        <v>44160</v>
      </c>
      <c r="T26" t="s">
        <v>1267</v>
      </c>
      <c r="U26" s="165" t="s">
        <v>1267</v>
      </c>
      <c r="V26" s="165" t="s">
        <v>1267</v>
      </c>
      <c r="W26"/>
      <c r="X26"/>
      <c r="AB26"/>
      <c r="AC26"/>
      <c r="AD26"/>
      <c r="AE26"/>
      <c r="AF26"/>
      <c r="AG26"/>
      <c r="AH26"/>
    </row>
    <row r="27" spans="1:34" x14ac:dyDescent="0.25">
      <c r="A27" s="78" t="s">
        <v>1255</v>
      </c>
      <c r="B27" s="165" t="s">
        <v>1285</v>
      </c>
      <c r="C27" s="165" t="s">
        <v>1286</v>
      </c>
      <c r="D27" s="165">
        <v>1</v>
      </c>
      <c r="E27" s="165" t="s">
        <v>1250</v>
      </c>
      <c r="F27" s="165" t="s">
        <v>1291</v>
      </c>
      <c r="G27" s="165" t="s">
        <v>1671</v>
      </c>
      <c r="H27" s="165" t="s">
        <v>1270</v>
      </c>
      <c r="I27" s="165">
        <v>44209</v>
      </c>
      <c r="J27">
        <v>44209</v>
      </c>
      <c r="K27" s="165" t="s">
        <v>1671</v>
      </c>
      <c r="L27">
        <v>30</v>
      </c>
      <c r="M27">
        <v>44214</v>
      </c>
      <c r="O27"/>
      <c r="P27"/>
      <c r="Q27"/>
      <c r="R27" s="165">
        <v>30</v>
      </c>
      <c r="S27" s="165">
        <v>44209</v>
      </c>
      <c r="T27" t="s">
        <v>1267</v>
      </c>
      <c r="U27" s="165" t="s">
        <v>1267</v>
      </c>
      <c r="V27" s="165" t="s">
        <v>1267</v>
      </c>
      <c r="W27"/>
      <c r="X27"/>
      <c r="AB27"/>
      <c r="AC27"/>
      <c r="AD27"/>
      <c r="AE27"/>
      <c r="AF27"/>
      <c r="AG27"/>
      <c r="AH27"/>
    </row>
    <row r="28" spans="1:34" x14ac:dyDescent="0.25">
      <c r="A28" s="78" t="s">
        <v>1255</v>
      </c>
      <c r="B28" s="165" t="s">
        <v>1292</v>
      </c>
      <c r="C28" s="165" t="s">
        <v>1293</v>
      </c>
      <c r="D28" s="165">
        <v>1</v>
      </c>
      <c r="E28" s="165" t="s">
        <v>1250</v>
      </c>
      <c r="F28" s="165" t="s">
        <v>1294</v>
      </c>
      <c r="G28" s="165" t="s">
        <v>1671</v>
      </c>
      <c r="H28" s="165" t="s">
        <v>1270</v>
      </c>
      <c r="I28" s="165">
        <v>44210</v>
      </c>
      <c r="J28">
        <v>44210</v>
      </c>
      <c r="K28" s="165" t="s">
        <v>1671</v>
      </c>
      <c r="L28">
        <v>65.875</v>
      </c>
      <c r="M28">
        <v>44210</v>
      </c>
      <c r="O28"/>
      <c r="P28"/>
      <c r="Q28"/>
      <c r="R28" s="165">
        <v>65.875</v>
      </c>
      <c r="S28" s="165">
        <v>44210</v>
      </c>
      <c r="T28" t="s">
        <v>1267</v>
      </c>
      <c r="U28" s="165" t="s">
        <v>1267</v>
      </c>
      <c r="V28" s="165" t="s">
        <v>1267</v>
      </c>
      <c r="W28"/>
      <c r="X28"/>
      <c r="AB28"/>
      <c r="AC28"/>
      <c r="AD28"/>
      <c r="AE28"/>
      <c r="AF28"/>
      <c r="AG28"/>
      <c r="AH28"/>
    </row>
    <row r="29" spans="1:34" x14ac:dyDescent="0.25">
      <c r="A29" s="78" t="s">
        <v>1255</v>
      </c>
      <c r="B29" s="165" t="s">
        <v>1292</v>
      </c>
      <c r="C29" s="165" t="s">
        <v>1293</v>
      </c>
      <c r="D29" s="165">
        <v>1</v>
      </c>
      <c r="E29" s="165" t="s">
        <v>1250</v>
      </c>
      <c r="F29" s="165" t="s">
        <v>1295</v>
      </c>
      <c r="G29" s="165" t="s">
        <v>1671</v>
      </c>
      <c r="H29" s="165" t="s">
        <v>1270</v>
      </c>
      <c r="I29" s="165">
        <v>44210</v>
      </c>
      <c r="J29">
        <v>44210</v>
      </c>
      <c r="K29" s="165" t="s">
        <v>1671</v>
      </c>
      <c r="L29">
        <v>65.875</v>
      </c>
      <c r="M29">
        <v>44210</v>
      </c>
      <c r="O29"/>
      <c r="P29"/>
      <c r="Q29"/>
      <c r="R29" s="165">
        <v>65.875</v>
      </c>
      <c r="S29" s="165">
        <v>44210</v>
      </c>
      <c r="T29" t="s">
        <v>1267</v>
      </c>
      <c r="U29" s="165" t="s">
        <v>1267</v>
      </c>
      <c r="V29" s="165" t="s">
        <v>1267</v>
      </c>
      <c r="W29"/>
      <c r="X29"/>
      <c r="AB29"/>
      <c r="AC29"/>
      <c r="AD29"/>
      <c r="AE29"/>
      <c r="AF29"/>
      <c r="AG29"/>
      <c r="AH29"/>
    </row>
    <row r="30" spans="1:34" x14ac:dyDescent="0.25">
      <c r="A30" s="78" t="s">
        <v>1255</v>
      </c>
      <c r="B30" s="165" t="s">
        <v>97</v>
      </c>
      <c r="C30" s="165" t="s">
        <v>1296</v>
      </c>
      <c r="D30" s="165">
        <v>1</v>
      </c>
      <c r="E30" s="165" t="s">
        <v>1250</v>
      </c>
      <c r="F30" s="165" t="s">
        <v>1297</v>
      </c>
      <c r="G30" s="165" t="s">
        <v>1671</v>
      </c>
      <c r="H30" s="165" t="s">
        <v>1270</v>
      </c>
      <c r="I30" s="165">
        <v>44225</v>
      </c>
      <c r="J30">
        <v>44228</v>
      </c>
      <c r="K30" s="165" t="s">
        <v>1671</v>
      </c>
      <c r="L30">
        <v>102.09</v>
      </c>
      <c r="M30">
        <v>44225</v>
      </c>
      <c r="O30"/>
      <c r="P30"/>
      <c r="Q30"/>
      <c r="R30" s="165">
        <v>102.09</v>
      </c>
      <c r="S30" s="165">
        <v>44198</v>
      </c>
      <c r="T30" t="s">
        <v>1267</v>
      </c>
      <c r="U30" s="165" t="s">
        <v>1267</v>
      </c>
      <c r="V30" s="165" t="s">
        <v>1267</v>
      </c>
      <c r="W30"/>
      <c r="X30"/>
      <c r="AB30"/>
      <c r="AC30"/>
      <c r="AD30"/>
      <c r="AE30"/>
      <c r="AF30"/>
      <c r="AG30"/>
      <c r="AH30"/>
    </row>
    <row r="31" spans="1:34" x14ac:dyDescent="0.25">
      <c r="A31" s="78" t="s">
        <v>1255</v>
      </c>
      <c r="B31" s="165" t="s">
        <v>1261</v>
      </c>
      <c r="C31" s="165" t="s">
        <v>1262</v>
      </c>
      <c r="D31" s="165">
        <v>2</v>
      </c>
      <c r="E31" s="165" t="s">
        <v>1250</v>
      </c>
      <c r="F31" s="165" t="s">
        <v>1263</v>
      </c>
      <c r="G31" s="165" t="s">
        <v>1671</v>
      </c>
      <c r="H31" s="165" t="s">
        <v>1270</v>
      </c>
      <c r="I31" s="165">
        <v>44225</v>
      </c>
      <c r="J31">
        <v>44225</v>
      </c>
      <c r="K31" s="165" t="s">
        <v>1671</v>
      </c>
      <c r="L31">
        <v>460</v>
      </c>
      <c r="M31">
        <v>44228</v>
      </c>
      <c r="O31"/>
      <c r="P31"/>
      <c r="Q31"/>
      <c r="R31" s="165">
        <v>920</v>
      </c>
      <c r="S31" s="165">
        <v>44228</v>
      </c>
      <c r="T31" t="s">
        <v>1267</v>
      </c>
      <c r="U31" s="165" t="s">
        <v>1267</v>
      </c>
      <c r="V31" s="165" t="s">
        <v>1267</v>
      </c>
      <c r="W31"/>
      <c r="X31"/>
      <c r="AB31"/>
      <c r="AC31"/>
      <c r="AD31"/>
      <c r="AE31"/>
      <c r="AF31"/>
      <c r="AG31"/>
      <c r="AH31"/>
    </row>
    <row r="32" spans="1:34" x14ac:dyDescent="0.25">
      <c r="A32" s="78" t="s">
        <v>1255</v>
      </c>
      <c r="B32" s="165" t="s">
        <v>1292</v>
      </c>
      <c r="C32" s="165" t="s">
        <v>1293</v>
      </c>
      <c r="D32" s="165">
        <v>1</v>
      </c>
      <c r="E32" s="165" t="s">
        <v>1250</v>
      </c>
      <c r="F32" s="165" t="s">
        <v>1298</v>
      </c>
      <c r="G32" s="165" t="s">
        <v>1671</v>
      </c>
      <c r="H32" s="165" t="s">
        <v>1270</v>
      </c>
      <c r="I32" s="165">
        <v>44224</v>
      </c>
      <c r="J32">
        <v>44224</v>
      </c>
      <c r="K32" s="165" t="s">
        <v>1671</v>
      </c>
      <c r="L32">
        <v>3226.08</v>
      </c>
      <c r="M32">
        <v>44224</v>
      </c>
      <c r="O32"/>
      <c r="P32"/>
      <c r="Q32"/>
      <c r="R32" s="165">
        <v>3226.08</v>
      </c>
      <c r="S32" s="165">
        <v>44224</v>
      </c>
      <c r="T32" t="s">
        <v>1267</v>
      </c>
      <c r="U32" s="165" t="s">
        <v>1267</v>
      </c>
      <c r="V32" s="165" t="s">
        <v>1267</v>
      </c>
      <c r="W32"/>
      <c r="X32"/>
      <c r="AB32"/>
      <c r="AC32"/>
      <c r="AD32"/>
      <c r="AE32"/>
      <c r="AF32"/>
      <c r="AG32"/>
      <c r="AH32"/>
    </row>
    <row r="33" spans="1:34" x14ac:dyDescent="0.25">
      <c r="A33" s="78" t="s">
        <v>1255</v>
      </c>
      <c r="B33" s="165" t="s">
        <v>1292</v>
      </c>
      <c r="C33" s="165" t="s">
        <v>1293</v>
      </c>
      <c r="D33" s="165">
        <v>1</v>
      </c>
      <c r="E33" s="165" t="s">
        <v>1250</v>
      </c>
      <c r="F33" s="165" t="s">
        <v>1299</v>
      </c>
      <c r="G33" s="165" t="s">
        <v>1671</v>
      </c>
      <c r="H33" s="165" t="s">
        <v>1270</v>
      </c>
      <c r="I33" s="165">
        <v>44202</v>
      </c>
      <c r="J33">
        <v>44202</v>
      </c>
      <c r="K33" s="165" t="s">
        <v>1671</v>
      </c>
      <c r="L33">
        <v>550</v>
      </c>
      <c r="M33">
        <v>44237</v>
      </c>
      <c r="O33"/>
      <c r="P33"/>
      <c r="Q33"/>
      <c r="R33" s="165">
        <v>550</v>
      </c>
      <c r="S33" s="165">
        <v>44202</v>
      </c>
      <c r="T33" t="s">
        <v>1267</v>
      </c>
      <c r="U33" s="165" t="s">
        <v>1267</v>
      </c>
      <c r="V33" s="165" t="s">
        <v>1267</v>
      </c>
      <c r="W33"/>
      <c r="X33"/>
      <c r="AB33"/>
      <c r="AC33"/>
      <c r="AD33"/>
      <c r="AE33"/>
      <c r="AF33"/>
      <c r="AG33"/>
      <c r="AH33"/>
    </row>
    <row r="34" spans="1:34" x14ac:dyDescent="0.25">
      <c r="A34" s="78" t="s">
        <v>1255</v>
      </c>
      <c r="B34" s="165" t="s">
        <v>97</v>
      </c>
      <c r="C34" s="165" t="s">
        <v>1296</v>
      </c>
      <c r="D34" s="165">
        <v>1</v>
      </c>
      <c r="E34" s="165" t="s">
        <v>1250</v>
      </c>
      <c r="F34" s="165" t="s">
        <v>1300</v>
      </c>
      <c r="G34" s="165" t="s">
        <v>1671</v>
      </c>
      <c r="H34" s="165" t="s">
        <v>1270</v>
      </c>
      <c r="I34" s="165">
        <v>44222</v>
      </c>
      <c r="J34">
        <v>44222</v>
      </c>
      <c r="K34" s="165" t="s">
        <v>1671</v>
      </c>
      <c r="L34">
        <v>334</v>
      </c>
      <c r="M34">
        <v>44228</v>
      </c>
      <c r="O34"/>
      <c r="P34"/>
      <c r="Q34"/>
      <c r="R34" s="165">
        <v>334</v>
      </c>
      <c r="S34" s="165">
        <v>44228</v>
      </c>
      <c r="T34" t="s">
        <v>1267</v>
      </c>
      <c r="U34" s="165" t="s">
        <v>1267</v>
      </c>
      <c r="V34" s="165" t="s">
        <v>1267</v>
      </c>
      <c r="W34"/>
      <c r="X34"/>
      <c r="AB34"/>
      <c r="AC34"/>
      <c r="AD34"/>
      <c r="AE34"/>
      <c r="AF34"/>
      <c r="AG34"/>
      <c r="AH34"/>
    </row>
    <row r="35" spans="1:34" x14ac:dyDescent="0.25">
      <c r="A35" s="78" t="s">
        <v>1255</v>
      </c>
      <c r="B35" s="165" t="s">
        <v>1256</v>
      </c>
      <c r="C35" s="165" t="s">
        <v>1257</v>
      </c>
      <c r="D35" s="165">
        <v>4</v>
      </c>
      <c r="E35" s="165" t="s">
        <v>1250</v>
      </c>
      <c r="F35" s="165" t="s">
        <v>1271</v>
      </c>
      <c r="G35" s="165" t="s">
        <v>1671</v>
      </c>
      <c r="H35" s="165" t="s">
        <v>1270</v>
      </c>
      <c r="I35" s="165">
        <v>44230</v>
      </c>
      <c r="J35">
        <v>44230</v>
      </c>
      <c r="K35" s="165" t="s">
        <v>1671</v>
      </c>
      <c r="L35">
        <v>550</v>
      </c>
      <c r="M35">
        <v>44239</v>
      </c>
      <c r="O35"/>
      <c r="P35"/>
      <c r="Q35"/>
      <c r="R35" s="165">
        <v>2200</v>
      </c>
      <c r="S35" s="165">
        <v>44230</v>
      </c>
      <c r="T35" t="s">
        <v>1267</v>
      </c>
      <c r="U35" s="165" t="s">
        <v>1267</v>
      </c>
      <c r="V35" s="165" t="s">
        <v>1267</v>
      </c>
      <c r="W35"/>
      <c r="X35"/>
      <c r="AB35"/>
      <c r="AC35"/>
      <c r="AD35"/>
      <c r="AE35"/>
      <c r="AF35"/>
      <c r="AG35"/>
      <c r="AH35"/>
    </row>
    <row r="36" spans="1:34" x14ac:dyDescent="0.25">
      <c r="A36" s="78" t="s">
        <v>1255</v>
      </c>
      <c r="B36" s="165" t="s">
        <v>1261</v>
      </c>
      <c r="C36" s="165" t="s">
        <v>1262</v>
      </c>
      <c r="D36" s="165">
        <v>1</v>
      </c>
      <c r="E36" s="165" t="s">
        <v>1250</v>
      </c>
      <c r="F36" s="165" t="s">
        <v>1301</v>
      </c>
      <c r="G36" s="165" t="s">
        <v>1671</v>
      </c>
      <c r="H36" s="165" t="s">
        <v>1270</v>
      </c>
      <c r="I36" s="165">
        <v>44230</v>
      </c>
      <c r="J36">
        <v>44230</v>
      </c>
      <c r="K36" s="165" t="s">
        <v>1671</v>
      </c>
      <c r="L36">
        <v>650</v>
      </c>
      <c r="M36">
        <v>44239</v>
      </c>
      <c r="O36"/>
      <c r="P36"/>
      <c r="Q36"/>
      <c r="R36" s="165">
        <v>650</v>
      </c>
      <c r="S36" s="165">
        <v>44230</v>
      </c>
      <c r="T36" t="s">
        <v>1267</v>
      </c>
      <c r="U36" s="165" t="s">
        <v>1267</v>
      </c>
      <c r="V36" s="165" t="s">
        <v>1267</v>
      </c>
      <c r="W36"/>
      <c r="X36"/>
      <c r="AB36"/>
      <c r="AC36"/>
      <c r="AD36"/>
      <c r="AE36"/>
      <c r="AF36"/>
      <c r="AG36"/>
      <c r="AH36"/>
    </row>
    <row r="37" spans="1:34" x14ac:dyDescent="0.25">
      <c r="A37" s="78" t="s">
        <v>1255</v>
      </c>
      <c r="B37" s="165" t="s">
        <v>1256</v>
      </c>
      <c r="C37" s="165" t="s">
        <v>1257</v>
      </c>
      <c r="D37" s="165">
        <v>3</v>
      </c>
      <c r="E37" s="165" t="s">
        <v>1250</v>
      </c>
      <c r="F37" s="165" t="s">
        <v>1271</v>
      </c>
      <c r="G37" s="165" t="s">
        <v>1671</v>
      </c>
      <c r="H37" s="165" t="s">
        <v>1270</v>
      </c>
      <c r="I37" s="165">
        <v>44230</v>
      </c>
      <c r="J37">
        <v>44230</v>
      </c>
      <c r="K37" s="165" t="s">
        <v>1671</v>
      </c>
      <c r="L37">
        <v>381.56</v>
      </c>
      <c r="M37">
        <v>44246</v>
      </c>
      <c r="O37"/>
      <c r="P37"/>
      <c r="Q37"/>
      <c r="R37" s="165">
        <v>1144.68</v>
      </c>
      <c r="S37" s="165">
        <v>44230</v>
      </c>
      <c r="T37" t="s">
        <v>1267</v>
      </c>
      <c r="U37" s="165" t="s">
        <v>1267</v>
      </c>
      <c r="V37" s="165" t="s">
        <v>1267</v>
      </c>
      <c r="W37"/>
      <c r="X37"/>
      <c r="AB37"/>
      <c r="AC37"/>
      <c r="AD37"/>
      <c r="AE37"/>
      <c r="AF37"/>
      <c r="AG37"/>
      <c r="AH37"/>
    </row>
    <row r="38" spans="1:34" x14ac:dyDescent="0.25">
      <c r="A38" s="78" t="s">
        <v>1255</v>
      </c>
      <c r="B38" s="165" t="s">
        <v>97</v>
      </c>
      <c r="C38" s="165" t="s">
        <v>1302</v>
      </c>
      <c r="D38" s="165">
        <v>1</v>
      </c>
      <c r="E38" s="165" t="s">
        <v>1250</v>
      </c>
      <c r="F38" s="165" t="s">
        <v>1303</v>
      </c>
      <c r="G38" s="165" t="s">
        <v>1671</v>
      </c>
      <c r="H38" s="165" t="s">
        <v>1270</v>
      </c>
      <c r="I38" s="165">
        <v>44232</v>
      </c>
      <c r="J38">
        <v>44232</v>
      </c>
      <c r="K38" s="165" t="s">
        <v>1671</v>
      </c>
      <c r="L38">
        <v>295</v>
      </c>
      <c r="M38">
        <v>44239</v>
      </c>
      <c r="O38"/>
      <c r="P38"/>
      <c r="Q38"/>
      <c r="R38" s="165">
        <v>295</v>
      </c>
      <c r="S38" s="165">
        <v>44232</v>
      </c>
      <c r="T38" t="s">
        <v>1267</v>
      </c>
      <c r="U38" s="165" t="s">
        <v>1267</v>
      </c>
      <c r="V38" s="165" t="s">
        <v>1267</v>
      </c>
      <c r="W38"/>
      <c r="X38"/>
      <c r="AB38"/>
      <c r="AC38"/>
      <c r="AD38"/>
      <c r="AE38"/>
      <c r="AF38"/>
      <c r="AG38"/>
      <c r="AH38"/>
    </row>
    <row r="39" spans="1:34" x14ac:dyDescent="0.25">
      <c r="A39" s="78" t="s">
        <v>1255</v>
      </c>
      <c r="B39" s="165" t="s">
        <v>97</v>
      </c>
      <c r="C39" s="165" t="s">
        <v>1276</v>
      </c>
      <c r="D39" s="165">
        <v>2</v>
      </c>
      <c r="E39" s="165" t="s">
        <v>1250</v>
      </c>
      <c r="F39" s="165" t="s">
        <v>1304</v>
      </c>
      <c r="G39" s="165" t="s">
        <v>1671</v>
      </c>
      <c r="H39" s="165" t="s">
        <v>1270</v>
      </c>
      <c r="I39" s="165">
        <v>44232</v>
      </c>
      <c r="J39">
        <v>44232</v>
      </c>
      <c r="K39" s="165" t="s">
        <v>1671</v>
      </c>
      <c r="L39">
        <v>3600</v>
      </c>
      <c r="M39">
        <v>44236</v>
      </c>
      <c r="O39"/>
      <c r="P39"/>
      <c r="Q39"/>
      <c r="R39" s="165">
        <v>7200</v>
      </c>
      <c r="S39" s="165">
        <v>44232</v>
      </c>
      <c r="T39" t="s">
        <v>1267</v>
      </c>
      <c r="U39" s="165" t="s">
        <v>1267</v>
      </c>
      <c r="V39" s="165" t="s">
        <v>1267</v>
      </c>
      <c r="W39"/>
      <c r="X39"/>
      <c r="AB39"/>
      <c r="AC39"/>
      <c r="AD39"/>
      <c r="AE39"/>
      <c r="AF39"/>
      <c r="AG39"/>
      <c r="AH39"/>
    </row>
    <row r="40" spans="1:34" x14ac:dyDescent="0.25">
      <c r="A40" s="78" t="s">
        <v>1255</v>
      </c>
      <c r="B40" s="165" t="s">
        <v>97</v>
      </c>
      <c r="C40" s="165" t="s">
        <v>1305</v>
      </c>
      <c r="D40" s="165">
        <v>1</v>
      </c>
      <c r="E40" s="165" t="s">
        <v>1250</v>
      </c>
      <c r="F40" s="165" t="s">
        <v>1306</v>
      </c>
      <c r="G40" s="165" t="s">
        <v>1671</v>
      </c>
      <c r="H40" s="165" t="s">
        <v>1270</v>
      </c>
      <c r="I40" s="165">
        <v>44225</v>
      </c>
      <c r="J40">
        <v>44225</v>
      </c>
      <c r="K40" s="165" t="s">
        <v>1671</v>
      </c>
      <c r="L40">
        <v>10000</v>
      </c>
      <c r="M40">
        <v>44225</v>
      </c>
      <c r="N40">
        <v>10000</v>
      </c>
      <c r="O40">
        <v>44256</v>
      </c>
      <c r="P40"/>
      <c r="Q40"/>
      <c r="R40" s="165">
        <v>20000</v>
      </c>
      <c r="S40" s="165">
        <v>44174</v>
      </c>
      <c r="T40" t="s">
        <v>1267</v>
      </c>
      <c r="U40" s="165" t="s">
        <v>1267</v>
      </c>
      <c r="V40" s="165" t="s">
        <v>1267</v>
      </c>
      <c r="W40"/>
      <c r="X40"/>
      <c r="AB40"/>
      <c r="AC40"/>
      <c r="AD40"/>
      <c r="AE40"/>
      <c r="AF40"/>
      <c r="AG40"/>
      <c r="AH40"/>
    </row>
    <row r="41" spans="1:34" x14ac:dyDescent="0.25">
      <c r="A41" s="78" t="s">
        <v>1255</v>
      </c>
      <c r="B41" s="165" t="s">
        <v>97</v>
      </c>
      <c r="C41" s="165" t="s">
        <v>1283</v>
      </c>
      <c r="D41" s="165">
        <v>1</v>
      </c>
      <c r="E41" s="165" t="s">
        <v>1250</v>
      </c>
      <c r="F41" s="165" t="s">
        <v>1307</v>
      </c>
      <c r="G41" s="165" t="s">
        <v>1671</v>
      </c>
      <c r="H41" s="165" t="s">
        <v>1270</v>
      </c>
      <c r="I41" s="165">
        <v>44174</v>
      </c>
      <c r="J41">
        <v>44174</v>
      </c>
      <c r="K41" s="165" t="s">
        <v>1671</v>
      </c>
      <c r="L41">
        <v>4825</v>
      </c>
      <c r="M41">
        <v>44174</v>
      </c>
      <c r="N41">
        <v>4825</v>
      </c>
      <c r="O41">
        <v>44207</v>
      </c>
      <c r="P41"/>
      <c r="Q41"/>
      <c r="R41" s="165">
        <v>9650</v>
      </c>
      <c r="S41" s="165">
        <v>44174</v>
      </c>
      <c r="T41" t="s">
        <v>1267</v>
      </c>
      <c r="U41" s="165" t="s">
        <v>1267</v>
      </c>
      <c r="V41" s="165" t="s">
        <v>1267</v>
      </c>
      <c r="W41"/>
      <c r="X41"/>
      <c r="AB41"/>
      <c r="AC41"/>
      <c r="AD41"/>
      <c r="AE41"/>
      <c r="AF41"/>
      <c r="AG41"/>
      <c r="AH41"/>
    </row>
    <row r="42" spans="1:34" x14ac:dyDescent="0.25">
      <c r="A42" s="78" t="s">
        <v>1255</v>
      </c>
      <c r="B42" s="165" t="s">
        <v>1261</v>
      </c>
      <c r="C42" s="165" t="s">
        <v>1262</v>
      </c>
      <c r="D42" s="165">
        <v>2</v>
      </c>
      <c r="E42" s="165" t="s">
        <v>1250</v>
      </c>
      <c r="F42" s="165" t="s">
        <v>1263</v>
      </c>
      <c r="G42" s="165" t="s">
        <v>1671</v>
      </c>
      <c r="H42" s="165" t="s">
        <v>1270</v>
      </c>
      <c r="I42" s="165">
        <v>44207</v>
      </c>
      <c r="J42">
        <v>44207</v>
      </c>
      <c r="K42" s="165" t="s">
        <v>1671</v>
      </c>
      <c r="L42">
        <v>460</v>
      </c>
      <c r="M42">
        <v>44239</v>
      </c>
      <c r="O42"/>
      <c r="P42"/>
      <c r="Q42"/>
      <c r="R42" s="165">
        <v>920</v>
      </c>
      <c r="S42" s="165">
        <v>44207</v>
      </c>
      <c r="T42" t="s">
        <v>1267</v>
      </c>
      <c r="U42" s="165" t="s">
        <v>1267</v>
      </c>
      <c r="V42" s="165" t="s">
        <v>1267</v>
      </c>
      <c r="W42"/>
      <c r="X42"/>
      <c r="AB42"/>
      <c r="AC42"/>
      <c r="AD42"/>
      <c r="AE42"/>
      <c r="AF42"/>
      <c r="AG42"/>
      <c r="AH42"/>
    </row>
    <row r="43" spans="1:34" x14ac:dyDescent="0.25">
      <c r="A43" s="78" t="s">
        <v>1255</v>
      </c>
      <c r="B43" s="165" t="s">
        <v>97</v>
      </c>
      <c r="C43" s="165" t="s">
        <v>1308</v>
      </c>
      <c r="D43" s="165">
        <v>1</v>
      </c>
      <c r="E43" s="165" t="s">
        <v>1250</v>
      </c>
      <c r="F43" s="165" t="s">
        <v>1309</v>
      </c>
      <c r="G43" s="165" t="s">
        <v>1671</v>
      </c>
      <c r="H43" s="165" t="s">
        <v>1270</v>
      </c>
      <c r="I43" s="165">
        <v>44217</v>
      </c>
      <c r="J43">
        <v>44217</v>
      </c>
      <c r="K43" s="165" t="s">
        <v>1671</v>
      </c>
      <c r="L43">
        <v>1551.62</v>
      </c>
      <c r="M43">
        <v>44245</v>
      </c>
      <c r="O43"/>
      <c r="P43"/>
      <c r="Q43"/>
      <c r="R43" s="165">
        <v>1551.62</v>
      </c>
      <c r="S43" s="165">
        <v>44223</v>
      </c>
      <c r="T43" t="s">
        <v>1267</v>
      </c>
      <c r="U43" s="165" t="s">
        <v>1267</v>
      </c>
      <c r="V43" s="165" t="s">
        <v>1267</v>
      </c>
      <c r="W43"/>
      <c r="X43"/>
      <c r="AB43"/>
      <c r="AC43"/>
      <c r="AD43"/>
      <c r="AE43"/>
      <c r="AF43"/>
      <c r="AG43"/>
      <c r="AH43"/>
    </row>
    <row r="44" spans="1:34" x14ac:dyDescent="0.25">
      <c r="A44" s="78" t="s">
        <v>1255</v>
      </c>
      <c r="B44" s="165" t="s">
        <v>1292</v>
      </c>
      <c r="C44" s="165" t="s">
        <v>1293</v>
      </c>
      <c r="D44" s="165">
        <v>1</v>
      </c>
      <c r="E44" s="165" t="s">
        <v>1250</v>
      </c>
      <c r="F44" s="165" t="s">
        <v>1310</v>
      </c>
      <c r="G44" s="165" t="s">
        <v>1671</v>
      </c>
      <c r="H44" s="165" t="s">
        <v>1270</v>
      </c>
      <c r="I44" s="165">
        <v>44223</v>
      </c>
      <c r="J44">
        <v>44223</v>
      </c>
      <c r="K44" s="165" t="s">
        <v>1671</v>
      </c>
      <c r="L44">
        <v>450</v>
      </c>
      <c r="M44">
        <v>44243</v>
      </c>
      <c r="O44"/>
      <c r="P44"/>
      <c r="Q44"/>
      <c r="R44" s="165">
        <v>450</v>
      </c>
      <c r="S44" s="165">
        <v>44223</v>
      </c>
      <c r="T44" t="s">
        <v>1267</v>
      </c>
      <c r="U44" s="165" t="s">
        <v>1267</v>
      </c>
      <c r="V44" s="165" t="s">
        <v>1267</v>
      </c>
      <c r="W44"/>
      <c r="X44"/>
      <c r="AB44"/>
      <c r="AC44"/>
      <c r="AD44"/>
      <c r="AE44"/>
      <c r="AF44"/>
      <c r="AG44"/>
      <c r="AH44"/>
    </row>
    <row r="45" spans="1:34" x14ac:dyDescent="0.25">
      <c r="A45" s="78" t="s">
        <v>1255</v>
      </c>
      <c r="B45" s="165" t="s">
        <v>97</v>
      </c>
      <c r="C45" s="165" t="s">
        <v>1264</v>
      </c>
      <c r="D45" s="165">
        <v>1</v>
      </c>
      <c r="E45" s="165" t="s">
        <v>1250</v>
      </c>
      <c r="F45" s="165" t="s">
        <v>1265</v>
      </c>
      <c r="G45" s="165" t="s">
        <v>1671</v>
      </c>
      <c r="H45" s="165" t="s">
        <v>1270</v>
      </c>
      <c r="I45" s="165">
        <v>44208</v>
      </c>
      <c r="J45">
        <v>44208</v>
      </c>
      <c r="K45" s="165" t="s">
        <v>1671</v>
      </c>
      <c r="L45">
        <v>73</v>
      </c>
      <c r="M45">
        <v>44244</v>
      </c>
      <c r="O45"/>
      <c r="P45"/>
      <c r="Q45"/>
      <c r="R45" s="165">
        <v>73</v>
      </c>
      <c r="S45" s="165">
        <v>44208</v>
      </c>
      <c r="T45" t="s">
        <v>1267</v>
      </c>
      <c r="U45" s="165" t="s">
        <v>1267</v>
      </c>
      <c r="V45" s="165" t="s">
        <v>1267</v>
      </c>
      <c r="W45"/>
      <c r="X45"/>
      <c r="AB45"/>
      <c r="AC45"/>
      <c r="AD45"/>
      <c r="AE45"/>
      <c r="AF45"/>
      <c r="AG45"/>
      <c r="AH45"/>
    </row>
    <row r="46" spans="1:34" x14ac:dyDescent="0.25">
      <c r="A46" s="78" t="s">
        <v>1255</v>
      </c>
      <c r="B46" s="165" t="s">
        <v>97</v>
      </c>
      <c r="C46" s="165" t="s">
        <v>1272</v>
      </c>
      <c r="D46" s="165">
        <v>2</v>
      </c>
      <c r="E46" s="165" t="s">
        <v>1250</v>
      </c>
      <c r="F46" s="165" t="s">
        <v>1273</v>
      </c>
      <c r="G46" s="165" t="s">
        <v>1671</v>
      </c>
      <c r="H46" s="165" t="s">
        <v>1270</v>
      </c>
      <c r="I46" s="165">
        <v>44236</v>
      </c>
      <c r="J46">
        <v>44236</v>
      </c>
      <c r="K46" s="165" t="s">
        <v>1671</v>
      </c>
      <c r="L46">
        <v>345.71</v>
      </c>
      <c r="M46">
        <v>44244</v>
      </c>
      <c r="O46"/>
      <c r="P46"/>
      <c r="Q46"/>
      <c r="R46" s="165">
        <v>691.42</v>
      </c>
      <c r="S46" s="165">
        <v>44244</v>
      </c>
      <c r="T46" t="s">
        <v>1267</v>
      </c>
      <c r="U46" s="165" t="s">
        <v>1267</v>
      </c>
      <c r="V46" s="165" t="s">
        <v>1267</v>
      </c>
      <c r="W46"/>
      <c r="X46"/>
      <c r="AB46"/>
      <c r="AC46"/>
      <c r="AD46"/>
      <c r="AE46"/>
      <c r="AF46"/>
      <c r="AG46"/>
      <c r="AH46"/>
    </row>
    <row r="47" spans="1:34" x14ac:dyDescent="0.25">
      <c r="A47" s="78" t="s">
        <v>1255</v>
      </c>
      <c r="B47" s="165" t="s">
        <v>1311</v>
      </c>
      <c r="C47" s="165" t="s">
        <v>1312</v>
      </c>
      <c r="D47" s="165">
        <v>4</v>
      </c>
      <c r="E47" s="165" t="s">
        <v>1250</v>
      </c>
      <c r="F47" s="165" t="s">
        <v>1313</v>
      </c>
      <c r="G47" s="165" t="s">
        <v>1671</v>
      </c>
      <c r="H47" s="165" t="s">
        <v>1270</v>
      </c>
      <c r="I47" s="165">
        <v>44239</v>
      </c>
      <c r="J47">
        <v>44239</v>
      </c>
      <c r="K47" s="165" t="s">
        <v>1671</v>
      </c>
      <c r="L47">
        <v>87.3</v>
      </c>
      <c r="M47">
        <v>44267</v>
      </c>
      <c r="O47"/>
      <c r="P47"/>
      <c r="Q47"/>
      <c r="R47" s="165">
        <v>349.2</v>
      </c>
      <c r="S47" s="165">
        <v>44240</v>
      </c>
      <c r="T47" t="s">
        <v>1267</v>
      </c>
      <c r="U47" s="165" t="s">
        <v>1267</v>
      </c>
      <c r="V47" s="165" t="s">
        <v>1267</v>
      </c>
      <c r="W47"/>
      <c r="X47"/>
      <c r="AB47"/>
      <c r="AC47"/>
      <c r="AD47"/>
      <c r="AE47"/>
      <c r="AF47"/>
      <c r="AG47"/>
      <c r="AH47"/>
    </row>
    <row r="48" spans="1:34" x14ac:dyDescent="0.25">
      <c r="A48" s="78" t="s">
        <v>1255</v>
      </c>
      <c r="B48" s="165" t="s">
        <v>1311</v>
      </c>
      <c r="C48" s="165" t="s">
        <v>1312</v>
      </c>
      <c r="D48" s="165">
        <v>1</v>
      </c>
      <c r="E48" s="165" t="s">
        <v>1250</v>
      </c>
      <c r="F48" s="165" t="s">
        <v>1314</v>
      </c>
      <c r="G48" s="165" t="s">
        <v>1671</v>
      </c>
      <c r="H48" s="165" t="s">
        <v>1270</v>
      </c>
      <c r="I48" s="165">
        <v>44239</v>
      </c>
      <c r="J48">
        <v>44239</v>
      </c>
      <c r="K48" s="165" t="s">
        <v>1671</v>
      </c>
      <c r="L48">
        <v>8.39</v>
      </c>
      <c r="M48">
        <v>44267</v>
      </c>
      <c r="O48"/>
      <c r="P48"/>
      <c r="Q48"/>
      <c r="R48" s="165">
        <v>8.39</v>
      </c>
      <c r="S48" s="165">
        <v>44240</v>
      </c>
      <c r="T48" t="s">
        <v>1267</v>
      </c>
      <c r="U48" s="165" t="s">
        <v>1267</v>
      </c>
      <c r="V48" s="165" t="s">
        <v>1267</v>
      </c>
      <c r="W48"/>
      <c r="X48"/>
      <c r="AB48"/>
      <c r="AC48"/>
      <c r="AD48"/>
      <c r="AE48"/>
      <c r="AF48"/>
      <c r="AG48"/>
      <c r="AH48"/>
    </row>
    <row r="49" spans="1:34" x14ac:dyDescent="0.25">
      <c r="A49" s="78" t="s">
        <v>1255</v>
      </c>
      <c r="B49" s="165" t="s">
        <v>97</v>
      </c>
      <c r="C49" s="165" t="s">
        <v>1283</v>
      </c>
      <c r="D49" s="165">
        <v>2</v>
      </c>
      <c r="E49" s="165" t="s">
        <v>1250</v>
      </c>
      <c r="F49" s="165" t="s">
        <v>1315</v>
      </c>
      <c r="G49" s="165" t="s">
        <v>1671</v>
      </c>
      <c r="H49" s="165" t="s">
        <v>1270</v>
      </c>
      <c r="I49" s="165">
        <v>44243</v>
      </c>
      <c r="J49">
        <v>44243</v>
      </c>
      <c r="K49" s="165" t="s">
        <v>1671</v>
      </c>
      <c r="L49">
        <v>103.21</v>
      </c>
      <c r="M49">
        <v>44249</v>
      </c>
      <c r="O49"/>
      <c r="P49"/>
      <c r="Q49"/>
      <c r="R49" s="165">
        <v>206.42</v>
      </c>
      <c r="S49" s="165">
        <v>44243</v>
      </c>
      <c r="T49" t="s">
        <v>1267</v>
      </c>
      <c r="U49" s="165" t="s">
        <v>1267</v>
      </c>
      <c r="V49" s="165" t="s">
        <v>1267</v>
      </c>
      <c r="W49"/>
      <c r="X49"/>
      <c r="AB49"/>
      <c r="AC49"/>
      <c r="AD49"/>
      <c r="AE49"/>
      <c r="AF49"/>
      <c r="AG49"/>
      <c r="AH49"/>
    </row>
    <row r="50" spans="1:34" x14ac:dyDescent="0.25">
      <c r="A50" s="78" t="s">
        <v>1255</v>
      </c>
      <c r="B50" s="165" t="s">
        <v>1261</v>
      </c>
      <c r="C50" s="165" t="s">
        <v>1262</v>
      </c>
      <c r="D50" s="165">
        <v>40</v>
      </c>
      <c r="E50" s="165" t="s">
        <v>1316</v>
      </c>
      <c r="F50" s="165" t="s">
        <v>1317</v>
      </c>
      <c r="G50" s="165" t="s">
        <v>1671</v>
      </c>
      <c r="H50" s="165" t="s">
        <v>1270</v>
      </c>
      <c r="I50" s="165">
        <v>44243</v>
      </c>
      <c r="J50">
        <v>44243</v>
      </c>
      <c r="K50" s="165" t="s">
        <v>1671</v>
      </c>
      <c r="L50">
        <v>15.994999999999999</v>
      </c>
      <c r="M50">
        <v>44249</v>
      </c>
      <c r="O50"/>
      <c r="P50"/>
      <c r="Q50"/>
      <c r="R50" s="165">
        <v>639.79999999999995</v>
      </c>
      <c r="S50" s="165">
        <v>44243</v>
      </c>
      <c r="T50" t="s">
        <v>1267</v>
      </c>
      <c r="U50" s="165" t="s">
        <v>1267</v>
      </c>
      <c r="V50" s="165" t="s">
        <v>1267</v>
      </c>
      <c r="W50"/>
      <c r="X50"/>
      <c r="AB50"/>
      <c r="AC50"/>
      <c r="AD50"/>
      <c r="AE50"/>
      <c r="AF50"/>
      <c r="AG50"/>
      <c r="AH50"/>
    </row>
    <row r="51" spans="1:34" x14ac:dyDescent="0.25">
      <c r="A51" s="78" t="s">
        <v>1255</v>
      </c>
      <c r="B51" s="165" t="s">
        <v>97</v>
      </c>
      <c r="C51" s="165" t="s">
        <v>1283</v>
      </c>
      <c r="D51" s="165">
        <v>1</v>
      </c>
      <c r="E51" s="165" t="s">
        <v>1250</v>
      </c>
      <c r="F51" s="165" t="s">
        <v>1318</v>
      </c>
      <c r="G51" s="165" t="s">
        <v>1671</v>
      </c>
      <c r="H51" s="165" t="s">
        <v>1270</v>
      </c>
      <c r="I51" s="165">
        <v>44243</v>
      </c>
      <c r="J51">
        <v>44243</v>
      </c>
      <c r="K51" s="165" t="s">
        <v>1671</v>
      </c>
      <c r="L51">
        <v>25</v>
      </c>
      <c r="M51">
        <v>44249</v>
      </c>
      <c r="O51"/>
      <c r="P51"/>
      <c r="Q51"/>
      <c r="R51" s="165">
        <v>25</v>
      </c>
      <c r="S51" s="165">
        <v>44243</v>
      </c>
      <c r="T51" t="s">
        <v>1267</v>
      </c>
      <c r="U51" s="165" t="s">
        <v>1267</v>
      </c>
      <c r="V51" s="165" t="s">
        <v>1267</v>
      </c>
      <c r="W51"/>
      <c r="X51"/>
      <c r="AB51"/>
      <c r="AC51"/>
      <c r="AD51"/>
      <c r="AE51"/>
      <c r="AF51"/>
      <c r="AG51"/>
      <c r="AH51"/>
    </row>
    <row r="52" spans="1:34" x14ac:dyDescent="0.25">
      <c r="A52" s="78" t="s">
        <v>1255</v>
      </c>
      <c r="B52" s="165" t="s">
        <v>97</v>
      </c>
      <c r="C52" s="165" t="s">
        <v>1283</v>
      </c>
      <c r="D52" s="165">
        <v>3</v>
      </c>
      <c r="E52" s="165" t="s">
        <v>1250</v>
      </c>
      <c r="F52" s="165" t="s">
        <v>1319</v>
      </c>
      <c r="G52" s="165" t="s">
        <v>1671</v>
      </c>
      <c r="H52" s="165" t="s">
        <v>1270</v>
      </c>
      <c r="I52" s="165">
        <v>44243</v>
      </c>
      <c r="J52">
        <v>44243</v>
      </c>
      <c r="K52" s="165" t="s">
        <v>1671</v>
      </c>
      <c r="L52">
        <v>25</v>
      </c>
      <c r="M52">
        <v>44249</v>
      </c>
      <c r="O52"/>
      <c r="P52"/>
      <c r="Q52"/>
      <c r="R52" s="165">
        <v>75</v>
      </c>
      <c r="S52" s="165">
        <v>44243</v>
      </c>
      <c r="T52" t="s">
        <v>1267</v>
      </c>
      <c r="U52" s="165" t="s">
        <v>1267</v>
      </c>
      <c r="V52" s="165" t="s">
        <v>1267</v>
      </c>
      <c r="W52"/>
      <c r="X52"/>
      <c r="AB52"/>
      <c r="AC52"/>
      <c r="AD52"/>
      <c r="AE52"/>
      <c r="AF52"/>
      <c r="AG52"/>
      <c r="AH52"/>
    </row>
    <row r="53" spans="1:34" x14ac:dyDescent="0.25">
      <c r="A53" s="78" t="s">
        <v>1255</v>
      </c>
      <c r="B53" s="165" t="s">
        <v>1256</v>
      </c>
      <c r="C53" s="165" t="s">
        <v>1257</v>
      </c>
      <c r="D53" s="165">
        <v>20</v>
      </c>
      <c r="E53" s="165" t="s">
        <v>1320</v>
      </c>
      <c r="F53" s="165" t="s">
        <v>1321</v>
      </c>
      <c r="G53" s="165" t="s">
        <v>1671</v>
      </c>
      <c r="H53" s="165" t="s">
        <v>1270</v>
      </c>
      <c r="I53" s="165">
        <v>44243</v>
      </c>
      <c r="J53">
        <v>44243</v>
      </c>
      <c r="K53" s="165" t="s">
        <v>1671</v>
      </c>
      <c r="L53">
        <v>95</v>
      </c>
      <c r="M53">
        <v>44246</v>
      </c>
      <c r="O53"/>
      <c r="P53"/>
      <c r="Q53"/>
      <c r="R53" s="165">
        <v>1900</v>
      </c>
      <c r="S53" s="165">
        <v>44243</v>
      </c>
      <c r="T53" t="s">
        <v>1267</v>
      </c>
      <c r="U53" s="165" t="s">
        <v>1267</v>
      </c>
      <c r="V53" s="165" t="s">
        <v>1267</v>
      </c>
      <c r="W53"/>
      <c r="X53"/>
      <c r="AB53"/>
      <c r="AC53"/>
      <c r="AD53"/>
      <c r="AE53"/>
      <c r="AF53"/>
      <c r="AG53"/>
      <c r="AH53"/>
    </row>
    <row r="54" spans="1:34" x14ac:dyDescent="0.25">
      <c r="A54" s="78" t="s">
        <v>1255</v>
      </c>
      <c r="B54" s="165" t="s">
        <v>97</v>
      </c>
      <c r="C54" s="165" t="s">
        <v>1322</v>
      </c>
      <c r="D54" s="165">
        <v>1</v>
      </c>
      <c r="E54" s="165" t="s">
        <v>1250</v>
      </c>
      <c r="F54" s="165" t="s">
        <v>1323</v>
      </c>
      <c r="G54" s="165" t="s">
        <v>1671</v>
      </c>
      <c r="H54" s="165" t="s">
        <v>1270</v>
      </c>
      <c r="I54" s="165">
        <v>44244</v>
      </c>
      <c r="J54">
        <v>44244</v>
      </c>
      <c r="K54" s="165" t="s">
        <v>1671</v>
      </c>
      <c r="L54">
        <v>350</v>
      </c>
      <c r="M54">
        <v>44244</v>
      </c>
      <c r="O54"/>
      <c r="P54"/>
      <c r="Q54"/>
      <c r="R54" s="165">
        <v>350</v>
      </c>
      <c r="S54" s="165">
        <v>44243</v>
      </c>
      <c r="T54" t="s">
        <v>1267</v>
      </c>
      <c r="U54" s="165" t="s">
        <v>1267</v>
      </c>
      <c r="V54" s="165" t="s">
        <v>1267</v>
      </c>
      <c r="W54"/>
      <c r="X54"/>
      <c r="AB54"/>
      <c r="AC54"/>
      <c r="AD54"/>
      <c r="AE54"/>
      <c r="AF54"/>
      <c r="AG54"/>
      <c r="AH54"/>
    </row>
    <row r="55" spans="1:34" x14ac:dyDescent="0.25">
      <c r="A55" s="78" t="s">
        <v>1255</v>
      </c>
      <c r="B55" s="165" t="s">
        <v>1311</v>
      </c>
      <c r="C55" s="165" t="s">
        <v>1312</v>
      </c>
      <c r="D55" s="165">
        <v>1</v>
      </c>
      <c r="E55" s="165" t="s">
        <v>1250</v>
      </c>
      <c r="F55" s="165" t="s">
        <v>1324</v>
      </c>
      <c r="G55" s="165" t="s">
        <v>1671</v>
      </c>
      <c r="H55" s="165" t="s">
        <v>1270</v>
      </c>
      <c r="I55" s="165">
        <v>44242</v>
      </c>
      <c r="J55">
        <v>44242</v>
      </c>
      <c r="K55" s="165" t="s">
        <v>1671</v>
      </c>
      <c r="L55">
        <v>109</v>
      </c>
      <c r="M55">
        <v>44242</v>
      </c>
      <c r="O55"/>
      <c r="P55"/>
      <c r="Q55"/>
      <c r="R55" s="165">
        <v>109</v>
      </c>
      <c r="S55" s="165">
        <v>44242</v>
      </c>
      <c r="T55" t="s">
        <v>1267</v>
      </c>
      <c r="U55" s="165" t="s">
        <v>1267</v>
      </c>
      <c r="V55" s="165" t="s">
        <v>1267</v>
      </c>
      <c r="W55"/>
      <c r="X55"/>
      <c r="AB55"/>
      <c r="AC55"/>
      <c r="AD55"/>
      <c r="AE55"/>
      <c r="AF55"/>
      <c r="AG55"/>
      <c r="AH55"/>
    </row>
    <row r="56" spans="1:34" x14ac:dyDescent="0.25">
      <c r="A56" s="78" t="s">
        <v>1255</v>
      </c>
      <c r="B56" s="165" t="s">
        <v>97</v>
      </c>
      <c r="C56" s="165" t="s">
        <v>1272</v>
      </c>
      <c r="D56" s="165">
        <v>1</v>
      </c>
      <c r="E56" s="165" t="s">
        <v>1250</v>
      </c>
      <c r="F56" s="165" t="s">
        <v>1273</v>
      </c>
      <c r="G56" s="165" t="s">
        <v>1671</v>
      </c>
      <c r="H56" s="165" t="s">
        <v>1270</v>
      </c>
      <c r="I56" s="165">
        <v>44236</v>
      </c>
      <c r="J56">
        <v>44236</v>
      </c>
      <c r="K56" s="165" t="s">
        <v>1671</v>
      </c>
      <c r="L56">
        <v>345.71</v>
      </c>
      <c r="M56">
        <v>44244</v>
      </c>
      <c r="O56"/>
      <c r="P56"/>
      <c r="Q56"/>
      <c r="R56" s="165">
        <v>345.71</v>
      </c>
      <c r="S56" s="165">
        <v>44244</v>
      </c>
      <c r="T56" t="s">
        <v>1267</v>
      </c>
      <c r="U56" s="165" t="s">
        <v>1267</v>
      </c>
      <c r="V56" s="165" t="s">
        <v>1267</v>
      </c>
      <c r="W56"/>
      <c r="X56"/>
      <c r="AB56"/>
      <c r="AC56"/>
      <c r="AD56"/>
      <c r="AE56"/>
      <c r="AF56"/>
      <c r="AG56"/>
      <c r="AH56"/>
    </row>
    <row r="57" spans="1:34" x14ac:dyDescent="0.25">
      <c r="A57" s="78" t="s">
        <v>1255</v>
      </c>
      <c r="B57" s="165" t="s">
        <v>1256</v>
      </c>
      <c r="C57" s="165" t="s">
        <v>1257</v>
      </c>
      <c r="D57" s="165">
        <v>2</v>
      </c>
      <c r="E57" s="165" t="s">
        <v>1250</v>
      </c>
      <c r="F57" s="165" t="s">
        <v>1271</v>
      </c>
      <c r="G57" s="165" t="s">
        <v>1671</v>
      </c>
      <c r="H57" s="165" t="s">
        <v>1270</v>
      </c>
      <c r="I57" s="165">
        <v>44244</v>
      </c>
      <c r="J57">
        <v>44244</v>
      </c>
      <c r="K57" s="165" t="s">
        <v>1671</v>
      </c>
      <c r="L57">
        <v>359</v>
      </c>
      <c r="M57">
        <v>44244</v>
      </c>
      <c r="O57"/>
      <c r="P57"/>
      <c r="Q57"/>
      <c r="R57" s="165">
        <v>718</v>
      </c>
      <c r="S57" s="165">
        <v>44244</v>
      </c>
      <c r="T57" t="s">
        <v>1267</v>
      </c>
      <c r="U57" s="165" t="s">
        <v>1267</v>
      </c>
      <c r="V57" s="165" t="s">
        <v>1267</v>
      </c>
      <c r="W57"/>
      <c r="X57"/>
      <c r="AB57"/>
      <c r="AC57"/>
      <c r="AD57"/>
      <c r="AE57"/>
      <c r="AF57"/>
      <c r="AG57"/>
      <c r="AH57"/>
    </row>
    <row r="58" spans="1:34" x14ac:dyDescent="0.25">
      <c r="A58" s="78" t="s">
        <v>1255</v>
      </c>
      <c r="B58" s="165" t="s">
        <v>97</v>
      </c>
      <c r="C58" s="165" t="s">
        <v>1264</v>
      </c>
      <c r="D58" s="165">
        <v>1</v>
      </c>
      <c r="E58" s="165" t="s">
        <v>1250</v>
      </c>
      <c r="F58" s="165" t="s">
        <v>1265</v>
      </c>
      <c r="G58" s="165" t="s">
        <v>1671</v>
      </c>
      <c r="H58" s="165" t="s">
        <v>1270</v>
      </c>
      <c r="I58" s="165">
        <v>44244</v>
      </c>
      <c r="J58">
        <v>44244</v>
      </c>
      <c r="K58" s="165" t="s">
        <v>1671</v>
      </c>
      <c r="L58">
        <v>73</v>
      </c>
      <c r="M58">
        <v>44244</v>
      </c>
      <c r="O58"/>
      <c r="P58"/>
      <c r="Q58"/>
      <c r="R58" s="165">
        <v>73</v>
      </c>
      <c r="S58" s="165">
        <v>44244</v>
      </c>
      <c r="T58" t="s">
        <v>1267</v>
      </c>
      <c r="U58" s="165" t="s">
        <v>1267</v>
      </c>
      <c r="V58" s="165" t="s">
        <v>1267</v>
      </c>
      <c r="W58"/>
      <c r="X58"/>
      <c r="AB58"/>
      <c r="AC58"/>
      <c r="AD58"/>
      <c r="AE58"/>
      <c r="AF58"/>
      <c r="AG58"/>
      <c r="AH58"/>
    </row>
    <row r="59" spans="1:34" x14ac:dyDescent="0.25">
      <c r="A59" s="78" t="s">
        <v>1255</v>
      </c>
      <c r="B59" s="165" t="s">
        <v>97</v>
      </c>
      <c r="C59" s="165" t="s">
        <v>1308</v>
      </c>
      <c r="D59" s="165">
        <v>1</v>
      </c>
      <c r="E59" s="165" t="s">
        <v>1250</v>
      </c>
      <c r="F59" s="165" t="s">
        <v>1325</v>
      </c>
      <c r="G59" s="165" t="s">
        <v>1671</v>
      </c>
      <c r="H59" s="165" t="s">
        <v>1270</v>
      </c>
      <c r="I59" s="165">
        <v>44250</v>
      </c>
      <c r="J59">
        <v>44253</v>
      </c>
      <c r="K59" s="165" t="s">
        <v>1671</v>
      </c>
      <c r="L59">
        <v>2050</v>
      </c>
      <c r="M59">
        <v>44253</v>
      </c>
      <c r="O59"/>
      <c r="P59"/>
      <c r="Q59"/>
      <c r="R59" s="165">
        <v>2050</v>
      </c>
      <c r="S59" s="165"/>
      <c r="T59" t="s">
        <v>1267</v>
      </c>
      <c r="U59" s="165" t="s">
        <v>1267</v>
      </c>
      <c r="V59" s="165" t="s">
        <v>1267</v>
      </c>
      <c r="W59"/>
      <c r="X59"/>
      <c r="AB59"/>
      <c r="AC59"/>
      <c r="AD59"/>
      <c r="AE59"/>
      <c r="AF59"/>
      <c r="AG59"/>
      <c r="AH59"/>
    </row>
    <row r="60" spans="1:34" x14ac:dyDescent="0.25">
      <c r="A60" s="78" t="s">
        <v>1255</v>
      </c>
      <c r="B60" s="165" t="s">
        <v>1311</v>
      </c>
      <c r="C60" s="165" t="s">
        <v>1312</v>
      </c>
      <c r="D60" s="165">
        <v>1</v>
      </c>
      <c r="E60" s="165" t="s">
        <v>1250</v>
      </c>
      <c r="F60" s="165" t="s">
        <v>1326</v>
      </c>
      <c r="G60" s="165" t="s">
        <v>1671</v>
      </c>
      <c r="H60" s="165" t="s">
        <v>1270</v>
      </c>
      <c r="I60" s="165">
        <v>44244</v>
      </c>
      <c r="J60">
        <v>44244</v>
      </c>
      <c r="K60" s="165" t="s">
        <v>1671</v>
      </c>
      <c r="L60">
        <v>2242.35</v>
      </c>
      <c r="M60">
        <v>44272</v>
      </c>
      <c r="O60"/>
      <c r="P60"/>
      <c r="Q60"/>
      <c r="R60" s="165">
        <v>2242.35</v>
      </c>
      <c r="S60" s="165">
        <v>44244</v>
      </c>
      <c r="T60" t="s">
        <v>1267</v>
      </c>
      <c r="U60" s="165" t="s">
        <v>1267</v>
      </c>
      <c r="V60" s="165" t="s">
        <v>1267</v>
      </c>
      <c r="W60"/>
      <c r="X60"/>
      <c r="AB60"/>
      <c r="AC60"/>
      <c r="AD60"/>
      <c r="AE60"/>
      <c r="AF60"/>
      <c r="AG60"/>
      <c r="AH60"/>
    </row>
    <row r="61" spans="1:34" x14ac:dyDescent="0.25">
      <c r="A61" s="78" t="s">
        <v>1255</v>
      </c>
      <c r="B61" s="165" t="s">
        <v>1261</v>
      </c>
      <c r="C61" s="165" t="s">
        <v>1262</v>
      </c>
      <c r="D61" s="165">
        <v>1</v>
      </c>
      <c r="E61" s="165" t="s">
        <v>1250</v>
      </c>
      <c r="F61" s="165" t="s">
        <v>1263</v>
      </c>
      <c r="G61" s="165" t="s">
        <v>1671</v>
      </c>
      <c r="H61" s="165" t="s">
        <v>1270</v>
      </c>
      <c r="I61" s="165">
        <v>44249</v>
      </c>
      <c r="J61">
        <v>44249</v>
      </c>
      <c r="K61" s="165" t="s">
        <v>1671</v>
      </c>
      <c r="L61">
        <v>1006.11</v>
      </c>
      <c r="M61">
        <v>44277</v>
      </c>
      <c r="O61"/>
      <c r="P61"/>
      <c r="Q61"/>
      <c r="R61" s="165">
        <v>1006.11</v>
      </c>
      <c r="S61" s="165">
        <v>44249</v>
      </c>
      <c r="T61" t="s">
        <v>1267</v>
      </c>
      <c r="U61" s="165" t="s">
        <v>1267</v>
      </c>
      <c r="V61" s="165" t="s">
        <v>1267</v>
      </c>
      <c r="W61"/>
      <c r="X61"/>
      <c r="AB61"/>
      <c r="AC61"/>
      <c r="AD61"/>
      <c r="AE61"/>
      <c r="AF61"/>
      <c r="AG61"/>
      <c r="AH61"/>
    </row>
    <row r="62" spans="1:34" x14ac:dyDescent="0.25">
      <c r="A62" s="78" t="s">
        <v>1255</v>
      </c>
      <c r="B62" s="165" t="s">
        <v>97</v>
      </c>
      <c r="C62" s="165" t="s">
        <v>1327</v>
      </c>
      <c r="D62" s="165">
        <v>1</v>
      </c>
      <c r="E62" s="165" t="s">
        <v>1250</v>
      </c>
      <c r="F62" s="165" t="s">
        <v>1328</v>
      </c>
      <c r="G62" s="165" t="s">
        <v>1671</v>
      </c>
      <c r="H62" s="165" t="s">
        <v>1270</v>
      </c>
      <c r="I62" s="165">
        <v>44245</v>
      </c>
      <c r="J62">
        <v>44245</v>
      </c>
      <c r="K62" s="165" t="s">
        <v>1671</v>
      </c>
      <c r="L62">
        <v>5</v>
      </c>
      <c r="M62">
        <v>44245</v>
      </c>
      <c r="O62"/>
      <c r="P62"/>
      <c r="Q62"/>
      <c r="R62" s="165">
        <v>5</v>
      </c>
      <c r="S62" s="165">
        <v>44245</v>
      </c>
      <c r="T62" t="s">
        <v>1267</v>
      </c>
      <c r="U62" s="165" t="s">
        <v>1267</v>
      </c>
      <c r="V62" s="165" t="s">
        <v>1267</v>
      </c>
      <c r="W62"/>
      <c r="X62"/>
      <c r="AB62"/>
      <c r="AC62"/>
      <c r="AD62"/>
      <c r="AE62"/>
      <c r="AF62"/>
      <c r="AG62"/>
      <c r="AH62"/>
    </row>
    <row r="63" spans="1:34" x14ac:dyDescent="0.25">
      <c r="A63" s="78" t="s">
        <v>1255</v>
      </c>
      <c r="B63" s="165" t="s">
        <v>97</v>
      </c>
      <c r="C63" s="165" t="s">
        <v>1327</v>
      </c>
      <c r="D63" s="165">
        <v>1</v>
      </c>
      <c r="E63" s="165" t="s">
        <v>1250</v>
      </c>
      <c r="F63" s="165" t="s">
        <v>1329</v>
      </c>
      <c r="G63" s="165" t="s">
        <v>1671</v>
      </c>
      <c r="H63" s="165" t="s">
        <v>1270</v>
      </c>
      <c r="I63" s="165">
        <v>44245</v>
      </c>
      <c r="J63">
        <v>44245</v>
      </c>
      <c r="K63" s="165" t="s">
        <v>1671</v>
      </c>
      <c r="L63">
        <v>18</v>
      </c>
      <c r="M63">
        <v>44245</v>
      </c>
      <c r="O63"/>
      <c r="P63"/>
      <c r="Q63"/>
      <c r="R63" s="165">
        <v>18</v>
      </c>
      <c r="S63" s="165">
        <v>44245</v>
      </c>
      <c r="T63" t="s">
        <v>1267</v>
      </c>
      <c r="U63" s="165" t="s">
        <v>1267</v>
      </c>
      <c r="V63" s="165" t="s">
        <v>1267</v>
      </c>
      <c r="W63"/>
      <c r="X63"/>
      <c r="AB63"/>
      <c r="AC63"/>
      <c r="AD63"/>
      <c r="AE63"/>
      <c r="AF63"/>
      <c r="AG63"/>
      <c r="AH63"/>
    </row>
    <row r="64" spans="1:34" x14ac:dyDescent="0.25">
      <c r="A64" s="78" t="s">
        <v>1255</v>
      </c>
      <c r="B64" s="165" t="s">
        <v>1311</v>
      </c>
      <c r="C64" s="165" t="s">
        <v>1312</v>
      </c>
      <c r="D64" s="165">
        <v>1</v>
      </c>
      <c r="E64" s="165" t="s">
        <v>1250</v>
      </c>
      <c r="F64" s="165" t="s">
        <v>1330</v>
      </c>
      <c r="G64" s="165" t="s">
        <v>1671</v>
      </c>
      <c r="H64" s="165" t="s">
        <v>1270</v>
      </c>
      <c r="I64" s="165">
        <v>44252</v>
      </c>
      <c r="J64">
        <v>44252</v>
      </c>
      <c r="K64" s="165" t="s">
        <v>1671</v>
      </c>
      <c r="L64">
        <v>34</v>
      </c>
      <c r="M64">
        <v>44252</v>
      </c>
      <c r="O64"/>
      <c r="P64"/>
      <c r="Q64"/>
      <c r="R64" s="165">
        <v>34</v>
      </c>
      <c r="S64" s="165">
        <v>44252</v>
      </c>
      <c r="T64" t="s">
        <v>1267</v>
      </c>
      <c r="U64" s="165" t="s">
        <v>1267</v>
      </c>
      <c r="V64" s="165" t="s">
        <v>1267</v>
      </c>
      <c r="W64"/>
      <c r="X64"/>
      <c r="AB64"/>
      <c r="AC64"/>
      <c r="AD64"/>
      <c r="AE64"/>
      <c r="AF64"/>
      <c r="AG64"/>
      <c r="AH64"/>
    </row>
    <row r="65" spans="1:34" x14ac:dyDescent="0.25">
      <c r="A65" s="78" t="s">
        <v>1255</v>
      </c>
      <c r="B65" s="165" t="s">
        <v>1261</v>
      </c>
      <c r="C65" s="165" t="s">
        <v>1262</v>
      </c>
      <c r="D65" s="165">
        <v>1</v>
      </c>
      <c r="E65" s="165" t="s">
        <v>1250</v>
      </c>
      <c r="F65" s="165" t="s">
        <v>1263</v>
      </c>
      <c r="G65" s="165" t="s">
        <v>1671</v>
      </c>
      <c r="H65" s="165" t="s">
        <v>1270</v>
      </c>
      <c r="I65" s="165">
        <v>44253</v>
      </c>
      <c r="J65">
        <v>44253</v>
      </c>
      <c r="K65" s="165" t="s">
        <v>1671</v>
      </c>
      <c r="L65">
        <v>982.22</v>
      </c>
      <c r="M65">
        <v>44253</v>
      </c>
      <c r="O65"/>
      <c r="P65"/>
      <c r="Q65"/>
      <c r="R65" s="165">
        <v>982.22</v>
      </c>
      <c r="S65" s="165">
        <v>44253</v>
      </c>
      <c r="T65" t="s">
        <v>1267</v>
      </c>
      <c r="U65" s="165" t="s">
        <v>1267</v>
      </c>
      <c r="V65" s="165" t="s">
        <v>1267</v>
      </c>
      <c r="W65"/>
      <c r="X65"/>
      <c r="AB65"/>
      <c r="AC65"/>
      <c r="AD65"/>
      <c r="AE65"/>
      <c r="AF65"/>
      <c r="AG65"/>
      <c r="AH65"/>
    </row>
    <row r="66" spans="1:34" x14ac:dyDescent="0.25">
      <c r="A66" s="78" t="s">
        <v>1255</v>
      </c>
      <c r="B66" s="165" t="s">
        <v>1256</v>
      </c>
      <c r="C66" s="165" t="s">
        <v>1257</v>
      </c>
      <c r="D66" s="165">
        <v>81.599999999999994</v>
      </c>
      <c r="E66" s="165" t="s">
        <v>1320</v>
      </c>
      <c r="F66" s="165" t="s">
        <v>1258</v>
      </c>
      <c r="G66" s="165" t="s">
        <v>1671</v>
      </c>
      <c r="H66" s="165" t="s">
        <v>1270</v>
      </c>
      <c r="I66" s="165">
        <v>44252</v>
      </c>
      <c r="J66">
        <v>44252</v>
      </c>
      <c r="K66" s="165" t="s">
        <v>1671</v>
      </c>
      <c r="L66">
        <v>32.400799999999997</v>
      </c>
      <c r="M66">
        <v>44252</v>
      </c>
      <c r="O66"/>
      <c r="P66"/>
      <c r="Q66"/>
      <c r="R66" s="165">
        <v>2643.9052799999995</v>
      </c>
      <c r="S66" s="165">
        <v>44252</v>
      </c>
      <c r="T66" t="s">
        <v>1267</v>
      </c>
      <c r="U66" s="165" t="s">
        <v>1267</v>
      </c>
      <c r="V66" s="165" t="s">
        <v>1267</v>
      </c>
      <c r="W66"/>
      <c r="X66"/>
      <c r="AB66"/>
      <c r="AC66"/>
      <c r="AD66"/>
      <c r="AE66"/>
      <c r="AF66"/>
      <c r="AG66"/>
      <c r="AH66"/>
    </row>
    <row r="67" spans="1:34" x14ac:dyDescent="0.25">
      <c r="A67" s="78" t="s">
        <v>1255</v>
      </c>
      <c r="B67" s="165" t="s">
        <v>1261</v>
      </c>
      <c r="C67" s="165" t="s">
        <v>1262</v>
      </c>
      <c r="D67" s="165">
        <v>1</v>
      </c>
      <c r="E67" s="165" t="s">
        <v>1250</v>
      </c>
      <c r="F67" s="165" t="s">
        <v>1263</v>
      </c>
      <c r="G67" s="165" t="s">
        <v>1671</v>
      </c>
      <c r="H67" s="165" t="s">
        <v>1270</v>
      </c>
      <c r="I67" s="165">
        <v>44252</v>
      </c>
      <c r="J67">
        <v>44252</v>
      </c>
      <c r="K67" s="165" t="s">
        <v>1671</v>
      </c>
      <c r="L67">
        <v>982.21810000000005</v>
      </c>
      <c r="M67">
        <v>44252</v>
      </c>
      <c r="O67"/>
      <c r="P67"/>
      <c r="Q67"/>
      <c r="R67" s="165">
        <v>982.21810000000005</v>
      </c>
      <c r="S67" s="165">
        <v>44252</v>
      </c>
      <c r="T67" t="s">
        <v>1267</v>
      </c>
      <c r="U67" s="165" t="s">
        <v>1267</v>
      </c>
      <c r="V67" s="165" t="s">
        <v>1267</v>
      </c>
      <c r="W67"/>
      <c r="X67"/>
      <c r="AB67"/>
      <c r="AC67"/>
      <c r="AD67"/>
      <c r="AE67"/>
      <c r="AF67"/>
      <c r="AG67"/>
      <c r="AH67"/>
    </row>
    <row r="68" spans="1:34" x14ac:dyDescent="0.25">
      <c r="A68" s="78" t="s">
        <v>1255</v>
      </c>
      <c r="B68" s="165" t="s">
        <v>1256</v>
      </c>
      <c r="C68" s="165" t="s">
        <v>1257</v>
      </c>
      <c r="D68" s="165">
        <v>163.19999999999999</v>
      </c>
      <c r="E68" s="165" t="s">
        <v>1320</v>
      </c>
      <c r="F68" s="165" t="s">
        <v>1258</v>
      </c>
      <c r="G68" s="165" t="s">
        <v>1671</v>
      </c>
      <c r="H68" s="165" t="s">
        <v>1270</v>
      </c>
      <c r="I68" s="165">
        <v>44251</v>
      </c>
      <c r="J68">
        <v>44251</v>
      </c>
      <c r="K68" s="165" t="s">
        <v>1671</v>
      </c>
      <c r="L68">
        <v>30.8996</v>
      </c>
      <c r="M68">
        <v>44252</v>
      </c>
      <c r="O68"/>
      <c r="P68"/>
      <c r="Q68"/>
      <c r="R68" s="165">
        <v>5042.8147199999994</v>
      </c>
      <c r="S68" s="165">
        <v>44251</v>
      </c>
      <c r="T68" t="s">
        <v>1267</v>
      </c>
      <c r="U68" s="165" t="s">
        <v>1267</v>
      </c>
      <c r="V68" s="165" t="s">
        <v>1267</v>
      </c>
      <c r="W68"/>
      <c r="X68"/>
      <c r="AB68"/>
      <c r="AC68"/>
      <c r="AD68"/>
      <c r="AE68"/>
      <c r="AF68"/>
      <c r="AG68"/>
      <c r="AH68"/>
    </row>
    <row r="69" spans="1:34" x14ac:dyDescent="0.25">
      <c r="A69" s="78" t="s">
        <v>1255</v>
      </c>
      <c r="B69" s="165" t="s">
        <v>1311</v>
      </c>
      <c r="C69" s="165" t="s">
        <v>1312</v>
      </c>
      <c r="D69" s="165">
        <v>7</v>
      </c>
      <c r="E69" s="165" t="s">
        <v>997</v>
      </c>
      <c r="F69" s="165" t="s">
        <v>1331</v>
      </c>
      <c r="G69" s="165" t="s">
        <v>1671</v>
      </c>
      <c r="H69" s="165" t="s">
        <v>1270</v>
      </c>
      <c r="I69" s="165">
        <v>44252</v>
      </c>
      <c r="J69">
        <v>44252</v>
      </c>
      <c r="K69" s="165" t="s">
        <v>1671</v>
      </c>
      <c r="L69">
        <v>9.15</v>
      </c>
      <c r="M69">
        <v>44252</v>
      </c>
      <c r="O69"/>
      <c r="P69"/>
      <c r="Q69"/>
      <c r="R69" s="165">
        <v>64.05</v>
      </c>
      <c r="S69" s="165">
        <v>44252</v>
      </c>
      <c r="T69" t="s">
        <v>1267</v>
      </c>
      <c r="U69" s="165" t="s">
        <v>1267</v>
      </c>
      <c r="V69" s="165" t="s">
        <v>1267</v>
      </c>
      <c r="W69"/>
      <c r="X69"/>
      <c r="AB69"/>
      <c r="AC69"/>
      <c r="AD69"/>
      <c r="AE69"/>
      <c r="AF69"/>
      <c r="AG69"/>
      <c r="AH69"/>
    </row>
    <row r="70" spans="1:34" x14ac:dyDescent="0.25">
      <c r="A70" s="78" t="s">
        <v>1255</v>
      </c>
      <c r="B70" s="165" t="s">
        <v>1311</v>
      </c>
      <c r="C70" s="165" t="s">
        <v>1312</v>
      </c>
      <c r="D70" s="165">
        <v>6</v>
      </c>
      <c r="E70" s="165" t="s">
        <v>997</v>
      </c>
      <c r="F70" s="165" t="s">
        <v>1332</v>
      </c>
      <c r="G70" s="165" t="s">
        <v>1671</v>
      </c>
      <c r="H70" s="165" t="s">
        <v>1270</v>
      </c>
      <c r="I70" s="165">
        <v>44252</v>
      </c>
      <c r="J70">
        <v>44252</v>
      </c>
      <c r="K70" s="165" t="s">
        <v>1671</v>
      </c>
      <c r="L70">
        <v>6.69</v>
      </c>
      <c r="M70">
        <v>44252</v>
      </c>
      <c r="O70"/>
      <c r="P70"/>
      <c r="Q70"/>
      <c r="R70" s="165">
        <v>40.14</v>
      </c>
      <c r="S70" s="165">
        <v>44252</v>
      </c>
      <c r="T70" t="s">
        <v>1267</v>
      </c>
      <c r="U70" s="165" t="s">
        <v>1267</v>
      </c>
      <c r="V70" s="165" t="s">
        <v>1267</v>
      </c>
      <c r="W70"/>
      <c r="X70"/>
      <c r="AB70"/>
      <c r="AC70"/>
      <c r="AD70"/>
      <c r="AE70"/>
      <c r="AF70"/>
      <c r="AG70"/>
      <c r="AH70"/>
    </row>
    <row r="71" spans="1:34" x14ac:dyDescent="0.25">
      <c r="A71" s="78" t="s">
        <v>1255</v>
      </c>
      <c r="B71" s="165" t="s">
        <v>1256</v>
      </c>
      <c r="C71" s="165" t="s">
        <v>1281</v>
      </c>
      <c r="D71" s="165">
        <v>1</v>
      </c>
      <c r="E71" s="165" t="s">
        <v>1250</v>
      </c>
      <c r="F71" s="165" t="s">
        <v>1282</v>
      </c>
      <c r="G71" s="165" t="s">
        <v>1671</v>
      </c>
      <c r="H71" s="165" t="s">
        <v>1270</v>
      </c>
      <c r="I71" s="165">
        <v>44257</v>
      </c>
      <c r="J71">
        <v>44257</v>
      </c>
      <c r="K71" s="165" t="s">
        <v>1671</v>
      </c>
      <c r="L71">
        <v>72.94</v>
      </c>
      <c r="M71">
        <v>44257</v>
      </c>
      <c r="O71"/>
      <c r="P71"/>
      <c r="Q71"/>
      <c r="R71" s="165">
        <v>72.94</v>
      </c>
      <c r="S71" s="165"/>
      <c r="T71" t="s">
        <v>1267</v>
      </c>
      <c r="U71" s="165" t="s">
        <v>1267</v>
      </c>
      <c r="V71" s="165" t="s">
        <v>1267</v>
      </c>
      <c r="W71"/>
      <c r="X71"/>
      <c r="AB71"/>
      <c r="AC71"/>
      <c r="AD71"/>
      <c r="AE71"/>
      <c r="AF71"/>
      <c r="AG71"/>
      <c r="AH71"/>
    </row>
    <row r="72" spans="1:34" x14ac:dyDescent="0.25">
      <c r="A72" s="78" t="s">
        <v>1255</v>
      </c>
      <c r="B72" s="165" t="s">
        <v>1292</v>
      </c>
      <c r="C72" s="165" t="s">
        <v>1293</v>
      </c>
      <c r="D72" s="165">
        <v>1</v>
      </c>
      <c r="E72" s="165" t="s">
        <v>1250</v>
      </c>
      <c r="F72" s="165" t="s">
        <v>1333</v>
      </c>
      <c r="G72" s="165" t="s">
        <v>1671</v>
      </c>
      <c r="H72" s="165" t="s">
        <v>1270</v>
      </c>
      <c r="I72" s="165">
        <v>44256</v>
      </c>
      <c r="J72">
        <v>44256</v>
      </c>
      <c r="K72" s="165" t="s">
        <v>1671</v>
      </c>
      <c r="L72">
        <v>268.27</v>
      </c>
      <c r="M72">
        <v>44256</v>
      </c>
      <c r="O72"/>
      <c r="P72"/>
      <c r="Q72"/>
      <c r="R72" s="165">
        <v>268.27</v>
      </c>
      <c r="S72" s="165">
        <v>44256</v>
      </c>
      <c r="T72" t="s">
        <v>1267</v>
      </c>
      <c r="U72" s="165" t="s">
        <v>1267</v>
      </c>
      <c r="V72" s="165" t="s">
        <v>1267</v>
      </c>
      <c r="W72"/>
      <c r="X72"/>
      <c r="AB72"/>
      <c r="AC72"/>
      <c r="AD72"/>
      <c r="AE72"/>
      <c r="AF72"/>
      <c r="AG72"/>
      <c r="AH72"/>
    </row>
    <row r="73" spans="1:34" x14ac:dyDescent="0.25">
      <c r="A73" s="78" t="s">
        <v>1255</v>
      </c>
      <c r="B73" s="165" t="s">
        <v>1292</v>
      </c>
      <c r="C73" s="165" t="s">
        <v>1293</v>
      </c>
      <c r="D73" s="165">
        <v>1</v>
      </c>
      <c r="E73" s="165" t="s">
        <v>1250</v>
      </c>
      <c r="F73" s="165" t="s">
        <v>1334</v>
      </c>
      <c r="G73" s="165" t="s">
        <v>1671</v>
      </c>
      <c r="H73" s="165" t="s">
        <v>1270</v>
      </c>
      <c r="I73" s="165">
        <v>44256</v>
      </c>
      <c r="J73">
        <v>44256</v>
      </c>
      <c r="K73" s="165" t="s">
        <v>1671</v>
      </c>
      <c r="L73">
        <v>11.91</v>
      </c>
      <c r="M73">
        <v>44256</v>
      </c>
      <c r="O73"/>
      <c r="P73"/>
      <c r="Q73"/>
      <c r="R73" s="165">
        <v>11.91</v>
      </c>
      <c r="S73" s="165"/>
      <c r="T73" t="s">
        <v>1267</v>
      </c>
      <c r="U73" s="165" t="s">
        <v>1267</v>
      </c>
      <c r="V73" s="165" t="s">
        <v>1267</v>
      </c>
      <c r="W73"/>
      <c r="X73"/>
      <c r="AB73"/>
      <c r="AC73"/>
      <c r="AD73"/>
      <c r="AE73"/>
      <c r="AF73"/>
      <c r="AG73"/>
      <c r="AH73"/>
    </row>
    <row r="74" spans="1:34" x14ac:dyDescent="0.25">
      <c r="A74" s="78" t="s">
        <v>1255</v>
      </c>
      <c r="B74" s="165" t="s">
        <v>1292</v>
      </c>
      <c r="C74" s="165" t="s">
        <v>1293</v>
      </c>
      <c r="D74" s="165">
        <v>1</v>
      </c>
      <c r="E74" s="165" t="s">
        <v>1250</v>
      </c>
      <c r="F74" s="165" t="s">
        <v>1335</v>
      </c>
      <c r="G74" s="165" t="s">
        <v>1671</v>
      </c>
      <c r="H74" s="165" t="s">
        <v>1270</v>
      </c>
      <c r="I74" s="165">
        <v>44256</v>
      </c>
      <c r="J74">
        <v>44256</v>
      </c>
      <c r="K74" s="165" t="s">
        <v>1671</v>
      </c>
      <c r="L74">
        <v>14.52</v>
      </c>
      <c r="M74">
        <v>44256</v>
      </c>
      <c r="O74"/>
      <c r="P74"/>
      <c r="Q74"/>
      <c r="R74" s="165">
        <v>14.52</v>
      </c>
      <c r="S74" s="165"/>
      <c r="T74" t="s">
        <v>1267</v>
      </c>
      <c r="U74" s="165" t="s">
        <v>1267</v>
      </c>
      <c r="V74" s="165" t="s">
        <v>1267</v>
      </c>
      <c r="W74"/>
      <c r="X74"/>
      <c r="AB74"/>
      <c r="AC74"/>
      <c r="AD74"/>
      <c r="AE74"/>
      <c r="AF74"/>
      <c r="AG74"/>
      <c r="AH74"/>
    </row>
    <row r="75" spans="1:34" x14ac:dyDescent="0.25">
      <c r="A75" s="78" t="s">
        <v>1255</v>
      </c>
      <c r="B75" s="165" t="s">
        <v>97</v>
      </c>
      <c r="C75" s="165" t="s">
        <v>1264</v>
      </c>
      <c r="D75" s="165">
        <v>2</v>
      </c>
      <c r="E75" s="165" t="s">
        <v>1250</v>
      </c>
      <c r="F75" s="165" t="s">
        <v>1265</v>
      </c>
      <c r="G75" s="165" t="s">
        <v>1671</v>
      </c>
      <c r="H75" s="165" t="s">
        <v>1270</v>
      </c>
      <c r="I75" s="165">
        <v>44257</v>
      </c>
      <c r="J75">
        <v>44257</v>
      </c>
      <c r="K75" s="165" t="s">
        <v>1671</v>
      </c>
      <c r="L75">
        <v>79</v>
      </c>
      <c r="M75">
        <v>44257</v>
      </c>
      <c r="O75"/>
      <c r="P75"/>
      <c r="Q75"/>
      <c r="R75" s="165">
        <v>158</v>
      </c>
      <c r="S75" s="165">
        <v>44257</v>
      </c>
      <c r="T75" t="s">
        <v>1267</v>
      </c>
      <c r="U75" s="165" t="s">
        <v>1267</v>
      </c>
      <c r="V75" s="165" t="s">
        <v>1267</v>
      </c>
      <c r="W75"/>
      <c r="X75"/>
      <c r="AB75"/>
      <c r="AC75"/>
      <c r="AD75"/>
      <c r="AE75"/>
      <c r="AF75"/>
      <c r="AG75"/>
      <c r="AH75"/>
    </row>
    <row r="76" spans="1:34" x14ac:dyDescent="0.25">
      <c r="A76" s="78" t="s">
        <v>1255</v>
      </c>
      <c r="B76" s="165" t="s">
        <v>1261</v>
      </c>
      <c r="C76" s="165" t="s">
        <v>1262</v>
      </c>
      <c r="D76" s="165">
        <v>1</v>
      </c>
      <c r="E76" s="165" t="s">
        <v>1250</v>
      </c>
      <c r="F76" s="165" t="s">
        <v>1263</v>
      </c>
      <c r="G76" s="165" t="s">
        <v>1671</v>
      </c>
      <c r="H76" s="165" t="s">
        <v>1270</v>
      </c>
      <c r="I76" s="165">
        <v>44257</v>
      </c>
      <c r="J76">
        <v>44257</v>
      </c>
      <c r="K76" s="165" t="s">
        <v>1671</v>
      </c>
      <c r="L76">
        <v>982.22</v>
      </c>
      <c r="M76">
        <v>44257</v>
      </c>
      <c r="O76"/>
      <c r="P76"/>
      <c r="Q76"/>
      <c r="R76" s="165">
        <v>982.22</v>
      </c>
      <c r="S76" s="165">
        <v>44257</v>
      </c>
      <c r="T76" t="s">
        <v>1267</v>
      </c>
      <c r="U76" s="165" t="s">
        <v>1267</v>
      </c>
      <c r="V76" s="165" t="s">
        <v>1267</v>
      </c>
      <c r="W76"/>
      <c r="X76"/>
      <c r="AB76"/>
      <c r="AC76"/>
      <c r="AD76"/>
      <c r="AE76"/>
      <c r="AF76"/>
      <c r="AG76"/>
      <c r="AH76"/>
    </row>
    <row r="77" spans="1:34" x14ac:dyDescent="0.25">
      <c r="A77" s="78" t="s">
        <v>1255</v>
      </c>
      <c r="B77" s="165" t="s">
        <v>1292</v>
      </c>
      <c r="C77" s="165" t="s">
        <v>1293</v>
      </c>
      <c r="D77" s="165">
        <v>1</v>
      </c>
      <c r="E77" s="165" t="s">
        <v>1250</v>
      </c>
      <c r="F77" s="165" t="s">
        <v>1336</v>
      </c>
      <c r="G77" s="165" t="s">
        <v>1671</v>
      </c>
      <c r="H77" s="165" t="s">
        <v>1270</v>
      </c>
      <c r="I77" s="165">
        <v>44257</v>
      </c>
      <c r="J77">
        <v>44257</v>
      </c>
      <c r="K77" s="165" t="s">
        <v>1671</v>
      </c>
      <c r="L77">
        <v>150</v>
      </c>
      <c r="M77">
        <v>44257</v>
      </c>
      <c r="O77"/>
      <c r="P77"/>
      <c r="Q77"/>
      <c r="R77" s="165">
        <v>150</v>
      </c>
      <c r="S77" s="165"/>
      <c r="T77" t="s">
        <v>1267</v>
      </c>
      <c r="U77" s="165" t="s">
        <v>1267</v>
      </c>
      <c r="V77" s="165" t="s">
        <v>1267</v>
      </c>
      <c r="W77"/>
      <c r="X77"/>
      <c r="AB77"/>
      <c r="AC77"/>
      <c r="AD77"/>
      <c r="AE77"/>
      <c r="AF77"/>
      <c r="AG77"/>
      <c r="AH77"/>
    </row>
    <row r="78" spans="1:34" x14ac:dyDescent="0.25">
      <c r="A78" s="78" t="s">
        <v>1255</v>
      </c>
      <c r="B78" s="165" t="s">
        <v>1292</v>
      </c>
      <c r="C78" s="165" t="s">
        <v>1293</v>
      </c>
      <c r="D78" s="165">
        <v>1</v>
      </c>
      <c r="E78" s="165" t="s">
        <v>1250</v>
      </c>
      <c r="F78" s="165" t="s">
        <v>1336</v>
      </c>
      <c r="G78" s="165" t="s">
        <v>1671</v>
      </c>
      <c r="H78" s="165" t="s">
        <v>1270</v>
      </c>
      <c r="I78" s="165">
        <v>44257</v>
      </c>
      <c r="J78">
        <v>44257</v>
      </c>
      <c r="K78" s="165" t="s">
        <v>1671</v>
      </c>
      <c r="L78">
        <v>100</v>
      </c>
      <c r="M78">
        <v>44258</v>
      </c>
      <c r="O78"/>
      <c r="P78"/>
      <c r="Q78"/>
      <c r="R78" s="165">
        <v>100</v>
      </c>
      <c r="S78" s="165"/>
      <c r="T78" t="s">
        <v>1267</v>
      </c>
      <c r="U78" s="165" t="s">
        <v>1267</v>
      </c>
      <c r="V78" s="165" t="s">
        <v>1267</v>
      </c>
      <c r="W78"/>
      <c r="X78"/>
      <c r="AB78"/>
      <c r="AC78"/>
      <c r="AD78"/>
      <c r="AE78"/>
      <c r="AF78"/>
      <c r="AG78"/>
      <c r="AH78"/>
    </row>
    <row r="79" spans="1:34" x14ac:dyDescent="0.25">
      <c r="A79" s="78" t="s">
        <v>1255</v>
      </c>
      <c r="B79" s="165" t="s">
        <v>1256</v>
      </c>
      <c r="C79" s="165" t="s">
        <v>1257</v>
      </c>
      <c r="D79" s="165">
        <v>13</v>
      </c>
      <c r="E79" s="165" t="s">
        <v>1250</v>
      </c>
      <c r="F79" s="165" t="s">
        <v>1258</v>
      </c>
      <c r="G79" s="165" t="s">
        <v>1671</v>
      </c>
      <c r="H79" s="165" t="s">
        <v>1270</v>
      </c>
      <c r="I79" s="165">
        <v>44258</v>
      </c>
      <c r="J79">
        <v>44258</v>
      </c>
      <c r="K79" s="165" t="s">
        <v>1671</v>
      </c>
      <c r="L79">
        <v>480</v>
      </c>
      <c r="M79">
        <v>44258</v>
      </c>
      <c r="O79"/>
      <c r="P79"/>
      <c r="Q79"/>
      <c r="R79" s="165">
        <v>6240</v>
      </c>
      <c r="S79" s="165">
        <v>44258</v>
      </c>
      <c r="T79" t="s">
        <v>1267</v>
      </c>
      <c r="U79" s="165" t="s">
        <v>1267</v>
      </c>
      <c r="V79" s="165" t="s">
        <v>1267</v>
      </c>
      <c r="W79"/>
      <c r="X79"/>
      <c r="AB79"/>
      <c r="AC79"/>
      <c r="AD79"/>
      <c r="AE79"/>
      <c r="AF79"/>
      <c r="AG79"/>
      <c r="AH79"/>
    </row>
    <row r="80" spans="1:34" x14ac:dyDescent="0.25">
      <c r="A80" s="78" t="s">
        <v>1255</v>
      </c>
      <c r="B80" s="165" t="s">
        <v>1261</v>
      </c>
      <c r="C80" s="165" t="s">
        <v>1262</v>
      </c>
      <c r="D80" s="165">
        <v>2</v>
      </c>
      <c r="E80" s="165" t="s">
        <v>1250</v>
      </c>
      <c r="F80" s="165" t="s">
        <v>1263</v>
      </c>
      <c r="G80" s="165" t="s">
        <v>1671</v>
      </c>
      <c r="H80" s="165" t="s">
        <v>1270</v>
      </c>
      <c r="I80" s="165">
        <v>44260</v>
      </c>
      <c r="J80">
        <v>44260</v>
      </c>
      <c r="K80" s="165" t="s">
        <v>1671</v>
      </c>
      <c r="L80">
        <v>982.21</v>
      </c>
      <c r="M80">
        <v>44260</v>
      </c>
      <c r="O80"/>
      <c r="P80"/>
      <c r="Q80"/>
      <c r="R80" s="165">
        <v>1964.42</v>
      </c>
      <c r="S80" s="165">
        <v>44258</v>
      </c>
      <c r="T80" t="s">
        <v>1267</v>
      </c>
      <c r="U80" s="165" t="s">
        <v>1267</v>
      </c>
      <c r="V80" s="165" t="s">
        <v>1267</v>
      </c>
      <c r="W80"/>
      <c r="X80"/>
      <c r="AB80"/>
      <c r="AC80"/>
      <c r="AD80"/>
      <c r="AE80"/>
      <c r="AF80"/>
      <c r="AG80"/>
      <c r="AH80"/>
    </row>
    <row r="81" spans="1:34" x14ac:dyDescent="0.25">
      <c r="A81" s="78" t="s">
        <v>1255</v>
      </c>
      <c r="B81" s="165" t="s">
        <v>1256</v>
      </c>
      <c r="C81" s="165" t="s">
        <v>1257</v>
      </c>
      <c r="D81" s="165">
        <v>6</v>
      </c>
      <c r="E81" s="165" t="s">
        <v>1250</v>
      </c>
      <c r="F81" s="165" t="s">
        <v>1258</v>
      </c>
      <c r="G81" s="165" t="s">
        <v>1671</v>
      </c>
      <c r="H81" s="165" t="s">
        <v>1270</v>
      </c>
      <c r="I81" s="165">
        <v>44260</v>
      </c>
      <c r="J81">
        <v>44260</v>
      </c>
      <c r="K81" s="165" t="s">
        <v>1671</v>
      </c>
      <c r="L81">
        <v>440.65</v>
      </c>
      <c r="M81">
        <v>44260</v>
      </c>
      <c r="O81"/>
      <c r="P81"/>
      <c r="Q81"/>
      <c r="R81" s="165">
        <v>2643.8999999999996</v>
      </c>
      <c r="S81" s="165">
        <v>44260</v>
      </c>
      <c r="T81" t="s">
        <v>1267</v>
      </c>
      <c r="U81" s="165" t="s">
        <v>1267</v>
      </c>
      <c r="V81" s="165" t="s">
        <v>1267</v>
      </c>
      <c r="W81"/>
      <c r="X81"/>
      <c r="AB81"/>
      <c r="AC81"/>
      <c r="AD81"/>
      <c r="AE81"/>
      <c r="AF81"/>
      <c r="AG81"/>
      <c r="AH81"/>
    </row>
    <row r="82" spans="1:34" x14ac:dyDescent="0.25">
      <c r="A82" s="78" t="s">
        <v>1255</v>
      </c>
      <c r="B82" s="165" t="s">
        <v>1261</v>
      </c>
      <c r="C82" s="165" t="s">
        <v>1262</v>
      </c>
      <c r="D82" s="165">
        <v>1</v>
      </c>
      <c r="E82" s="165" t="s">
        <v>1250</v>
      </c>
      <c r="F82" s="165" t="s">
        <v>1263</v>
      </c>
      <c r="G82" s="165" t="s">
        <v>1671</v>
      </c>
      <c r="H82" s="165" t="s">
        <v>1270</v>
      </c>
      <c r="I82" s="165">
        <v>44260</v>
      </c>
      <c r="J82">
        <v>44260</v>
      </c>
      <c r="K82" s="165" t="s">
        <v>1671</v>
      </c>
      <c r="L82">
        <v>982.22900000000004</v>
      </c>
      <c r="M82">
        <v>44260</v>
      </c>
      <c r="O82"/>
      <c r="P82"/>
      <c r="Q82"/>
      <c r="R82" s="165">
        <v>982.22900000000004</v>
      </c>
      <c r="S82" s="165">
        <v>44260</v>
      </c>
      <c r="T82" t="s">
        <v>1267</v>
      </c>
      <c r="U82" s="165" t="s">
        <v>1267</v>
      </c>
      <c r="V82" s="165" t="s">
        <v>1267</v>
      </c>
      <c r="W82"/>
      <c r="X82"/>
      <c r="AB82"/>
      <c r="AC82"/>
      <c r="AD82"/>
      <c r="AE82"/>
      <c r="AF82"/>
      <c r="AG82"/>
      <c r="AH82"/>
    </row>
    <row r="83" spans="1:34" x14ac:dyDescent="0.25">
      <c r="A83" s="78" t="s">
        <v>1255</v>
      </c>
      <c r="B83" s="165" t="s">
        <v>1256</v>
      </c>
      <c r="C83" s="165" t="s">
        <v>1257</v>
      </c>
      <c r="D83" s="165">
        <v>4</v>
      </c>
      <c r="E83" s="165" t="s">
        <v>1250</v>
      </c>
      <c r="F83" s="165" t="s">
        <v>1258</v>
      </c>
      <c r="G83" s="165" t="s">
        <v>1671</v>
      </c>
      <c r="H83" s="165" t="s">
        <v>1270</v>
      </c>
      <c r="I83" s="165">
        <v>44260</v>
      </c>
      <c r="J83">
        <v>44260</v>
      </c>
      <c r="K83" s="165" t="s">
        <v>1671</v>
      </c>
      <c r="L83">
        <v>432.55250000000001</v>
      </c>
      <c r="M83">
        <v>44260</v>
      </c>
      <c r="O83"/>
      <c r="P83"/>
      <c r="Q83"/>
      <c r="R83" s="165">
        <v>1730.21</v>
      </c>
      <c r="S83" s="165">
        <v>44260</v>
      </c>
      <c r="T83" t="s">
        <v>1267</v>
      </c>
      <c r="U83" s="165" t="s">
        <v>1267</v>
      </c>
      <c r="V83" s="165" t="s">
        <v>1267</v>
      </c>
      <c r="W83"/>
      <c r="X83"/>
      <c r="AB83"/>
      <c r="AC83"/>
      <c r="AD83"/>
      <c r="AE83"/>
      <c r="AF83"/>
      <c r="AG83"/>
      <c r="AH83"/>
    </row>
    <row r="84" spans="1:34" x14ac:dyDescent="0.25">
      <c r="A84" s="78" t="s">
        <v>1255</v>
      </c>
      <c r="B84" s="165" t="s">
        <v>1292</v>
      </c>
      <c r="C84" s="165" t="s">
        <v>1293</v>
      </c>
      <c r="D84" s="165">
        <v>1</v>
      </c>
      <c r="E84" s="165" t="s">
        <v>1250</v>
      </c>
      <c r="F84" s="165" t="s">
        <v>1337</v>
      </c>
      <c r="G84" s="165" t="s">
        <v>1671</v>
      </c>
      <c r="H84" s="165" t="s">
        <v>1270</v>
      </c>
      <c r="I84" s="165">
        <v>44260</v>
      </c>
      <c r="J84">
        <v>44260</v>
      </c>
      <c r="K84" s="165" t="s">
        <v>1671</v>
      </c>
      <c r="L84">
        <v>867.17</v>
      </c>
      <c r="M84">
        <v>44260</v>
      </c>
      <c r="O84"/>
      <c r="P84"/>
      <c r="Q84"/>
      <c r="R84" s="165">
        <v>867.17</v>
      </c>
      <c r="S84" s="165"/>
      <c r="T84" t="s">
        <v>1267</v>
      </c>
      <c r="U84" s="165" t="s">
        <v>1267</v>
      </c>
      <c r="V84" s="165" t="s">
        <v>1267</v>
      </c>
      <c r="W84"/>
      <c r="X84"/>
      <c r="AB84"/>
      <c r="AC84"/>
      <c r="AD84"/>
      <c r="AE84"/>
      <c r="AF84"/>
      <c r="AG84"/>
      <c r="AH84"/>
    </row>
    <row r="85" spans="1:34" x14ac:dyDescent="0.25">
      <c r="A85" s="78" t="s">
        <v>1255</v>
      </c>
      <c r="B85" s="165" t="s">
        <v>1292</v>
      </c>
      <c r="C85" s="165" t="s">
        <v>1293</v>
      </c>
      <c r="D85" s="165">
        <v>1</v>
      </c>
      <c r="E85" s="165" t="s">
        <v>1250</v>
      </c>
      <c r="F85" s="165" t="s">
        <v>1336</v>
      </c>
      <c r="G85" s="165" t="s">
        <v>1671</v>
      </c>
      <c r="H85" s="165" t="s">
        <v>1270</v>
      </c>
      <c r="I85" s="165">
        <v>44260</v>
      </c>
      <c r="J85">
        <v>44260</v>
      </c>
      <c r="K85" s="165" t="s">
        <v>1671</v>
      </c>
      <c r="L85">
        <v>181</v>
      </c>
      <c r="M85">
        <v>44260</v>
      </c>
      <c r="O85"/>
      <c r="P85"/>
      <c r="Q85"/>
      <c r="R85" s="165">
        <v>181</v>
      </c>
      <c r="S85" s="165">
        <v>44260</v>
      </c>
      <c r="T85" t="s">
        <v>1267</v>
      </c>
      <c r="U85" s="165" t="s">
        <v>1267</v>
      </c>
      <c r="V85" s="165" t="s">
        <v>1267</v>
      </c>
      <c r="W85"/>
      <c r="X85"/>
      <c r="AB85"/>
      <c r="AC85"/>
      <c r="AD85"/>
      <c r="AE85"/>
      <c r="AF85"/>
      <c r="AG85"/>
      <c r="AH85"/>
    </row>
    <row r="86" spans="1:34" x14ac:dyDescent="0.25">
      <c r="A86" s="78" t="s">
        <v>1255</v>
      </c>
      <c r="B86" s="165" t="s">
        <v>1292</v>
      </c>
      <c r="C86" s="165" t="s">
        <v>1293</v>
      </c>
      <c r="D86" s="165">
        <v>1</v>
      </c>
      <c r="E86" s="165" t="s">
        <v>1250</v>
      </c>
      <c r="F86" s="165" t="s">
        <v>1336</v>
      </c>
      <c r="G86" s="165" t="s">
        <v>1671</v>
      </c>
      <c r="H86" s="165" t="s">
        <v>1270</v>
      </c>
      <c r="I86" s="165">
        <v>44260</v>
      </c>
      <c r="J86">
        <v>44260</v>
      </c>
      <c r="K86" s="165" t="s">
        <v>1671</v>
      </c>
      <c r="L86">
        <v>100</v>
      </c>
      <c r="M86">
        <v>44260</v>
      </c>
      <c r="O86"/>
      <c r="P86"/>
      <c r="Q86"/>
      <c r="R86" s="165">
        <v>100</v>
      </c>
      <c r="S86" s="165">
        <v>44260</v>
      </c>
      <c r="T86" t="s">
        <v>1267</v>
      </c>
      <c r="U86" s="165" t="s">
        <v>1267</v>
      </c>
      <c r="V86" s="165" t="s">
        <v>1267</v>
      </c>
      <c r="W86"/>
      <c r="X86"/>
      <c r="AB86"/>
      <c r="AC86"/>
      <c r="AD86"/>
      <c r="AE86"/>
      <c r="AF86"/>
      <c r="AG86"/>
      <c r="AH86"/>
    </row>
    <row r="87" spans="1:34" x14ac:dyDescent="0.25">
      <c r="A87" s="78" t="s">
        <v>1255</v>
      </c>
      <c r="B87" s="165" t="s">
        <v>1292</v>
      </c>
      <c r="C87" s="165" t="s">
        <v>1293</v>
      </c>
      <c r="D87" s="165">
        <v>1</v>
      </c>
      <c r="E87" s="165" t="s">
        <v>1250</v>
      </c>
      <c r="F87" s="165" t="s">
        <v>1336</v>
      </c>
      <c r="G87" s="165" t="s">
        <v>1671</v>
      </c>
      <c r="H87" s="165" t="s">
        <v>1270</v>
      </c>
      <c r="I87" s="165" t="s">
        <v>1651</v>
      </c>
      <c r="J87" t="s">
        <v>1651</v>
      </c>
      <c r="K87" s="165" t="s">
        <v>1671</v>
      </c>
      <c r="L87">
        <v>100</v>
      </c>
      <c r="M87" t="s">
        <v>1651</v>
      </c>
      <c r="O87"/>
      <c r="P87"/>
      <c r="Q87"/>
      <c r="R87" s="165">
        <v>100</v>
      </c>
      <c r="S87" s="165">
        <v>44260</v>
      </c>
      <c r="T87" t="s">
        <v>1267</v>
      </c>
      <c r="U87" s="165" t="s">
        <v>1267</v>
      </c>
      <c r="V87" s="165" t="s">
        <v>1267</v>
      </c>
      <c r="W87"/>
      <c r="X87"/>
      <c r="AB87"/>
      <c r="AC87"/>
      <c r="AD87"/>
      <c r="AE87"/>
      <c r="AF87"/>
      <c r="AG87"/>
      <c r="AH87"/>
    </row>
    <row r="88" spans="1:34" x14ac:dyDescent="0.25">
      <c r="A88" s="78" t="s">
        <v>1255</v>
      </c>
      <c r="B88" s="165" t="s">
        <v>1292</v>
      </c>
      <c r="C88" s="165" t="s">
        <v>1293</v>
      </c>
      <c r="D88" s="165">
        <v>1</v>
      </c>
      <c r="E88" s="165" t="s">
        <v>1250</v>
      </c>
      <c r="F88" s="165" t="s">
        <v>1336</v>
      </c>
      <c r="G88" s="165" t="s">
        <v>1671</v>
      </c>
      <c r="H88" s="165" t="s">
        <v>1270</v>
      </c>
      <c r="I88" s="165" t="s">
        <v>1652</v>
      </c>
      <c r="J88" t="s">
        <v>1652</v>
      </c>
      <c r="K88" s="165" t="s">
        <v>1671</v>
      </c>
      <c r="L88">
        <v>254.06</v>
      </c>
      <c r="M88" t="s">
        <v>1652</v>
      </c>
      <c r="O88"/>
      <c r="P88"/>
      <c r="Q88"/>
      <c r="R88" s="165">
        <v>254.06</v>
      </c>
      <c r="S88" s="165"/>
      <c r="T88" t="s">
        <v>1267</v>
      </c>
      <c r="U88" s="165" t="s">
        <v>1267</v>
      </c>
      <c r="V88" s="165" t="s">
        <v>1267</v>
      </c>
      <c r="W88"/>
      <c r="X88"/>
      <c r="AB88"/>
      <c r="AC88"/>
      <c r="AD88"/>
      <c r="AE88"/>
      <c r="AF88"/>
      <c r="AG88"/>
      <c r="AH88"/>
    </row>
    <row r="89" spans="1:34" x14ac:dyDescent="0.25">
      <c r="A89" s="78" t="s">
        <v>1255</v>
      </c>
      <c r="B89" s="165" t="s">
        <v>1292</v>
      </c>
      <c r="C89" s="165" t="s">
        <v>1293</v>
      </c>
      <c r="D89" s="165">
        <v>1</v>
      </c>
      <c r="E89" s="165" t="s">
        <v>1250</v>
      </c>
      <c r="F89" s="165" t="s">
        <v>1336</v>
      </c>
      <c r="G89" s="165" t="s">
        <v>1671</v>
      </c>
      <c r="H89" s="165" t="s">
        <v>1270</v>
      </c>
      <c r="I89" s="165" t="s">
        <v>1653</v>
      </c>
      <c r="J89" t="s">
        <v>1653</v>
      </c>
      <c r="K89" s="165" t="s">
        <v>1671</v>
      </c>
      <c r="L89">
        <v>150</v>
      </c>
      <c r="M89" t="s">
        <v>1653</v>
      </c>
      <c r="O89"/>
      <c r="P89"/>
      <c r="Q89"/>
      <c r="R89" s="165">
        <v>150</v>
      </c>
      <c r="S89" s="165">
        <v>44260</v>
      </c>
      <c r="T89" t="s">
        <v>1267</v>
      </c>
      <c r="U89" s="165" t="s">
        <v>1267</v>
      </c>
      <c r="V89" s="165" t="s">
        <v>1267</v>
      </c>
      <c r="W89"/>
      <c r="X89"/>
      <c r="AB89"/>
      <c r="AC89"/>
      <c r="AD89"/>
      <c r="AE89"/>
      <c r="AF89"/>
      <c r="AG89"/>
      <c r="AH89"/>
    </row>
    <row r="90" spans="1:34" x14ac:dyDescent="0.25">
      <c r="A90" s="78" t="s">
        <v>1255</v>
      </c>
      <c r="B90" s="165" t="s">
        <v>1292</v>
      </c>
      <c r="C90" s="165" t="s">
        <v>1293</v>
      </c>
      <c r="D90" s="165">
        <v>1</v>
      </c>
      <c r="E90" s="165" t="s">
        <v>1250</v>
      </c>
      <c r="F90" s="165" t="s">
        <v>1336</v>
      </c>
      <c r="G90" s="165" t="s">
        <v>1671</v>
      </c>
      <c r="H90" s="165" t="s">
        <v>1270</v>
      </c>
      <c r="I90" s="165" t="s">
        <v>1653</v>
      </c>
      <c r="J90" t="s">
        <v>1653</v>
      </c>
      <c r="K90" s="165" t="s">
        <v>1671</v>
      </c>
      <c r="L90">
        <v>150</v>
      </c>
      <c r="M90" t="s">
        <v>1653</v>
      </c>
      <c r="O90"/>
      <c r="P90"/>
      <c r="Q90"/>
      <c r="R90" s="165">
        <v>150</v>
      </c>
      <c r="S90" s="165">
        <v>44260</v>
      </c>
      <c r="T90" t="s">
        <v>1267</v>
      </c>
      <c r="U90" s="165" t="s">
        <v>1267</v>
      </c>
      <c r="V90" s="165" t="s">
        <v>1267</v>
      </c>
      <c r="W90"/>
      <c r="X90"/>
      <c r="AB90"/>
      <c r="AC90"/>
      <c r="AD90"/>
      <c r="AE90"/>
      <c r="AF90"/>
      <c r="AG90"/>
      <c r="AH90"/>
    </row>
    <row r="91" spans="1:34" x14ac:dyDescent="0.25">
      <c r="A91" s="78" t="s">
        <v>1255</v>
      </c>
      <c r="B91" s="165" t="s">
        <v>1292</v>
      </c>
      <c r="C91" s="165" t="s">
        <v>1293</v>
      </c>
      <c r="D91" s="165">
        <v>1</v>
      </c>
      <c r="E91" s="165" t="s">
        <v>1250</v>
      </c>
      <c r="F91" s="165" t="s">
        <v>1336</v>
      </c>
      <c r="G91" s="165" t="s">
        <v>1671</v>
      </c>
      <c r="H91" s="165" t="s">
        <v>1270</v>
      </c>
      <c r="I91" s="165" t="s">
        <v>1654</v>
      </c>
      <c r="J91" t="s">
        <v>1654</v>
      </c>
      <c r="K91" s="165" t="s">
        <v>1671</v>
      </c>
      <c r="L91">
        <v>100</v>
      </c>
      <c r="M91" t="s">
        <v>1654</v>
      </c>
      <c r="O91"/>
      <c r="P91"/>
      <c r="Q91"/>
      <c r="R91" s="165">
        <v>100</v>
      </c>
      <c r="S91" s="165">
        <v>44260</v>
      </c>
      <c r="T91" t="s">
        <v>1267</v>
      </c>
      <c r="U91" s="165" t="s">
        <v>1267</v>
      </c>
      <c r="V91" s="165" t="s">
        <v>1267</v>
      </c>
      <c r="W91"/>
      <c r="X91"/>
      <c r="AB91"/>
      <c r="AC91"/>
      <c r="AD91"/>
      <c r="AE91"/>
      <c r="AF91"/>
      <c r="AG91"/>
      <c r="AH91"/>
    </row>
    <row r="92" spans="1:34" x14ac:dyDescent="0.25">
      <c r="A92" s="78" t="s">
        <v>1255</v>
      </c>
      <c r="B92" s="165" t="s">
        <v>1292</v>
      </c>
      <c r="C92" s="165" t="s">
        <v>1293</v>
      </c>
      <c r="D92" s="165">
        <v>1</v>
      </c>
      <c r="E92" s="165" t="s">
        <v>1250</v>
      </c>
      <c r="F92" s="165" t="s">
        <v>1336</v>
      </c>
      <c r="G92" s="165" t="s">
        <v>1671</v>
      </c>
      <c r="H92" s="165" t="s">
        <v>1270</v>
      </c>
      <c r="I92" s="165" t="s">
        <v>1654</v>
      </c>
      <c r="J92" t="s">
        <v>1654</v>
      </c>
      <c r="K92" s="165" t="s">
        <v>1671</v>
      </c>
      <c r="L92">
        <v>100</v>
      </c>
      <c r="M92" t="s">
        <v>1654</v>
      </c>
      <c r="O92"/>
      <c r="P92"/>
      <c r="Q92"/>
      <c r="R92" s="165">
        <v>100</v>
      </c>
      <c r="S92" s="165"/>
      <c r="T92" t="s">
        <v>1267</v>
      </c>
      <c r="U92" s="165" t="s">
        <v>1267</v>
      </c>
      <c r="V92" s="165" t="s">
        <v>1267</v>
      </c>
      <c r="W92"/>
      <c r="X92"/>
      <c r="AB92"/>
      <c r="AC92"/>
      <c r="AD92"/>
      <c r="AE92"/>
      <c r="AF92"/>
      <c r="AG92"/>
      <c r="AH92"/>
    </row>
    <row r="93" spans="1:34" x14ac:dyDescent="0.25">
      <c r="A93" s="78" t="s">
        <v>1255</v>
      </c>
      <c r="B93" s="165" t="s">
        <v>1292</v>
      </c>
      <c r="C93" s="165" t="s">
        <v>1293</v>
      </c>
      <c r="D93" s="165">
        <v>1</v>
      </c>
      <c r="E93" s="165" t="s">
        <v>1250</v>
      </c>
      <c r="F93" s="165" t="s">
        <v>1336</v>
      </c>
      <c r="G93" s="165" t="s">
        <v>1671</v>
      </c>
      <c r="H93" s="165" t="s">
        <v>1270</v>
      </c>
      <c r="I93" s="165" t="s">
        <v>1655</v>
      </c>
      <c r="J93" t="s">
        <v>1655</v>
      </c>
      <c r="K93" s="165" t="s">
        <v>1671</v>
      </c>
      <c r="L93">
        <v>100</v>
      </c>
      <c r="M93" t="s">
        <v>1655</v>
      </c>
      <c r="O93"/>
      <c r="P93"/>
      <c r="Q93"/>
      <c r="R93" s="165">
        <v>100</v>
      </c>
      <c r="S93" s="165">
        <v>44260</v>
      </c>
      <c r="T93" t="s">
        <v>1267</v>
      </c>
      <c r="U93" s="165" t="s">
        <v>1267</v>
      </c>
      <c r="V93" s="165" t="s">
        <v>1267</v>
      </c>
      <c r="W93"/>
      <c r="X93"/>
      <c r="AB93"/>
      <c r="AC93"/>
      <c r="AD93"/>
      <c r="AE93"/>
      <c r="AF93"/>
      <c r="AG93"/>
      <c r="AH93"/>
    </row>
    <row r="94" spans="1:34" x14ac:dyDescent="0.25">
      <c r="A94" s="78" t="s">
        <v>1255</v>
      </c>
      <c r="B94" s="165" t="s">
        <v>97</v>
      </c>
      <c r="C94" s="165" t="s">
        <v>1288</v>
      </c>
      <c r="D94" s="165">
        <v>1</v>
      </c>
      <c r="E94" s="165" t="s">
        <v>1250</v>
      </c>
      <c r="F94" s="165" t="s">
        <v>1338</v>
      </c>
      <c r="G94" s="165" t="s">
        <v>1671</v>
      </c>
      <c r="H94" s="165" t="s">
        <v>1270</v>
      </c>
      <c r="I94" s="165">
        <v>44271</v>
      </c>
      <c r="J94">
        <v>44271</v>
      </c>
      <c r="K94" s="165" t="s">
        <v>1671</v>
      </c>
      <c r="L94">
        <v>10</v>
      </c>
      <c r="M94">
        <v>44271</v>
      </c>
      <c r="O94"/>
      <c r="P94"/>
      <c r="Q94"/>
      <c r="R94" s="165">
        <v>10</v>
      </c>
      <c r="S94" s="165">
        <v>44260</v>
      </c>
      <c r="T94" t="s">
        <v>1267</v>
      </c>
      <c r="U94" s="165" t="s">
        <v>1267</v>
      </c>
      <c r="V94" s="165" t="s">
        <v>1267</v>
      </c>
      <c r="W94"/>
      <c r="X94"/>
      <c r="AB94"/>
      <c r="AC94"/>
      <c r="AD94"/>
      <c r="AE94"/>
      <c r="AF94"/>
      <c r="AG94"/>
      <c r="AH94"/>
    </row>
    <row r="95" spans="1:34" x14ac:dyDescent="0.25">
      <c r="A95" s="78" t="s">
        <v>1255</v>
      </c>
      <c r="B95" s="165" t="s">
        <v>1292</v>
      </c>
      <c r="C95" s="165" t="s">
        <v>1293</v>
      </c>
      <c r="D95" s="165">
        <v>1</v>
      </c>
      <c r="E95" s="165" t="s">
        <v>1250</v>
      </c>
      <c r="F95" s="165" t="s">
        <v>1339</v>
      </c>
      <c r="G95" s="165" t="s">
        <v>1671</v>
      </c>
      <c r="H95" s="165" t="s">
        <v>1270</v>
      </c>
      <c r="I95" s="165">
        <v>44272</v>
      </c>
      <c r="J95">
        <v>44272</v>
      </c>
      <c r="K95" s="165" t="s">
        <v>1671</v>
      </c>
      <c r="L95">
        <v>675</v>
      </c>
      <c r="M95">
        <v>44272</v>
      </c>
      <c r="O95"/>
      <c r="P95"/>
      <c r="Q95"/>
      <c r="R95" s="165">
        <v>675</v>
      </c>
      <c r="S95" s="165">
        <v>44260</v>
      </c>
      <c r="T95" t="s">
        <v>1267</v>
      </c>
      <c r="U95" s="165" t="s">
        <v>1267</v>
      </c>
      <c r="V95" s="165" t="s">
        <v>1267</v>
      </c>
      <c r="W95"/>
      <c r="X95"/>
      <c r="AB95"/>
      <c r="AC95"/>
      <c r="AD95"/>
      <c r="AE95"/>
      <c r="AF95"/>
      <c r="AG95"/>
      <c r="AH95"/>
    </row>
    <row r="96" spans="1:34" x14ac:dyDescent="0.25">
      <c r="A96" s="78" t="s">
        <v>1255</v>
      </c>
      <c r="B96" s="165" t="s">
        <v>1256</v>
      </c>
      <c r="C96" s="165" t="s">
        <v>1281</v>
      </c>
      <c r="D96" s="165">
        <v>1</v>
      </c>
      <c r="E96" s="165" t="s">
        <v>1250</v>
      </c>
      <c r="F96" s="165" t="s">
        <v>1282</v>
      </c>
      <c r="G96" s="165" t="s">
        <v>1671</v>
      </c>
      <c r="H96" s="165" t="s">
        <v>1270</v>
      </c>
      <c r="I96" s="165">
        <v>44263</v>
      </c>
      <c r="J96">
        <v>44263</v>
      </c>
      <c r="K96" s="165" t="s">
        <v>1671</v>
      </c>
      <c r="L96">
        <v>72.5</v>
      </c>
      <c r="M96">
        <v>44263</v>
      </c>
      <c r="O96"/>
      <c r="P96"/>
      <c r="Q96"/>
      <c r="R96" s="165">
        <v>72.5</v>
      </c>
      <c r="S96" s="165">
        <v>44257</v>
      </c>
      <c r="T96" t="s">
        <v>1267</v>
      </c>
      <c r="U96" s="165" t="s">
        <v>1267</v>
      </c>
      <c r="V96" s="165" t="s">
        <v>1267</v>
      </c>
      <c r="W96"/>
      <c r="X96"/>
      <c r="AB96"/>
      <c r="AC96"/>
      <c r="AD96"/>
      <c r="AE96"/>
      <c r="AF96"/>
      <c r="AG96"/>
      <c r="AH96"/>
    </row>
    <row r="97" spans="1:34" x14ac:dyDescent="0.25">
      <c r="A97" s="78" t="s">
        <v>1255</v>
      </c>
      <c r="B97" s="165" t="s">
        <v>97</v>
      </c>
      <c r="C97" s="165" t="s">
        <v>1305</v>
      </c>
      <c r="D97" s="165">
        <v>1</v>
      </c>
      <c r="E97" s="165" t="s">
        <v>1250</v>
      </c>
      <c r="F97" s="165" t="s">
        <v>1340</v>
      </c>
      <c r="G97" s="165" t="s">
        <v>1671</v>
      </c>
      <c r="H97" s="165" t="s">
        <v>1270</v>
      </c>
      <c r="I97" s="165">
        <v>44265</v>
      </c>
      <c r="J97">
        <v>44265</v>
      </c>
      <c r="K97" s="165" t="s">
        <v>1671</v>
      </c>
      <c r="L97">
        <v>7083.3</v>
      </c>
      <c r="M97">
        <v>44265</v>
      </c>
      <c r="N97">
        <v>8415</v>
      </c>
      <c r="O97">
        <v>44298</v>
      </c>
      <c r="P97">
        <v>8415</v>
      </c>
      <c r="Q97">
        <v>44328</v>
      </c>
      <c r="R97" s="165">
        <v>23913.3</v>
      </c>
      <c r="S97" s="165">
        <v>44265</v>
      </c>
      <c r="T97" t="s">
        <v>1267</v>
      </c>
      <c r="U97" s="165" t="s">
        <v>1267</v>
      </c>
      <c r="V97" s="165" t="s">
        <v>1267</v>
      </c>
      <c r="W97"/>
      <c r="X97"/>
      <c r="AB97"/>
      <c r="AC97"/>
      <c r="AD97"/>
      <c r="AE97"/>
      <c r="AF97"/>
      <c r="AG97"/>
      <c r="AH97"/>
    </row>
    <row r="98" spans="1:34" x14ac:dyDescent="0.25">
      <c r="A98" s="78" t="s">
        <v>1255</v>
      </c>
      <c r="B98" s="165" t="s">
        <v>1292</v>
      </c>
      <c r="C98" s="165" t="s">
        <v>1293</v>
      </c>
      <c r="D98" s="165">
        <v>1</v>
      </c>
      <c r="E98" s="165" t="s">
        <v>1250</v>
      </c>
      <c r="F98" s="165" t="s">
        <v>1341</v>
      </c>
      <c r="G98" s="165" t="s">
        <v>1671</v>
      </c>
      <c r="H98" s="165" t="s">
        <v>1270</v>
      </c>
      <c r="I98" s="165">
        <v>44267</v>
      </c>
      <c r="J98">
        <v>44267</v>
      </c>
      <c r="K98" s="165" t="s">
        <v>1671</v>
      </c>
      <c r="L98">
        <v>1802.79</v>
      </c>
      <c r="M98">
        <v>44267</v>
      </c>
      <c r="O98"/>
      <c r="P98"/>
      <c r="Q98"/>
      <c r="R98" s="165">
        <v>1802.79</v>
      </c>
      <c r="S98" s="165">
        <v>44267</v>
      </c>
      <c r="T98" t="s">
        <v>1267</v>
      </c>
      <c r="U98" s="165" t="s">
        <v>1267</v>
      </c>
      <c r="V98" s="165" t="s">
        <v>1267</v>
      </c>
      <c r="W98"/>
      <c r="X98"/>
      <c r="AB98"/>
      <c r="AC98"/>
      <c r="AD98"/>
      <c r="AE98"/>
      <c r="AF98"/>
      <c r="AG98"/>
      <c r="AH98"/>
    </row>
    <row r="99" spans="1:34" x14ac:dyDescent="0.25">
      <c r="A99" s="78">
        <v>20210308</v>
      </c>
      <c r="B99" s="165" t="s">
        <v>1311</v>
      </c>
      <c r="C99" s="165" t="s">
        <v>1312</v>
      </c>
      <c r="D99" s="165">
        <v>1</v>
      </c>
      <c r="E99" s="165" t="s">
        <v>1250</v>
      </c>
      <c r="F99" s="165" t="s">
        <v>1342</v>
      </c>
      <c r="G99" s="165" t="s">
        <v>1671</v>
      </c>
      <c r="H99" s="165" t="s">
        <v>1270</v>
      </c>
      <c r="I99" s="165">
        <v>44271</v>
      </c>
      <c r="J99">
        <v>44271</v>
      </c>
      <c r="K99" s="165" t="s">
        <v>1671</v>
      </c>
      <c r="L99">
        <v>829.24</v>
      </c>
      <c r="M99">
        <v>44298</v>
      </c>
      <c r="O99"/>
      <c r="P99"/>
      <c r="Q99"/>
      <c r="R99" s="165">
        <v>829.24</v>
      </c>
      <c r="S99" s="165"/>
      <c r="T99" t="s">
        <v>1267</v>
      </c>
      <c r="U99" s="165" t="s">
        <v>1267</v>
      </c>
      <c r="V99" s="165" t="s">
        <v>1267</v>
      </c>
      <c r="W99"/>
      <c r="X99"/>
      <c r="AB99"/>
      <c r="AC99"/>
      <c r="AD99"/>
      <c r="AE99"/>
      <c r="AF99"/>
      <c r="AG99"/>
      <c r="AH99"/>
    </row>
    <row r="100" spans="1:34" x14ac:dyDescent="0.25">
      <c r="A100" s="78">
        <v>20210308</v>
      </c>
      <c r="B100" s="165" t="s">
        <v>1292</v>
      </c>
      <c r="C100" s="165" t="s">
        <v>1293</v>
      </c>
      <c r="D100" s="165">
        <v>1</v>
      </c>
      <c r="E100" s="165" t="s">
        <v>1250</v>
      </c>
      <c r="F100" s="165" t="s">
        <v>1343</v>
      </c>
      <c r="G100" s="165" t="s">
        <v>1671</v>
      </c>
      <c r="H100" s="165" t="s">
        <v>1270</v>
      </c>
      <c r="I100" s="165">
        <v>44273</v>
      </c>
      <c r="J100">
        <v>44273</v>
      </c>
      <c r="K100" s="165" t="s">
        <v>1671</v>
      </c>
      <c r="L100">
        <v>30</v>
      </c>
      <c r="M100">
        <v>44273</v>
      </c>
      <c r="O100"/>
      <c r="P100"/>
      <c r="Q100"/>
      <c r="R100" s="165">
        <v>30</v>
      </c>
      <c r="S100" s="165"/>
      <c r="T100" t="s">
        <v>1267</v>
      </c>
      <c r="U100" s="165" t="s">
        <v>1267</v>
      </c>
      <c r="V100" s="165" t="s">
        <v>1267</v>
      </c>
      <c r="W100"/>
      <c r="X100"/>
      <c r="AB100"/>
      <c r="AC100"/>
      <c r="AD100"/>
      <c r="AE100"/>
      <c r="AF100"/>
      <c r="AG100"/>
      <c r="AH100"/>
    </row>
    <row r="101" spans="1:34" x14ac:dyDescent="0.25">
      <c r="A101" s="78">
        <v>20210308</v>
      </c>
      <c r="B101" s="165" t="s">
        <v>1292</v>
      </c>
      <c r="C101" s="165" t="s">
        <v>1293</v>
      </c>
      <c r="D101" s="165">
        <v>1</v>
      </c>
      <c r="E101" s="165" t="s">
        <v>1250</v>
      </c>
      <c r="F101" s="165" t="s">
        <v>1344</v>
      </c>
      <c r="G101" s="165" t="s">
        <v>1671</v>
      </c>
      <c r="H101" s="165" t="s">
        <v>1270</v>
      </c>
      <c r="I101" s="165">
        <v>44273</v>
      </c>
      <c r="J101">
        <v>44273</v>
      </c>
      <c r="K101" s="165" t="s">
        <v>1671</v>
      </c>
      <c r="L101">
        <v>92.43</v>
      </c>
      <c r="M101">
        <v>44273</v>
      </c>
      <c r="O101"/>
      <c r="P101"/>
      <c r="Q101"/>
      <c r="R101" s="165">
        <v>92.43</v>
      </c>
      <c r="S101" s="165"/>
      <c r="T101" t="s">
        <v>1267</v>
      </c>
      <c r="U101" s="165" t="s">
        <v>1267</v>
      </c>
      <c r="V101" s="165" t="s">
        <v>1267</v>
      </c>
      <c r="W101"/>
      <c r="X101"/>
      <c r="AB101"/>
      <c r="AC101"/>
      <c r="AD101"/>
      <c r="AE101"/>
      <c r="AF101"/>
      <c r="AG101"/>
      <c r="AH101"/>
    </row>
    <row r="102" spans="1:34" x14ac:dyDescent="0.25">
      <c r="A102" s="78">
        <v>20210305</v>
      </c>
      <c r="B102" s="165" t="s">
        <v>1256</v>
      </c>
      <c r="C102" s="165" t="s">
        <v>1257</v>
      </c>
      <c r="D102" s="165">
        <v>10</v>
      </c>
      <c r="E102" s="165" t="s">
        <v>1250</v>
      </c>
      <c r="F102" s="165" t="s">
        <v>1271</v>
      </c>
      <c r="G102" s="165" t="s">
        <v>1671</v>
      </c>
      <c r="H102" s="165" t="s">
        <v>1154</v>
      </c>
      <c r="I102" s="165">
        <v>44267</v>
      </c>
      <c r="J102">
        <v>44267</v>
      </c>
      <c r="K102" s="165" t="s">
        <v>1671</v>
      </c>
      <c r="L102">
        <v>1550</v>
      </c>
      <c r="M102">
        <v>44287</v>
      </c>
      <c r="N102">
        <v>1550</v>
      </c>
      <c r="O102">
        <v>44317</v>
      </c>
      <c r="P102"/>
      <c r="Q102"/>
      <c r="R102" s="165">
        <v>3100</v>
      </c>
      <c r="S102" s="165">
        <v>44267</v>
      </c>
      <c r="T102" t="s">
        <v>1267</v>
      </c>
      <c r="U102" s="165" t="s">
        <v>1267</v>
      </c>
      <c r="V102" s="165" t="s">
        <v>1267</v>
      </c>
      <c r="W102"/>
      <c r="X102"/>
      <c r="AB102"/>
      <c r="AC102"/>
      <c r="AD102"/>
      <c r="AE102"/>
      <c r="AF102"/>
      <c r="AG102"/>
      <c r="AH102"/>
    </row>
    <row r="103" spans="1:34" x14ac:dyDescent="0.25">
      <c r="A103" s="78">
        <v>20210304</v>
      </c>
      <c r="B103" s="165" t="s">
        <v>1292</v>
      </c>
      <c r="C103" s="165" t="s">
        <v>1293</v>
      </c>
      <c r="D103" s="165">
        <v>1</v>
      </c>
      <c r="E103" s="165" t="s">
        <v>1250</v>
      </c>
      <c r="F103" s="165" t="s">
        <v>1345</v>
      </c>
      <c r="G103" s="165" t="s">
        <v>1671</v>
      </c>
      <c r="H103" s="165" t="s">
        <v>976</v>
      </c>
      <c r="I103" s="165">
        <v>44270</v>
      </c>
      <c r="J103">
        <v>44270</v>
      </c>
      <c r="K103" s="165" t="s">
        <v>1671</v>
      </c>
      <c r="L103">
        <v>250</v>
      </c>
      <c r="M103">
        <v>44277</v>
      </c>
      <c r="O103"/>
      <c r="P103"/>
      <c r="Q103"/>
      <c r="R103" s="165">
        <v>250</v>
      </c>
      <c r="S103" s="165">
        <v>44270</v>
      </c>
      <c r="T103" t="s">
        <v>1267</v>
      </c>
      <c r="U103" s="165" t="s">
        <v>1267</v>
      </c>
      <c r="V103" s="165" t="s">
        <v>1267</v>
      </c>
      <c r="W103"/>
      <c r="X103"/>
      <c r="AB103"/>
      <c r="AC103"/>
      <c r="AD103"/>
      <c r="AE103"/>
      <c r="AF103"/>
      <c r="AG103"/>
      <c r="AH103"/>
    </row>
    <row r="104" spans="1:34" x14ac:dyDescent="0.25">
      <c r="A104" s="78">
        <v>20210401</v>
      </c>
      <c r="B104" s="165" t="s">
        <v>97</v>
      </c>
      <c r="C104" s="165" t="s">
        <v>1346</v>
      </c>
      <c r="D104" s="165">
        <v>1</v>
      </c>
      <c r="E104" s="165" t="s">
        <v>1250</v>
      </c>
      <c r="F104" s="165" t="s">
        <v>1347</v>
      </c>
      <c r="G104" s="165" t="s">
        <v>1671</v>
      </c>
      <c r="H104" s="165" t="s">
        <v>969</v>
      </c>
      <c r="I104" s="165">
        <v>44274</v>
      </c>
      <c r="J104">
        <v>44274</v>
      </c>
      <c r="K104" s="165" t="s">
        <v>1671</v>
      </c>
      <c r="L104">
        <v>384.81</v>
      </c>
      <c r="M104">
        <v>44288</v>
      </c>
      <c r="O104"/>
      <c r="P104"/>
      <c r="Q104"/>
      <c r="R104" s="165">
        <v>384.81</v>
      </c>
      <c r="S104" s="165"/>
      <c r="T104" t="s">
        <v>1267</v>
      </c>
      <c r="U104" s="165" t="s">
        <v>1267</v>
      </c>
      <c r="V104" s="165" t="s">
        <v>1267</v>
      </c>
      <c r="W104"/>
      <c r="X104"/>
      <c r="AB104"/>
      <c r="AC104"/>
      <c r="AD104"/>
      <c r="AE104"/>
      <c r="AF104"/>
      <c r="AG104"/>
      <c r="AH104"/>
    </row>
    <row r="105" spans="1:34" x14ac:dyDescent="0.25">
      <c r="A105" s="78">
        <v>20210320</v>
      </c>
      <c r="B105" s="165" t="s">
        <v>1261</v>
      </c>
      <c r="C105" s="165" t="s">
        <v>1262</v>
      </c>
      <c r="D105" s="165">
        <v>3</v>
      </c>
      <c r="E105" s="165" t="s">
        <v>1250</v>
      </c>
      <c r="F105" s="165" t="s">
        <v>1263</v>
      </c>
      <c r="G105" s="165" t="s">
        <v>1671</v>
      </c>
      <c r="H105" s="165" t="s">
        <v>922</v>
      </c>
      <c r="I105" s="165">
        <v>44273</v>
      </c>
      <c r="J105">
        <v>44273</v>
      </c>
      <c r="K105" s="165" t="s">
        <v>1671</v>
      </c>
      <c r="L105">
        <v>460</v>
      </c>
      <c r="M105">
        <v>44300</v>
      </c>
      <c r="O105"/>
      <c r="P105"/>
      <c r="Q105"/>
      <c r="R105" s="165">
        <v>1380</v>
      </c>
      <c r="S105" s="165"/>
      <c r="T105" t="s">
        <v>1267</v>
      </c>
      <c r="U105" s="165" t="s">
        <v>1267</v>
      </c>
      <c r="V105" s="165" t="s">
        <v>1267</v>
      </c>
      <c r="W105"/>
      <c r="X105"/>
      <c r="AB105"/>
      <c r="AC105"/>
      <c r="AD105"/>
      <c r="AE105"/>
      <c r="AF105"/>
      <c r="AG105"/>
      <c r="AH105"/>
    </row>
    <row r="106" spans="1:34" x14ac:dyDescent="0.25">
      <c r="A106" s="78">
        <v>20210320</v>
      </c>
      <c r="B106" s="165" t="s">
        <v>97</v>
      </c>
      <c r="C106" s="165" t="s">
        <v>1296</v>
      </c>
      <c r="D106" s="165">
        <v>2</v>
      </c>
      <c r="E106" s="165" t="s">
        <v>1250</v>
      </c>
      <c r="F106" s="165" t="s">
        <v>1348</v>
      </c>
      <c r="G106" s="165" t="s">
        <v>1671</v>
      </c>
      <c r="H106" s="165" t="s">
        <v>922</v>
      </c>
      <c r="I106" s="165">
        <v>44273</v>
      </c>
      <c r="J106">
        <v>44273</v>
      </c>
      <c r="K106" s="165" t="s">
        <v>1671</v>
      </c>
      <c r="L106">
        <v>294.64</v>
      </c>
      <c r="M106">
        <v>44287</v>
      </c>
      <c r="O106"/>
      <c r="P106"/>
      <c r="Q106"/>
      <c r="R106" s="165">
        <v>589.28</v>
      </c>
      <c r="S106" s="165"/>
      <c r="T106" t="s">
        <v>1267</v>
      </c>
      <c r="U106" s="165" t="s">
        <v>1267</v>
      </c>
      <c r="V106" s="165" t="s">
        <v>1267</v>
      </c>
      <c r="W106"/>
      <c r="X106"/>
      <c r="AB106"/>
      <c r="AC106"/>
      <c r="AD106"/>
      <c r="AE106"/>
      <c r="AF106"/>
      <c r="AG106"/>
      <c r="AH106"/>
    </row>
    <row r="107" spans="1:34" x14ac:dyDescent="0.25">
      <c r="A107" s="78">
        <v>20210423</v>
      </c>
      <c r="B107" s="165" t="s">
        <v>97</v>
      </c>
      <c r="C107" s="165" t="s">
        <v>1296</v>
      </c>
      <c r="D107" s="165">
        <v>1</v>
      </c>
      <c r="E107" s="165" t="s">
        <v>1250</v>
      </c>
      <c r="F107" s="165" t="s">
        <v>1349</v>
      </c>
      <c r="G107" s="165" t="s">
        <v>1671</v>
      </c>
      <c r="H107" s="165" t="s">
        <v>1184</v>
      </c>
      <c r="I107" s="165">
        <v>44273</v>
      </c>
      <c r="J107">
        <v>44273</v>
      </c>
      <c r="K107" s="165" t="s">
        <v>1671</v>
      </c>
      <c r="L107">
        <v>166.5</v>
      </c>
      <c r="M107">
        <v>44300</v>
      </c>
      <c r="O107"/>
      <c r="P107"/>
      <c r="Q107"/>
      <c r="R107" s="165">
        <v>166.5</v>
      </c>
      <c r="S107" s="165"/>
      <c r="T107" t="s">
        <v>1267</v>
      </c>
      <c r="U107" s="165" t="s">
        <v>1267</v>
      </c>
      <c r="V107" s="165" t="s">
        <v>1267</v>
      </c>
      <c r="W107"/>
      <c r="X107"/>
      <c r="AB107"/>
      <c r="AC107"/>
      <c r="AD107"/>
      <c r="AE107"/>
      <c r="AF107"/>
      <c r="AG107"/>
      <c r="AH107"/>
    </row>
    <row r="108" spans="1:34" x14ac:dyDescent="0.25">
      <c r="A108" s="78">
        <v>20210320</v>
      </c>
      <c r="B108" s="165" t="s">
        <v>1256</v>
      </c>
      <c r="C108" s="165" t="s">
        <v>1257</v>
      </c>
      <c r="D108" s="165">
        <v>5</v>
      </c>
      <c r="E108" s="165" t="s">
        <v>1250</v>
      </c>
      <c r="F108" s="165" t="s">
        <v>1258</v>
      </c>
      <c r="G108" s="165" t="s">
        <v>1671</v>
      </c>
      <c r="H108" s="165" t="s">
        <v>922</v>
      </c>
      <c r="I108" s="165">
        <v>44273</v>
      </c>
      <c r="J108">
        <v>44273</v>
      </c>
      <c r="K108" s="165" t="s">
        <v>1671</v>
      </c>
      <c r="L108">
        <v>452.23284000000001</v>
      </c>
      <c r="M108">
        <v>44273</v>
      </c>
      <c r="O108"/>
      <c r="P108"/>
      <c r="Q108"/>
      <c r="R108" s="165">
        <v>2261.1642000000002</v>
      </c>
      <c r="S108" s="165"/>
      <c r="T108" t="s">
        <v>1267</v>
      </c>
      <c r="U108" s="165" t="s">
        <v>1267</v>
      </c>
      <c r="V108" s="165" t="s">
        <v>1267</v>
      </c>
      <c r="W108"/>
      <c r="X108"/>
      <c r="AB108"/>
      <c r="AC108"/>
      <c r="AD108"/>
      <c r="AE108"/>
      <c r="AF108"/>
      <c r="AG108"/>
      <c r="AH108"/>
    </row>
    <row r="109" spans="1:34" x14ac:dyDescent="0.25">
      <c r="A109" s="78">
        <v>20210320</v>
      </c>
      <c r="B109" s="165" t="s">
        <v>97</v>
      </c>
      <c r="C109" s="165" t="s">
        <v>1264</v>
      </c>
      <c r="D109" s="165">
        <v>4</v>
      </c>
      <c r="E109" s="165" t="s">
        <v>1250</v>
      </c>
      <c r="F109" s="165" t="s">
        <v>1265</v>
      </c>
      <c r="G109" s="165" t="s">
        <v>1671</v>
      </c>
      <c r="H109" s="165" t="s">
        <v>922</v>
      </c>
      <c r="I109" s="165">
        <v>44273</v>
      </c>
      <c r="J109">
        <v>44273</v>
      </c>
      <c r="K109" s="165" t="s">
        <v>1671</v>
      </c>
      <c r="L109">
        <v>77.0124</v>
      </c>
      <c r="M109">
        <v>44273</v>
      </c>
      <c r="O109"/>
      <c r="P109"/>
      <c r="Q109"/>
      <c r="R109" s="165">
        <v>308.0496</v>
      </c>
      <c r="S109" s="165"/>
      <c r="T109" t="s">
        <v>1267</v>
      </c>
      <c r="U109" s="165" t="s">
        <v>1267</v>
      </c>
      <c r="V109" s="165" t="s">
        <v>1267</v>
      </c>
      <c r="W109"/>
      <c r="X109"/>
      <c r="AB109"/>
      <c r="AC109"/>
      <c r="AD109"/>
      <c r="AE109"/>
      <c r="AF109"/>
      <c r="AG109"/>
      <c r="AH109"/>
    </row>
    <row r="110" spans="1:34" x14ac:dyDescent="0.25">
      <c r="A110" s="78">
        <v>20210320</v>
      </c>
      <c r="B110" s="165" t="s">
        <v>1292</v>
      </c>
      <c r="C110" s="165" t="s">
        <v>1293</v>
      </c>
      <c r="D110" s="165">
        <v>1</v>
      </c>
      <c r="E110" s="165" t="s">
        <v>1250</v>
      </c>
      <c r="F110" s="165" t="s">
        <v>1336</v>
      </c>
      <c r="G110" s="165" t="s">
        <v>1671</v>
      </c>
      <c r="H110" s="165" t="s">
        <v>922</v>
      </c>
      <c r="I110" s="165">
        <v>44273</v>
      </c>
      <c r="J110">
        <v>44273</v>
      </c>
      <c r="K110" s="165" t="s">
        <v>1671</v>
      </c>
      <c r="L110">
        <v>240</v>
      </c>
      <c r="M110">
        <v>44273</v>
      </c>
      <c r="O110"/>
      <c r="P110"/>
      <c r="Q110"/>
      <c r="R110" s="165">
        <v>240</v>
      </c>
      <c r="S110" s="165">
        <v>44260</v>
      </c>
      <c r="T110" t="s">
        <v>1267</v>
      </c>
      <c r="U110" s="165" t="s">
        <v>1267</v>
      </c>
      <c r="V110" s="165" t="s">
        <v>1267</v>
      </c>
      <c r="W110"/>
      <c r="X110"/>
      <c r="AB110"/>
      <c r="AC110"/>
      <c r="AD110"/>
      <c r="AE110"/>
      <c r="AF110"/>
      <c r="AG110"/>
      <c r="AH110"/>
    </row>
    <row r="111" spans="1:34" x14ac:dyDescent="0.25">
      <c r="A111" s="78">
        <v>20210320</v>
      </c>
      <c r="B111" s="165" t="s">
        <v>1292</v>
      </c>
      <c r="C111" s="165" t="s">
        <v>1293</v>
      </c>
      <c r="D111" s="165">
        <v>1</v>
      </c>
      <c r="E111" s="165" t="s">
        <v>1250</v>
      </c>
      <c r="F111" s="165" t="s">
        <v>1336</v>
      </c>
      <c r="G111" s="165" t="s">
        <v>1671</v>
      </c>
      <c r="H111" s="165" t="s">
        <v>922</v>
      </c>
      <c r="I111" s="165" t="s">
        <v>1656</v>
      </c>
      <c r="J111" t="s">
        <v>1656</v>
      </c>
      <c r="K111" s="165" t="s">
        <v>1671</v>
      </c>
      <c r="L111">
        <v>260.10000000000002</v>
      </c>
      <c r="M111" t="s">
        <v>1656</v>
      </c>
      <c r="O111"/>
      <c r="P111"/>
      <c r="Q111"/>
      <c r="R111" s="165">
        <v>260.10000000000002</v>
      </c>
      <c r="S111" s="165">
        <v>44261</v>
      </c>
      <c r="T111" t="s">
        <v>1267</v>
      </c>
      <c r="U111" s="165" t="s">
        <v>1267</v>
      </c>
      <c r="V111" s="165" t="s">
        <v>1267</v>
      </c>
      <c r="W111"/>
      <c r="X111"/>
      <c r="AB111"/>
      <c r="AC111"/>
      <c r="AD111"/>
      <c r="AE111"/>
      <c r="AF111"/>
      <c r="AG111"/>
      <c r="AH111"/>
    </row>
    <row r="112" spans="1:34" x14ac:dyDescent="0.25">
      <c r="A112" s="78">
        <v>20210320</v>
      </c>
      <c r="B112" s="165" t="s">
        <v>1292</v>
      </c>
      <c r="C112" s="165" t="s">
        <v>1293</v>
      </c>
      <c r="D112" s="165">
        <v>1</v>
      </c>
      <c r="E112" s="165" t="s">
        <v>1250</v>
      </c>
      <c r="F112" s="165" t="s">
        <v>1336</v>
      </c>
      <c r="G112" s="165" t="s">
        <v>1671</v>
      </c>
      <c r="H112" s="165" t="s">
        <v>922</v>
      </c>
      <c r="I112" s="165" t="s">
        <v>1657</v>
      </c>
      <c r="J112" t="s">
        <v>1657</v>
      </c>
      <c r="K112" s="165" t="s">
        <v>1671</v>
      </c>
      <c r="L112">
        <v>100</v>
      </c>
      <c r="M112" t="s">
        <v>1657</v>
      </c>
      <c r="O112"/>
      <c r="P112"/>
      <c r="Q112"/>
      <c r="R112" s="165">
        <v>100</v>
      </c>
      <c r="S112" s="165">
        <v>44262</v>
      </c>
      <c r="T112" t="s">
        <v>1267</v>
      </c>
      <c r="U112" s="165" t="s">
        <v>1267</v>
      </c>
      <c r="V112" s="165" t="s">
        <v>1267</v>
      </c>
      <c r="W112"/>
      <c r="X112"/>
      <c r="AB112"/>
      <c r="AC112"/>
      <c r="AD112"/>
      <c r="AE112"/>
      <c r="AF112"/>
      <c r="AG112"/>
      <c r="AH112"/>
    </row>
    <row r="113" spans="1:34" x14ac:dyDescent="0.25">
      <c r="A113" s="78">
        <v>20210320</v>
      </c>
      <c r="B113" s="165" t="s">
        <v>97</v>
      </c>
      <c r="C113" s="165" t="s">
        <v>1305</v>
      </c>
      <c r="D113" s="165">
        <v>1</v>
      </c>
      <c r="E113" s="165" t="s">
        <v>1250</v>
      </c>
      <c r="F113" s="165" t="s">
        <v>1350</v>
      </c>
      <c r="G113" s="165" t="s">
        <v>1671</v>
      </c>
      <c r="H113" s="165" t="s">
        <v>922</v>
      </c>
      <c r="I113" s="165" t="s">
        <v>1657</v>
      </c>
      <c r="J113" t="s">
        <v>1657</v>
      </c>
      <c r="K113" s="165" t="s">
        <v>1671</v>
      </c>
      <c r="L113">
        <v>344.04</v>
      </c>
      <c r="M113">
        <v>44327</v>
      </c>
      <c r="O113"/>
      <c r="P113"/>
      <c r="Q113"/>
      <c r="R113" s="165">
        <v>344.04</v>
      </c>
      <c r="S113" s="165"/>
      <c r="T113" t="s">
        <v>1267</v>
      </c>
      <c r="U113" s="165" t="s">
        <v>1267</v>
      </c>
      <c r="V113" s="165" t="s">
        <v>1267</v>
      </c>
      <c r="W113"/>
      <c r="X113"/>
      <c r="AB113"/>
      <c r="AC113"/>
      <c r="AD113"/>
      <c r="AE113"/>
      <c r="AF113"/>
      <c r="AG113"/>
      <c r="AH113"/>
    </row>
    <row r="114" spans="1:34" x14ac:dyDescent="0.25">
      <c r="A114" s="78">
        <v>20210320</v>
      </c>
      <c r="B114" s="165" t="s">
        <v>1292</v>
      </c>
      <c r="C114" s="165" t="s">
        <v>1293</v>
      </c>
      <c r="D114" s="165">
        <v>1</v>
      </c>
      <c r="E114" s="165" t="s">
        <v>1250</v>
      </c>
      <c r="F114" s="165" t="s">
        <v>1336</v>
      </c>
      <c r="G114" s="165" t="s">
        <v>1671</v>
      </c>
      <c r="H114" s="165" t="s">
        <v>922</v>
      </c>
      <c r="I114" s="165" t="s">
        <v>1658</v>
      </c>
      <c r="J114" t="s">
        <v>1658</v>
      </c>
      <c r="K114" s="165" t="s">
        <v>1671</v>
      </c>
      <c r="L114">
        <v>100</v>
      </c>
      <c r="M114" t="s">
        <v>1658</v>
      </c>
      <c r="O114"/>
      <c r="P114"/>
      <c r="Q114"/>
      <c r="R114" s="165">
        <v>100</v>
      </c>
      <c r="S114" s="165">
        <v>44263</v>
      </c>
      <c r="T114" t="s">
        <v>1267</v>
      </c>
      <c r="U114" s="165" t="s">
        <v>1267</v>
      </c>
      <c r="V114" s="165" t="s">
        <v>1267</v>
      </c>
      <c r="W114"/>
      <c r="X114"/>
      <c r="AB114"/>
      <c r="AC114"/>
      <c r="AD114"/>
      <c r="AE114"/>
      <c r="AF114"/>
      <c r="AG114"/>
      <c r="AH114"/>
    </row>
    <row r="115" spans="1:34" x14ac:dyDescent="0.25">
      <c r="A115" s="78">
        <v>20210320</v>
      </c>
      <c r="B115" s="165" t="s">
        <v>1292</v>
      </c>
      <c r="C115" s="165" t="s">
        <v>1293</v>
      </c>
      <c r="D115" s="165">
        <v>1</v>
      </c>
      <c r="E115" s="165" t="s">
        <v>1250</v>
      </c>
      <c r="F115" s="165" t="s">
        <v>1336</v>
      </c>
      <c r="G115" s="165" t="s">
        <v>1671</v>
      </c>
      <c r="H115" s="165" t="s">
        <v>922</v>
      </c>
      <c r="I115" s="165">
        <v>44278</v>
      </c>
      <c r="J115">
        <v>44278</v>
      </c>
      <c r="K115" s="165" t="s">
        <v>1671</v>
      </c>
      <c r="L115">
        <v>250.06</v>
      </c>
      <c r="M115">
        <v>44278</v>
      </c>
      <c r="O115"/>
      <c r="P115"/>
      <c r="Q115"/>
      <c r="R115" s="165">
        <v>250.06</v>
      </c>
      <c r="S115" s="165"/>
      <c r="T115" t="s">
        <v>1267</v>
      </c>
      <c r="U115" s="165" t="s">
        <v>1267</v>
      </c>
      <c r="V115" s="165" t="s">
        <v>1267</v>
      </c>
      <c r="W115"/>
      <c r="X115"/>
      <c r="AB115"/>
      <c r="AC115"/>
      <c r="AD115"/>
      <c r="AE115"/>
      <c r="AF115"/>
      <c r="AG115"/>
      <c r="AH115"/>
    </row>
    <row r="116" spans="1:34" x14ac:dyDescent="0.25">
      <c r="A116" s="78">
        <v>20210320</v>
      </c>
      <c r="B116" s="165" t="s">
        <v>1292</v>
      </c>
      <c r="C116" s="165" t="s">
        <v>1293</v>
      </c>
      <c r="D116" s="165">
        <v>1</v>
      </c>
      <c r="E116" s="165" t="s">
        <v>1250</v>
      </c>
      <c r="F116" s="165" t="s">
        <v>1336</v>
      </c>
      <c r="G116" s="165" t="s">
        <v>1671</v>
      </c>
      <c r="H116" s="165" t="s">
        <v>922</v>
      </c>
      <c r="I116" s="165" t="s">
        <v>1658</v>
      </c>
      <c r="J116" t="s">
        <v>1658</v>
      </c>
      <c r="K116" s="165" t="s">
        <v>1671</v>
      </c>
      <c r="L116">
        <v>100</v>
      </c>
      <c r="M116" t="s">
        <v>1658</v>
      </c>
      <c r="O116"/>
      <c r="P116"/>
      <c r="Q116"/>
      <c r="R116" s="165">
        <v>100</v>
      </c>
      <c r="S116" s="165">
        <v>44264</v>
      </c>
      <c r="T116" t="s">
        <v>1267</v>
      </c>
      <c r="U116" s="165" t="s">
        <v>1267</v>
      </c>
      <c r="V116" s="165" t="s">
        <v>1267</v>
      </c>
      <c r="W116"/>
      <c r="X116"/>
      <c r="AB116"/>
      <c r="AC116"/>
      <c r="AD116"/>
      <c r="AE116"/>
      <c r="AF116"/>
      <c r="AG116"/>
      <c r="AH116"/>
    </row>
    <row r="117" spans="1:34" x14ac:dyDescent="0.25">
      <c r="A117" s="78">
        <v>20210335</v>
      </c>
      <c r="B117" s="165" t="s">
        <v>97</v>
      </c>
      <c r="C117" s="165" t="s">
        <v>1308</v>
      </c>
      <c r="D117" s="165">
        <v>1</v>
      </c>
      <c r="E117" s="165" t="s">
        <v>1250</v>
      </c>
      <c r="F117" s="165" t="s">
        <v>1351</v>
      </c>
      <c r="G117" s="165" t="s">
        <v>1671</v>
      </c>
      <c r="H117" s="165" t="s">
        <v>1157</v>
      </c>
      <c r="I117" s="165">
        <v>44274</v>
      </c>
      <c r="J117">
        <v>44274</v>
      </c>
      <c r="K117" s="165" t="s">
        <v>1671</v>
      </c>
      <c r="L117">
        <v>5500</v>
      </c>
      <c r="M117">
        <v>44274</v>
      </c>
      <c r="N117">
        <v>5500</v>
      </c>
      <c r="O117">
        <v>44294</v>
      </c>
      <c r="P117"/>
      <c r="Q117"/>
      <c r="R117" s="165">
        <v>11000</v>
      </c>
      <c r="S117" s="165"/>
      <c r="T117" t="s">
        <v>1267</v>
      </c>
      <c r="U117" s="165" t="s">
        <v>1267</v>
      </c>
      <c r="V117" s="165" t="s">
        <v>1267</v>
      </c>
      <c r="W117"/>
      <c r="X117"/>
      <c r="AB117"/>
      <c r="AC117"/>
      <c r="AD117"/>
      <c r="AE117"/>
      <c r="AF117"/>
      <c r="AG117"/>
      <c r="AH117"/>
    </row>
    <row r="118" spans="1:34" x14ac:dyDescent="0.25">
      <c r="A118" s="78">
        <v>20210335</v>
      </c>
      <c r="B118" s="165" t="s">
        <v>1292</v>
      </c>
      <c r="C118" s="165" t="s">
        <v>1293</v>
      </c>
      <c r="D118" s="165">
        <v>1</v>
      </c>
      <c r="E118" s="165" t="s">
        <v>1250</v>
      </c>
      <c r="F118" s="165" t="s">
        <v>1352</v>
      </c>
      <c r="G118" s="165" t="s">
        <v>1671</v>
      </c>
      <c r="H118" s="165" t="s">
        <v>1157</v>
      </c>
      <c r="I118" s="165">
        <v>44286</v>
      </c>
      <c r="J118">
        <v>44286</v>
      </c>
      <c r="K118" s="165" t="s">
        <v>1671</v>
      </c>
      <c r="L118">
        <v>139</v>
      </c>
      <c r="M118">
        <v>44286</v>
      </c>
      <c r="O118"/>
      <c r="P118"/>
      <c r="Q118"/>
      <c r="R118" s="165">
        <v>139</v>
      </c>
      <c r="S118" s="165"/>
      <c r="T118" t="s">
        <v>1267</v>
      </c>
      <c r="U118" s="165" t="s">
        <v>1267</v>
      </c>
      <c r="V118" s="165" t="s">
        <v>1267</v>
      </c>
      <c r="W118"/>
      <c r="X118"/>
      <c r="AB118"/>
      <c r="AC118"/>
      <c r="AD118"/>
      <c r="AE118"/>
      <c r="AF118"/>
      <c r="AG118"/>
      <c r="AH118"/>
    </row>
    <row r="119" spans="1:34" x14ac:dyDescent="0.25">
      <c r="A119" s="78">
        <v>20210320</v>
      </c>
      <c r="B119" s="165" t="s">
        <v>1292</v>
      </c>
      <c r="C119" s="165" t="s">
        <v>1293</v>
      </c>
      <c r="D119" s="165">
        <v>1</v>
      </c>
      <c r="E119" s="165" t="s">
        <v>1250</v>
      </c>
      <c r="F119" s="165" t="s">
        <v>1353</v>
      </c>
      <c r="G119" s="165" t="s">
        <v>1671</v>
      </c>
      <c r="H119" s="165" t="s">
        <v>922</v>
      </c>
      <c r="I119" s="165">
        <v>44273</v>
      </c>
      <c r="J119">
        <v>44273</v>
      </c>
      <c r="K119" s="165" t="s">
        <v>1671</v>
      </c>
      <c r="L119">
        <v>400</v>
      </c>
      <c r="M119">
        <v>44287</v>
      </c>
      <c r="O119"/>
      <c r="P119"/>
      <c r="Q119"/>
      <c r="R119" s="165">
        <v>400</v>
      </c>
      <c r="S119" s="165"/>
      <c r="T119" t="s">
        <v>1267</v>
      </c>
      <c r="U119" s="165" t="s">
        <v>1267</v>
      </c>
      <c r="V119" s="165" t="s">
        <v>1267</v>
      </c>
      <c r="W119"/>
      <c r="X119"/>
      <c r="AB119"/>
      <c r="AC119"/>
      <c r="AD119"/>
      <c r="AE119"/>
      <c r="AF119"/>
      <c r="AG119"/>
      <c r="AH119"/>
    </row>
    <row r="120" spans="1:34" x14ac:dyDescent="0.25">
      <c r="A120" s="78">
        <v>20210320</v>
      </c>
      <c r="B120" s="165" t="s">
        <v>1256</v>
      </c>
      <c r="C120" s="165" t="s">
        <v>1257</v>
      </c>
      <c r="D120" s="165">
        <v>10</v>
      </c>
      <c r="E120" s="165" t="s">
        <v>1250</v>
      </c>
      <c r="F120" s="165" t="s">
        <v>1258</v>
      </c>
      <c r="G120" s="165" t="s">
        <v>1671</v>
      </c>
      <c r="H120" s="165" t="s">
        <v>922</v>
      </c>
      <c r="I120" s="165">
        <v>44274</v>
      </c>
      <c r="J120">
        <v>44274</v>
      </c>
      <c r="K120" s="165" t="s">
        <v>1671</v>
      </c>
      <c r="L120">
        <v>433.21300000000002</v>
      </c>
      <c r="M120">
        <v>44274</v>
      </c>
      <c r="O120"/>
      <c r="P120"/>
      <c r="Q120"/>
      <c r="R120" s="165">
        <v>4332.13</v>
      </c>
      <c r="S120" s="165"/>
      <c r="T120" t="s">
        <v>1267</v>
      </c>
      <c r="U120" s="165" t="s">
        <v>1267</v>
      </c>
      <c r="V120" s="165" t="s">
        <v>1267</v>
      </c>
      <c r="W120"/>
      <c r="X120"/>
      <c r="AB120"/>
      <c r="AC120"/>
      <c r="AD120"/>
      <c r="AE120"/>
      <c r="AF120"/>
      <c r="AG120"/>
      <c r="AH120"/>
    </row>
    <row r="121" spans="1:34" x14ac:dyDescent="0.25">
      <c r="A121" s="78">
        <v>20210424</v>
      </c>
      <c r="B121" s="165" t="s">
        <v>1292</v>
      </c>
      <c r="C121" s="165" t="s">
        <v>1293</v>
      </c>
      <c r="D121" s="165">
        <v>1</v>
      </c>
      <c r="E121" s="165" t="s">
        <v>1250</v>
      </c>
      <c r="F121" s="165" t="s">
        <v>1354</v>
      </c>
      <c r="G121" s="165" t="s">
        <v>1671</v>
      </c>
      <c r="H121" s="165" t="s">
        <v>926</v>
      </c>
      <c r="I121" s="165">
        <v>44235</v>
      </c>
      <c r="J121">
        <v>44263</v>
      </c>
      <c r="K121" s="165" t="s">
        <v>1671</v>
      </c>
      <c r="L121">
        <v>20</v>
      </c>
      <c r="M121">
        <v>44271</v>
      </c>
      <c r="O121"/>
      <c r="P121"/>
      <c r="Q121"/>
      <c r="R121" s="165">
        <v>20</v>
      </c>
      <c r="S121" s="165"/>
      <c r="T121" t="s">
        <v>1267</v>
      </c>
      <c r="U121" s="165" t="s">
        <v>1267</v>
      </c>
      <c r="V121" s="165" t="s">
        <v>1267</v>
      </c>
      <c r="W121"/>
      <c r="X121"/>
      <c r="AB121"/>
      <c r="AC121"/>
      <c r="AD121"/>
      <c r="AE121"/>
      <c r="AF121"/>
      <c r="AG121"/>
      <c r="AH121"/>
    </row>
    <row r="122" spans="1:34" x14ac:dyDescent="0.25">
      <c r="A122" s="78">
        <v>20210116</v>
      </c>
      <c r="B122" s="165" t="s">
        <v>1292</v>
      </c>
      <c r="C122" s="165" t="s">
        <v>1293</v>
      </c>
      <c r="D122" s="165">
        <v>1</v>
      </c>
      <c r="E122" s="165" t="s">
        <v>1250</v>
      </c>
      <c r="F122" s="165" t="s">
        <v>1355</v>
      </c>
      <c r="G122" s="165" t="s">
        <v>1671</v>
      </c>
      <c r="H122" s="165" t="s">
        <v>922</v>
      </c>
      <c r="I122" s="165">
        <v>44263</v>
      </c>
      <c r="J122">
        <v>44263</v>
      </c>
      <c r="K122" s="165" t="s">
        <v>1671</v>
      </c>
      <c r="L122">
        <v>320</v>
      </c>
      <c r="M122">
        <v>44271</v>
      </c>
      <c r="O122"/>
      <c r="P122"/>
      <c r="Q122"/>
      <c r="R122" s="165">
        <v>320</v>
      </c>
      <c r="S122" s="165"/>
      <c r="T122" t="s">
        <v>1267</v>
      </c>
      <c r="U122" s="165" t="s">
        <v>1267</v>
      </c>
      <c r="V122" s="165" t="s">
        <v>1267</v>
      </c>
      <c r="W122"/>
      <c r="X122"/>
      <c r="AB122"/>
      <c r="AC122"/>
      <c r="AD122"/>
      <c r="AE122"/>
      <c r="AF122"/>
      <c r="AG122"/>
      <c r="AH122"/>
    </row>
    <row r="123" spans="1:34" x14ac:dyDescent="0.25">
      <c r="A123" s="78">
        <v>20210211</v>
      </c>
      <c r="B123" s="165" t="s">
        <v>97</v>
      </c>
      <c r="C123" s="165" t="s">
        <v>1356</v>
      </c>
      <c r="D123" s="165">
        <v>1</v>
      </c>
      <c r="E123" s="165" t="s">
        <v>1250</v>
      </c>
      <c r="F123" s="165" t="s">
        <v>1357</v>
      </c>
      <c r="G123" s="165" t="s">
        <v>1671</v>
      </c>
      <c r="H123" s="165" t="s">
        <v>929</v>
      </c>
      <c r="I123" s="165">
        <v>44274</v>
      </c>
      <c r="J123">
        <v>44274</v>
      </c>
      <c r="K123" s="165" t="s">
        <v>1671</v>
      </c>
      <c r="L123">
        <v>90</v>
      </c>
      <c r="M123">
        <v>44277</v>
      </c>
      <c r="O123"/>
      <c r="P123"/>
      <c r="Q123"/>
      <c r="R123" s="165">
        <v>90</v>
      </c>
      <c r="S123" s="165"/>
      <c r="T123" t="s">
        <v>1267</v>
      </c>
      <c r="U123" s="165" t="s">
        <v>1267</v>
      </c>
      <c r="V123" s="165" t="s">
        <v>1267</v>
      </c>
      <c r="W123"/>
      <c r="X123"/>
      <c r="AB123"/>
      <c r="AC123"/>
      <c r="AD123"/>
      <c r="AE123"/>
      <c r="AF123"/>
      <c r="AG123"/>
      <c r="AH123"/>
    </row>
    <row r="124" spans="1:34" x14ac:dyDescent="0.25">
      <c r="A124" s="78">
        <v>20210423</v>
      </c>
      <c r="B124" s="165" t="s">
        <v>97</v>
      </c>
      <c r="C124" s="165" t="s">
        <v>1296</v>
      </c>
      <c r="D124" s="165">
        <v>1</v>
      </c>
      <c r="E124" s="165" t="s">
        <v>1250</v>
      </c>
      <c r="F124" s="165" t="s">
        <v>1358</v>
      </c>
      <c r="G124" s="165" t="s">
        <v>1671</v>
      </c>
      <c r="H124" s="165" t="s">
        <v>1184</v>
      </c>
      <c r="I124" s="165">
        <v>44277</v>
      </c>
      <c r="J124">
        <v>44278</v>
      </c>
      <c r="K124" s="165" t="s">
        <v>1671</v>
      </c>
      <c r="L124">
        <v>890</v>
      </c>
      <c r="M124">
        <v>44305</v>
      </c>
      <c r="O124"/>
      <c r="P124"/>
      <c r="Q124"/>
      <c r="R124" s="165">
        <v>890</v>
      </c>
      <c r="S124" s="165"/>
      <c r="T124" t="s">
        <v>1267</v>
      </c>
      <c r="U124" s="165" t="s">
        <v>1267</v>
      </c>
      <c r="V124" s="165" t="s">
        <v>1267</v>
      </c>
      <c r="W124"/>
      <c r="X124"/>
      <c r="AB124"/>
      <c r="AC124"/>
      <c r="AD124"/>
      <c r="AE124"/>
      <c r="AF124"/>
      <c r="AG124"/>
      <c r="AH124"/>
    </row>
    <row r="125" spans="1:34" x14ac:dyDescent="0.25">
      <c r="A125" s="78">
        <v>20210320</v>
      </c>
      <c r="B125" s="165" t="s">
        <v>97</v>
      </c>
      <c r="C125" s="165" t="s">
        <v>1305</v>
      </c>
      <c r="D125" s="165">
        <v>1</v>
      </c>
      <c r="E125" s="165" t="s">
        <v>1250</v>
      </c>
      <c r="F125" s="165" t="s">
        <v>1359</v>
      </c>
      <c r="G125" s="165" t="s">
        <v>1671</v>
      </c>
      <c r="H125" s="165" t="s">
        <v>922</v>
      </c>
      <c r="I125" s="165">
        <v>44277</v>
      </c>
      <c r="J125">
        <v>44278</v>
      </c>
      <c r="K125" s="165" t="s">
        <v>1671</v>
      </c>
      <c r="L125">
        <v>175</v>
      </c>
      <c r="M125">
        <v>44306</v>
      </c>
      <c r="O125"/>
      <c r="P125"/>
      <c r="Q125"/>
      <c r="R125" s="165">
        <v>175</v>
      </c>
      <c r="S125" s="165"/>
      <c r="T125" t="s">
        <v>1267</v>
      </c>
      <c r="U125" s="165" t="s">
        <v>1267</v>
      </c>
      <c r="V125" s="165" t="s">
        <v>1267</v>
      </c>
      <c r="W125"/>
      <c r="X125"/>
      <c r="AB125"/>
      <c r="AC125"/>
      <c r="AD125"/>
      <c r="AE125"/>
      <c r="AF125"/>
      <c r="AG125"/>
      <c r="AH125"/>
    </row>
    <row r="126" spans="1:34" x14ac:dyDescent="0.25">
      <c r="A126" s="78">
        <v>20210320</v>
      </c>
      <c r="B126" s="165" t="s">
        <v>1261</v>
      </c>
      <c r="C126" s="165" t="s">
        <v>1262</v>
      </c>
      <c r="D126" s="165">
        <v>1</v>
      </c>
      <c r="E126" s="165" t="s">
        <v>1250</v>
      </c>
      <c r="F126" s="165" t="s">
        <v>1360</v>
      </c>
      <c r="G126" s="165" t="s">
        <v>1671</v>
      </c>
      <c r="H126" s="165" t="s">
        <v>922</v>
      </c>
      <c r="I126" s="165">
        <v>44277</v>
      </c>
      <c r="J126">
        <v>44278</v>
      </c>
      <c r="K126" s="165" t="s">
        <v>1671</v>
      </c>
      <c r="L126">
        <v>460</v>
      </c>
      <c r="M126">
        <v>44306</v>
      </c>
      <c r="O126"/>
      <c r="P126"/>
      <c r="Q126"/>
      <c r="R126" s="165">
        <v>460</v>
      </c>
      <c r="S126" s="165"/>
      <c r="T126" t="s">
        <v>1267</v>
      </c>
      <c r="U126" s="165" t="s">
        <v>1267</v>
      </c>
      <c r="V126" s="165" t="s">
        <v>1267</v>
      </c>
      <c r="W126"/>
      <c r="X126"/>
      <c r="AB126"/>
      <c r="AC126"/>
      <c r="AD126"/>
      <c r="AE126"/>
      <c r="AF126"/>
      <c r="AG126"/>
      <c r="AH126"/>
    </row>
    <row r="127" spans="1:34" x14ac:dyDescent="0.25">
      <c r="A127" s="78">
        <v>20210320</v>
      </c>
      <c r="B127" s="165" t="s">
        <v>97</v>
      </c>
      <c r="C127" s="165" t="s">
        <v>1264</v>
      </c>
      <c r="D127" s="165">
        <v>2</v>
      </c>
      <c r="E127" s="165" t="s">
        <v>1250</v>
      </c>
      <c r="F127" s="165" t="s">
        <v>1265</v>
      </c>
      <c r="G127" s="165" t="s">
        <v>1671</v>
      </c>
      <c r="H127" s="165" t="s">
        <v>922</v>
      </c>
      <c r="I127" s="165">
        <v>44277</v>
      </c>
      <c r="J127">
        <v>44277</v>
      </c>
      <c r="K127" s="165" t="s">
        <v>1671</v>
      </c>
      <c r="L127">
        <v>163</v>
      </c>
      <c r="M127">
        <v>44306</v>
      </c>
      <c r="O127"/>
      <c r="P127"/>
      <c r="Q127"/>
      <c r="R127" s="165">
        <v>326</v>
      </c>
      <c r="S127" s="165"/>
      <c r="T127" t="s">
        <v>1267</v>
      </c>
      <c r="U127" s="165" t="s">
        <v>1267</v>
      </c>
      <c r="V127" s="165" t="s">
        <v>1267</v>
      </c>
      <c r="W127"/>
      <c r="X127"/>
      <c r="AB127"/>
      <c r="AC127"/>
      <c r="AD127"/>
      <c r="AE127"/>
      <c r="AF127"/>
      <c r="AG127"/>
      <c r="AH127"/>
    </row>
    <row r="128" spans="1:34" x14ac:dyDescent="0.25">
      <c r="A128" s="78">
        <v>20210320</v>
      </c>
      <c r="B128" s="165" t="s">
        <v>97</v>
      </c>
      <c r="C128" s="165" t="s">
        <v>1268</v>
      </c>
      <c r="D128" s="165">
        <v>2</v>
      </c>
      <c r="E128" s="165" t="s">
        <v>1250</v>
      </c>
      <c r="F128" s="165" t="s">
        <v>1269</v>
      </c>
      <c r="G128" s="165" t="s">
        <v>1671</v>
      </c>
      <c r="H128" s="165" t="s">
        <v>922</v>
      </c>
      <c r="I128" s="165">
        <v>44277</v>
      </c>
      <c r="J128">
        <v>44277</v>
      </c>
      <c r="K128" s="165" t="s">
        <v>1671</v>
      </c>
      <c r="L128">
        <v>79</v>
      </c>
      <c r="M128">
        <v>44306</v>
      </c>
      <c r="O128"/>
      <c r="P128"/>
      <c r="Q128"/>
      <c r="R128" s="165">
        <v>158</v>
      </c>
      <c r="S128" s="165"/>
      <c r="T128" t="s">
        <v>1267</v>
      </c>
      <c r="U128" s="165" t="s">
        <v>1267</v>
      </c>
      <c r="V128" s="165" t="s">
        <v>1267</v>
      </c>
      <c r="W128"/>
      <c r="X128"/>
      <c r="AB128"/>
      <c r="AC128"/>
      <c r="AD128"/>
      <c r="AE128"/>
      <c r="AF128"/>
      <c r="AG128"/>
      <c r="AH128"/>
    </row>
    <row r="129" spans="1:34" x14ac:dyDescent="0.25">
      <c r="A129" s="78">
        <v>20210423</v>
      </c>
      <c r="B129" s="165" t="s">
        <v>1292</v>
      </c>
      <c r="C129" s="165" t="s">
        <v>1293</v>
      </c>
      <c r="D129" s="165">
        <v>1</v>
      </c>
      <c r="E129" s="165" t="s">
        <v>1250</v>
      </c>
      <c r="F129" s="165" t="s">
        <v>1361</v>
      </c>
      <c r="G129" s="165" t="s">
        <v>1671</v>
      </c>
      <c r="H129" s="165" t="s">
        <v>1184</v>
      </c>
      <c r="I129" s="165">
        <v>44280</v>
      </c>
      <c r="J129">
        <v>44280</v>
      </c>
      <c r="K129" s="165" t="s">
        <v>1671</v>
      </c>
      <c r="L129">
        <v>280</v>
      </c>
      <c r="M129">
        <v>44295</v>
      </c>
      <c r="O129"/>
      <c r="P129"/>
      <c r="Q129"/>
      <c r="R129" s="165">
        <v>280</v>
      </c>
      <c r="S129" s="165"/>
      <c r="T129" t="s">
        <v>1267</v>
      </c>
      <c r="U129" s="165" t="s">
        <v>1267</v>
      </c>
      <c r="V129" s="165" t="s">
        <v>1267</v>
      </c>
      <c r="W129"/>
      <c r="X129"/>
      <c r="AB129"/>
      <c r="AC129"/>
      <c r="AD129"/>
      <c r="AE129"/>
      <c r="AF129"/>
      <c r="AG129"/>
      <c r="AH129"/>
    </row>
    <row r="130" spans="1:34" x14ac:dyDescent="0.25">
      <c r="A130" s="78">
        <v>20210423</v>
      </c>
      <c r="B130" s="165" t="s">
        <v>1311</v>
      </c>
      <c r="C130" s="165" t="s">
        <v>1312</v>
      </c>
      <c r="D130" s="165">
        <v>1</v>
      </c>
      <c r="E130" s="165" t="s">
        <v>1250</v>
      </c>
      <c r="F130" s="165" t="s">
        <v>1362</v>
      </c>
      <c r="G130" s="165" t="s">
        <v>1671</v>
      </c>
      <c r="H130" s="165" t="s">
        <v>1184</v>
      </c>
      <c r="I130" s="165">
        <v>44335</v>
      </c>
      <c r="J130">
        <v>44335</v>
      </c>
      <c r="K130" s="165" t="s">
        <v>1671</v>
      </c>
      <c r="L130">
        <v>4360</v>
      </c>
      <c r="M130">
        <v>44350</v>
      </c>
      <c r="O130"/>
      <c r="P130"/>
      <c r="Q130"/>
      <c r="R130" s="165">
        <v>4360</v>
      </c>
      <c r="S130" s="165"/>
      <c r="T130" t="s">
        <v>1267</v>
      </c>
      <c r="U130" s="165" t="s">
        <v>1267</v>
      </c>
      <c r="V130" s="165" t="s">
        <v>1267</v>
      </c>
      <c r="W130"/>
      <c r="X130"/>
      <c r="AB130"/>
      <c r="AC130"/>
      <c r="AD130"/>
      <c r="AE130"/>
      <c r="AF130"/>
      <c r="AG130"/>
      <c r="AH130"/>
    </row>
    <row r="131" spans="1:34" x14ac:dyDescent="0.25">
      <c r="A131" s="78">
        <v>20210423</v>
      </c>
      <c r="B131" s="165" t="s">
        <v>97</v>
      </c>
      <c r="C131" s="165" t="s">
        <v>1296</v>
      </c>
      <c r="D131" s="165">
        <v>1</v>
      </c>
      <c r="E131" s="165" t="s">
        <v>1250</v>
      </c>
      <c r="F131" s="165" t="s">
        <v>1363</v>
      </c>
      <c r="G131" s="165" t="s">
        <v>1671</v>
      </c>
      <c r="H131" s="165" t="s">
        <v>1184</v>
      </c>
      <c r="I131" s="165">
        <v>44278</v>
      </c>
      <c r="J131">
        <v>44278</v>
      </c>
      <c r="K131" s="165" t="s">
        <v>1671</v>
      </c>
      <c r="L131">
        <v>854.32</v>
      </c>
      <c r="M131">
        <v>44278</v>
      </c>
      <c r="O131"/>
      <c r="P131"/>
      <c r="Q131"/>
      <c r="R131" s="165">
        <v>854.32</v>
      </c>
      <c r="S131" s="165"/>
      <c r="T131" t="s">
        <v>1267</v>
      </c>
      <c r="U131" s="165" t="s">
        <v>1267</v>
      </c>
      <c r="V131" s="165" t="s">
        <v>1267</v>
      </c>
      <c r="W131"/>
      <c r="X131"/>
      <c r="AB131"/>
      <c r="AC131"/>
      <c r="AD131"/>
      <c r="AE131"/>
      <c r="AF131"/>
      <c r="AG131"/>
      <c r="AH131"/>
    </row>
    <row r="132" spans="1:34" x14ac:dyDescent="0.25">
      <c r="A132" s="78">
        <v>20210423</v>
      </c>
      <c r="B132" s="165" t="s">
        <v>97</v>
      </c>
      <c r="C132" s="165" t="s">
        <v>1296</v>
      </c>
      <c r="D132" s="165">
        <v>1</v>
      </c>
      <c r="E132" s="165" t="s">
        <v>1250</v>
      </c>
      <c r="F132" s="165" t="s">
        <v>1364</v>
      </c>
      <c r="G132" s="165" t="s">
        <v>1671</v>
      </c>
      <c r="H132" s="165" t="s">
        <v>1184</v>
      </c>
      <c r="I132" s="165">
        <v>44278</v>
      </c>
      <c r="J132">
        <v>44278</v>
      </c>
      <c r="K132" s="165" t="s">
        <v>1671</v>
      </c>
      <c r="L132">
        <v>260.45999999999998</v>
      </c>
      <c r="M132">
        <v>44278</v>
      </c>
      <c r="O132"/>
      <c r="P132"/>
      <c r="Q132"/>
      <c r="R132" s="165">
        <v>260.45999999999998</v>
      </c>
      <c r="S132" s="165"/>
      <c r="T132" t="s">
        <v>1267</v>
      </c>
      <c r="U132" s="165" t="s">
        <v>1267</v>
      </c>
      <c r="V132" s="165" t="s">
        <v>1267</v>
      </c>
      <c r="W132"/>
      <c r="X132"/>
      <c r="AB132"/>
      <c r="AC132"/>
      <c r="AD132"/>
      <c r="AE132"/>
      <c r="AF132"/>
      <c r="AG132"/>
      <c r="AH132"/>
    </row>
    <row r="133" spans="1:34" x14ac:dyDescent="0.25">
      <c r="A133" s="78">
        <v>20210200</v>
      </c>
      <c r="B133" s="165" t="s">
        <v>1256</v>
      </c>
      <c r="C133" s="165" t="s">
        <v>1257</v>
      </c>
      <c r="D133" s="165">
        <v>15</v>
      </c>
      <c r="E133" s="165" t="s">
        <v>1250</v>
      </c>
      <c r="F133" s="165" t="s">
        <v>1258</v>
      </c>
      <c r="G133" s="165" t="s">
        <v>1671</v>
      </c>
      <c r="H133" s="165" t="s">
        <v>937</v>
      </c>
      <c r="I133" s="165">
        <v>44245</v>
      </c>
      <c r="J133">
        <v>44245</v>
      </c>
      <c r="K133" s="165" t="s">
        <v>1671</v>
      </c>
      <c r="L133">
        <v>1955.78333333</v>
      </c>
      <c r="M133">
        <v>44277</v>
      </c>
      <c r="N133">
        <v>1955.78333333</v>
      </c>
      <c r="O133">
        <v>44308</v>
      </c>
      <c r="P133">
        <v>1955.78333333</v>
      </c>
      <c r="Q133">
        <v>44338</v>
      </c>
      <c r="R133" s="165">
        <v>5867.3499999899996</v>
      </c>
      <c r="S133" s="165"/>
      <c r="T133" t="s">
        <v>1267</v>
      </c>
      <c r="U133" s="165" t="s">
        <v>1267</v>
      </c>
      <c r="V133" s="165" t="s">
        <v>1267</v>
      </c>
      <c r="W133"/>
      <c r="X133"/>
      <c r="AB133"/>
      <c r="AC133"/>
      <c r="AD133"/>
      <c r="AE133"/>
      <c r="AF133"/>
      <c r="AG133"/>
      <c r="AH133"/>
    </row>
    <row r="134" spans="1:34" x14ac:dyDescent="0.25">
      <c r="A134" s="78">
        <v>20210200</v>
      </c>
      <c r="B134" s="165" t="s">
        <v>1261</v>
      </c>
      <c r="C134" s="165" t="s">
        <v>1262</v>
      </c>
      <c r="D134" s="165">
        <v>3</v>
      </c>
      <c r="E134" s="165" t="s">
        <v>1250</v>
      </c>
      <c r="F134" s="165" t="s">
        <v>1263</v>
      </c>
      <c r="G134" s="165" t="s">
        <v>1671</v>
      </c>
      <c r="H134" s="165" t="s">
        <v>937</v>
      </c>
      <c r="I134" s="165">
        <v>44245</v>
      </c>
      <c r="J134">
        <v>44245</v>
      </c>
      <c r="K134" s="165" t="s">
        <v>1671</v>
      </c>
      <c r="L134">
        <v>1108.1166666667</v>
      </c>
      <c r="M134">
        <v>44277</v>
      </c>
      <c r="N134">
        <v>956.04</v>
      </c>
      <c r="O134">
        <v>44308</v>
      </c>
      <c r="P134">
        <v>956.05</v>
      </c>
      <c r="Q134">
        <v>44338</v>
      </c>
      <c r="R134" s="165">
        <v>3020.2066666666997</v>
      </c>
      <c r="S134" s="165"/>
      <c r="T134" t="s">
        <v>1267</v>
      </c>
      <c r="U134" s="165" t="s">
        <v>1267</v>
      </c>
      <c r="V134" s="165" t="s">
        <v>1267</v>
      </c>
      <c r="W134"/>
      <c r="X134"/>
      <c r="AB134"/>
      <c r="AC134"/>
      <c r="AD134"/>
      <c r="AE134"/>
      <c r="AF134"/>
      <c r="AG134"/>
      <c r="AH134"/>
    </row>
    <row r="135" spans="1:34" x14ac:dyDescent="0.25">
      <c r="A135" s="78">
        <v>20210322</v>
      </c>
      <c r="B135" s="165" t="s">
        <v>1292</v>
      </c>
      <c r="C135" s="165" t="s">
        <v>1293</v>
      </c>
      <c r="D135" s="165">
        <v>1</v>
      </c>
      <c r="E135" s="165" t="s">
        <v>1250</v>
      </c>
      <c r="F135" s="165" t="s">
        <v>1365</v>
      </c>
      <c r="G135" s="165" t="s">
        <v>1671</v>
      </c>
      <c r="H135" s="165" t="s">
        <v>998</v>
      </c>
      <c r="I135" s="165">
        <v>44277</v>
      </c>
      <c r="J135">
        <v>44277</v>
      </c>
      <c r="K135" s="165" t="s">
        <v>1671</v>
      </c>
      <c r="L135">
        <v>76</v>
      </c>
      <c r="M135">
        <v>44277</v>
      </c>
      <c r="O135"/>
      <c r="P135"/>
      <c r="Q135"/>
      <c r="R135" s="165">
        <v>76</v>
      </c>
      <c r="S135" s="165"/>
      <c r="T135" t="s">
        <v>1267</v>
      </c>
      <c r="U135" s="165" t="s">
        <v>1267</v>
      </c>
      <c r="V135" s="165" t="s">
        <v>1267</v>
      </c>
      <c r="W135"/>
      <c r="X135"/>
      <c r="AB135"/>
      <c r="AC135"/>
      <c r="AD135"/>
      <c r="AE135"/>
      <c r="AF135"/>
      <c r="AG135"/>
      <c r="AH135"/>
    </row>
    <row r="136" spans="1:34" x14ac:dyDescent="0.25">
      <c r="A136" s="78">
        <v>20210320</v>
      </c>
      <c r="B136" s="165" t="s">
        <v>1292</v>
      </c>
      <c r="C136" s="165" t="s">
        <v>1293</v>
      </c>
      <c r="D136" s="165">
        <v>1</v>
      </c>
      <c r="E136" s="165" t="s">
        <v>1250</v>
      </c>
      <c r="F136" s="165" t="s">
        <v>1366</v>
      </c>
      <c r="G136" s="165" t="s">
        <v>1671</v>
      </c>
      <c r="H136" s="165" t="s">
        <v>922</v>
      </c>
      <c r="I136" s="165">
        <v>44277</v>
      </c>
      <c r="J136">
        <v>44277</v>
      </c>
      <c r="K136" s="165" t="s">
        <v>1671</v>
      </c>
      <c r="L136">
        <v>644</v>
      </c>
      <c r="M136">
        <v>44277</v>
      </c>
      <c r="O136"/>
      <c r="P136"/>
      <c r="Q136"/>
      <c r="R136" s="165">
        <v>644</v>
      </c>
      <c r="S136" s="165"/>
      <c r="T136" t="s">
        <v>1267</v>
      </c>
      <c r="U136" s="165" t="s">
        <v>1267</v>
      </c>
      <c r="V136" s="165" t="s">
        <v>1267</v>
      </c>
      <c r="W136"/>
      <c r="X136"/>
      <c r="AB136"/>
      <c r="AC136"/>
      <c r="AD136"/>
      <c r="AE136"/>
      <c r="AF136"/>
      <c r="AG136"/>
      <c r="AH136"/>
    </row>
    <row r="137" spans="1:34" x14ac:dyDescent="0.25">
      <c r="A137" s="78">
        <v>20210320</v>
      </c>
      <c r="B137" s="165" t="s">
        <v>97</v>
      </c>
      <c r="C137" s="165" t="s">
        <v>1296</v>
      </c>
      <c r="D137" s="165">
        <v>1</v>
      </c>
      <c r="E137" s="165" t="s">
        <v>1250</v>
      </c>
      <c r="F137" s="165" t="s">
        <v>1367</v>
      </c>
      <c r="G137" s="165" t="s">
        <v>1671</v>
      </c>
      <c r="H137" s="165" t="s">
        <v>922</v>
      </c>
      <c r="I137" s="165">
        <v>44279</v>
      </c>
      <c r="J137">
        <v>44279</v>
      </c>
      <c r="K137" s="165" t="s">
        <v>1671</v>
      </c>
      <c r="L137">
        <v>22.9</v>
      </c>
      <c r="M137">
        <v>44279</v>
      </c>
      <c r="O137"/>
      <c r="P137"/>
      <c r="Q137"/>
      <c r="R137" s="165">
        <v>22.9</v>
      </c>
      <c r="S137" s="165"/>
      <c r="T137" t="s">
        <v>1267</v>
      </c>
      <c r="U137" s="165" t="s">
        <v>1267</v>
      </c>
      <c r="V137" s="165" t="s">
        <v>1267</v>
      </c>
      <c r="W137"/>
      <c r="X137"/>
      <c r="AB137"/>
      <c r="AC137"/>
      <c r="AD137"/>
      <c r="AE137"/>
      <c r="AF137"/>
      <c r="AG137"/>
      <c r="AH137"/>
    </row>
    <row r="138" spans="1:34" x14ac:dyDescent="0.25">
      <c r="A138" s="78">
        <v>20210423</v>
      </c>
      <c r="B138" s="165" t="s">
        <v>1292</v>
      </c>
      <c r="C138" s="165" t="s">
        <v>1293</v>
      </c>
      <c r="D138" s="165">
        <v>1</v>
      </c>
      <c r="E138" s="165" t="s">
        <v>1250</v>
      </c>
      <c r="F138" s="165" t="s">
        <v>1368</v>
      </c>
      <c r="G138" s="165" t="s">
        <v>1671</v>
      </c>
      <c r="H138" s="165" t="s">
        <v>1184</v>
      </c>
      <c r="I138" s="165">
        <v>44284</v>
      </c>
      <c r="J138">
        <v>44284</v>
      </c>
      <c r="K138" s="165" t="s">
        <v>1671</v>
      </c>
      <c r="L138">
        <v>280</v>
      </c>
      <c r="M138">
        <v>44298</v>
      </c>
      <c r="O138"/>
      <c r="P138"/>
      <c r="Q138"/>
      <c r="R138" s="165">
        <v>280</v>
      </c>
      <c r="S138" s="165"/>
      <c r="T138" t="s">
        <v>1267</v>
      </c>
      <c r="U138" s="165" t="s">
        <v>1267</v>
      </c>
      <c r="V138" s="165" t="s">
        <v>1267</v>
      </c>
      <c r="W138"/>
      <c r="X138"/>
      <c r="AB138"/>
      <c r="AC138"/>
      <c r="AD138"/>
      <c r="AE138"/>
      <c r="AF138"/>
      <c r="AG138"/>
      <c r="AH138"/>
    </row>
    <row r="139" spans="1:34" x14ac:dyDescent="0.25">
      <c r="A139" s="78">
        <v>20210322</v>
      </c>
      <c r="B139" s="165" t="s">
        <v>1292</v>
      </c>
      <c r="C139" s="165" t="s">
        <v>1293</v>
      </c>
      <c r="D139" s="165">
        <v>1</v>
      </c>
      <c r="E139" s="165" t="s">
        <v>1250</v>
      </c>
      <c r="F139" s="165" t="s">
        <v>1369</v>
      </c>
      <c r="G139" s="165" t="s">
        <v>1671</v>
      </c>
      <c r="H139" s="165" t="s">
        <v>998</v>
      </c>
      <c r="I139" s="165">
        <v>44284</v>
      </c>
      <c r="J139">
        <v>44284</v>
      </c>
      <c r="K139" s="165" t="s">
        <v>1671</v>
      </c>
      <c r="L139">
        <v>20</v>
      </c>
      <c r="M139">
        <v>44302</v>
      </c>
      <c r="O139"/>
      <c r="P139"/>
      <c r="Q139"/>
      <c r="R139" s="165">
        <v>20</v>
      </c>
      <c r="S139" s="165"/>
      <c r="T139" t="s">
        <v>1267</v>
      </c>
      <c r="U139" s="165" t="s">
        <v>1267</v>
      </c>
      <c r="V139" s="165" t="s">
        <v>1267</v>
      </c>
      <c r="W139"/>
      <c r="X139"/>
      <c r="AB139"/>
      <c r="AC139"/>
      <c r="AD139"/>
      <c r="AE139"/>
      <c r="AF139"/>
      <c r="AG139"/>
      <c r="AH139"/>
    </row>
    <row r="140" spans="1:34" x14ac:dyDescent="0.25">
      <c r="A140" s="78">
        <v>20210307</v>
      </c>
      <c r="B140" s="165" t="s">
        <v>1256</v>
      </c>
      <c r="C140" s="165" t="s">
        <v>1257</v>
      </c>
      <c r="D140" s="165">
        <v>3</v>
      </c>
      <c r="E140" s="165" t="s">
        <v>1250</v>
      </c>
      <c r="F140" s="165" t="s">
        <v>1271</v>
      </c>
      <c r="G140" s="165" t="s">
        <v>1671</v>
      </c>
      <c r="H140" s="165" t="s">
        <v>943</v>
      </c>
      <c r="I140" s="165">
        <v>44285</v>
      </c>
      <c r="J140">
        <v>44285</v>
      </c>
      <c r="K140" s="165" t="s">
        <v>1671</v>
      </c>
      <c r="L140">
        <v>858.7</v>
      </c>
      <c r="M140">
        <v>44285</v>
      </c>
      <c r="O140"/>
      <c r="P140"/>
      <c r="Q140"/>
      <c r="R140" s="165">
        <v>2576.1000000000004</v>
      </c>
      <c r="S140" s="165"/>
      <c r="T140" t="s">
        <v>1267</v>
      </c>
      <c r="U140" s="165" t="s">
        <v>1267</v>
      </c>
      <c r="V140" s="165" t="s">
        <v>1267</v>
      </c>
      <c r="W140"/>
      <c r="X140"/>
      <c r="AB140"/>
      <c r="AC140"/>
      <c r="AD140"/>
      <c r="AE140"/>
      <c r="AF140"/>
      <c r="AG140"/>
      <c r="AH140"/>
    </row>
    <row r="141" spans="1:34" x14ac:dyDescent="0.25">
      <c r="A141" s="78">
        <v>20210421</v>
      </c>
      <c r="B141" s="165" t="s">
        <v>97</v>
      </c>
      <c r="C141" s="165" t="s">
        <v>1283</v>
      </c>
      <c r="D141" s="165">
        <v>2</v>
      </c>
      <c r="E141" s="165" t="s">
        <v>1250</v>
      </c>
      <c r="F141" s="165" t="s">
        <v>1370</v>
      </c>
      <c r="G141" s="165" t="s">
        <v>1671</v>
      </c>
      <c r="H141" s="165" t="s">
        <v>957</v>
      </c>
      <c r="I141" s="165">
        <v>44285</v>
      </c>
      <c r="J141">
        <v>44285</v>
      </c>
      <c r="K141" s="165" t="s">
        <v>1671</v>
      </c>
      <c r="L141">
        <v>481.47</v>
      </c>
      <c r="M141">
        <v>44291</v>
      </c>
      <c r="O141"/>
      <c r="P141"/>
      <c r="Q141"/>
      <c r="R141" s="165">
        <v>962.94</v>
      </c>
      <c r="S141" s="165"/>
      <c r="T141" t="s">
        <v>1267</v>
      </c>
      <c r="U141" s="165" t="s">
        <v>1267</v>
      </c>
      <c r="V141" s="165" t="s">
        <v>1267</v>
      </c>
      <c r="W141"/>
      <c r="X141"/>
      <c r="AB141"/>
      <c r="AC141"/>
      <c r="AD141"/>
      <c r="AE141"/>
      <c r="AF141"/>
      <c r="AG141"/>
      <c r="AH141"/>
    </row>
    <row r="142" spans="1:34" x14ac:dyDescent="0.25">
      <c r="A142" s="78">
        <v>20210421</v>
      </c>
      <c r="B142" s="165" t="s">
        <v>97</v>
      </c>
      <c r="C142" s="165" t="s">
        <v>1283</v>
      </c>
      <c r="D142" s="165">
        <v>2</v>
      </c>
      <c r="E142" s="165" t="s">
        <v>1250</v>
      </c>
      <c r="F142" s="165" t="s">
        <v>1371</v>
      </c>
      <c r="G142" s="165" t="s">
        <v>1671</v>
      </c>
      <c r="H142" s="165" t="s">
        <v>957</v>
      </c>
      <c r="I142" s="165">
        <v>44285</v>
      </c>
      <c r="J142">
        <v>44285</v>
      </c>
      <c r="K142" s="165" t="s">
        <v>1671</v>
      </c>
      <c r="L142">
        <v>277.37</v>
      </c>
      <c r="M142">
        <v>44291</v>
      </c>
      <c r="O142"/>
      <c r="P142"/>
      <c r="Q142"/>
      <c r="R142" s="165">
        <v>554.74</v>
      </c>
      <c r="S142" s="165"/>
      <c r="T142" t="s">
        <v>1267</v>
      </c>
      <c r="U142" s="165" t="s">
        <v>1267</v>
      </c>
      <c r="V142" s="165" t="s">
        <v>1267</v>
      </c>
      <c r="W142"/>
      <c r="X142"/>
      <c r="AB142"/>
      <c r="AC142"/>
      <c r="AD142"/>
      <c r="AE142"/>
      <c r="AF142"/>
      <c r="AG142"/>
      <c r="AH142"/>
    </row>
    <row r="143" spans="1:34" x14ac:dyDescent="0.25">
      <c r="A143" s="78">
        <v>20210421</v>
      </c>
      <c r="B143" s="165" t="s">
        <v>97</v>
      </c>
      <c r="C143" s="165" t="s">
        <v>1283</v>
      </c>
      <c r="D143" s="165">
        <v>2</v>
      </c>
      <c r="E143" s="165" t="s">
        <v>1250</v>
      </c>
      <c r="F143" s="165" t="s">
        <v>1372</v>
      </c>
      <c r="G143" s="165" t="s">
        <v>1671</v>
      </c>
      <c r="H143" s="165" t="s">
        <v>957</v>
      </c>
      <c r="I143" s="165">
        <v>44285</v>
      </c>
      <c r="J143">
        <v>44285</v>
      </c>
      <c r="K143" s="165" t="s">
        <v>1671</v>
      </c>
      <c r="L143">
        <v>96.91</v>
      </c>
      <c r="M143">
        <v>44291</v>
      </c>
      <c r="O143"/>
      <c r="P143"/>
      <c r="Q143"/>
      <c r="R143" s="165">
        <v>193.82</v>
      </c>
      <c r="S143" s="165"/>
      <c r="T143" t="s">
        <v>1267</v>
      </c>
      <c r="U143" s="165" t="s">
        <v>1267</v>
      </c>
      <c r="V143" s="165" t="s">
        <v>1267</v>
      </c>
      <c r="W143"/>
      <c r="X143"/>
      <c r="AB143"/>
      <c r="AC143"/>
      <c r="AD143"/>
      <c r="AE143"/>
      <c r="AF143"/>
      <c r="AG143"/>
      <c r="AH143"/>
    </row>
    <row r="144" spans="1:34" x14ac:dyDescent="0.25">
      <c r="A144" s="78">
        <v>20210421</v>
      </c>
      <c r="B144" s="165" t="s">
        <v>97</v>
      </c>
      <c r="C144" s="165" t="s">
        <v>1283</v>
      </c>
      <c r="D144" s="165">
        <v>1</v>
      </c>
      <c r="E144" s="165" t="s">
        <v>1250</v>
      </c>
      <c r="F144" s="165" t="s">
        <v>1373</v>
      </c>
      <c r="G144" s="165" t="s">
        <v>1671</v>
      </c>
      <c r="H144" s="165" t="s">
        <v>957</v>
      </c>
      <c r="I144" s="165">
        <v>44285</v>
      </c>
      <c r="J144">
        <v>44285</v>
      </c>
      <c r="K144" s="165" t="s">
        <v>1671</v>
      </c>
      <c r="L144">
        <v>63.89</v>
      </c>
      <c r="M144">
        <v>44291</v>
      </c>
      <c r="O144"/>
      <c r="P144"/>
      <c r="Q144"/>
      <c r="R144" s="165">
        <v>63.89</v>
      </c>
      <c r="S144" s="165"/>
      <c r="T144" t="s">
        <v>1267</v>
      </c>
      <c r="U144" s="165" t="s">
        <v>1267</v>
      </c>
      <c r="V144" s="165" t="s">
        <v>1267</v>
      </c>
      <c r="W144"/>
      <c r="X144"/>
      <c r="AB144"/>
      <c r="AC144"/>
      <c r="AD144"/>
      <c r="AE144"/>
      <c r="AF144"/>
      <c r="AG144"/>
      <c r="AH144"/>
    </row>
    <row r="145" spans="1:34" x14ac:dyDescent="0.25">
      <c r="A145" s="78">
        <v>20210335</v>
      </c>
      <c r="B145" s="165" t="s">
        <v>1292</v>
      </c>
      <c r="C145" s="165" t="s">
        <v>1293</v>
      </c>
      <c r="D145" s="165">
        <v>1</v>
      </c>
      <c r="E145" s="165" t="s">
        <v>1250</v>
      </c>
      <c r="F145" s="165" t="s">
        <v>1374</v>
      </c>
      <c r="G145" s="165" t="s">
        <v>1671</v>
      </c>
      <c r="H145" s="165" t="s">
        <v>1157</v>
      </c>
      <c r="I145" s="165">
        <v>44286</v>
      </c>
      <c r="J145">
        <v>44286</v>
      </c>
      <c r="K145" s="165" t="s">
        <v>1671</v>
      </c>
      <c r="L145">
        <v>400</v>
      </c>
      <c r="M145">
        <v>44300</v>
      </c>
      <c r="O145"/>
      <c r="P145"/>
      <c r="Q145"/>
      <c r="R145" s="165">
        <v>400</v>
      </c>
      <c r="S145" s="165"/>
      <c r="T145" t="s">
        <v>1267</v>
      </c>
      <c r="U145" s="165" t="s">
        <v>1267</v>
      </c>
      <c r="V145" s="165" t="s">
        <v>1267</v>
      </c>
      <c r="W145"/>
      <c r="X145"/>
      <c r="AB145"/>
      <c r="AC145"/>
      <c r="AD145"/>
      <c r="AE145"/>
      <c r="AF145"/>
      <c r="AG145"/>
      <c r="AH145"/>
    </row>
    <row r="146" spans="1:34" x14ac:dyDescent="0.25">
      <c r="A146" s="78">
        <v>20210420</v>
      </c>
      <c r="B146" s="165" t="s">
        <v>97</v>
      </c>
      <c r="C146" s="165" t="s">
        <v>1375</v>
      </c>
      <c r="D146" s="165">
        <v>1</v>
      </c>
      <c r="E146" s="165" t="s">
        <v>1250</v>
      </c>
      <c r="F146" s="165" t="s">
        <v>1376</v>
      </c>
      <c r="G146" s="165" t="s">
        <v>1671</v>
      </c>
      <c r="H146" s="165" t="s">
        <v>926</v>
      </c>
      <c r="I146" s="165">
        <v>44287</v>
      </c>
      <c r="J146">
        <v>44287</v>
      </c>
      <c r="K146" s="165" t="s">
        <v>1671</v>
      </c>
      <c r="L146">
        <v>162</v>
      </c>
      <c r="M146">
        <v>44320</v>
      </c>
      <c r="O146"/>
      <c r="P146"/>
      <c r="Q146"/>
      <c r="R146" s="165">
        <v>162</v>
      </c>
      <c r="S146" s="165"/>
      <c r="T146" t="s">
        <v>1267</v>
      </c>
      <c r="U146" s="165" t="s">
        <v>1267</v>
      </c>
      <c r="V146" s="165" t="s">
        <v>1267</v>
      </c>
      <c r="W146"/>
      <c r="X146"/>
      <c r="AB146"/>
      <c r="AC146"/>
      <c r="AD146"/>
      <c r="AE146"/>
      <c r="AF146"/>
      <c r="AG146"/>
      <c r="AH146"/>
    </row>
    <row r="147" spans="1:34" x14ac:dyDescent="0.25">
      <c r="A147" s="78">
        <v>20210401</v>
      </c>
      <c r="B147" s="165" t="s">
        <v>1292</v>
      </c>
      <c r="C147" s="165" t="s">
        <v>1293</v>
      </c>
      <c r="D147" s="165">
        <v>1</v>
      </c>
      <c r="E147" s="165" t="s">
        <v>1250</v>
      </c>
      <c r="F147" s="165" t="s">
        <v>1377</v>
      </c>
      <c r="G147" s="165" t="s">
        <v>1671</v>
      </c>
      <c r="H147" s="165" t="s">
        <v>969</v>
      </c>
      <c r="I147" s="165">
        <v>44287</v>
      </c>
      <c r="J147">
        <v>44287</v>
      </c>
      <c r="K147" s="165" t="s">
        <v>1671</v>
      </c>
      <c r="L147">
        <v>81.599999999999994</v>
      </c>
      <c r="M147">
        <v>44287</v>
      </c>
      <c r="O147"/>
      <c r="P147"/>
      <c r="Q147"/>
      <c r="R147" s="165">
        <v>81.599999999999994</v>
      </c>
      <c r="S147" s="165"/>
      <c r="T147" t="s">
        <v>1267</v>
      </c>
      <c r="U147" s="165" t="s">
        <v>1267</v>
      </c>
      <c r="V147" s="165" t="s">
        <v>1267</v>
      </c>
      <c r="W147"/>
      <c r="X147"/>
      <c r="AB147"/>
      <c r="AC147"/>
      <c r="AD147"/>
      <c r="AE147"/>
      <c r="AF147"/>
      <c r="AG147"/>
      <c r="AH147"/>
    </row>
    <row r="148" spans="1:34" x14ac:dyDescent="0.25">
      <c r="A148" s="78">
        <v>20210337</v>
      </c>
      <c r="B148" s="165" t="s">
        <v>1292</v>
      </c>
      <c r="C148" s="165" t="s">
        <v>1293</v>
      </c>
      <c r="D148" s="165">
        <v>1</v>
      </c>
      <c r="E148" s="165" t="s">
        <v>1250</v>
      </c>
      <c r="F148" s="165" t="s">
        <v>1378</v>
      </c>
      <c r="G148" s="165" t="s">
        <v>1671</v>
      </c>
      <c r="H148" s="165" t="s">
        <v>929</v>
      </c>
      <c r="I148" s="165">
        <v>44287</v>
      </c>
      <c r="J148">
        <v>44287</v>
      </c>
      <c r="K148" s="165" t="s">
        <v>1671</v>
      </c>
      <c r="L148">
        <v>100</v>
      </c>
      <c r="M148">
        <v>44287</v>
      </c>
      <c r="O148"/>
      <c r="P148"/>
      <c r="Q148"/>
      <c r="R148" s="165">
        <v>100</v>
      </c>
      <c r="S148" s="165"/>
      <c r="T148" t="s">
        <v>1267</v>
      </c>
      <c r="U148" s="165" t="s">
        <v>1267</v>
      </c>
      <c r="V148" s="165" t="s">
        <v>1267</v>
      </c>
      <c r="W148"/>
      <c r="X148"/>
      <c r="AB148"/>
      <c r="AC148"/>
      <c r="AD148"/>
      <c r="AE148"/>
      <c r="AF148"/>
      <c r="AG148"/>
      <c r="AH148"/>
    </row>
    <row r="149" spans="1:34" x14ac:dyDescent="0.25">
      <c r="A149" s="78">
        <v>20210335</v>
      </c>
      <c r="B149" s="165" t="s">
        <v>97</v>
      </c>
      <c r="C149" s="165" t="s">
        <v>1272</v>
      </c>
      <c r="D149" s="165">
        <v>3</v>
      </c>
      <c r="E149" s="165" t="s">
        <v>1250</v>
      </c>
      <c r="F149" s="165" t="s">
        <v>1273</v>
      </c>
      <c r="G149" s="165" t="s">
        <v>1671</v>
      </c>
      <c r="H149" s="165" t="s">
        <v>1157</v>
      </c>
      <c r="I149" s="165">
        <v>44285</v>
      </c>
      <c r="J149">
        <v>44285</v>
      </c>
      <c r="K149" s="165" t="s">
        <v>1671</v>
      </c>
      <c r="L149">
        <v>505.1</v>
      </c>
      <c r="M149">
        <v>44314</v>
      </c>
      <c r="O149"/>
      <c r="P149"/>
      <c r="Q149"/>
      <c r="R149" s="165">
        <v>1515.3000000000002</v>
      </c>
      <c r="S149" s="165"/>
      <c r="T149" t="s">
        <v>1267</v>
      </c>
      <c r="U149" s="165" t="s">
        <v>1267</v>
      </c>
      <c r="V149" s="165" t="s">
        <v>1267</v>
      </c>
      <c r="W149"/>
      <c r="X149"/>
      <c r="AB149"/>
      <c r="AC149"/>
      <c r="AD149"/>
      <c r="AE149"/>
      <c r="AF149"/>
      <c r="AG149"/>
      <c r="AH149"/>
    </row>
    <row r="150" spans="1:34" x14ac:dyDescent="0.25">
      <c r="A150" s="78">
        <v>20210335</v>
      </c>
      <c r="B150" s="165" t="s">
        <v>1311</v>
      </c>
      <c r="C150" s="165" t="s">
        <v>1312</v>
      </c>
      <c r="D150" s="165">
        <v>1</v>
      </c>
      <c r="E150" s="165" t="s">
        <v>1250</v>
      </c>
      <c r="F150" s="165" t="s">
        <v>1379</v>
      </c>
      <c r="G150" s="165" t="s">
        <v>1671</v>
      </c>
      <c r="H150" s="165" t="s">
        <v>1157</v>
      </c>
      <c r="I150" s="165">
        <v>44285</v>
      </c>
      <c r="J150">
        <v>44285</v>
      </c>
      <c r="K150" s="165" t="s">
        <v>1671</v>
      </c>
      <c r="L150">
        <v>179.6</v>
      </c>
      <c r="M150">
        <v>44295</v>
      </c>
      <c r="O150"/>
      <c r="P150"/>
      <c r="Q150"/>
      <c r="R150" s="165">
        <v>179.6</v>
      </c>
      <c r="S150" s="165"/>
      <c r="T150" t="s">
        <v>1267</v>
      </c>
      <c r="U150" s="165" t="s">
        <v>1267</v>
      </c>
      <c r="V150" s="165" t="s">
        <v>1267</v>
      </c>
      <c r="W150"/>
      <c r="X150"/>
      <c r="AB150"/>
      <c r="AC150"/>
      <c r="AD150"/>
      <c r="AE150"/>
      <c r="AF150"/>
      <c r="AG150"/>
      <c r="AH150"/>
    </row>
    <row r="151" spans="1:34" x14ac:dyDescent="0.25">
      <c r="A151" s="78">
        <v>20210335</v>
      </c>
      <c r="B151" s="165" t="s">
        <v>1311</v>
      </c>
      <c r="C151" s="165" t="s">
        <v>1312</v>
      </c>
      <c r="D151" s="165">
        <v>1</v>
      </c>
      <c r="E151" s="165" t="s">
        <v>1250</v>
      </c>
      <c r="F151" s="165" t="s">
        <v>1380</v>
      </c>
      <c r="G151" s="165" t="s">
        <v>1671</v>
      </c>
      <c r="H151" s="165" t="s">
        <v>1157</v>
      </c>
      <c r="I151" s="165">
        <v>44285</v>
      </c>
      <c r="J151">
        <v>44285</v>
      </c>
      <c r="K151" s="165" t="s">
        <v>1671</v>
      </c>
      <c r="L151">
        <v>31.71</v>
      </c>
      <c r="M151">
        <v>44295</v>
      </c>
      <c r="O151"/>
      <c r="P151"/>
      <c r="Q151"/>
      <c r="R151" s="165">
        <v>31.71</v>
      </c>
      <c r="S151" s="165"/>
      <c r="T151" t="s">
        <v>1267</v>
      </c>
      <c r="U151" s="165" t="s">
        <v>1267</v>
      </c>
      <c r="V151" s="165" t="s">
        <v>1267</v>
      </c>
      <c r="W151"/>
      <c r="X151"/>
      <c r="AB151"/>
      <c r="AC151"/>
      <c r="AD151"/>
      <c r="AE151"/>
      <c r="AF151"/>
      <c r="AG151"/>
      <c r="AH151"/>
    </row>
    <row r="152" spans="1:34" x14ac:dyDescent="0.25">
      <c r="A152" s="78">
        <v>20210320</v>
      </c>
      <c r="B152" s="165" t="s">
        <v>1256</v>
      </c>
      <c r="C152" s="165" t="s">
        <v>1257</v>
      </c>
      <c r="D152" s="165">
        <v>10</v>
      </c>
      <c r="E152" s="165" t="s">
        <v>1250</v>
      </c>
      <c r="F152" s="165" t="s">
        <v>1258</v>
      </c>
      <c r="G152" s="165" t="s">
        <v>1671</v>
      </c>
      <c r="H152" s="165" t="s">
        <v>922</v>
      </c>
      <c r="I152" s="165">
        <v>44268</v>
      </c>
      <c r="J152">
        <v>44268</v>
      </c>
      <c r="K152" s="165" t="s">
        <v>1671</v>
      </c>
      <c r="L152">
        <v>417.94600000000003</v>
      </c>
      <c r="M152">
        <v>44298</v>
      </c>
      <c r="O152"/>
      <c r="P152"/>
      <c r="Q152"/>
      <c r="R152" s="165">
        <v>4179.46</v>
      </c>
      <c r="S152" s="165"/>
      <c r="T152" t="s">
        <v>1267</v>
      </c>
      <c r="U152" s="165" t="s">
        <v>1267</v>
      </c>
      <c r="V152" s="165" t="s">
        <v>1267</v>
      </c>
      <c r="W152"/>
      <c r="X152"/>
      <c r="AB152"/>
      <c r="AC152"/>
      <c r="AD152"/>
      <c r="AE152"/>
      <c r="AF152"/>
      <c r="AG152"/>
      <c r="AH152"/>
    </row>
    <row r="153" spans="1:34" x14ac:dyDescent="0.25">
      <c r="A153" s="78">
        <v>20210320</v>
      </c>
      <c r="B153" s="165" t="s">
        <v>97</v>
      </c>
      <c r="C153" s="165" t="s">
        <v>1288</v>
      </c>
      <c r="D153" s="165">
        <v>1</v>
      </c>
      <c r="E153" s="165" t="s">
        <v>1250</v>
      </c>
      <c r="F153" s="165" t="s">
        <v>1290</v>
      </c>
      <c r="G153" s="165" t="s">
        <v>1671</v>
      </c>
      <c r="H153" s="165" t="s">
        <v>922</v>
      </c>
      <c r="I153" s="165">
        <v>44268</v>
      </c>
      <c r="J153">
        <v>44268</v>
      </c>
      <c r="K153" s="165" t="s">
        <v>1671</v>
      </c>
      <c r="L153">
        <v>1380</v>
      </c>
      <c r="M153">
        <v>44291</v>
      </c>
      <c r="O153"/>
      <c r="P153"/>
      <c r="Q153"/>
      <c r="R153" s="165">
        <v>1380</v>
      </c>
      <c r="S153" s="165"/>
      <c r="T153" t="s">
        <v>1267</v>
      </c>
      <c r="U153" s="165" t="s">
        <v>1267</v>
      </c>
      <c r="V153" s="165" t="s">
        <v>1267</v>
      </c>
      <c r="W153"/>
      <c r="X153"/>
      <c r="AB153"/>
      <c r="AC153"/>
      <c r="AD153"/>
      <c r="AE153"/>
      <c r="AF153"/>
      <c r="AG153"/>
      <c r="AH153"/>
    </row>
    <row r="154" spans="1:34" x14ac:dyDescent="0.25">
      <c r="A154" s="78">
        <v>20210320</v>
      </c>
      <c r="B154" s="165" t="s">
        <v>1261</v>
      </c>
      <c r="C154" s="165" t="s">
        <v>1262</v>
      </c>
      <c r="D154" s="165">
        <v>2</v>
      </c>
      <c r="E154" s="165" t="s">
        <v>1250</v>
      </c>
      <c r="F154" s="165" t="s">
        <v>1263</v>
      </c>
      <c r="G154" s="165" t="s">
        <v>1671</v>
      </c>
      <c r="H154" s="165" t="s">
        <v>922</v>
      </c>
      <c r="I154" s="165">
        <v>44264</v>
      </c>
      <c r="J154">
        <v>44264</v>
      </c>
      <c r="K154" s="165" t="s">
        <v>1671</v>
      </c>
      <c r="L154">
        <v>981.26</v>
      </c>
      <c r="M154">
        <v>44292</v>
      </c>
      <c r="O154"/>
      <c r="P154"/>
      <c r="Q154"/>
      <c r="R154" s="165">
        <v>1962.52</v>
      </c>
      <c r="S154" s="165"/>
      <c r="T154" t="s">
        <v>1267</v>
      </c>
      <c r="U154" s="165" t="s">
        <v>1267</v>
      </c>
      <c r="V154" s="165" t="s">
        <v>1267</v>
      </c>
      <c r="W154"/>
      <c r="X154"/>
      <c r="AB154"/>
      <c r="AC154"/>
      <c r="AD154"/>
      <c r="AE154"/>
      <c r="AF154"/>
      <c r="AG154"/>
      <c r="AH154"/>
    </row>
    <row r="155" spans="1:34" x14ac:dyDescent="0.25">
      <c r="A155" s="78">
        <v>20210411</v>
      </c>
      <c r="B155" s="165" t="s">
        <v>1292</v>
      </c>
      <c r="C155" s="165" t="s">
        <v>1293</v>
      </c>
      <c r="D155" s="165">
        <v>1</v>
      </c>
      <c r="E155" s="165" t="s">
        <v>1250</v>
      </c>
      <c r="F155" s="165" t="s">
        <v>1381</v>
      </c>
      <c r="G155" s="165" t="s">
        <v>1671</v>
      </c>
      <c r="H155" s="165" t="s">
        <v>937</v>
      </c>
      <c r="I155" s="165">
        <v>44294</v>
      </c>
      <c r="J155">
        <v>44294</v>
      </c>
      <c r="K155" s="165" t="s">
        <v>1671</v>
      </c>
      <c r="L155">
        <v>600</v>
      </c>
      <c r="M155">
        <v>44295</v>
      </c>
      <c r="O155"/>
      <c r="P155"/>
      <c r="Q155"/>
      <c r="R155" s="165">
        <v>600</v>
      </c>
      <c r="S155" s="165"/>
      <c r="T155" t="s">
        <v>1267</v>
      </c>
      <c r="U155" s="165" t="s">
        <v>1267</v>
      </c>
      <c r="V155" s="165" t="s">
        <v>1267</v>
      </c>
      <c r="W155"/>
      <c r="X155"/>
      <c r="AB155"/>
      <c r="AC155"/>
      <c r="AD155"/>
      <c r="AE155"/>
      <c r="AF155"/>
      <c r="AG155"/>
      <c r="AH155"/>
    </row>
    <row r="156" spans="1:34" x14ac:dyDescent="0.25">
      <c r="A156" s="78">
        <v>20210411</v>
      </c>
      <c r="B156" s="165" t="s">
        <v>1261</v>
      </c>
      <c r="C156" s="165" t="s">
        <v>1262</v>
      </c>
      <c r="D156" s="165">
        <v>1</v>
      </c>
      <c r="E156" s="165" t="s">
        <v>1250</v>
      </c>
      <c r="F156" s="165" t="s">
        <v>1382</v>
      </c>
      <c r="G156" s="165" t="s">
        <v>1671</v>
      </c>
      <c r="H156" s="165" t="s">
        <v>937</v>
      </c>
      <c r="I156" s="165">
        <v>44295</v>
      </c>
      <c r="J156">
        <v>44295</v>
      </c>
      <c r="K156" s="165" t="s">
        <v>1671</v>
      </c>
      <c r="L156">
        <v>1061</v>
      </c>
      <c r="M156">
        <v>44323</v>
      </c>
      <c r="O156"/>
      <c r="P156"/>
      <c r="Q156"/>
      <c r="R156" s="165">
        <v>1061</v>
      </c>
      <c r="S156" s="165"/>
      <c r="T156" t="s">
        <v>1267</v>
      </c>
      <c r="U156" s="165" t="s">
        <v>1267</v>
      </c>
      <c r="V156" s="165" t="s">
        <v>1267</v>
      </c>
      <c r="W156"/>
      <c r="X156"/>
      <c r="AB156"/>
      <c r="AC156"/>
      <c r="AD156"/>
      <c r="AE156"/>
      <c r="AF156"/>
      <c r="AG156"/>
      <c r="AH156"/>
    </row>
    <row r="157" spans="1:34" x14ac:dyDescent="0.25">
      <c r="A157" s="78">
        <v>20210411</v>
      </c>
      <c r="B157" s="165" t="s">
        <v>1256</v>
      </c>
      <c r="C157" s="165" t="s">
        <v>1257</v>
      </c>
      <c r="D157" s="165">
        <v>1</v>
      </c>
      <c r="E157" s="165" t="s">
        <v>1250</v>
      </c>
      <c r="F157" s="165" t="s">
        <v>1258</v>
      </c>
      <c r="G157" s="165" t="s">
        <v>1671</v>
      </c>
      <c r="H157" s="165" t="s">
        <v>937</v>
      </c>
      <c r="I157" s="165">
        <v>44294</v>
      </c>
      <c r="J157">
        <v>44294</v>
      </c>
      <c r="K157" s="165" t="s">
        <v>1671</v>
      </c>
      <c r="L157">
        <v>408</v>
      </c>
      <c r="M157">
        <v>44294</v>
      </c>
      <c r="O157"/>
      <c r="P157"/>
      <c r="Q157"/>
      <c r="R157" s="165">
        <v>408</v>
      </c>
      <c r="S157" s="165"/>
      <c r="T157" t="s">
        <v>1267</v>
      </c>
      <c r="U157" s="165" t="s">
        <v>1267</v>
      </c>
      <c r="V157" s="165" t="s">
        <v>1267</v>
      </c>
      <c r="W157"/>
      <c r="X157"/>
      <c r="AB157"/>
      <c r="AC157"/>
      <c r="AD157"/>
      <c r="AE157"/>
      <c r="AF157"/>
      <c r="AG157"/>
      <c r="AH157"/>
    </row>
    <row r="158" spans="1:34" x14ac:dyDescent="0.25">
      <c r="A158" s="78">
        <v>20210333</v>
      </c>
      <c r="B158" s="165" t="s">
        <v>1256</v>
      </c>
      <c r="C158" s="165" t="s">
        <v>1257</v>
      </c>
      <c r="D158" s="165">
        <v>2</v>
      </c>
      <c r="E158" s="165" t="s">
        <v>1250</v>
      </c>
      <c r="F158" s="165" t="s">
        <v>1271</v>
      </c>
      <c r="G158" s="165" t="s">
        <v>1671</v>
      </c>
      <c r="H158" s="165" t="s">
        <v>969</v>
      </c>
      <c r="I158" s="165">
        <v>44295</v>
      </c>
      <c r="J158">
        <v>44295</v>
      </c>
      <c r="K158" s="165" t="s">
        <v>1671</v>
      </c>
      <c r="L158">
        <v>932.25</v>
      </c>
      <c r="M158">
        <v>44295</v>
      </c>
      <c r="O158"/>
      <c r="P158"/>
      <c r="Q158"/>
      <c r="R158" s="165">
        <v>1864.5</v>
      </c>
      <c r="S158" s="165"/>
      <c r="T158" t="s">
        <v>1267</v>
      </c>
      <c r="U158" s="165" t="s">
        <v>1267</v>
      </c>
      <c r="V158" s="165" t="s">
        <v>1267</v>
      </c>
      <c r="W158"/>
      <c r="X158"/>
      <c r="AB158"/>
      <c r="AC158"/>
      <c r="AD158"/>
      <c r="AE158"/>
      <c r="AF158"/>
      <c r="AG158"/>
      <c r="AH158"/>
    </row>
    <row r="159" spans="1:34" x14ac:dyDescent="0.25">
      <c r="A159" s="78">
        <v>20210403</v>
      </c>
      <c r="B159" s="165" t="s">
        <v>97</v>
      </c>
      <c r="C159" s="165" t="s">
        <v>1283</v>
      </c>
      <c r="D159" s="165">
        <v>2</v>
      </c>
      <c r="E159" s="165" t="s">
        <v>1250</v>
      </c>
      <c r="F159" s="165" t="s">
        <v>1383</v>
      </c>
      <c r="G159" s="165" t="s">
        <v>1671</v>
      </c>
      <c r="H159" s="165" t="s">
        <v>1009</v>
      </c>
      <c r="I159" s="165">
        <v>44295</v>
      </c>
      <c r="J159">
        <v>44295</v>
      </c>
      <c r="K159" s="165" t="s">
        <v>1671</v>
      </c>
      <c r="L159">
        <v>27.9</v>
      </c>
      <c r="M159">
        <v>44302</v>
      </c>
      <c r="O159"/>
      <c r="P159"/>
      <c r="Q159"/>
      <c r="R159" s="165">
        <v>55.8</v>
      </c>
      <c r="S159" s="165"/>
      <c r="T159" t="s">
        <v>1267</v>
      </c>
      <c r="U159" s="165" t="s">
        <v>1267</v>
      </c>
      <c r="V159" s="165" t="s">
        <v>1267</v>
      </c>
      <c r="W159"/>
      <c r="X159"/>
      <c r="AB159"/>
      <c r="AC159"/>
      <c r="AD159"/>
      <c r="AE159"/>
      <c r="AF159"/>
      <c r="AG159"/>
      <c r="AH159"/>
    </row>
    <row r="160" spans="1:34" x14ac:dyDescent="0.25">
      <c r="A160" s="78">
        <v>20210403</v>
      </c>
      <c r="B160" s="165" t="s">
        <v>97</v>
      </c>
      <c r="C160" s="165" t="s">
        <v>1283</v>
      </c>
      <c r="D160" s="165">
        <v>4</v>
      </c>
      <c r="E160" s="165" t="s">
        <v>1250</v>
      </c>
      <c r="F160" s="165" t="s">
        <v>1384</v>
      </c>
      <c r="G160" s="165" t="s">
        <v>1671</v>
      </c>
      <c r="H160" s="165" t="s">
        <v>1009</v>
      </c>
      <c r="I160" s="165">
        <v>44295</v>
      </c>
      <c r="J160">
        <v>44295</v>
      </c>
      <c r="K160" s="165" t="s">
        <v>1671</v>
      </c>
      <c r="L160">
        <v>27.9</v>
      </c>
      <c r="M160">
        <v>44302</v>
      </c>
      <c r="O160"/>
      <c r="P160"/>
      <c r="Q160"/>
      <c r="R160" s="165">
        <v>111.6</v>
      </c>
      <c r="S160" s="165"/>
      <c r="T160" t="s">
        <v>1267</v>
      </c>
      <c r="U160" s="165" t="s">
        <v>1267</v>
      </c>
      <c r="V160" s="165" t="s">
        <v>1267</v>
      </c>
      <c r="W160"/>
      <c r="X160"/>
      <c r="AB160"/>
      <c r="AC160"/>
      <c r="AD160"/>
      <c r="AE160"/>
      <c r="AF160"/>
      <c r="AG160"/>
      <c r="AH160"/>
    </row>
    <row r="161" spans="1:34" x14ac:dyDescent="0.25">
      <c r="A161" s="78">
        <v>20210403</v>
      </c>
      <c r="B161" s="165" t="s">
        <v>97</v>
      </c>
      <c r="C161" s="165" t="s">
        <v>1283</v>
      </c>
      <c r="D161" s="165">
        <v>4</v>
      </c>
      <c r="E161" s="165" t="s">
        <v>1250</v>
      </c>
      <c r="F161" s="165" t="s">
        <v>1385</v>
      </c>
      <c r="G161" s="165" t="s">
        <v>1671</v>
      </c>
      <c r="H161" s="165" t="s">
        <v>1009</v>
      </c>
      <c r="I161" s="165">
        <v>44295</v>
      </c>
      <c r="J161">
        <v>44295</v>
      </c>
      <c r="K161" s="165" t="s">
        <v>1671</v>
      </c>
      <c r="L161">
        <v>38</v>
      </c>
      <c r="M161">
        <v>44302</v>
      </c>
      <c r="O161"/>
      <c r="P161"/>
      <c r="Q161"/>
      <c r="R161" s="165">
        <v>152</v>
      </c>
      <c r="S161" s="165"/>
      <c r="T161" t="s">
        <v>1267</v>
      </c>
      <c r="U161" s="165" t="s">
        <v>1267</v>
      </c>
      <c r="V161" s="165" t="s">
        <v>1267</v>
      </c>
      <c r="W161"/>
      <c r="X161"/>
      <c r="AB161"/>
      <c r="AC161"/>
      <c r="AD161"/>
      <c r="AE161"/>
      <c r="AF161"/>
      <c r="AG161"/>
      <c r="AH161"/>
    </row>
    <row r="162" spans="1:34" x14ac:dyDescent="0.25">
      <c r="A162" s="78">
        <v>20210403</v>
      </c>
      <c r="B162" s="165" t="s">
        <v>1292</v>
      </c>
      <c r="C162" s="165" t="s">
        <v>1293</v>
      </c>
      <c r="D162" s="165">
        <v>1</v>
      </c>
      <c r="E162" s="165" t="s">
        <v>1250</v>
      </c>
      <c r="F162" s="165" t="s">
        <v>1386</v>
      </c>
      <c r="G162" s="165" t="s">
        <v>1671</v>
      </c>
      <c r="H162" s="165" t="s">
        <v>1009</v>
      </c>
      <c r="I162" s="165">
        <v>44335</v>
      </c>
      <c r="J162">
        <v>44335</v>
      </c>
      <c r="K162" s="165" t="s">
        <v>1671</v>
      </c>
      <c r="L162">
        <v>212.25</v>
      </c>
      <c r="M162">
        <v>44335</v>
      </c>
      <c r="O162"/>
      <c r="P162"/>
      <c r="Q162"/>
      <c r="R162" s="165">
        <v>212.25</v>
      </c>
      <c r="S162" s="165"/>
      <c r="T162" t="s">
        <v>1267</v>
      </c>
      <c r="U162" s="165" t="s">
        <v>1267</v>
      </c>
      <c r="V162" s="165" t="s">
        <v>1267</v>
      </c>
      <c r="W162"/>
      <c r="X162"/>
      <c r="AB162"/>
      <c r="AC162"/>
      <c r="AD162"/>
      <c r="AE162"/>
      <c r="AF162"/>
      <c r="AG162"/>
      <c r="AH162"/>
    </row>
    <row r="163" spans="1:34" x14ac:dyDescent="0.25">
      <c r="A163" s="78">
        <v>20210403</v>
      </c>
      <c r="B163" s="165" t="s">
        <v>1292</v>
      </c>
      <c r="C163" s="165" t="s">
        <v>1293</v>
      </c>
      <c r="D163" s="165">
        <v>1</v>
      </c>
      <c r="E163" s="165" t="s">
        <v>1250</v>
      </c>
      <c r="F163" s="165" t="s">
        <v>1387</v>
      </c>
      <c r="G163" s="165" t="s">
        <v>1671</v>
      </c>
      <c r="H163" s="165" t="s">
        <v>1009</v>
      </c>
      <c r="I163" s="165">
        <v>44298</v>
      </c>
      <c r="J163">
        <v>44298</v>
      </c>
      <c r="K163" s="165" t="s">
        <v>1671</v>
      </c>
      <c r="L163">
        <v>110</v>
      </c>
      <c r="M163">
        <v>44319</v>
      </c>
      <c r="O163"/>
      <c r="P163"/>
      <c r="Q163"/>
      <c r="R163" s="165">
        <v>110</v>
      </c>
      <c r="S163" s="165"/>
      <c r="T163" t="s">
        <v>1267</v>
      </c>
      <c r="U163" s="165" t="s">
        <v>1267</v>
      </c>
      <c r="V163" s="165" t="s">
        <v>1267</v>
      </c>
      <c r="W163"/>
      <c r="X163"/>
      <c r="AB163"/>
      <c r="AC163"/>
      <c r="AD163"/>
      <c r="AE163"/>
      <c r="AF163"/>
      <c r="AG163"/>
      <c r="AH163"/>
    </row>
    <row r="164" spans="1:34" x14ac:dyDescent="0.25">
      <c r="A164" s="78">
        <v>20210403</v>
      </c>
      <c r="B164" s="165" t="s">
        <v>97</v>
      </c>
      <c r="C164" s="165" t="s">
        <v>1283</v>
      </c>
      <c r="D164" s="165">
        <v>2</v>
      </c>
      <c r="E164" s="165" t="s">
        <v>1250</v>
      </c>
      <c r="F164" s="165" t="s">
        <v>1388</v>
      </c>
      <c r="G164" s="165" t="s">
        <v>1671</v>
      </c>
      <c r="H164" s="165" t="s">
        <v>1009</v>
      </c>
      <c r="I164" s="165">
        <v>44295</v>
      </c>
      <c r="J164">
        <v>44295</v>
      </c>
      <c r="K164" s="165" t="s">
        <v>1671</v>
      </c>
      <c r="L164">
        <v>42</v>
      </c>
      <c r="M164">
        <v>44302</v>
      </c>
      <c r="O164"/>
      <c r="P164"/>
      <c r="Q164"/>
      <c r="R164" s="165">
        <v>84</v>
      </c>
      <c r="S164" s="165"/>
      <c r="T164" t="s">
        <v>1267</v>
      </c>
      <c r="U164" s="165" t="s">
        <v>1267</v>
      </c>
      <c r="V164" s="165" t="s">
        <v>1267</v>
      </c>
      <c r="W164"/>
      <c r="X164"/>
      <c r="AB164"/>
      <c r="AC164"/>
      <c r="AD164"/>
      <c r="AE164"/>
      <c r="AF164"/>
      <c r="AG164"/>
      <c r="AH164"/>
    </row>
    <row r="165" spans="1:34" x14ac:dyDescent="0.25">
      <c r="A165" s="78">
        <v>20210403</v>
      </c>
      <c r="B165" s="165" t="s">
        <v>97</v>
      </c>
      <c r="C165" s="165" t="s">
        <v>1283</v>
      </c>
      <c r="D165" s="165">
        <v>4</v>
      </c>
      <c r="E165" s="165" t="s">
        <v>1250</v>
      </c>
      <c r="F165" s="165" t="s">
        <v>1389</v>
      </c>
      <c r="G165" s="165" t="s">
        <v>1671</v>
      </c>
      <c r="H165" s="165" t="s">
        <v>1009</v>
      </c>
      <c r="I165" s="165">
        <v>44295</v>
      </c>
      <c r="J165">
        <v>44295</v>
      </c>
      <c r="K165" s="165" t="s">
        <v>1671</v>
      </c>
      <c r="L165">
        <v>42</v>
      </c>
      <c r="M165">
        <v>44302</v>
      </c>
      <c r="O165"/>
      <c r="P165"/>
      <c r="Q165"/>
      <c r="R165" s="165">
        <v>168</v>
      </c>
      <c r="S165" s="165"/>
      <c r="T165" t="s">
        <v>1267</v>
      </c>
      <c r="U165" s="165" t="s">
        <v>1267</v>
      </c>
      <c r="V165" s="165" t="s">
        <v>1267</v>
      </c>
      <c r="W165"/>
      <c r="X165"/>
      <c r="AB165"/>
      <c r="AC165"/>
      <c r="AD165"/>
      <c r="AE165"/>
      <c r="AF165"/>
      <c r="AG165"/>
      <c r="AH165"/>
    </row>
    <row r="166" spans="1:34" x14ac:dyDescent="0.25">
      <c r="A166" s="78">
        <v>20210306</v>
      </c>
      <c r="B166" s="165" t="s">
        <v>97</v>
      </c>
      <c r="C166" s="165" t="s">
        <v>1308</v>
      </c>
      <c r="D166" s="165">
        <v>1</v>
      </c>
      <c r="E166" s="165" t="s">
        <v>1250</v>
      </c>
      <c r="F166" s="165" t="s">
        <v>1390</v>
      </c>
      <c r="G166" s="165" t="s">
        <v>1671</v>
      </c>
      <c r="H166" s="165" t="s">
        <v>927</v>
      </c>
      <c r="I166" s="165">
        <v>44299</v>
      </c>
      <c r="J166">
        <v>44299</v>
      </c>
      <c r="K166" s="165" t="s">
        <v>1671</v>
      </c>
      <c r="L166">
        <v>160.37</v>
      </c>
      <c r="M166">
        <v>44299</v>
      </c>
      <c r="O166"/>
      <c r="P166"/>
      <c r="Q166"/>
      <c r="R166" s="165">
        <v>160.37</v>
      </c>
      <c r="S166" s="165"/>
      <c r="T166" t="s">
        <v>1267</v>
      </c>
      <c r="U166" s="165" t="s">
        <v>1267</v>
      </c>
      <c r="V166" s="165" t="s">
        <v>1267</v>
      </c>
      <c r="W166"/>
      <c r="X166"/>
      <c r="AB166"/>
      <c r="AC166"/>
      <c r="AD166"/>
      <c r="AE166"/>
      <c r="AF166"/>
      <c r="AG166"/>
      <c r="AH166"/>
    </row>
    <row r="167" spans="1:34" x14ac:dyDescent="0.25">
      <c r="A167" s="78">
        <v>20210438</v>
      </c>
      <c r="B167" s="165" t="s">
        <v>1256</v>
      </c>
      <c r="C167" s="165" t="s">
        <v>1257</v>
      </c>
      <c r="D167" s="165">
        <v>7</v>
      </c>
      <c r="E167" s="165" t="s">
        <v>1250</v>
      </c>
      <c r="F167" s="165" t="s">
        <v>1271</v>
      </c>
      <c r="G167" s="165" t="s">
        <v>1671</v>
      </c>
      <c r="H167" s="165" t="s">
        <v>1270</v>
      </c>
      <c r="I167" s="165">
        <v>44308</v>
      </c>
      <c r="J167">
        <v>44308</v>
      </c>
      <c r="K167" s="165" t="s">
        <v>1671</v>
      </c>
      <c r="L167">
        <v>1500</v>
      </c>
      <c r="M167">
        <v>44308</v>
      </c>
      <c r="N167">
        <v>2400</v>
      </c>
      <c r="O167">
        <v>44321</v>
      </c>
      <c r="P167"/>
      <c r="Q167"/>
      <c r="R167" s="165">
        <v>3900</v>
      </c>
      <c r="S167" s="165"/>
      <c r="T167" t="s">
        <v>1267</v>
      </c>
      <c r="U167" s="165" t="s">
        <v>1267</v>
      </c>
      <c r="V167" s="165" t="s">
        <v>1267</v>
      </c>
      <c r="W167"/>
      <c r="X167"/>
      <c r="AB167"/>
      <c r="AC167"/>
      <c r="AD167"/>
      <c r="AE167"/>
      <c r="AF167"/>
      <c r="AG167"/>
      <c r="AH167"/>
    </row>
    <row r="168" spans="1:34" x14ac:dyDescent="0.25">
      <c r="A168" s="78">
        <v>20210438</v>
      </c>
      <c r="B168" s="165" t="s">
        <v>1256</v>
      </c>
      <c r="C168" s="165" t="s">
        <v>1281</v>
      </c>
      <c r="D168" s="165">
        <v>1</v>
      </c>
      <c r="E168" s="165" t="s">
        <v>1250</v>
      </c>
      <c r="F168" s="165" t="s">
        <v>1282</v>
      </c>
      <c r="G168" s="165" t="s">
        <v>1671</v>
      </c>
      <c r="H168" s="165" t="s">
        <v>1270</v>
      </c>
      <c r="I168" s="165">
        <v>44308</v>
      </c>
      <c r="J168">
        <v>44308</v>
      </c>
      <c r="K168" s="165" t="s">
        <v>1671</v>
      </c>
      <c r="L168">
        <v>250</v>
      </c>
      <c r="M168">
        <v>44308</v>
      </c>
      <c r="O168"/>
      <c r="P168"/>
      <c r="Q168"/>
      <c r="R168" s="165">
        <v>250</v>
      </c>
      <c r="S168" s="165"/>
      <c r="T168" t="s">
        <v>1267</v>
      </c>
      <c r="U168" s="165" t="s">
        <v>1267</v>
      </c>
      <c r="V168" s="165" t="s">
        <v>1267</v>
      </c>
      <c r="W168"/>
      <c r="X168"/>
      <c r="AB168"/>
      <c r="AC168"/>
      <c r="AD168"/>
      <c r="AE168"/>
      <c r="AF168"/>
      <c r="AG168"/>
      <c r="AH168"/>
    </row>
    <row r="169" spans="1:34" x14ac:dyDescent="0.25">
      <c r="A169" s="78">
        <v>20210443</v>
      </c>
      <c r="B169" s="165" t="s">
        <v>1292</v>
      </c>
      <c r="C169" s="165" t="s">
        <v>1293</v>
      </c>
      <c r="D169" s="165">
        <v>1</v>
      </c>
      <c r="E169" s="165" t="s">
        <v>1250</v>
      </c>
      <c r="F169" s="165" t="s">
        <v>1391</v>
      </c>
      <c r="G169" s="165" t="s">
        <v>1671</v>
      </c>
      <c r="H169" s="165" t="s">
        <v>1157</v>
      </c>
      <c r="I169" s="165">
        <v>44300</v>
      </c>
      <c r="J169">
        <v>44300</v>
      </c>
      <c r="K169" s="165" t="s">
        <v>1671</v>
      </c>
      <c r="L169">
        <v>500</v>
      </c>
      <c r="M169">
        <v>44300</v>
      </c>
      <c r="O169"/>
      <c r="P169"/>
      <c r="Q169"/>
      <c r="R169" s="165">
        <v>500</v>
      </c>
      <c r="S169" s="165"/>
      <c r="T169" t="s">
        <v>1267</v>
      </c>
      <c r="U169" s="165" t="s">
        <v>1267</v>
      </c>
      <c r="V169" s="165" t="s">
        <v>1267</v>
      </c>
      <c r="W169"/>
      <c r="X169"/>
      <c r="AB169"/>
      <c r="AC169"/>
      <c r="AD169"/>
      <c r="AE169"/>
      <c r="AF169"/>
      <c r="AG169"/>
      <c r="AH169"/>
    </row>
    <row r="170" spans="1:34" x14ac:dyDescent="0.25">
      <c r="A170" s="78">
        <v>20210443</v>
      </c>
      <c r="B170" s="165" t="s">
        <v>1292</v>
      </c>
      <c r="C170" s="165" t="s">
        <v>1293</v>
      </c>
      <c r="D170" s="165">
        <v>1</v>
      </c>
      <c r="E170" s="165" t="s">
        <v>1250</v>
      </c>
      <c r="F170" s="165" t="s">
        <v>1392</v>
      </c>
      <c r="G170" s="165" t="s">
        <v>1671</v>
      </c>
      <c r="H170" s="165" t="s">
        <v>1157</v>
      </c>
      <c r="I170" s="165">
        <v>44309</v>
      </c>
      <c r="J170">
        <v>44309</v>
      </c>
      <c r="K170" s="165" t="s">
        <v>1671</v>
      </c>
      <c r="L170">
        <v>3000</v>
      </c>
      <c r="M170">
        <v>44309</v>
      </c>
      <c r="N170">
        <v>2800</v>
      </c>
      <c r="O170">
        <v>44340</v>
      </c>
      <c r="P170"/>
      <c r="Q170"/>
      <c r="R170" s="165">
        <v>5800</v>
      </c>
      <c r="S170" s="165"/>
      <c r="T170" t="s">
        <v>1267</v>
      </c>
      <c r="U170" s="165" t="s">
        <v>1267</v>
      </c>
      <c r="V170" s="165" t="s">
        <v>1267</v>
      </c>
      <c r="W170"/>
      <c r="X170"/>
      <c r="AB170"/>
      <c r="AC170"/>
      <c r="AD170"/>
      <c r="AE170"/>
      <c r="AF170"/>
      <c r="AG170"/>
      <c r="AH170"/>
    </row>
    <row r="171" spans="1:34" x14ac:dyDescent="0.25">
      <c r="A171" s="78">
        <v>20210443</v>
      </c>
      <c r="B171" s="165" t="s">
        <v>1256</v>
      </c>
      <c r="C171" s="165" t="s">
        <v>1257</v>
      </c>
      <c r="D171" s="165">
        <v>3</v>
      </c>
      <c r="E171" s="165" t="s">
        <v>1250</v>
      </c>
      <c r="F171" s="165" t="s">
        <v>1393</v>
      </c>
      <c r="G171" s="165" t="s">
        <v>1671</v>
      </c>
      <c r="H171" s="165" t="s">
        <v>1157</v>
      </c>
      <c r="I171" s="165">
        <v>44323</v>
      </c>
      <c r="J171">
        <v>44323</v>
      </c>
      <c r="K171" s="165" t="s">
        <v>1671</v>
      </c>
      <c r="L171">
        <v>1600</v>
      </c>
      <c r="M171">
        <v>44323</v>
      </c>
      <c r="O171"/>
      <c r="P171"/>
      <c r="Q171"/>
      <c r="R171" s="165">
        <v>4800</v>
      </c>
      <c r="S171" s="165"/>
      <c r="T171" t="s">
        <v>1267</v>
      </c>
      <c r="U171" s="165" t="s">
        <v>1267</v>
      </c>
      <c r="V171" s="165" t="s">
        <v>1267</v>
      </c>
      <c r="W171"/>
      <c r="X171"/>
      <c r="AB171"/>
      <c r="AC171"/>
      <c r="AD171"/>
      <c r="AE171"/>
      <c r="AF171"/>
      <c r="AG171"/>
      <c r="AH171"/>
    </row>
    <row r="172" spans="1:34" x14ac:dyDescent="0.25">
      <c r="A172" s="78">
        <v>20210443</v>
      </c>
      <c r="B172" s="165" t="s">
        <v>97</v>
      </c>
      <c r="C172" s="165" t="s">
        <v>1283</v>
      </c>
      <c r="D172" s="165">
        <v>1</v>
      </c>
      <c r="E172" s="165" t="s">
        <v>1250</v>
      </c>
      <c r="F172" s="165" t="s">
        <v>1394</v>
      </c>
      <c r="G172" s="165" t="s">
        <v>1671</v>
      </c>
      <c r="H172" s="165" t="s">
        <v>1157</v>
      </c>
      <c r="I172" s="165">
        <v>44309</v>
      </c>
      <c r="J172">
        <v>44309</v>
      </c>
      <c r="K172" s="165" t="s">
        <v>1671</v>
      </c>
      <c r="L172">
        <v>407.4</v>
      </c>
      <c r="M172">
        <v>44309</v>
      </c>
      <c r="O172"/>
      <c r="P172"/>
      <c r="Q172"/>
      <c r="R172" s="165">
        <v>407.4</v>
      </c>
      <c r="S172" s="165"/>
      <c r="T172" t="s">
        <v>1267</v>
      </c>
      <c r="U172" s="165" t="s">
        <v>1267</v>
      </c>
      <c r="V172" s="165" t="s">
        <v>1267</v>
      </c>
      <c r="W172"/>
      <c r="X172"/>
      <c r="AB172"/>
      <c r="AC172"/>
      <c r="AD172"/>
      <c r="AE172"/>
      <c r="AF172"/>
      <c r="AG172"/>
      <c r="AH172"/>
    </row>
    <row r="173" spans="1:34" x14ac:dyDescent="0.25">
      <c r="A173" s="78">
        <v>20210443</v>
      </c>
      <c r="B173" s="165" t="s">
        <v>97</v>
      </c>
      <c r="C173" s="165" t="s">
        <v>1283</v>
      </c>
      <c r="D173" s="165">
        <v>3</v>
      </c>
      <c r="E173" s="165" t="s">
        <v>1250</v>
      </c>
      <c r="F173" s="165" t="s">
        <v>1395</v>
      </c>
      <c r="G173" s="165" t="s">
        <v>1671</v>
      </c>
      <c r="H173" s="165" t="s">
        <v>1157</v>
      </c>
      <c r="I173" s="165">
        <v>44309</v>
      </c>
      <c r="J173">
        <v>44309</v>
      </c>
      <c r="K173" s="165" t="s">
        <v>1671</v>
      </c>
      <c r="L173">
        <v>705.63</v>
      </c>
      <c r="M173">
        <v>44309</v>
      </c>
      <c r="O173"/>
      <c r="P173"/>
      <c r="Q173"/>
      <c r="R173" s="165">
        <v>2116.89</v>
      </c>
      <c r="S173" s="165"/>
      <c r="T173" t="s">
        <v>1267</v>
      </c>
      <c r="U173" s="165" t="s">
        <v>1267</v>
      </c>
      <c r="V173" s="165" t="s">
        <v>1267</v>
      </c>
      <c r="W173"/>
      <c r="X173"/>
      <c r="AB173"/>
      <c r="AC173"/>
      <c r="AD173"/>
      <c r="AE173"/>
      <c r="AF173"/>
      <c r="AG173"/>
      <c r="AH173"/>
    </row>
    <row r="174" spans="1:34" x14ac:dyDescent="0.25">
      <c r="A174" s="78">
        <v>20210443</v>
      </c>
      <c r="B174" s="165" t="s">
        <v>97</v>
      </c>
      <c r="C174" s="165" t="s">
        <v>1283</v>
      </c>
      <c r="D174" s="165">
        <v>1</v>
      </c>
      <c r="E174" s="165" t="s">
        <v>1250</v>
      </c>
      <c r="F174" s="165" t="s">
        <v>1396</v>
      </c>
      <c r="G174" s="165" t="s">
        <v>1671</v>
      </c>
      <c r="H174" s="165" t="s">
        <v>1157</v>
      </c>
      <c r="I174" s="165">
        <v>44309</v>
      </c>
      <c r="J174">
        <v>44309</v>
      </c>
      <c r="K174" s="165" t="s">
        <v>1671</v>
      </c>
      <c r="L174">
        <v>290</v>
      </c>
      <c r="M174">
        <v>44319</v>
      </c>
      <c r="O174"/>
      <c r="P174"/>
      <c r="Q174"/>
      <c r="R174" s="165">
        <v>290</v>
      </c>
      <c r="S174" s="165"/>
      <c r="T174" t="s">
        <v>1267</v>
      </c>
      <c r="U174" s="165" t="s">
        <v>1267</v>
      </c>
      <c r="V174" s="165" t="s">
        <v>1267</v>
      </c>
      <c r="W174"/>
      <c r="X174"/>
      <c r="AB174"/>
      <c r="AC174"/>
      <c r="AD174"/>
      <c r="AE174"/>
      <c r="AF174"/>
      <c r="AG174"/>
      <c r="AH174"/>
    </row>
    <row r="175" spans="1:34" x14ac:dyDescent="0.25">
      <c r="A175" s="78">
        <v>20210443</v>
      </c>
      <c r="B175" s="165" t="s">
        <v>97</v>
      </c>
      <c r="C175" s="165" t="s">
        <v>1283</v>
      </c>
      <c r="D175" s="165">
        <v>1</v>
      </c>
      <c r="E175" s="165" t="s">
        <v>1250</v>
      </c>
      <c r="F175" s="165" t="s">
        <v>1397</v>
      </c>
      <c r="G175" s="165" t="s">
        <v>1671</v>
      </c>
      <c r="H175" s="165" t="s">
        <v>1157</v>
      </c>
      <c r="I175" s="165">
        <v>44309</v>
      </c>
      <c r="J175">
        <v>44309</v>
      </c>
      <c r="K175" s="165" t="s">
        <v>1671</v>
      </c>
      <c r="L175">
        <v>330</v>
      </c>
      <c r="M175">
        <v>44319</v>
      </c>
      <c r="O175"/>
      <c r="P175"/>
      <c r="Q175"/>
      <c r="R175" s="165">
        <v>330</v>
      </c>
      <c r="S175" s="165"/>
      <c r="T175" t="s">
        <v>1267</v>
      </c>
      <c r="U175" s="165" t="s">
        <v>1267</v>
      </c>
      <c r="V175" s="165" t="s">
        <v>1267</v>
      </c>
      <c r="W175"/>
      <c r="X175"/>
      <c r="AB175"/>
      <c r="AC175"/>
      <c r="AD175"/>
      <c r="AE175"/>
      <c r="AF175"/>
      <c r="AG175"/>
      <c r="AH175"/>
    </row>
    <row r="176" spans="1:34" x14ac:dyDescent="0.25">
      <c r="A176" s="78">
        <v>20210443</v>
      </c>
      <c r="B176" s="165" t="s">
        <v>1292</v>
      </c>
      <c r="C176" s="165" t="s">
        <v>1293</v>
      </c>
      <c r="D176" s="165">
        <v>1</v>
      </c>
      <c r="E176" s="165" t="s">
        <v>1250</v>
      </c>
      <c r="F176" s="165" t="s">
        <v>1398</v>
      </c>
      <c r="G176" s="165" t="s">
        <v>1671</v>
      </c>
      <c r="H176" s="165" t="s">
        <v>1157</v>
      </c>
      <c r="I176" s="165">
        <v>44323</v>
      </c>
      <c r="J176">
        <v>44323</v>
      </c>
      <c r="K176" s="165" t="s">
        <v>1671</v>
      </c>
      <c r="L176">
        <v>450</v>
      </c>
      <c r="M176">
        <v>44323</v>
      </c>
      <c r="O176"/>
      <c r="P176"/>
      <c r="Q176"/>
      <c r="R176" s="165">
        <v>450</v>
      </c>
      <c r="S176" s="165"/>
      <c r="T176" t="s">
        <v>1267</v>
      </c>
      <c r="U176" s="165" t="s">
        <v>1267</v>
      </c>
      <c r="V176" s="165" t="s">
        <v>1267</v>
      </c>
      <c r="W176"/>
      <c r="X176"/>
      <c r="AB176"/>
      <c r="AC176"/>
      <c r="AD176"/>
      <c r="AE176"/>
      <c r="AF176"/>
      <c r="AG176"/>
      <c r="AH176"/>
    </row>
    <row r="177" spans="1:34" x14ac:dyDescent="0.25">
      <c r="A177" s="78">
        <v>20210443</v>
      </c>
      <c r="B177" s="165" t="s">
        <v>97</v>
      </c>
      <c r="C177" s="165" t="s">
        <v>1283</v>
      </c>
      <c r="D177" s="165">
        <v>6</v>
      </c>
      <c r="E177" s="165" t="s">
        <v>1250</v>
      </c>
      <c r="F177" s="165" t="s">
        <v>1399</v>
      </c>
      <c r="G177" s="165" t="s">
        <v>1671</v>
      </c>
      <c r="H177" s="165" t="s">
        <v>1157</v>
      </c>
      <c r="I177" s="165">
        <v>44309</v>
      </c>
      <c r="J177">
        <v>44309</v>
      </c>
      <c r="K177" s="165" t="s">
        <v>1671</v>
      </c>
      <c r="L177">
        <v>4.9000000000000004</v>
      </c>
      <c r="M177">
        <v>44319</v>
      </c>
      <c r="O177"/>
      <c r="P177"/>
      <c r="Q177"/>
      <c r="R177" s="165">
        <v>29.4</v>
      </c>
      <c r="S177" s="165"/>
      <c r="T177" t="s">
        <v>1267</v>
      </c>
      <c r="U177" s="165" t="s">
        <v>1267</v>
      </c>
      <c r="V177" s="165" t="s">
        <v>1267</v>
      </c>
      <c r="W177"/>
      <c r="X177"/>
      <c r="AB177"/>
      <c r="AC177"/>
      <c r="AD177"/>
      <c r="AE177"/>
      <c r="AF177"/>
      <c r="AG177"/>
      <c r="AH177"/>
    </row>
    <row r="178" spans="1:34" x14ac:dyDescent="0.25">
      <c r="A178" s="78">
        <v>20210443</v>
      </c>
      <c r="B178" s="165" t="s">
        <v>97</v>
      </c>
      <c r="C178" s="165" t="s">
        <v>1296</v>
      </c>
      <c r="D178" s="165">
        <v>1</v>
      </c>
      <c r="E178" s="165" t="s">
        <v>1250</v>
      </c>
      <c r="F178" s="165" t="s">
        <v>1400</v>
      </c>
      <c r="G178" s="165" t="s">
        <v>1671</v>
      </c>
      <c r="H178" s="165" t="s">
        <v>1157</v>
      </c>
      <c r="I178" s="165">
        <v>44309</v>
      </c>
      <c r="J178">
        <v>44309</v>
      </c>
      <c r="K178" s="165" t="s">
        <v>1671</v>
      </c>
      <c r="L178">
        <v>396</v>
      </c>
      <c r="M178">
        <v>44343</v>
      </c>
      <c r="O178"/>
      <c r="P178"/>
      <c r="Q178"/>
      <c r="R178" s="165">
        <v>396</v>
      </c>
      <c r="S178" s="165"/>
      <c r="T178" t="s">
        <v>1267</v>
      </c>
      <c r="U178" s="165" t="s">
        <v>1267</v>
      </c>
      <c r="V178" s="165" t="s">
        <v>1267</v>
      </c>
      <c r="W178"/>
      <c r="X178"/>
      <c r="AB178"/>
      <c r="AC178"/>
      <c r="AD178"/>
      <c r="AE178"/>
      <c r="AF178"/>
      <c r="AG178"/>
      <c r="AH178"/>
    </row>
    <row r="179" spans="1:34" x14ac:dyDescent="0.25">
      <c r="A179" s="78">
        <v>20210443</v>
      </c>
      <c r="B179" s="165" t="s">
        <v>1292</v>
      </c>
      <c r="C179" s="165" t="s">
        <v>1293</v>
      </c>
      <c r="D179" s="165">
        <v>1</v>
      </c>
      <c r="E179" s="165" t="s">
        <v>1250</v>
      </c>
      <c r="F179" s="165" t="s">
        <v>1401</v>
      </c>
      <c r="G179" s="165" t="s">
        <v>1671</v>
      </c>
      <c r="H179" s="165" t="s">
        <v>1157</v>
      </c>
      <c r="I179" s="165">
        <v>44335</v>
      </c>
      <c r="J179">
        <v>44335</v>
      </c>
      <c r="K179" s="165" t="s">
        <v>1671</v>
      </c>
      <c r="L179">
        <v>67</v>
      </c>
      <c r="M179">
        <v>44335</v>
      </c>
      <c r="O179"/>
      <c r="P179"/>
      <c r="Q179"/>
      <c r="R179" s="165">
        <v>67</v>
      </c>
      <c r="S179" s="165"/>
      <c r="T179" t="s">
        <v>1267</v>
      </c>
      <c r="U179" s="165" t="s">
        <v>1267</v>
      </c>
      <c r="V179" s="165" t="s">
        <v>1267</v>
      </c>
      <c r="W179"/>
      <c r="X179"/>
      <c r="AB179"/>
      <c r="AC179"/>
      <c r="AD179"/>
      <c r="AE179"/>
      <c r="AF179"/>
      <c r="AG179"/>
      <c r="AH179"/>
    </row>
    <row r="180" spans="1:34" x14ac:dyDescent="0.25">
      <c r="A180" s="78">
        <v>20210443</v>
      </c>
      <c r="B180" s="165" t="s">
        <v>1292</v>
      </c>
      <c r="C180" s="165" t="s">
        <v>1293</v>
      </c>
      <c r="D180" s="165">
        <v>1</v>
      </c>
      <c r="E180" s="165" t="s">
        <v>1250</v>
      </c>
      <c r="F180" s="165" t="s">
        <v>1401</v>
      </c>
      <c r="G180" s="165" t="s">
        <v>1671</v>
      </c>
      <c r="H180" s="165" t="s">
        <v>1157</v>
      </c>
      <c r="I180" s="165">
        <v>44335</v>
      </c>
      <c r="J180">
        <v>44335</v>
      </c>
      <c r="K180" s="165" t="s">
        <v>1671</v>
      </c>
      <c r="L180">
        <v>33.5</v>
      </c>
      <c r="M180">
        <v>44328</v>
      </c>
      <c r="O180"/>
      <c r="P180"/>
      <c r="Q180"/>
      <c r="R180" s="165">
        <v>33.5</v>
      </c>
      <c r="S180" s="165"/>
      <c r="T180" t="s">
        <v>1267</v>
      </c>
      <c r="U180" s="165" t="s">
        <v>1267</v>
      </c>
      <c r="V180" s="165" t="s">
        <v>1267</v>
      </c>
      <c r="W180"/>
      <c r="X180"/>
      <c r="AB180"/>
      <c r="AC180"/>
      <c r="AD180"/>
      <c r="AE180"/>
      <c r="AF180"/>
      <c r="AG180"/>
      <c r="AH180"/>
    </row>
    <row r="181" spans="1:34" x14ac:dyDescent="0.25">
      <c r="A181" s="78">
        <v>20210443</v>
      </c>
      <c r="B181" s="165" t="s">
        <v>97</v>
      </c>
      <c r="C181" s="165" t="s">
        <v>1296</v>
      </c>
      <c r="D181" s="165">
        <v>1</v>
      </c>
      <c r="E181" s="165" t="s">
        <v>1250</v>
      </c>
      <c r="F181" s="165" t="s">
        <v>1402</v>
      </c>
      <c r="G181" s="165" t="s">
        <v>1671</v>
      </c>
      <c r="H181" s="165" t="s">
        <v>1157</v>
      </c>
      <c r="I181" s="165">
        <v>44309</v>
      </c>
      <c r="J181">
        <v>44309</v>
      </c>
      <c r="K181" s="165" t="s">
        <v>1671</v>
      </c>
      <c r="L181">
        <v>821.07</v>
      </c>
      <c r="M181">
        <v>44327</v>
      </c>
      <c r="O181"/>
      <c r="P181"/>
      <c r="Q181"/>
      <c r="R181" s="165">
        <v>821.07</v>
      </c>
      <c r="S181" s="165"/>
      <c r="T181" t="s">
        <v>1267</v>
      </c>
      <c r="U181" s="165" t="s">
        <v>1267</v>
      </c>
      <c r="V181" s="165" t="s">
        <v>1267</v>
      </c>
      <c r="W181"/>
      <c r="X181"/>
      <c r="AB181"/>
      <c r="AC181"/>
      <c r="AD181"/>
      <c r="AE181"/>
      <c r="AF181"/>
      <c r="AG181"/>
      <c r="AH181"/>
    </row>
    <row r="182" spans="1:34" x14ac:dyDescent="0.25">
      <c r="A182" s="78">
        <v>20210443</v>
      </c>
      <c r="B182" s="165" t="s">
        <v>97</v>
      </c>
      <c r="C182" s="165" t="s">
        <v>1296</v>
      </c>
      <c r="D182" s="165">
        <v>1</v>
      </c>
      <c r="E182" s="165" t="s">
        <v>1250</v>
      </c>
      <c r="F182" s="165" t="s">
        <v>1403</v>
      </c>
      <c r="G182" s="165" t="s">
        <v>1671</v>
      </c>
      <c r="H182" s="165" t="s">
        <v>1157</v>
      </c>
      <c r="I182" s="165">
        <v>44309</v>
      </c>
      <c r="J182">
        <v>44309</v>
      </c>
      <c r="K182" s="165" t="s">
        <v>1671</v>
      </c>
      <c r="L182">
        <v>1781.76</v>
      </c>
      <c r="M182">
        <v>44327</v>
      </c>
      <c r="O182"/>
      <c r="P182"/>
      <c r="Q182"/>
      <c r="R182" s="165">
        <v>1781.76</v>
      </c>
      <c r="S182" s="165"/>
      <c r="T182" t="s">
        <v>1267</v>
      </c>
      <c r="U182" s="165" t="s">
        <v>1267</v>
      </c>
      <c r="V182" s="165" t="s">
        <v>1267</v>
      </c>
      <c r="W182"/>
      <c r="X182"/>
      <c r="AB182"/>
      <c r="AC182"/>
      <c r="AD182"/>
      <c r="AE182"/>
      <c r="AF182"/>
      <c r="AG182"/>
      <c r="AH182"/>
    </row>
    <row r="183" spans="1:34" x14ac:dyDescent="0.25">
      <c r="A183" s="78">
        <v>20210443</v>
      </c>
      <c r="B183" s="165" t="s">
        <v>97</v>
      </c>
      <c r="C183" s="165" t="s">
        <v>1296</v>
      </c>
      <c r="D183" s="165">
        <v>1</v>
      </c>
      <c r="E183" s="165" t="s">
        <v>1250</v>
      </c>
      <c r="F183" s="165" t="s">
        <v>1404</v>
      </c>
      <c r="G183" s="165" t="s">
        <v>1671</v>
      </c>
      <c r="H183" s="165" t="s">
        <v>1157</v>
      </c>
      <c r="I183" s="165">
        <v>44309</v>
      </c>
      <c r="J183">
        <v>44309</v>
      </c>
      <c r="K183" s="165" t="s">
        <v>1671</v>
      </c>
      <c r="L183">
        <v>367.84</v>
      </c>
      <c r="M183">
        <v>44327</v>
      </c>
      <c r="O183"/>
      <c r="P183"/>
      <c r="Q183"/>
      <c r="R183" s="165">
        <v>367.84</v>
      </c>
      <c r="S183" s="165"/>
      <c r="T183" t="s">
        <v>1267</v>
      </c>
      <c r="U183" s="165" t="s">
        <v>1267</v>
      </c>
      <c r="V183" s="165" t="s">
        <v>1267</v>
      </c>
      <c r="W183"/>
      <c r="X183"/>
      <c r="AB183"/>
      <c r="AC183"/>
      <c r="AD183"/>
      <c r="AE183"/>
      <c r="AF183"/>
      <c r="AG183"/>
      <c r="AH183"/>
    </row>
    <row r="184" spans="1:34" x14ac:dyDescent="0.25">
      <c r="A184" s="78">
        <v>20210443</v>
      </c>
      <c r="B184" s="165" t="s">
        <v>97</v>
      </c>
      <c r="C184" s="165" t="s">
        <v>1272</v>
      </c>
      <c r="D184" s="165">
        <v>2</v>
      </c>
      <c r="E184" s="165" t="s">
        <v>1250</v>
      </c>
      <c r="F184" s="165" t="s">
        <v>1405</v>
      </c>
      <c r="G184" s="165" t="s">
        <v>1671</v>
      </c>
      <c r="H184" s="165" t="s">
        <v>1157</v>
      </c>
      <c r="I184" s="165">
        <v>44315</v>
      </c>
      <c r="J184">
        <v>44315</v>
      </c>
      <c r="K184" s="165" t="s">
        <v>1671</v>
      </c>
      <c r="L184">
        <v>105</v>
      </c>
      <c r="M184">
        <v>44335</v>
      </c>
      <c r="O184"/>
      <c r="P184"/>
      <c r="Q184"/>
      <c r="R184" s="165">
        <v>210</v>
      </c>
      <c r="S184" s="165"/>
      <c r="T184" t="s">
        <v>1267</v>
      </c>
      <c r="U184" s="165" t="s">
        <v>1267</v>
      </c>
      <c r="V184" s="165" t="s">
        <v>1267</v>
      </c>
      <c r="W184"/>
      <c r="X184"/>
      <c r="AB184"/>
      <c r="AC184"/>
      <c r="AD184"/>
      <c r="AE184"/>
      <c r="AF184"/>
      <c r="AG184"/>
      <c r="AH184"/>
    </row>
    <row r="185" spans="1:34" x14ac:dyDescent="0.25">
      <c r="A185" s="78">
        <v>20210443</v>
      </c>
      <c r="B185" s="165" t="s">
        <v>1292</v>
      </c>
      <c r="C185" s="165" t="s">
        <v>1293</v>
      </c>
      <c r="D185" s="165">
        <v>1</v>
      </c>
      <c r="E185" s="165" t="s">
        <v>1250</v>
      </c>
      <c r="F185" s="165" t="s">
        <v>1406</v>
      </c>
      <c r="G185" s="165" t="s">
        <v>1671</v>
      </c>
      <c r="H185" s="165" t="s">
        <v>1157</v>
      </c>
      <c r="I185" s="165">
        <v>44340</v>
      </c>
      <c r="J185">
        <v>44340</v>
      </c>
      <c r="K185" s="165" t="s">
        <v>1671</v>
      </c>
      <c r="L185">
        <v>140</v>
      </c>
      <c r="M185">
        <v>44340</v>
      </c>
      <c r="O185"/>
      <c r="P185"/>
      <c r="Q185"/>
      <c r="R185" s="165">
        <v>140</v>
      </c>
      <c r="S185" s="165"/>
      <c r="T185" t="s">
        <v>1267</v>
      </c>
      <c r="U185" s="165" t="s">
        <v>1267</v>
      </c>
      <c r="V185" s="165" t="s">
        <v>1267</v>
      </c>
      <c r="W185"/>
      <c r="X185"/>
      <c r="AB185"/>
      <c r="AC185"/>
      <c r="AD185"/>
      <c r="AE185"/>
      <c r="AF185"/>
      <c r="AG185"/>
      <c r="AH185"/>
    </row>
    <row r="186" spans="1:34" x14ac:dyDescent="0.25">
      <c r="A186" s="78">
        <v>20210443</v>
      </c>
      <c r="B186" s="165" t="s">
        <v>97</v>
      </c>
      <c r="C186" s="165" t="s">
        <v>1296</v>
      </c>
      <c r="D186" s="165">
        <v>1</v>
      </c>
      <c r="E186" s="165" t="s">
        <v>1250</v>
      </c>
      <c r="F186" s="165" t="s">
        <v>1407</v>
      </c>
      <c r="G186" s="165" t="s">
        <v>1671</v>
      </c>
      <c r="H186" s="165" t="s">
        <v>1157</v>
      </c>
      <c r="I186" s="165">
        <v>44343</v>
      </c>
      <c r="J186">
        <v>44343</v>
      </c>
      <c r="K186" s="165" t="s">
        <v>1671</v>
      </c>
      <c r="L186">
        <v>618.53</v>
      </c>
      <c r="M186">
        <v>44349</v>
      </c>
      <c r="O186"/>
      <c r="P186"/>
      <c r="Q186"/>
      <c r="R186" s="165">
        <v>618.53</v>
      </c>
      <c r="S186" s="165"/>
      <c r="T186" t="s">
        <v>1267</v>
      </c>
      <c r="U186" s="165" t="s">
        <v>1267</v>
      </c>
      <c r="V186" s="165" t="s">
        <v>1267</v>
      </c>
      <c r="W186"/>
      <c r="X186"/>
      <c r="AB186"/>
      <c r="AC186"/>
      <c r="AD186"/>
      <c r="AE186"/>
      <c r="AF186"/>
      <c r="AG186"/>
      <c r="AH186"/>
    </row>
    <row r="187" spans="1:34" x14ac:dyDescent="0.25">
      <c r="A187" s="78">
        <v>20210443</v>
      </c>
      <c r="B187" s="165" t="s">
        <v>1292</v>
      </c>
      <c r="C187" s="165" t="s">
        <v>1293</v>
      </c>
      <c r="D187" s="165">
        <v>1</v>
      </c>
      <c r="E187" s="165" t="s">
        <v>1250</v>
      </c>
      <c r="F187" s="165" t="s">
        <v>1408</v>
      </c>
      <c r="G187" s="165" t="s">
        <v>1671</v>
      </c>
      <c r="H187" s="165" t="s">
        <v>1157</v>
      </c>
      <c r="I187" s="165">
        <v>44313</v>
      </c>
      <c r="J187">
        <v>44313</v>
      </c>
      <c r="K187" s="165" t="s">
        <v>1671</v>
      </c>
      <c r="L187">
        <v>190</v>
      </c>
      <c r="M187">
        <v>44333</v>
      </c>
      <c r="O187"/>
      <c r="P187"/>
      <c r="Q187"/>
      <c r="R187" s="165">
        <v>190</v>
      </c>
      <c r="S187" s="165"/>
      <c r="T187" t="s">
        <v>1267</v>
      </c>
      <c r="U187" s="165" t="s">
        <v>1267</v>
      </c>
      <c r="V187" s="165" t="s">
        <v>1267</v>
      </c>
      <c r="W187"/>
      <c r="X187"/>
      <c r="AB187"/>
      <c r="AC187"/>
      <c r="AD187"/>
      <c r="AE187"/>
      <c r="AF187"/>
      <c r="AG187"/>
      <c r="AH187"/>
    </row>
    <row r="188" spans="1:34" x14ac:dyDescent="0.25">
      <c r="A188" s="78">
        <v>20210443</v>
      </c>
      <c r="B188" s="165" t="s">
        <v>1292</v>
      </c>
      <c r="C188" s="165" t="s">
        <v>1293</v>
      </c>
      <c r="D188" s="165">
        <v>1</v>
      </c>
      <c r="E188" s="165" t="s">
        <v>1250</v>
      </c>
      <c r="F188" s="165" t="s">
        <v>1409</v>
      </c>
      <c r="G188" s="165" t="s">
        <v>1671</v>
      </c>
      <c r="H188" s="165" t="s">
        <v>1157</v>
      </c>
      <c r="I188" s="165">
        <v>44313</v>
      </c>
      <c r="J188">
        <v>44313</v>
      </c>
      <c r="K188" s="165" t="s">
        <v>1671</v>
      </c>
      <c r="L188">
        <v>110</v>
      </c>
      <c r="M188">
        <v>44333</v>
      </c>
      <c r="O188"/>
      <c r="P188"/>
      <c r="Q188"/>
      <c r="R188" s="165">
        <v>110</v>
      </c>
      <c r="S188" s="165"/>
      <c r="T188" t="s">
        <v>1267</v>
      </c>
      <c r="U188" s="165" t="s">
        <v>1267</v>
      </c>
      <c r="V188" s="165" t="s">
        <v>1267</v>
      </c>
      <c r="W188"/>
      <c r="X188"/>
      <c r="AB188"/>
      <c r="AC188"/>
      <c r="AD188"/>
      <c r="AE188"/>
      <c r="AF188"/>
      <c r="AG188"/>
      <c r="AH188"/>
    </row>
    <row r="189" spans="1:34" x14ac:dyDescent="0.25">
      <c r="A189" s="78">
        <v>20210441</v>
      </c>
      <c r="B189" s="165" t="s">
        <v>97</v>
      </c>
      <c r="C189" s="165" t="s">
        <v>1296</v>
      </c>
      <c r="D189" s="165">
        <v>1</v>
      </c>
      <c r="E189" s="165" t="s">
        <v>1250</v>
      </c>
      <c r="F189" s="165" t="s">
        <v>1410</v>
      </c>
      <c r="G189" s="165" t="s">
        <v>1671</v>
      </c>
      <c r="H189" s="165" t="s">
        <v>969</v>
      </c>
      <c r="I189" s="165">
        <v>44315</v>
      </c>
      <c r="J189">
        <v>44315</v>
      </c>
      <c r="K189" s="165" t="s">
        <v>1671</v>
      </c>
      <c r="L189">
        <v>350</v>
      </c>
      <c r="M189">
        <v>44315</v>
      </c>
      <c r="O189"/>
      <c r="P189"/>
      <c r="Q189"/>
      <c r="R189" s="165">
        <v>350</v>
      </c>
      <c r="S189" s="165"/>
      <c r="T189" t="s">
        <v>1267</v>
      </c>
      <c r="U189" s="165" t="s">
        <v>1267</v>
      </c>
      <c r="V189" s="165" t="s">
        <v>1267</v>
      </c>
      <c r="W189"/>
      <c r="X189"/>
      <c r="AB189"/>
      <c r="AC189"/>
      <c r="AD189"/>
      <c r="AE189"/>
      <c r="AF189"/>
      <c r="AG189"/>
      <c r="AH189"/>
    </row>
    <row r="190" spans="1:34" x14ac:dyDescent="0.25">
      <c r="A190" s="78">
        <v>20210441</v>
      </c>
      <c r="B190" s="165" t="s">
        <v>1292</v>
      </c>
      <c r="C190" s="165" t="s">
        <v>1293</v>
      </c>
      <c r="D190" s="165">
        <v>1</v>
      </c>
      <c r="E190" s="165" t="s">
        <v>1250</v>
      </c>
      <c r="F190" s="165" t="s">
        <v>1411</v>
      </c>
      <c r="G190" s="165" t="s">
        <v>1671</v>
      </c>
      <c r="H190" s="165" t="s">
        <v>969</v>
      </c>
      <c r="I190" s="165">
        <v>44315</v>
      </c>
      <c r="J190">
        <v>44315</v>
      </c>
      <c r="K190" s="165" t="s">
        <v>1671</v>
      </c>
      <c r="L190">
        <v>234.66</v>
      </c>
      <c r="M190">
        <v>44315</v>
      </c>
      <c r="O190"/>
      <c r="P190"/>
      <c r="Q190"/>
      <c r="R190" s="165">
        <v>234.66</v>
      </c>
      <c r="S190" s="165"/>
      <c r="T190" t="s">
        <v>1267</v>
      </c>
      <c r="U190" s="165" t="s">
        <v>1267</v>
      </c>
      <c r="V190" s="165" t="s">
        <v>1267</v>
      </c>
      <c r="W190"/>
      <c r="X190"/>
      <c r="AB190"/>
      <c r="AC190"/>
      <c r="AD190"/>
      <c r="AE190"/>
      <c r="AF190"/>
      <c r="AG190"/>
      <c r="AH190"/>
    </row>
    <row r="191" spans="1:34" x14ac:dyDescent="0.25">
      <c r="A191" s="78">
        <v>20210200</v>
      </c>
      <c r="B191" s="165" t="s">
        <v>1256</v>
      </c>
      <c r="C191" s="165" t="s">
        <v>1281</v>
      </c>
      <c r="D191" s="165">
        <v>1</v>
      </c>
      <c r="E191" s="165" t="s">
        <v>1250</v>
      </c>
      <c r="F191" s="165" t="s">
        <v>1282</v>
      </c>
      <c r="G191" s="165" t="s">
        <v>1671</v>
      </c>
      <c r="H191" s="165" t="s">
        <v>937</v>
      </c>
      <c r="I191" s="165">
        <v>44245</v>
      </c>
      <c r="J191">
        <v>44245</v>
      </c>
      <c r="K191" s="165" t="s">
        <v>1671</v>
      </c>
      <c r="L191">
        <v>450</v>
      </c>
      <c r="M191">
        <v>44315</v>
      </c>
      <c r="O191"/>
      <c r="P191"/>
      <c r="Q191"/>
      <c r="R191" s="165">
        <v>450</v>
      </c>
      <c r="S191" s="165"/>
      <c r="T191" t="s">
        <v>1267</v>
      </c>
      <c r="U191" s="165" t="s">
        <v>1267</v>
      </c>
      <c r="V191" s="165" t="s">
        <v>1267</v>
      </c>
      <c r="W191"/>
      <c r="X191"/>
      <c r="AB191"/>
      <c r="AC191"/>
      <c r="AD191"/>
      <c r="AE191"/>
      <c r="AF191"/>
      <c r="AG191"/>
      <c r="AH191"/>
    </row>
    <row r="192" spans="1:34" x14ac:dyDescent="0.25">
      <c r="A192" s="78">
        <v>20210441</v>
      </c>
      <c r="B192" s="165" t="s">
        <v>1292</v>
      </c>
      <c r="C192" s="165" t="s">
        <v>1293</v>
      </c>
      <c r="D192" s="165">
        <v>1</v>
      </c>
      <c r="E192" s="165" t="s">
        <v>1250</v>
      </c>
      <c r="F192" s="165" t="s">
        <v>1412</v>
      </c>
      <c r="G192" s="165" t="s">
        <v>1671</v>
      </c>
      <c r="H192" s="165" t="s">
        <v>969</v>
      </c>
      <c r="I192" s="165">
        <v>44313</v>
      </c>
      <c r="J192">
        <v>44313</v>
      </c>
      <c r="K192" s="165" t="s">
        <v>1671</v>
      </c>
      <c r="L192">
        <v>100</v>
      </c>
      <c r="M192">
        <v>44313</v>
      </c>
      <c r="O192"/>
      <c r="P192"/>
      <c r="Q192"/>
      <c r="R192" s="165">
        <v>100</v>
      </c>
      <c r="S192" s="165"/>
      <c r="T192" t="s">
        <v>1267</v>
      </c>
      <c r="U192" s="165" t="s">
        <v>1267</v>
      </c>
      <c r="V192" s="165" t="s">
        <v>1267</v>
      </c>
      <c r="W192"/>
      <c r="X192"/>
      <c r="AB192"/>
      <c r="AC192"/>
      <c r="AD192"/>
      <c r="AE192"/>
      <c r="AF192"/>
      <c r="AG192"/>
      <c r="AH192"/>
    </row>
    <row r="193" spans="1:34" x14ac:dyDescent="0.25">
      <c r="A193" s="78">
        <v>20210441</v>
      </c>
      <c r="B193" s="165" t="s">
        <v>1292</v>
      </c>
      <c r="C193" s="165" t="s">
        <v>1293</v>
      </c>
      <c r="D193" s="165">
        <v>1</v>
      </c>
      <c r="E193" s="165" t="s">
        <v>1250</v>
      </c>
      <c r="F193" s="165" t="s">
        <v>1412</v>
      </c>
      <c r="G193" s="165" t="s">
        <v>1671</v>
      </c>
      <c r="H193" s="165" t="s">
        <v>969</v>
      </c>
      <c r="I193" s="165">
        <v>44313</v>
      </c>
      <c r="J193">
        <v>44313</v>
      </c>
      <c r="K193" s="165" t="s">
        <v>1671</v>
      </c>
      <c r="L193">
        <v>201.72</v>
      </c>
      <c r="M193">
        <v>44313</v>
      </c>
      <c r="O193"/>
      <c r="P193"/>
      <c r="Q193"/>
      <c r="R193" s="165">
        <v>201.72</v>
      </c>
      <c r="S193" s="165"/>
      <c r="T193" t="s">
        <v>1267</v>
      </c>
      <c r="U193" s="165" t="s">
        <v>1267</v>
      </c>
      <c r="V193" s="165" t="s">
        <v>1267</v>
      </c>
      <c r="W193"/>
      <c r="X193"/>
      <c r="AB193"/>
      <c r="AC193"/>
      <c r="AD193"/>
      <c r="AE193"/>
      <c r="AF193"/>
      <c r="AG193"/>
      <c r="AH193"/>
    </row>
    <row r="194" spans="1:34" x14ac:dyDescent="0.25">
      <c r="A194" s="78">
        <v>20210441</v>
      </c>
      <c r="B194" s="165" t="s">
        <v>1292</v>
      </c>
      <c r="C194" s="165" t="s">
        <v>1293</v>
      </c>
      <c r="D194" s="165">
        <v>1</v>
      </c>
      <c r="E194" s="165" t="s">
        <v>1250</v>
      </c>
      <c r="F194" s="165" t="s">
        <v>1412</v>
      </c>
      <c r="G194" s="165" t="s">
        <v>1671</v>
      </c>
      <c r="H194" s="165" t="s">
        <v>969</v>
      </c>
      <c r="I194" s="165">
        <v>44316</v>
      </c>
      <c r="J194">
        <v>44316</v>
      </c>
      <c r="K194" s="165" t="s">
        <v>1671</v>
      </c>
      <c r="L194">
        <v>100</v>
      </c>
      <c r="M194">
        <v>44316</v>
      </c>
      <c r="O194"/>
      <c r="P194"/>
      <c r="Q194"/>
      <c r="R194" s="165">
        <v>100</v>
      </c>
      <c r="S194" s="165"/>
      <c r="T194" t="s">
        <v>1267</v>
      </c>
      <c r="U194" s="165" t="s">
        <v>1267</v>
      </c>
      <c r="V194" s="165" t="s">
        <v>1267</v>
      </c>
      <c r="W194"/>
      <c r="X194"/>
      <c r="AB194"/>
      <c r="AC194"/>
      <c r="AD194"/>
      <c r="AE194"/>
      <c r="AF194"/>
      <c r="AG194"/>
      <c r="AH194"/>
    </row>
    <row r="195" spans="1:34" x14ac:dyDescent="0.25">
      <c r="A195" s="78">
        <v>20210441</v>
      </c>
      <c r="B195" s="165" t="s">
        <v>97</v>
      </c>
      <c r="C195" s="165" t="s">
        <v>1272</v>
      </c>
      <c r="D195" s="165">
        <v>1</v>
      </c>
      <c r="E195" s="165" t="s">
        <v>1250</v>
      </c>
      <c r="F195" s="165" t="s">
        <v>1273</v>
      </c>
      <c r="G195" s="165" t="s">
        <v>1671</v>
      </c>
      <c r="H195" s="165" t="s">
        <v>969</v>
      </c>
      <c r="I195" s="165">
        <v>44316</v>
      </c>
      <c r="J195">
        <v>44316</v>
      </c>
      <c r="K195" s="165" t="s">
        <v>1671</v>
      </c>
      <c r="L195">
        <v>345.71</v>
      </c>
      <c r="M195">
        <v>44322</v>
      </c>
      <c r="O195"/>
      <c r="P195"/>
      <c r="Q195"/>
      <c r="R195" s="165">
        <v>345.71</v>
      </c>
      <c r="S195" s="165"/>
      <c r="T195" t="s">
        <v>1267</v>
      </c>
      <c r="U195" s="165" t="s">
        <v>1267</v>
      </c>
      <c r="V195" s="165" t="s">
        <v>1267</v>
      </c>
      <c r="W195"/>
      <c r="X195"/>
      <c r="AB195"/>
      <c r="AC195"/>
      <c r="AD195"/>
      <c r="AE195"/>
      <c r="AF195"/>
      <c r="AG195"/>
      <c r="AH195"/>
    </row>
    <row r="196" spans="1:34" x14ac:dyDescent="0.25">
      <c r="A196" s="78">
        <v>20210441</v>
      </c>
      <c r="B196" s="165" t="s">
        <v>1292</v>
      </c>
      <c r="C196" s="165" t="s">
        <v>1293</v>
      </c>
      <c r="D196" s="165">
        <v>1</v>
      </c>
      <c r="E196" s="165" t="s">
        <v>1250</v>
      </c>
      <c r="F196" s="165" t="s">
        <v>1413</v>
      </c>
      <c r="G196" s="165" t="s">
        <v>1671</v>
      </c>
      <c r="H196" s="165" t="s">
        <v>969</v>
      </c>
      <c r="I196" s="165">
        <v>44321</v>
      </c>
      <c r="J196">
        <v>44321</v>
      </c>
      <c r="K196" s="165" t="s">
        <v>1671</v>
      </c>
      <c r="L196">
        <v>268.27</v>
      </c>
      <c r="M196">
        <v>44321</v>
      </c>
      <c r="O196"/>
      <c r="P196"/>
      <c r="Q196"/>
      <c r="R196" s="165">
        <v>268.27</v>
      </c>
      <c r="S196" s="165"/>
      <c r="T196" t="s">
        <v>1267</v>
      </c>
      <c r="U196" s="165" t="s">
        <v>1267</v>
      </c>
      <c r="V196" s="165" t="s">
        <v>1267</v>
      </c>
      <c r="W196"/>
      <c r="X196"/>
      <c r="AB196"/>
      <c r="AC196"/>
      <c r="AD196"/>
      <c r="AE196"/>
      <c r="AF196"/>
      <c r="AG196"/>
      <c r="AH196"/>
    </row>
    <row r="197" spans="1:34" x14ac:dyDescent="0.25">
      <c r="A197" s="78">
        <v>20210502</v>
      </c>
      <c r="B197" s="165" t="s">
        <v>97</v>
      </c>
      <c r="C197" s="165" t="s">
        <v>1268</v>
      </c>
      <c r="D197" s="165">
        <v>1</v>
      </c>
      <c r="E197" s="165" t="s">
        <v>1250</v>
      </c>
      <c r="F197" s="165" t="s">
        <v>1414</v>
      </c>
      <c r="G197" s="165" t="s">
        <v>1671</v>
      </c>
      <c r="H197" s="165" t="s">
        <v>969</v>
      </c>
      <c r="I197" s="165">
        <v>44343</v>
      </c>
      <c r="J197">
        <v>44343</v>
      </c>
      <c r="K197" s="165" t="s">
        <v>1671</v>
      </c>
      <c r="L197">
        <v>73</v>
      </c>
      <c r="M197">
        <v>44371</v>
      </c>
      <c r="O197"/>
      <c r="P197"/>
      <c r="Q197"/>
      <c r="R197" s="165">
        <v>73</v>
      </c>
      <c r="S197" s="165"/>
      <c r="T197" t="s">
        <v>1267</v>
      </c>
      <c r="U197" s="165" t="s">
        <v>1267</v>
      </c>
      <c r="V197" s="165" t="s">
        <v>1267</v>
      </c>
      <c r="W197"/>
      <c r="X197"/>
      <c r="AB197"/>
      <c r="AC197"/>
      <c r="AD197"/>
      <c r="AE197"/>
      <c r="AF197"/>
      <c r="AG197"/>
      <c r="AH197"/>
    </row>
    <row r="198" spans="1:34" x14ac:dyDescent="0.25">
      <c r="A198" s="78">
        <v>20210502</v>
      </c>
      <c r="B198" s="165" t="s">
        <v>1292</v>
      </c>
      <c r="C198" s="165" t="s">
        <v>1293</v>
      </c>
      <c r="D198" s="165">
        <v>1</v>
      </c>
      <c r="E198" s="165" t="s">
        <v>1250</v>
      </c>
      <c r="F198" s="165" t="s">
        <v>1415</v>
      </c>
      <c r="G198" s="165" t="s">
        <v>1671</v>
      </c>
      <c r="H198" s="165" t="s">
        <v>969</v>
      </c>
      <c r="I198" s="165">
        <v>44320</v>
      </c>
      <c r="J198">
        <v>44320</v>
      </c>
      <c r="K198" s="165" t="s">
        <v>1671</v>
      </c>
      <c r="L198">
        <v>190</v>
      </c>
      <c r="M198">
        <v>44348</v>
      </c>
      <c r="O198"/>
      <c r="P198"/>
      <c r="Q198"/>
      <c r="R198" s="165">
        <v>190</v>
      </c>
      <c r="S198" s="165"/>
      <c r="T198" t="s">
        <v>1267</v>
      </c>
      <c r="U198" s="165" t="s">
        <v>1267</v>
      </c>
      <c r="V198" s="165" t="s">
        <v>1267</v>
      </c>
      <c r="W198"/>
      <c r="X198"/>
      <c r="AB198"/>
      <c r="AC198"/>
      <c r="AD198"/>
      <c r="AE198"/>
      <c r="AF198"/>
      <c r="AG198"/>
      <c r="AH198"/>
    </row>
    <row r="199" spans="1:34" x14ac:dyDescent="0.25">
      <c r="A199" s="78">
        <v>20210502</v>
      </c>
      <c r="B199" s="165" t="s">
        <v>97</v>
      </c>
      <c r="C199" s="165" t="s">
        <v>1264</v>
      </c>
      <c r="D199" s="165">
        <v>1</v>
      </c>
      <c r="E199" s="165" t="s">
        <v>1250</v>
      </c>
      <c r="F199" s="165" t="s">
        <v>1278</v>
      </c>
      <c r="G199" s="165" t="s">
        <v>1671</v>
      </c>
      <c r="H199" s="165" t="s">
        <v>969</v>
      </c>
      <c r="I199" s="165">
        <v>44343</v>
      </c>
      <c r="J199">
        <v>44343</v>
      </c>
      <c r="K199" s="165" t="s">
        <v>1671</v>
      </c>
      <c r="L199">
        <v>142</v>
      </c>
      <c r="M199">
        <v>44371</v>
      </c>
      <c r="O199"/>
      <c r="P199"/>
      <c r="Q199"/>
      <c r="R199" s="165">
        <v>142</v>
      </c>
      <c r="S199" s="165"/>
      <c r="T199" t="s">
        <v>1267</v>
      </c>
      <c r="U199" s="165" t="s">
        <v>1267</v>
      </c>
      <c r="V199" s="165" t="s">
        <v>1267</v>
      </c>
      <c r="W199"/>
      <c r="X199"/>
      <c r="AB199"/>
      <c r="AC199"/>
      <c r="AD199"/>
      <c r="AE199"/>
      <c r="AF199"/>
      <c r="AG199"/>
      <c r="AH199"/>
    </row>
    <row r="200" spans="1:34" x14ac:dyDescent="0.25">
      <c r="A200" s="78">
        <v>20210502</v>
      </c>
      <c r="B200" s="165" t="s">
        <v>97</v>
      </c>
      <c r="C200" s="165" t="s">
        <v>1322</v>
      </c>
      <c r="D200" s="165">
        <v>1</v>
      </c>
      <c r="E200" s="165" t="s">
        <v>1250</v>
      </c>
      <c r="F200" s="165" t="s">
        <v>1416</v>
      </c>
      <c r="G200" s="165" t="s">
        <v>1671</v>
      </c>
      <c r="H200" s="165" t="s">
        <v>969</v>
      </c>
      <c r="I200" s="165">
        <v>44343</v>
      </c>
      <c r="J200">
        <v>44343</v>
      </c>
      <c r="K200" s="165" t="s">
        <v>1671</v>
      </c>
      <c r="L200">
        <v>175</v>
      </c>
      <c r="M200">
        <v>44371</v>
      </c>
      <c r="O200"/>
      <c r="P200"/>
      <c r="Q200"/>
      <c r="R200" s="165">
        <v>175</v>
      </c>
      <c r="S200" s="165"/>
      <c r="T200" t="s">
        <v>1267</v>
      </c>
      <c r="U200" s="165" t="s">
        <v>1267</v>
      </c>
      <c r="V200" s="165" t="s">
        <v>1267</v>
      </c>
      <c r="W200"/>
      <c r="X200"/>
      <c r="AB200"/>
      <c r="AC200"/>
      <c r="AD200"/>
      <c r="AE200"/>
      <c r="AF200"/>
      <c r="AG200"/>
      <c r="AH200"/>
    </row>
    <row r="201" spans="1:34" x14ac:dyDescent="0.25">
      <c r="A201" s="78">
        <v>20210441</v>
      </c>
      <c r="B201" s="165" t="s">
        <v>1292</v>
      </c>
      <c r="C201" s="165" t="s">
        <v>1293</v>
      </c>
      <c r="D201" s="165">
        <v>1</v>
      </c>
      <c r="E201" s="165" t="s">
        <v>1250</v>
      </c>
      <c r="F201" s="165" t="s">
        <v>1413</v>
      </c>
      <c r="G201" s="165" t="s">
        <v>1671</v>
      </c>
      <c r="H201" s="165" t="s">
        <v>969</v>
      </c>
      <c r="I201" s="165">
        <v>44321</v>
      </c>
      <c r="J201">
        <v>44321</v>
      </c>
      <c r="K201" s="165" t="s">
        <v>1671</v>
      </c>
      <c r="L201">
        <v>150</v>
      </c>
      <c r="M201">
        <v>44321</v>
      </c>
      <c r="O201"/>
      <c r="P201"/>
      <c r="Q201"/>
      <c r="R201" s="165">
        <v>150</v>
      </c>
      <c r="S201" s="165"/>
      <c r="T201" t="s">
        <v>1267</v>
      </c>
      <c r="U201" s="165" t="s">
        <v>1267</v>
      </c>
      <c r="V201" s="165" t="s">
        <v>1267</v>
      </c>
      <c r="W201"/>
      <c r="X201"/>
      <c r="AB201"/>
      <c r="AC201"/>
      <c r="AD201"/>
      <c r="AE201"/>
      <c r="AF201"/>
      <c r="AG201"/>
      <c r="AH201"/>
    </row>
    <row r="202" spans="1:34" x14ac:dyDescent="0.25">
      <c r="A202" s="78">
        <v>20210441</v>
      </c>
      <c r="B202" s="165" t="s">
        <v>1292</v>
      </c>
      <c r="C202" s="165" t="s">
        <v>1293</v>
      </c>
      <c r="D202" s="165">
        <v>1</v>
      </c>
      <c r="E202" s="165" t="s">
        <v>1250</v>
      </c>
      <c r="F202" s="165" t="s">
        <v>1413</v>
      </c>
      <c r="G202" s="165" t="s">
        <v>1671</v>
      </c>
      <c r="H202" s="165" t="s">
        <v>969</v>
      </c>
      <c r="I202" s="165">
        <v>44321</v>
      </c>
      <c r="J202">
        <v>44321</v>
      </c>
      <c r="K202" s="165" t="s">
        <v>1671</v>
      </c>
      <c r="L202">
        <v>150</v>
      </c>
      <c r="M202">
        <v>44321</v>
      </c>
      <c r="O202"/>
      <c r="P202"/>
      <c r="Q202"/>
      <c r="R202" s="165">
        <v>150</v>
      </c>
      <c r="S202" s="165"/>
      <c r="T202" t="s">
        <v>1267</v>
      </c>
      <c r="U202" s="165" t="s">
        <v>1267</v>
      </c>
      <c r="V202" s="165" t="s">
        <v>1267</v>
      </c>
      <c r="W202"/>
      <c r="X202"/>
      <c r="AB202"/>
      <c r="AC202"/>
      <c r="AD202"/>
      <c r="AE202"/>
      <c r="AF202"/>
      <c r="AG202"/>
      <c r="AH202"/>
    </row>
    <row r="203" spans="1:34" x14ac:dyDescent="0.25">
      <c r="A203" s="78">
        <v>20210441</v>
      </c>
      <c r="B203" s="165" t="s">
        <v>1261</v>
      </c>
      <c r="C203" s="165" t="s">
        <v>1262</v>
      </c>
      <c r="D203" s="165">
        <v>1</v>
      </c>
      <c r="E203" s="165" t="s">
        <v>1250</v>
      </c>
      <c r="F203" s="165" t="s">
        <v>1417</v>
      </c>
      <c r="G203" s="165" t="s">
        <v>1671</v>
      </c>
      <c r="H203" s="165" t="s">
        <v>969</v>
      </c>
      <c r="I203" s="165">
        <v>44335</v>
      </c>
      <c r="J203">
        <v>44335</v>
      </c>
      <c r="K203" s="165" t="s">
        <v>1671</v>
      </c>
      <c r="L203">
        <v>1698.34</v>
      </c>
      <c r="M203">
        <v>44335</v>
      </c>
      <c r="O203"/>
      <c r="P203"/>
      <c r="Q203"/>
      <c r="R203" s="165">
        <v>1698.34</v>
      </c>
      <c r="S203" s="165"/>
      <c r="T203" t="s">
        <v>1267</v>
      </c>
      <c r="U203" s="165" t="s">
        <v>1267</v>
      </c>
      <c r="V203" s="165" t="s">
        <v>1267</v>
      </c>
      <c r="W203"/>
      <c r="X203"/>
      <c r="AB203"/>
      <c r="AC203"/>
      <c r="AD203"/>
      <c r="AE203"/>
      <c r="AF203"/>
      <c r="AG203"/>
      <c r="AH203"/>
    </row>
    <row r="204" spans="1:34" x14ac:dyDescent="0.25">
      <c r="A204" s="78">
        <v>20210502</v>
      </c>
      <c r="B204" s="165" t="s">
        <v>1256</v>
      </c>
      <c r="C204" s="165" t="s">
        <v>1281</v>
      </c>
      <c r="D204" s="165">
        <v>1</v>
      </c>
      <c r="E204" s="165" t="s">
        <v>1250</v>
      </c>
      <c r="F204" s="165" t="s">
        <v>1282</v>
      </c>
      <c r="G204" s="165" t="s">
        <v>1671</v>
      </c>
      <c r="H204" s="165" t="s">
        <v>969</v>
      </c>
      <c r="I204" s="165">
        <v>44347</v>
      </c>
      <c r="J204" t="s">
        <v>1659</v>
      </c>
      <c r="K204" s="165" t="s">
        <v>1671</v>
      </c>
      <c r="L204">
        <v>230</v>
      </c>
      <c r="M204">
        <v>44362</v>
      </c>
      <c r="O204"/>
      <c r="P204"/>
      <c r="Q204"/>
      <c r="R204" s="165">
        <v>230</v>
      </c>
      <c r="S204" s="165"/>
      <c r="T204" t="s">
        <v>1267</v>
      </c>
      <c r="U204" s="165" t="s">
        <v>1267</v>
      </c>
      <c r="V204" s="165" t="s">
        <v>1267</v>
      </c>
      <c r="W204"/>
      <c r="X204"/>
      <c r="AB204"/>
      <c r="AC204"/>
      <c r="AD204"/>
      <c r="AE204"/>
      <c r="AF204"/>
      <c r="AG204"/>
      <c r="AH204"/>
    </row>
    <row r="205" spans="1:34" x14ac:dyDescent="0.25">
      <c r="A205" s="78">
        <v>20210502</v>
      </c>
      <c r="B205" s="165" t="s">
        <v>97</v>
      </c>
      <c r="C205" s="165" t="s">
        <v>1327</v>
      </c>
      <c r="D205" s="165">
        <v>1</v>
      </c>
      <c r="E205" s="165" t="s">
        <v>1250</v>
      </c>
      <c r="F205" s="165" t="s">
        <v>1418</v>
      </c>
      <c r="G205" s="165" t="s">
        <v>1671</v>
      </c>
      <c r="H205" s="165" t="s">
        <v>969</v>
      </c>
      <c r="I205" s="165">
        <v>44356</v>
      </c>
      <c r="J205">
        <v>44356</v>
      </c>
      <c r="K205" s="165" t="s">
        <v>1671</v>
      </c>
      <c r="L205">
        <v>4.25</v>
      </c>
      <c r="M205">
        <v>44356</v>
      </c>
      <c r="O205"/>
      <c r="P205"/>
      <c r="Q205"/>
      <c r="R205" s="165">
        <v>4.25</v>
      </c>
      <c r="S205" s="165"/>
      <c r="T205" t="s">
        <v>1267</v>
      </c>
      <c r="U205" s="165" t="s">
        <v>1267</v>
      </c>
      <c r="V205" s="165" t="s">
        <v>1267</v>
      </c>
      <c r="W205"/>
      <c r="X205"/>
      <c r="AB205"/>
      <c r="AC205"/>
      <c r="AD205"/>
      <c r="AE205"/>
      <c r="AF205"/>
      <c r="AG205"/>
      <c r="AH205"/>
    </row>
    <row r="206" spans="1:34" x14ac:dyDescent="0.25">
      <c r="A206" s="78">
        <v>20210502</v>
      </c>
      <c r="B206" s="165" t="s">
        <v>97</v>
      </c>
      <c r="C206" s="165" t="s">
        <v>1327</v>
      </c>
      <c r="D206" s="165">
        <v>1</v>
      </c>
      <c r="E206" s="165" t="s">
        <v>1250</v>
      </c>
      <c r="F206" s="165" t="s">
        <v>1419</v>
      </c>
      <c r="G206" s="165" t="s">
        <v>1671</v>
      </c>
      <c r="H206" s="165" t="s">
        <v>969</v>
      </c>
      <c r="I206" s="165">
        <v>44356</v>
      </c>
      <c r="J206">
        <v>44356</v>
      </c>
      <c r="K206" s="165" t="s">
        <v>1671</v>
      </c>
      <c r="L206">
        <v>8.6</v>
      </c>
      <c r="M206">
        <v>44356</v>
      </c>
      <c r="O206"/>
      <c r="P206"/>
      <c r="Q206"/>
      <c r="R206" s="165">
        <v>8.6</v>
      </c>
      <c r="S206" s="165"/>
      <c r="T206" t="s">
        <v>1267</v>
      </c>
      <c r="U206" s="165" t="s">
        <v>1267</v>
      </c>
      <c r="V206" s="165" t="s">
        <v>1267</v>
      </c>
      <c r="W206"/>
      <c r="X206"/>
      <c r="AB206"/>
      <c r="AC206"/>
      <c r="AD206"/>
      <c r="AE206"/>
      <c r="AF206"/>
      <c r="AG206"/>
      <c r="AH206"/>
    </row>
    <row r="207" spans="1:34" x14ac:dyDescent="0.25">
      <c r="A207" s="78">
        <v>20210502</v>
      </c>
      <c r="B207" s="165" t="s">
        <v>97</v>
      </c>
      <c r="C207" s="165" t="s">
        <v>1308</v>
      </c>
      <c r="D207" s="165">
        <v>1</v>
      </c>
      <c r="E207" s="165" t="s">
        <v>1250</v>
      </c>
      <c r="F207" s="165" t="s">
        <v>1420</v>
      </c>
      <c r="G207" s="165" t="s">
        <v>1671</v>
      </c>
      <c r="H207" s="165" t="s">
        <v>969</v>
      </c>
      <c r="I207" s="165">
        <v>44348</v>
      </c>
      <c r="J207">
        <v>44348</v>
      </c>
      <c r="K207" s="165" t="s">
        <v>1671</v>
      </c>
      <c r="L207">
        <v>169</v>
      </c>
      <c r="M207">
        <v>44348</v>
      </c>
      <c r="O207"/>
      <c r="P207"/>
      <c r="Q207"/>
      <c r="R207" s="165">
        <v>169</v>
      </c>
      <c r="S207" s="165"/>
      <c r="T207" t="s">
        <v>1267</v>
      </c>
      <c r="U207" s="165" t="s">
        <v>1267</v>
      </c>
      <c r="V207" s="165" t="s">
        <v>1267</v>
      </c>
      <c r="W207"/>
      <c r="X207"/>
      <c r="AB207"/>
      <c r="AC207"/>
      <c r="AD207"/>
      <c r="AE207"/>
      <c r="AF207"/>
      <c r="AG207"/>
      <c r="AH207"/>
    </row>
    <row r="208" spans="1:34" x14ac:dyDescent="0.25">
      <c r="A208" s="78">
        <v>20210441</v>
      </c>
      <c r="B208" s="165" t="s">
        <v>1292</v>
      </c>
      <c r="C208" s="165" t="s">
        <v>1293</v>
      </c>
      <c r="D208" s="165">
        <v>1</v>
      </c>
      <c r="E208" s="165" t="s">
        <v>1250</v>
      </c>
      <c r="F208" s="165" t="s">
        <v>1412</v>
      </c>
      <c r="G208" s="165" t="s">
        <v>1671</v>
      </c>
      <c r="H208" s="165" t="s">
        <v>969</v>
      </c>
      <c r="I208" s="165">
        <v>44316</v>
      </c>
      <c r="J208">
        <v>44316</v>
      </c>
      <c r="K208" s="165" t="s">
        <v>1671</v>
      </c>
      <c r="L208">
        <v>50</v>
      </c>
      <c r="M208">
        <v>44316</v>
      </c>
      <c r="O208"/>
      <c r="P208"/>
      <c r="Q208"/>
      <c r="R208" s="165">
        <v>50</v>
      </c>
      <c r="S208" s="165"/>
      <c r="T208" t="s">
        <v>1267</v>
      </c>
      <c r="U208" s="165" t="s">
        <v>1267</v>
      </c>
      <c r="V208" s="165" t="s">
        <v>1267</v>
      </c>
      <c r="W208"/>
      <c r="X208"/>
      <c r="AB208"/>
      <c r="AC208"/>
      <c r="AD208"/>
      <c r="AE208"/>
      <c r="AF208"/>
      <c r="AG208"/>
      <c r="AH208"/>
    </row>
    <row r="209" spans="1:34" x14ac:dyDescent="0.25">
      <c r="A209" s="78">
        <v>20210622</v>
      </c>
      <c r="B209" s="165" t="s">
        <v>1292</v>
      </c>
      <c r="C209" s="165" t="s">
        <v>1293</v>
      </c>
      <c r="D209" s="165">
        <v>1</v>
      </c>
      <c r="E209" s="165" t="s">
        <v>1250</v>
      </c>
      <c r="F209" s="165" t="s">
        <v>1421</v>
      </c>
      <c r="G209" s="165" t="s">
        <v>1671</v>
      </c>
      <c r="H209" s="165" t="s">
        <v>969</v>
      </c>
      <c r="I209" s="165">
        <v>44351</v>
      </c>
      <c r="J209">
        <v>44351</v>
      </c>
      <c r="K209" s="165" t="s">
        <v>1671</v>
      </c>
      <c r="L209">
        <v>195.3</v>
      </c>
      <c r="M209">
        <v>44351</v>
      </c>
      <c r="O209"/>
      <c r="P209"/>
      <c r="Q209"/>
      <c r="R209" s="165">
        <v>195.3</v>
      </c>
      <c r="S209" s="165"/>
      <c r="T209" t="s">
        <v>1267</v>
      </c>
      <c r="U209" s="165" t="s">
        <v>1267</v>
      </c>
      <c r="V209" s="165" t="s">
        <v>1267</v>
      </c>
      <c r="W209"/>
      <c r="X209"/>
      <c r="AB209"/>
      <c r="AC209"/>
      <c r="AD209"/>
      <c r="AE209"/>
      <c r="AF209"/>
      <c r="AG209"/>
      <c r="AH209"/>
    </row>
    <row r="210" spans="1:34" x14ac:dyDescent="0.25">
      <c r="A210" s="78">
        <v>20210441</v>
      </c>
      <c r="B210" s="165" t="s">
        <v>97</v>
      </c>
      <c r="C210" s="165" t="s">
        <v>1288</v>
      </c>
      <c r="D210" s="165">
        <v>1</v>
      </c>
      <c r="E210" s="165" t="s">
        <v>1250</v>
      </c>
      <c r="F210" s="165" t="s">
        <v>1290</v>
      </c>
      <c r="G210" s="165" t="s">
        <v>1671</v>
      </c>
      <c r="H210" s="165" t="s">
        <v>969</v>
      </c>
      <c r="I210" s="165">
        <v>44319</v>
      </c>
      <c r="J210">
        <v>44319</v>
      </c>
      <c r="K210" s="165" t="s">
        <v>1671</v>
      </c>
      <c r="L210">
        <v>1380</v>
      </c>
      <c r="M210">
        <v>44348</v>
      </c>
      <c r="O210"/>
      <c r="P210"/>
      <c r="Q210"/>
      <c r="R210" s="165">
        <v>1380</v>
      </c>
      <c r="S210" s="165"/>
      <c r="T210" t="s">
        <v>1267</v>
      </c>
      <c r="U210" s="165" t="s">
        <v>1267</v>
      </c>
      <c r="V210" s="165" t="s">
        <v>1267</v>
      </c>
      <c r="W210"/>
      <c r="X210"/>
      <c r="AB210"/>
      <c r="AC210"/>
      <c r="AD210"/>
      <c r="AE210"/>
      <c r="AF210"/>
      <c r="AG210"/>
      <c r="AH210"/>
    </row>
    <row r="211" spans="1:34" x14ac:dyDescent="0.25">
      <c r="A211" s="78">
        <v>20210441</v>
      </c>
      <c r="B211" s="165" t="s">
        <v>1256</v>
      </c>
      <c r="C211" s="165" t="s">
        <v>1257</v>
      </c>
      <c r="D211" s="165">
        <v>5</v>
      </c>
      <c r="E211" s="165" t="s">
        <v>1250</v>
      </c>
      <c r="F211" s="165" t="s">
        <v>1271</v>
      </c>
      <c r="G211" s="165" t="s">
        <v>1671</v>
      </c>
      <c r="H211" s="165" t="s">
        <v>969</v>
      </c>
      <c r="I211" s="165">
        <v>44316</v>
      </c>
      <c r="J211">
        <v>44316</v>
      </c>
      <c r="K211" s="165" t="s">
        <v>1671</v>
      </c>
      <c r="L211">
        <v>400</v>
      </c>
      <c r="M211">
        <v>44316</v>
      </c>
      <c r="O211"/>
      <c r="P211"/>
      <c r="Q211"/>
      <c r="R211" s="165">
        <v>2000</v>
      </c>
      <c r="S211" s="165"/>
      <c r="T211" t="s">
        <v>1267</v>
      </c>
      <c r="U211" s="165" t="s">
        <v>1267</v>
      </c>
      <c r="V211" s="165" t="s">
        <v>1267</v>
      </c>
      <c r="W211"/>
      <c r="X211"/>
      <c r="AB211"/>
      <c r="AC211"/>
      <c r="AD211"/>
      <c r="AE211"/>
      <c r="AF211"/>
      <c r="AG211"/>
      <c r="AH211"/>
    </row>
    <row r="212" spans="1:34" x14ac:dyDescent="0.25">
      <c r="A212" s="78">
        <v>20210401</v>
      </c>
      <c r="B212" s="165" t="s">
        <v>1292</v>
      </c>
      <c r="C212" s="165" t="s">
        <v>1293</v>
      </c>
      <c r="D212" s="165">
        <v>1</v>
      </c>
      <c r="E212" s="165" t="s">
        <v>1250</v>
      </c>
      <c r="F212" s="165" t="s">
        <v>1422</v>
      </c>
      <c r="G212" s="165" t="s">
        <v>1671</v>
      </c>
      <c r="H212" s="165" t="s">
        <v>969</v>
      </c>
      <c r="I212" s="165">
        <v>44312</v>
      </c>
      <c r="J212">
        <v>44312</v>
      </c>
      <c r="K212" s="165" t="s">
        <v>1671</v>
      </c>
      <c r="L212">
        <v>28</v>
      </c>
      <c r="M212">
        <v>44312</v>
      </c>
      <c r="O212"/>
      <c r="P212"/>
      <c r="Q212"/>
      <c r="R212" s="165">
        <v>28</v>
      </c>
      <c r="S212" s="165"/>
      <c r="T212" t="s">
        <v>1267</v>
      </c>
      <c r="U212" s="165" t="s">
        <v>1267</v>
      </c>
      <c r="V212" s="165" t="s">
        <v>1267</v>
      </c>
      <c r="W212"/>
      <c r="X212"/>
      <c r="AB212"/>
      <c r="AC212"/>
      <c r="AD212"/>
      <c r="AE212"/>
      <c r="AF212"/>
      <c r="AG212"/>
      <c r="AH212"/>
    </row>
    <row r="213" spans="1:34" x14ac:dyDescent="0.25">
      <c r="A213" s="78">
        <v>20210322</v>
      </c>
      <c r="B213" s="165" t="s">
        <v>97</v>
      </c>
      <c r="C213" s="165" t="s">
        <v>1375</v>
      </c>
      <c r="D213" s="165">
        <v>1</v>
      </c>
      <c r="E213" s="165" t="s">
        <v>1250</v>
      </c>
      <c r="F213" s="165" t="s">
        <v>1376</v>
      </c>
      <c r="G213" s="165" t="s">
        <v>1671</v>
      </c>
      <c r="H213" s="165" t="s">
        <v>998</v>
      </c>
      <c r="I213" s="165">
        <v>44320</v>
      </c>
      <c r="J213">
        <v>44320</v>
      </c>
      <c r="K213" s="165" t="s">
        <v>1671</v>
      </c>
      <c r="L213">
        <v>162</v>
      </c>
      <c r="M213">
        <v>44320</v>
      </c>
      <c r="O213"/>
      <c r="P213"/>
      <c r="Q213"/>
      <c r="R213" s="165">
        <v>162</v>
      </c>
      <c r="S213" s="165"/>
      <c r="T213" t="s">
        <v>1267</v>
      </c>
      <c r="U213" s="165" t="s">
        <v>1267</v>
      </c>
      <c r="V213" s="165" t="s">
        <v>1267</v>
      </c>
      <c r="W213"/>
      <c r="X213"/>
      <c r="AB213"/>
      <c r="AC213"/>
      <c r="AD213"/>
      <c r="AE213"/>
      <c r="AF213"/>
      <c r="AG213"/>
      <c r="AH213"/>
    </row>
    <row r="214" spans="1:34" x14ac:dyDescent="0.25">
      <c r="A214" s="78">
        <v>20210337</v>
      </c>
      <c r="B214" s="165" t="s">
        <v>97</v>
      </c>
      <c r="C214" s="165" t="s">
        <v>1272</v>
      </c>
      <c r="D214" s="165">
        <v>1</v>
      </c>
      <c r="E214" s="165" t="s">
        <v>1250</v>
      </c>
      <c r="F214" s="165" t="s">
        <v>1273</v>
      </c>
      <c r="G214" s="165" t="s">
        <v>1671</v>
      </c>
      <c r="H214" s="165" t="s">
        <v>929</v>
      </c>
      <c r="I214" s="165">
        <v>44322</v>
      </c>
      <c r="J214">
        <v>44322</v>
      </c>
      <c r="K214" s="165" t="s">
        <v>1671</v>
      </c>
      <c r="L214">
        <v>345.71</v>
      </c>
      <c r="M214">
        <v>44322</v>
      </c>
      <c r="O214"/>
      <c r="P214"/>
      <c r="Q214"/>
      <c r="R214" s="165">
        <v>345.71</v>
      </c>
      <c r="S214" s="165"/>
      <c r="T214" t="s">
        <v>1267</v>
      </c>
      <c r="U214" s="165" t="s">
        <v>1267</v>
      </c>
      <c r="V214" s="165" t="s">
        <v>1267</v>
      </c>
      <c r="W214"/>
      <c r="X214"/>
      <c r="AB214"/>
      <c r="AC214"/>
      <c r="AD214"/>
      <c r="AE214"/>
      <c r="AF214"/>
      <c r="AG214"/>
      <c r="AH214"/>
    </row>
    <row r="215" spans="1:34" x14ac:dyDescent="0.25">
      <c r="A215" s="78">
        <v>20210405</v>
      </c>
      <c r="B215" s="165" t="s">
        <v>97</v>
      </c>
      <c r="C215" s="165" t="s">
        <v>1296</v>
      </c>
      <c r="D215" s="165">
        <v>1</v>
      </c>
      <c r="E215" s="165" t="s">
        <v>1250</v>
      </c>
      <c r="F215" s="165" t="s">
        <v>1423</v>
      </c>
      <c r="G215" s="165" t="s">
        <v>1671</v>
      </c>
      <c r="H215" s="165" t="s">
        <v>937</v>
      </c>
      <c r="I215" s="165">
        <v>44302</v>
      </c>
      <c r="J215">
        <v>44302</v>
      </c>
      <c r="K215" s="165" t="s">
        <v>1671</v>
      </c>
      <c r="L215">
        <v>1295.82</v>
      </c>
      <c r="M215">
        <v>44330</v>
      </c>
      <c r="O215"/>
      <c r="P215"/>
      <c r="Q215"/>
      <c r="R215" s="165">
        <v>1295.82</v>
      </c>
      <c r="S215" s="165"/>
      <c r="T215" t="s">
        <v>1267</v>
      </c>
      <c r="U215" s="165" t="s">
        <v>1267</v>
      </c>
      <c r="V215" s="165" t="s">
        <v>1267</v>
      </c>
      <c r="W215"/>
      <c r="X215"/>
      <c r="AB215"/>
      <c r="AC215"/>
      <c r="AD215"/>
      <c r="AE215"/>
      <c r="AF215"/>
      <c r="AG215"/>
      <c r="AH215"/>
    </row>
    <row r="216" spans="1:34" x14ac:dyDescent="0.25">
      <c r="A216" s="78">
        <v>20210307</v>
      </c>
      <c r="B216" s="165" t="s">
        <v>1256</v>
      </c>
      <c r="C216" s="165" t="s">
        <v>1257</v>
      </c>
      <c r="D216" s="165">
        <v>1</v>
      </c>
      <c r="E216" s="165" t="s">
        <v>1250</v>
      </c>
      <c r="F216" s="165" t="s">
        <v>1271</v>
      </c>
      <c r="G216" s="165" t="s">
        <v>1671</v>
      </c>
      <c r="H216" s="165" t="s">
        <v>943</v>
      </c>
      <c r="I216" s="165">
        <v>44298</v>
      </c>
      <c r="J216">
        <v>44298</v>
      </c>
      <c r="K216" s="165" t="s">
        <v>1671</v>
      </c>
      <c r="L216">
        <v>850.2</v>
      </c>
      <c r="M216">
        <v>44326</v>
      </c>
      <c r="O216"/>
      <c r="P216"/>
      <c r="Q216"/>
      <c r="R216" s="165">
        <v>850.2</v>
      </c>
      <c r="S216" s="165"/>
      <c r="T216" t="s">
        <v>1267</v>
      </c>
      <c r="U216" s="165" t="s">
        <v>1267</v>
      </c>
      <c r="V216" s="165" t="s">
        <v>1267</v>
      </c>
      <c r="W216"/>
      <c r="X216"/>
      <c r="AB216"/>
      <c r="AC216"/>
      <c r="AD216"/>
      <c r="AE216"/>
      <c r="AF216"/>
      <c r="AG216"/>
      <c r="AH216"/>
    </row>
    <row r="217" spans="1:34" x14ac:dyDescent="0.25">
      <c r="A217" s="78">
        <v>20210461</v>
      </c>
      <c r="B217" s="165" t="s">
        <v>97</v>
      </c>
      <c r="C217" s="165" t="s">
        <v>1375</v>
      </c>
      <c r="D217" s="165">
        <v>1</v>
      </c>
      <c r="E217" s="165" t="s">
        <v>1250</v>
      </c>
      <c r="F217" s="165" t="s">
        <v>1376</v>
      </c>
      <c r="G217" s="165" t="s">
        <v>1671</v>
      </c>
      <c r="H217" s="165" t="s">
        <v>926</v>
      </c>
      <c r="I217" s="165">
        <v>44321</v>
      </c>
      <c r="J217">
        <v>44321</v>
      </c>
      <c r="K217" s="165" t="s">
        <v>1671</v>
      </c>
      <c r="L217">
        <v>175.3</v>
      </c>
      <c r="M217">
        <v>44321</v>
      </c>
      <c r="O217"/>
      <c r="P217"/>
      <c r="Q217"/>
      <c r="R217" s="165">
        <v>175.3</v>
      </c>
      <c r="S217" s="165"/>
      <c r="T217" t="s">
        <v>1267</v>
      </c>
      <c r="U217" s="165" t="s">
        <v>1267</v>
      </c>
      <c r="V217" s="165" t="s">
        <v>1267</v>
      </c>
      <c r="W217"/>
      <c r="X217"/>
      <c r="AB217"/>
      <c r="AC217"/>
      <c r="AD217"/>
      <c r="AE217"/>
      <c r="AF217"/>
      <c r="AG217"/>
      <c r="AH217"/>
    </row>
    <row r="218" spans="1:34" x14ac:dyDescent="0.25">
      <c r="A218" s="78">
        <v>20210470</v>
      </c>
      <c r="B218" s="165" t="s">
        <v>1311</v>
      </c>
      <c r="C218" s="165" t="s">
        <v>1312</v>
      </c>
      <c r="D218" s="165">
        <v>1</v>
      </c>
      <c r="E218" s="165" t="s">
        <v>1250</v>
      </c>
      <c r="F218" s="165" t="s">
        <v>1379</v>
      </c>
      <c r="G218" s="165" t="s">
        <v>1671</v>
      </c>
      <c r="H218" s="165" t="s">
        <v>929</v>
      </c>
      <c r="I218" s="165">
        <v>44319</v>
      </c>
      <c r="J218">
        <v>44319</v>
      </c>
      <c r="K218" s="165" t="s">
        <v>1671</v>
      </c>
      <c r="L218">
        <v>263.85000000000002</v>
      </c>
      <c r="M218">
        <v>44319</v>
      </c>
      <c r="O218"/>
      <c r="P218"/>
      <c r="Q218"/>
      <c r="R218" s="165">
        <v>263.85000000000002</v>
      </c>
      <c r="S218" s="165"/>
      <c r="T218" t="s">
        <v>1267</v>
      </c>
      <c r="U218" s="165" t="s">
        <v>1267</v>
      </c>
      <c r="V218" s="165" t="s">
        <v>1267</v>
      </c>
      <c r="W218"/>
      <c r="X218"/>
      <c r="AB218"/>
      <c r="AC218"/>
      <c r="AD218"/>
      <c r="AE218"/>
      <c r="AF218"/>
      <c r="AG218"/>
      <c r="AH218"/>
    </row>
    <row r="219" spans="1:34" x14ac:dyDescent="0.25">
      <c r="A219" s="78">
        <v>20210405</v>
      </c>
      <c r="B219" s="165" t="s">
        <v>1292</v>
      </c>
      <c r="C219" s="165" t="s">
        <v>1293</v>
      </c>
      <c r="D219" s="165">
        <v>1</v>
      </c>
      <c r="E219" s="165" t="s">
        <v>1250</v>
      </c>
      <c r="F219" s="165" t="s">
        <v>1424</v>
      </c>
      <c r="G219" s="165" t="s">
        <v>1671</v>
      </c>
      <c r="H219" s="165" t="s">
        <v>937</v>
      </c>
      <c r="I219" s="165">
        <v>44320</v>
      </c>
      <c r="J219">
        <v>44320</v>
      </c>
      <c r="K219" s="165" t="s">
        <v>1671</v>
      </c>
      <c r="L219">
        <v>8000</v>
      </c>
      <c r="M219">
        <v>44319</v>
      </c>
      <c r="N219">
        <v>8000</v>
      </c>
      <c r="O219">
        <v>44348</v>
      </c>
      <c r="P219"/>
      <c r="Q219"/>
      <c r="R219" s="165">
        <v>16000</v>
      </c>
      <c r="S219" s="165"/>
      <c r="T219" t="s">
        <v>1267</v>
      </c>
      <c r="U219" s="165" t="s">
        <v>1267</v>
      </c>
      <c r="V219" s="165" t="s">
        <v>1267</v>
      </c>
      <c r="W219"/>
      <c r="X219"/>
      <c r="AB219"/>
      <c r="AC219"/>
      <c r="AD219"/>
      <c r="AE219"/>
      <c r="AF219"/>
      <c r="AG219"/>
      <c r="AH219"/>
    </row>
    <row r="220" spans="1:34" x14ac:dyDescent="0.25">
      <c r="A220" s="78">
        <v>20210474</v>
      </c>
      <c r="B220" s="165" t="s">
        <v>1256</v>
      </c>
      <c r="C220" s="165" t="s">
        <v>1281</v>
      </c>
      <c r="D220" s="165">
        <v>1</v>
      </c>
      <c r="E220" s="165" t="s">
        <v>1250</v>
      </c>
      <c r="F220" s="165" t="s">
        <v>1282</v>
      </c>
      <c r="G220" s="165" t="s">
        <v>1671</v>
      </c>
      <c r="H220" s="165" t="s">
        <v>1011</v>
      </c>
      <c r="I220" s="165">
        <v>44320</v>
      </c>
      <c r="J220">
        <v>44320</v>
      </c>
      <c r="K220" s="165" t="s">
        <v>1671</v>
      </c>
      <c r="L220">
        <v>440</v>
      </c>
      <c r="M220">
        <v>44320</v>
      </c>
      <c r="O220"/>
      <c r="P220"/>
      <c r="Q220"/>
      <c r="R220" s="165">
        <v>440</v>
      </c>
      <c r="S220" s="165"/>
      <c r="T220" t="s">
        <v>1267</v>
      </c>
      <c r="U220" s="165" t="s">
        <v>1267</v>
      </c>
      <c r="V220" s="165" t="s">
        <v>1267</v>
      </c>
      <c r="W220"/>
      <c r="X220"/>
      <c r="AB220"/>
      <c r="AC220"/>
      <c r="AD220"/>
      <c r="AE220"/>
      <c r="AF220"/>
      <c r="AG220"/>
      <c r="AH220"/>
    </row>
    <row r="221" spans="1:34" x14ac:dyDescent="0.25">
      <c r="A221" s="78">
        <v>20210490</v>
      </c>
      <c r="B221" s="165" t="s">
        <v>1292</v>
      </c>
      <c r="C221" s="165" t="s">
        <v>1293</v>
      </c>
      <c r="D221" s="165">
        <v>1</v>
      </c>
      <c r="E221" s="165" t="s">
        <v>1250</v>
      </c>
      <c r="F221" s="165" t="s">
        <v>1425</v>
      </c>
      <c r="G221" s="165" t="s">
        <v>1671</v>
      </c>
      <c r="H221" s="165" t="s">
        <v>1270</v>
      </c>
      <c r="I221" s="165">
        <v>44337</v>
      </c>
      <c r="J221">
        <v>44337</v>
      </c>
      <c r="K221" s="165" t="s">
        <v>1671</v>
      </c>
      <c r="L221">
        <v>30</v>
      </c>
      <c r="M221">
        <v>44363</v>
      </c>
      <c r="O221"/>
      <c r="P221"/>
      <c r="Q221"/>
      <c r="R221" s="165">
        <v>30</v>
      </c>
      <c r="S221" s="165"/>
      <c r="T221" t="s">
        <v>1267</v>
      </c>
      <c r="U221" s="165" t="s">
        <v>1267</v>
      </c>
      <c r="V221" s="165" t="s">
        <v>1267</v>
      </c>
      <c r="W221"/>
      <c r="X221"/>
      <c r="AB221"/>
      <c r="AC221"/>
      <c r="AD221"/>
      <c r="AE221"/>
      <c r="AF221"/>
      <c r="AG221"/>
      <c r="AH221"/>
    </row>
    <row r="222" spans="1:34" x14ac:dyDescent="0.25">
      <c r="A222" s="78">
        <v>20210490</v>
      </c>
      <c r="B222" s="165" t="s">
        <v>97</v>
      </c>
      <c r="C222" s="165" t="s">
        <v>1272</v>
      </c>
      <c r="D222" s="165">
        <v>1</v>
      </c>
      <c r="E222" s="165" t="s">
        <v>1250</v>
      </c>
      <c r="F222" s="165" t="s">
        <v>1426</v>
      </c>
      <c r="G222" s="165" t="s">
        <v>1671</v>
      </c>
      <c r="H222" s="165" t="s">
        <v>1270</v>
      </c>
      <c r="I222" s="165">
        <v>44337</v>
      </c>
      <c r="J222">
        <v>44337</v>
      </c>
      <c r="K222" s="165" t="s">
        <v>1671</v>
      </c>
      <c r="L222">
        <v>345.71</v>
      </c>
      <c r="M222">
        <v>44368</v>
      </c>
      <c r="O222"/>
      <c r="P222"/>
      <c r="Q222"/>
      <c r="R222" s="165">
        <v>345.71</v>
      </c>
      <c r="S222" s="165"/>
      <c r="T222" t="s">
        <v>1267</v>
      </c>
      <c r="U222" s="165" t="s">
        <v>1267</v>
      </c>
      <c r="V222" s="165" t="s">
        <v>1267</v>
      </c>
      <c r="W222"/>
      <c r="X222"/>
      <c r="AB222"/>
      <c r="AC222"/>
      <c r="AD222"/>
      <c r="AE222"/>
      <c r="AF222"/>
      <c r="AG222"/>
      <c r="AH222"/>
    </row>
    <row r="223" spans="1:34" x14ac:dyDescent="0.25">
      <c r="A223" s="78">
        <v>20210498</v>
      </c>
      <c r="B223" s="165" t="s">
        <v>1292</v>
      </c>
      <c r="C223" s="165" t="s">
        <v>1293</v>
      </c>
      <c r="D223" s="165">
        <v>1</v>
      </c>
      <c r="E223" s="165" t="s">
        <v>1250</v>
      </c>
      <c r="F223" s="165" t="s">
        <v>1427</v>
      </c>
      <c r="G223" s="165" t="s">
        <v>1671</v>
      </c>
      <c r="H223" s="165" t="s">
        <v>1011</v>
      </c>
      <c r="I223" s="165">
        <v>44341</v>
      </c>
      <c r="J223">
        <v>44341</v>
      </c>
      <c r="K223" s="165" t="s">
        <v>1671</v>
      </c>
      <c r="L223">
        <v>220.7</v>
      </c>
      <c r="M223">
        <v>44341</v>
      </c>
      <c r="O223"/>
      <c r="P223"/>
      <c r="Q223"/>
      <c r="R223" s="165">
        <v>220.7</v>
      </c>
      <c r="S223" s="165"/>
      <c r="T223" t="s">
        <v>1267</v>
      </c>
      <c r="U223" s="165" t="s">
        <v>1267</v>
      </c>
      <c r="V223" s="165" t="s">
        <v>1267</v>
      </c>
      <c r="W223"/>
      <c r="X223"/>
      <c r="AB223"/>
      <c r="AC223"/>
      <c r="AD223"/>
      <c r="AE223"/>
      <c r="AF223"/>
      <c r="AG223"/>
      <c r="AH223"/>
    </row>
    <row r="224" spans="1:34" x14ac:dyDescent="0.25">
      <c r="A224" s="78">
        <v>20210477</v>
      </c>
      <c r="B224" s="165" t="s">
        <v>97</v>
      </c>
      <c r="C224" s="165" t="s">
        <v>1346</v>
      </c>
      <c r="D224" s="165">
        <v>1</v>
      </c>
      <c r="E224" s="165" t="s">
        <v>1250</v>
      </c>
      <c r="F224" s="165" t="s">
        <v>1428</v>
      </c>
      <c r="G224" s="165" t="s">
        <v>1671</v>
      </c>
      <c r="H224" s="165" t="s">
        <v>969</v>
      </c>
      <c r="I224" s="165">
        <v>44335</v>
      </c>
      <c r="J224">
        <v>44335</v>
      </c>
      <c r="K224" s="165" t="s">
        <v>1671</v>
      </c>
      <c r="L224">
        <v>250</v>
      </c>
      <c r="M224">
        <v>44335</v>
      </c>
      <c r="O224"/>
      <c r="P224"/>
      <c r="Q224"/>
      <c r="R224" s="165">
        <v>250</v>
      </c>
      <c r="S224" s="165"/>
      <c r="T224" t="s">
        <v>1267</v>
      </c>
      <c r="U224" s="165" t="s">
        <v>1267</v>
      </c>
      <c r="V224" s="165" t="s">
        <v>1267</v>
      </c>
      <c r="W224"/>
      <c r="X224"/>
      <c r="AB224"/>
      <c r="AC224"/>
      <c r="AD224"/>
      <c r="AE224"/>
      <c r="AF224"/>
      <c r="AG224"/>
      <c r="AH224"/>
    </row>
    <row r="225" spans="1:34" x14ac:dyDescent="0.25">
      <c r="A225" s="78">
        <v>20210477</v>
      </c>
      <c r="B225" s="165" t="s">
        <v>97</v>
      </c>
      <c r="C225" s="165" t="s">
        <v>1302</v>
      </c>
      <c r="D225" s="165">
        <v>1</v>
      </c>
      <c r="E225" s="165" t="s">
        <v>1250</v>
      </c>
      <c r="F225" s="165" t="s">
        <v>1429</v>
      </c>
      <c r="G225" s="165" t="s">
        <v>1671</v>
      </c>
      <c r="H225" s="165" t="s">
        <v>969</v>
      </c>
      <c r="I225" s="165">
        <v>44335</v>
      </c>
      <c r="J225">
        <v>44335</v>
      </c>
      <c r="K225" s="165" t="s">
        <v>1671</v>
      </c>
      <c r="L225">
        <v>250</v>
      </c>
      <c r="M225">
        <v>44335</v>
      </c>
      <c r="O225"/>
      <c r="P225"/>
      <c r="Q225"/>
      <c r="R225" s="165">
        <v>250</v>
      </c>
      <c r="S225" s="165"/>
      <c r="T225" t="s">
        <v>1267</v>
      </c>
      <c r="U225" s="165" t="s">
        <v>1267</v>
      </c>
      <c r="V225" s="165" t="s">
        <v>1267</v>
      </c>
      <c r="W225"/>
      <c r="X225"/>
      <c r="AB225"/>
      <c r="AC225"/>
      <c r="AD225"/>
      <c r="AE225"/>
      <c r="AF225"/>
      <c r="AG225"/>
      <c r="AH225"/>
    </row>
    <row r="226" spans="1:34" x14ac:dyDescent="0.25">
      <c r="A226" s="78">
        <v>20210466</v>
      </c>
      <c r="B226" s="165" t="s">
        <v>1256</v>
      </c>
      <c r="C226" s="165" t="s">
        <v>1257</v>
      </c>
      <c r="D226" s="165">
        <v>2</v>
      </c>
      <c r="E226" s="165" t="s">
        <v>1250</v>
      </c>
      <c r="F226" s="165" t="s">
        <v>1271</v>
      </c>
      <c r="G226" s="165" t="s">
        <v>1671</v>
      </c>
      <c r="H226" s="165" t="s">
        <v>969</v>
      </c>
      <c r="I226" s="165">
        <v>44335</v>
      </c>
      <c r="J226">
        <v>44335</v>
      </c>
      <c r="K226" s="165" t="s">
        <v>1671</v>
      </c>
      <c r="L226">
        <v>517.5</v>
      </c>
      <c r="M226">
        <v>44335</v>
      </c>
      <c r="O226"/>
      <c r="P226"/>
      <c r="Q226"/>
      <c r="R226" s="165">
        <v>1035</v>
      </c>
      <c r="S226" s="165"/>
      <c r="T226" t="s">
        <v>1267</v>
      </c>
      <c r="U226" s="165" t="s">
        <v>1267</v>
      </c>
      <c r="V226" s="165" t="s">
        <v>1267</v>
      </c>
      <c r="W226"/>
      <c r="X226"/>
      <c r="AB226"/>
      <c r="AC226"/>
      <c r="AD226"/>
      <c r="AE226"/>
      <c r="AF226"/>
      <c r="AG226"/>
      <c r="AH226"/>
    </row>
    <row r="227" spans="1:34" x14ac:dyDescent="0.25">
      <c r="A227" s="78">
        <v>20210466</v>
      </c>
      <c r="B227" s="165" t="s">
        <v>1292</v>
      </c>
      <c r="C227" s="165" t="s">
        <v>1293</v>
      </c>
      <c r="D227" s="165">
        <v>1</v>
      </c>
      <c r="E227" s="165" t="s">
        <v>1250</v>
      </c>
      <c r="F227" s="165" t="s">
        <v>1412</v>
      </c>
      <c r="G227" s="165" t="s">
        <v>1671</v>
      </c>
      <c r="H227" s="165" t="s">
        <v>969</v>
      </c>
      <c r="I227" s="165">
        <v>44327</v>
      </c>
      <c r="J227">
        <v>44327</v>
      </c>
      <c r="K227" s="165" t="s">
        <v>1671</v>
      </c>
      <c r="L227">
        <v>106.81</v>
      </c>
      <c r="M227">
        <v>44327</v>
      </c>
      <c r="O227"/>
      <c r="P227"/>
      <c r="Q227"/>
      <c r="R227" s="165">
        <v>106.81</v>
      </c>
      <c r="S227" s="165"/>
      <c r="T227" t="s">
        <v>1267</v>
      </c>
      <c r="U227" s="165" t="s">
        <v>1267</v>
      </c>
      <c r="V227" s="165" t="s">
        <v>1267</v>
      </c>
      <c r="W227"/>
      <c r="X227"/>
      <c r="AB227"/>
      <c r="AC227"/>
      <c r="AD227"/>
      <c r="AE227"/>
      <c r="AF227"/>
      <c r="AG227"/>
      <c r="AH227"/>
    </row>
    <row r="228" spans="1:34" x14ac:dyDescent="0.25">
      <c r="A228" s="78">
        <v>20210466</v>
      </c>
      <c r="B228" s="165" t="s">
        <v>97</v>
      </c>
      <c r="C228" s="165" t="s">
        <v>1272</v>
      </c>
      <c r="D228" s="165">
        <v>1</v>
      </c>
      <c r="E228" s="165" t="s">
        <v>1250</v>
      </c>
      <c r="F228" s="165" t="s">
        <v>1426</v>
      </c>
      <c r="G228" s="165" t="s">
        <v>1671</v>
      </c>
      <c r="H228" s="165" t="s">
        <v>969</v>
      </c>
      <c r="I228" s="165">
        <v>44322</v>
      </c>
      <c r="J228">
        <v>44322</v>
      </c>
      <c r="K228" s="165" t="s">
        <v>1671</v>
      </c>
      <c r="L228">
        <v>691.42</v>
      </c>
      <c r="M228">
        <v>44351</v>
      </c>
      <c r="O228"/>
      <c r="P228"/>
      <c r="Q228"/>
      <c r="R228" s="165">
        <v>691.42</v>
      </c>
      <c r="S228" s="165"/>
      <c r="T228" t="s">
        <v>1267</v>
      </c>
      <c r="U228" s="165" t="s">
        <v>1267</v>
      </c>
      <c r="V228" s="165" t="s">
        <v>1267</v>
      </c>
      <c r="W228"/>
      <c r="X228"/>
      <c r="AB228"/>
      <c r="AC228"/>
      <c r="AD228"/>
      <c r="AE228"/>
      <c r="AF228"/>
      <c r="AG228"/>
      <c r="AH228"/>
    </row>
    <row r="229" spans="1:34" x14ac:dyDescent="0.25">
      <c r="A229" s="78">
        <v>20210466</v>
      </c>
      <c r="B229" s="165" t="s">
        <v>1292</v>
      </c>
      <c r="C229" s="165" t="s">
        <v>1293</v>
      </c>
      <c r="D229" s="165">
        <v>1</v>
      </c>
      <c r="E229" s="165" t="s">
        <v>1250</v>
      </c>
      <c r="F229" s="165" t="s">
        <v>1412</v>
      </c>
      <c r="G229" s="165" t="s">
        <v>1671</v>
      </c>
      <c r="H229" s="165" t="s">
        <v>969</v>
      </c>
      <c r="I229" s="165">
        <v>44327</v>
      </c>
      <c r="J229">
        <v>44327</v>
      </c>
      <c r="K229" s="165" t="s">
        <v>1671</v>
      </c>
      <c r="L229">
        <v>125</v>
      </c>
      <c r="M229">
        <v>44327</v>
      </c>
      <c r="O229"/>
      <c r="P229"/>
      <c r="Q229"/>
      <c r="R229" s="165">
        <v>125</v>
      </c>
      <c r="S229" s="165"/>
      <c r="T229" t="s">
        <v>1267</v>
      </c>
      <c r="U229" s="165" t="s">
        <v>1267</v>
      </c>
      <c r="V229" s="165" t="s">
        <v>1267</v>
      </c>
      <c r="W229"/>
      <c r="X229"/>
      <c r="AB229"/>
      <c r="AC229"/>
      <c r="AD229"/>
      <c r="AE229"/>
      <c r="AF229"/>
      <c r="AG229"/>
      <c r="AH229"/>
    </row>
    <row r="230" spans="1:34" x14ac:dyDescent="0.25">
      <c r="A230" s="78">
        <v>20210466</v>
      </c>
      <c r="B230" s="165" t="s">
        <v>1292</v>
      </c>
      <c r="C230" s="165" t="s">
        <v>1293</v>
      </c>
      <c r="D230" s="165">
        <v>1</v>
      </c>
      <c r="E230" s="165" t="s">
        <v>1250</v>
      </c>
      <c r="F230" s="165" t="s">
        <v>1430</v>
      </c>
      <c r="G230" s="165" t="s">
        <v>1671</v>
      </c>
      <c r="H230" s="165" t="s">
        <v>969</v>
      </c>
      <c r="I230" s="165">
        <v>44327</v>
      </c>
      <c r="J230">
        <v>44327</v>
      </c>
      <c r="K230" s="165" t="s">
        <v>1671</v>
      </c>
      <c r="L230">
        <v>70</v>
      </c>
      <c r="M230">
        <v>44327</v>
      </c>
      <c r="O230"/>
      <c r="P230"/>
      <c r="Q230"/>
      <c r="R230" s="165">
        <v>70</v>
      </c>
      <c r="S230" s="165"/>
      <c r="T230" t="s">
        <v>1267</v>
      </c>
      <c r="U230" s="165" t="s">
        <v>1267</v>
      </c>
      <c r="V230" s="165" t="s">
        <v>1267</v>
      </c>
      <c r="W230"/>
      <c r="X230"/>
      <c r="AB230"/>
      <c r="AC230"/>
      <c r="AD230"/>
      <c r="AE230"/>
      <c r="AF230"/>
      <c r="AG230"/>
      <c r="AH230"/>
    </row>
    <row r="231" spans="1:34" x14ac:dyDescent="0.25">
      <c r="A231" s="78">
        <v>20210457</v>
      </c>
      <c r="B231" s="165" t="s">
        <v>1256</v>
      </c>
      <c r="C231" s="165" t="s">
        <v>1281</v>
      </c>
      <c r="D231" s="165">
        <v>1</v>
      </c>
      <c r="E231" s="165" t="s">
        <v>1250</v>
      </c>
      <c r="F231" s="165" t="s">
        <v>1431</v>
      </c>
      <c r="G231" s="165" t="s">
        <v>1671</v>
      </c>
      <c r="H231" s="165" t="s">
        <v>969</v>
      </c>
      <c r="I231" s="165">
        <v>44331</v>
      </c>
      <c r="J231">
        <v>44331</v>
      </c>
      <c r="K231" s="165" t="s">
        <v>1671</v>
      </c>
      <c r="L231">
        <v>100</v>
      </c>
      <c r="M231">
        <v>44331</v>
      </c>
      <c r="O231"/>
      <c r="P231"/>
      <c r="Q231"/>
      <c r="R231" s="165">
        <v>100</v>
      </c>
      <c r="S231" s="165"/>
      <c r="T231" t="s">
        <v>1267</v>
      </c>
      <c r="U231" s="165" t="s">
        <v>1267</v>
      </c>
      <c r="V231" s="165" t="s">
        <v>1267</v>
      </c>
      <c r="W231"/>
      <c r="X231"/>
      <c r="AB231"/>
      <c r="AC231"/>
      <c r="AD231"/>
      <c r="AE231"/>
      <c r="AF231"/>
      <c r="AG231"/>
      <c r="AH231"/>
    </row>
    <row r="232" spans="1:34" x14ac:dyDescent="0.25">
      <c r="A232" s="78">
        <v>20210457</v>
      </c>
      <c r="B232" s="165" t="s">
        <v>1256</v>
      </c>
      <c r="C232" s="165" t="s">
        <v>1281</v>
      </c>
      <c r="D232" s="165">
        <v>1</v>
      </c>
      <c r="E232" s="165" t="s">
        <v>1250</v>
      </c>
      <c r="F232" s="165" t="s">
        <v>1282</v>
      </c>
      <c r="G232" s="165" t="s">
        <v>1671</v>
      </c>
      <c r="H232" s="165" t="s">
        <v>969</v>
      </c>
      <c r="I232" s="165">
        <v>44331</v>
      </c>
      <c r="J232">
        <v>44331</v>
      </c>
      <c r="K232" s="165" t="s">
        <v>1671</v>
      </c>
      <c r="L232">
        <v>100</v>
      </c>
      <c r="M232">
        <v>44331</v>
      </c>
      <c r="O232"/>
      <c r="P232"/>
      <c r="Q232"/>
      <c r="R232" s="165">
        <v>100</v>
      </c>
      <c r="S232" s="165"/>
      <c r="T232" t="s">
        <v>1267</v>
      </c>
      <c r="U232" s="165" t="s">
        <v>1267</v>
      </c>
      <c r="V232" s="165" t="s">
        <v>1267</v>
      </c>
      <c r="W232"/>
      <c r="X232"/>
      <c r="AB232"/>
      <c r="AC232"/>
      <c r="AD232"/>
      <c r="AE232"/>
      <c r="AF232"/>
      <c r="AG232"/>
      <c r="AH232"/>
    </row>
    <row r="233" spans="1:34" x14ac:dyDescent="0.25">
      <c r="A233" s="78">
        <v>20210457</v>
      </c>
      <c r="B233" s="165" t="s">
        <v>1256</v>
      </c>
      <c r="C233" s="165" t="s">
        <v>1281</v>
      </c>
      <c r="D233" s="165">
        <v>1</v>
      </c>
      <c r="E233" s="165" t="s">
        <v>1250</v>
      </c>
      <c r="F233" s="165" t="s">
        <v>1432</v>
      </c>
      <c r="G233" s="165" t="s">
        <v>1671</v>
      </c>
      <c r="H233" s="165" t="s">
        <v>969</v>
      </c>
      <c r="I233" s="165">
        <v>44331</v>
      </c>
      <c r="J233">
        <v>44331</v>
      </c>
      <c r="K233" s="165" t="s">
        <v>1671</v>
      </c>
      <c r="L233">
        <v>15</v>
      </c>
      <c r="M233">
        <v>44331</v>
      </c>
      <c r="O233"/>
      <c r="P233"/>
      <c r="Q233"/>
      <c r="R233" s="165">
        <v>15</v>
      </c>
      <c r="S233" s="165"/>
      <c r="T233" t="s">
        <v>1267</v>
      </c>
      <c r="U233" s="165" t="s">
        <v>1267</v>
      </c>
      <c r="V233" s="165" t="s">
        <v>1267</v>
      </c>
      <c r="W233"/>
      <c r="X233"/>
      <c r="AB233"/>
      <c r="AC233"/>
      <c r="AD233"/>
      <c r="AE233"/>
      <c r="AF233"/>
      <c r="AG233"/>
      <c r="AH233"/>
    </row>
    <row r="234" spans="1:34" x14ac:dyDescent="0.25">
      <c r="A234" s="78">
        <v>20210457</v>
      </c>
      <c r="B234" s="165" t="s">
        <v>97</v>
      </c>
      <c r="C234" s="165" t="s">
        <v>1296</v>
      </c>
      <c r="D234" s="165">
        <v>1</v>
      </c>
      <c r="E234" s="165" t="s">
        <v>1250</v>
      </c>
      <c r="F234" s="165" t="s">
        <v>1433</v>
      </c>
      <c r="G234" s="165" t="s">
        <v>1671</v>
      </c>
      <c r="H234" s="165" t="s">
        <v>969</v>
      </c>
      <c r="I234" s="165">
        <v>44335</v>
      </c>
      <c r="J234">
        <v>44335</v>
      </c>
      <c r="K234" s="165" t="s">
        <v>1671</v>
      </c>
      <c r="L234">
        <v>719</v>
      </c>
      <c r="M234">
        <v>44335</v>
      </c>
      <c r="O234"/>
      <c r="P234"/>
      <c r="Q234"/>
      <c r="R234" s="165">
        <v>719</v>
      </c>
      <c r="S234" s="165"/>
      <c r="T234" t="s">
        <v>1267</v>
      </c>
      <c r="U234" s="165" t="s">
        <v>1267</v>
      </c>
      <c r="V234" s="165" t="s">
        <v>1267</v>
      </c>
      <c r="W234"/>
      <c r="X234"/>
      <c r="AB234"/>
      <c r="AC234"/>
      <c r="AD234"/>
      <c r="AE234"/>
      <c r="AF234"/>
      <c r="AG234"/>
      <c r="AH234"/>
    </row>
    <row r="235" spans="1:34" x14ac:dyDescent="0.25">
      <c r="A235" s="78">
        <v>20210495</v>
      </c>
      <c r="B235" s="165" t="s">
        <v>1256</v>
      </c>
      <c r="C235" s="165" t="s">
        <v>1257</v>
      </c>
      <c r="D235" s="165">
        <v>7</v>
      </c>
      <c r="E235" s="165" t="s">
        <v>1250</v>
      </c>
      <c r="F235" s="165" t="s">
        <v>1258</v>
      </c>
      <c r="G235" s="165" t="s">
        <v>1671</v>
      </c>
      <c r="H235" s="165" t="s">
        <v>1270</v>
      </c>
      <c r="I235" s="165">
        <v>44340</v>
      </c>
      <c r="J235">
        <v>44340</v>
      </c>
      <c r="K235" s="165" t="s">
        <v>1671</v>
      </c>
      <c r="L235">
        <v>489</v>
      </c>
      <c r="M235">
        <v>44344</v>
      </c>
      <c r="O235"/>
      <c r="P235"/>
      <c r="Q235"/>
      <c r="R235" s="165">
        <v>3423</v>
      </c>
      <c r="S235" s="165"/>
      <c r="T235" t="s">
        <v>1267</v>
      </c>
      <c r="U235" s="165" t="s">
        <v>1267</v>
      </c>
      <c r="V235" s="165" t="s">
        <v>1267</v>
      </c>
      <c r="W235"/>
      <c r="X235"/>
      <c r="AB235"/>
      <c r="AC235"/>
      <c r="AD235"/>
      <c r="AE235"/>
      <c r="AF235"/>
      <c r="AG235"/>
      <c r="AH235"/>
    </row>
    <row r="236" spans="1:34" x14ac:dyDescent="0.25">
      <c r="A236" s="78">
        <v>20210484</v>
      </c>
      <c r="B236" s="165" t="s">
        <v>1256</v>
      </c>
      <c r="C236" s="165" t="s">
        <v>1257</v>
      </c>
      <c r="D236" s="165">
        <v>11</v>
      </c>
      <c r="E236" s="165" t="s">
        <v>1250</v>
      </c>
      <c r="F236" s="165" t="s">
        <v>1258</v>
      </c>
      <c r="G236" s="165" t="s">
        <v>1671</v>
      </c>
      <c r="H236" s="165" t="s">
        <v>922</v>
      </c>
      <c r="I236" s="165">
        <v>44333</v>
      </c>
      <c r="J236">
        <v>44333</v>
      </c>
      <c r="K236" s="165" t="s">
        <v>1671</v>
      </c>
      <c r="L236">
        <v>4339.5</v>
      </c>
      <c r="M236">
        <v>44344</v>
      </c>
      <c r="N236">
        <v>4339.5</v>
      </c>
      <c r="O236">
        <v>44358</v>
      </c>
      <c r="P236"/>
      <c r="Q236"/>
      <c r="R236" s="165">
        <v>8679</v>
      </c>
      <c r="S236" s="165"/>
      <c r="T236" t="s">
        <v>1267</v>
      </c>
      <c r="U236" s="165" t="s">
        <v>1267</v>
      </c>
      <c r="V236" s="165" t="s">
        <v>1267</v>
      </c>
      <c r="W236"/>
      <c r="X236"/>
      <c r="AB236"/>
      <c r="AC236"/>
      <c r="AD236"/>
      <c r="AE236"/>
      <c r="AF236"/>
      <c r="AG236"/>
      <c r="AH236"/>
    </row>
    <row r="237" spans="1:34" x14ac:dyDescent="0.25">
      <c r="A237" s="78">
        <v>20210479</v>
      </c>
      <c r="B237" s="165" t="s">
        <v>97</v>
      </c>
      <c r="C237" s="165" t="s">
        <v>1375</v>
      </c>
      <c r="D237" s="165">
        <v>1</v>
      </c>
      <c r="E237" s="165" t="s">
        <v>1250</v>
      </c>
      <c r="F237" s="165" t="s">
        <v>1376</v>
      </c>
      <c r="G237" s="165" t="s">
        <v>1671</v>
      </c>
      <c r="H237" s="165" t="s">
        <v>926</v>
      </c>
      <c r="I237" s="165">
        <v>44329</v>
      </c>
      <c r="J237">
        <v>44329</v>
      </c>
      <c r="K237" s="165" t="s">
        <v>1671</v>
      </c>
      <c r="L237">
        <v>173</v>
      </c>
      <c r="M237">
        <v>44340</v>
      </c>
      <c r="O237"/>
      <c r="P237"/>
      <c r="Q237"/>
      <c r="R237" s="165">
        <v>173</v>
      </c>
      <c r="S237" s="165"/>
      <c r="T237" t="s">
        <v>1267</v>
      </c>
      <c r="U237" s="165" t="s">
        <v>1267</v>
      </c>
      <c r="V237" s="165" t="s">
        <v>1267</v>
      </c>
      <c r="W237"/>
      <c r="X237"/>
      <c r="AB237"/>
      <c r="AC237"/>
      <c r="AD237"/>
      <c r="AE237"/>
      <c r="AF237"/>
      <c r="AG237"/>
      <c r="AH237"/>
    </row>
    <row r="238" spans="1:34" x14ac:dyDescent="0.25">
      <c r="A238" s="78">
        <v>20210479</v>
      </c>
      <c r="B238" s="165" t="s">
        <v>1292</v>
      </c>
      <c r="C238" s="165" t="s">
        <v>1293</v>
      </c>
      <c r="D238" s="165">
        <v>1</v>
      </c>
      <c r="E238" s="165" t="s">
        <v>1250</v>
      </c>
      <c r="F238" s="165" t="s">
        <v>1434</v>
      </c>
      <c r="G238" s="165" t="s">
        <v>1671</v>
      </c>
      <c r="H238" s="165" t="s">
        <v>926</v>
      </c>
      <c r="I238" s="165">
        <v>44334</v>
      </c>
      <c r="J238">
        <v>44334</v>
      </c>
      <c r="K238" s="165" t="s">
        <v>1671</v>
      </c>
      <c r="L238">
        <v>40</v>
      </c>
      <c r="M238">
        <v>44348</v>
      </c>
      <c r="O238"/>
      <c r="P238"/>
      <c r="Q238"/>
      <c r="R238" s="165">
        <v>40</v>
      </c>
      <c r="S238" s="165"/>
      <c r="T238" t="s">
        <v>1267</v>
      </c>
      <c r="U238" s="165" t="s">
        <v>1267</v>
      </c>
      <c r="V238" s="165" t="s">
        <v>1267</v>
      </c>
      <c r="W238"/>
      <c r="X238"/>
      <c r="AB238"/>
      <c r="AC238"/>
      <c r="AD238"/>
      <c r="AE238"/>
      <c r="AF238"/>
      <c r="AG238"/>
      <c r="AH238"/>
    </row>
    <row r="239" spans="1:34" x14ac:dyDescent="0.25">
      <c r="A239" s="78">
        <v>20210443</v>
      </c>
      <c r="B239" s="165" t="s">
        <v>97</v>
      </c>
      <c r="C239" s="165" t="s">
        <v>1283</v>
      </c>
      <c r="D239" s="165">
        <v>1</v>
      </c>
      <c r="E239" s="165" t="s">
        <v>1250</v>
      </c>
      <c r="F239" s="165" t="s">
        <v>1435</v>
      </c>
      <c r="G239" s="165" t="s">
        <v>1671</v>
      </c>
      <c r="H239" s="165" t="s">
        <v>1157</v>
      </c>
      <c r="I239" s="165">
        <v>44344</v>
      </c>
      <c r="J239">
        <v>44344</v>
      </c>
      <c r="K239" s="165" t="s">
        <v>1671</v>
      </c>
      <c r="L239">
        <v>4500</v>
      </c>
      <c r="M239">
        <v>44351</v>
      </c>
      <c r="O239"/>
      <c r="P239"/>
      <c r="Q239"/>
      <c r="R239" s="165">
        <v>4500</v>
      </c>
      <c r="S239" s="165"/>
      <c r="T239" t="s">
        <v>1267</v>
      </c>
      <c r="U239" s="165" t="s">
        <v>1267</v>
      </c>
      <c r="V239" s="165" t="s">
        <v>1267</v>
      </c>
      <c r="W239"/>
      <c r="X239"/>
      <c r="AB239"/>
      <c r="AC239"/>
      <c r="AD239"/>
      <c r="AE239"/>
      <c r="AF239"/>
      <c r="AG239"/>
      <c r="AH239"/>
    </row>
    <row r="240" spans="1:34" x14ac:dyDescent="0.25">
      <c r="A240" s="78">
        <v>20210501</v>
      </c>
      <c r="B240" s="165" t="s">
        <v>97</v>
      </c>
      <c r="C240" s="165" t="s">
        <v>1308</v>
      </c>
      <c r="D240" s="165">
        <v>1</v>
      </c>
      <c r="E240" s="165" t="s">
        <v>1250</v>
      </c>
      <c r="F240" s="165" t="s">
        <v>1436</v>
      </c>
      <c r="G240" s="165" t="s">
        <v>1671</v>
      </c>
      <c r="H240" s="165" t="s">
        <v>937</v>
      </c>
      <c r="I240" s="165">
        <v>44343</v>
      </c>
      <c r="J240">
        <v>44343</v>
      </c>
      <c r="K240" s="165" t="s">
        <v>1671</v>
      </c>
      <c r="L240">
        <v>1050</v>
      </c>
      <c r="M240">
        <v>44371</v>
      </c>
      <c r="O240"/>
      <c r="P240"/>
      <c r="Q240"/>
      <c r="R240" s="165">
        <v>1050</v>
      </c>
      <c r="S240" s="165"/>
      <c r="T240" t="s">
        <v>1267</v>
      </c>
      <c r="U240" s="165" t="s">
        <v>1267</v>
      </c>
      <c r="V240" s="165" t="s">
        <v>1267</v>
      </c>
      <c r="W240"/>
      <c r="X240"/>
      <c r="AB240"/>
      <c r="AC240"/>
      <c r="AD240"/>
      <c r="AE240"/>
      <c r="AF240"/>
      <c r="AG240"/>
      <c r="AH240"/>
    </row>
    <row r="241" spans="1:34" x14ac:dyDescent="0.25">
      <c r="A241" s="78">
        <v>20210501</v>
      </c>
      <c r="B241" s="165" t="s">
        <v>1292</v>
      </c>
      <c r="C241" s="165" t="s">
        <v>1293</v>
      </c>
      <c r="D241" s="165">
        <v>1</v>
      </c>
      <c r="E241" s="165" t="s">
        <v>1250</v>
      </c>
      <c r="F241" s="165" t="s">
        <v>1437</v>
      </c>
      <c r="G241" s="165" t="s">
        <v>1671</v>
      </c>
      <c r="H241" s="165" t="s">
        <v>937</v>
      </c>
      <c r="I241" s="165">
        <v>44343</v>
      </c>
      <c r="J241">
        <v>44343</v>
      </c>
      <c r="K241" s="165" t="s">
        <v>1671</v>
      </c>
      <c r="L241">
        <v>1060</v>
      </c>
      <c r="M241">
        <v>44363</v>
      </c>
      <c r="O241"/>
      <c r="P241"/>
      <c r="Q241"/>
      <c r="R241" s="165">
        <v>1060</v>
      </c>
      <c r="S241" s="165"/>
      <c r="T241" t="s">
        <v>1267</v>
      </c>
      <c r="U241" s="165" t="s">
        <v>1267</v>
      </c>
      <c r="V241" s="165" t="s">
        <v>1267</v>
      </c>
      <c r="W241"/>
      <c r="X241"/>
      <c r="AB241"/>
      <c r="AC241"/>
      <c r="AD241"/>
      <c r="AE241"/>
      <c r="AF241"/>
      <c r="AG241"/>
      <c r="AH241"/>
    </row>
    <row r="242" spans="1:34" x14ac:dyDescent="0.25">
      <c r="A242" s="78">
        <v>20210466</v>
      </c>
      <c r="B242" s="165" t="s">
        <v>1292</v>
      </c>
      <c r="C242" s="165" t="s">
        <v>1293</v>
      </c>
      <c r="D242" s="165">
        <v>1</v>
      </c>
      <c r="E242" s="165" t="s">
        <v>1250</v>
      </c>
      <c r="F242" s="165" t="s">
        <v>1438</v>
      </c>
      <c r="G242" s="165" t="s">
        <v>1671</v>
      </c>
      <c r="H242" s="165" t="s">
        <v>969</v>
      </c>
      <c r="I242" s="165">
        <v>44329</v>
      </c>
      <c r="J242">
        <v>44329</v>
      </c>
      <c r="K242" s="165" t="s">
        <v>1671</v>
      </c>
      <c r="L242">
        <v>140</v>
      </c>
      <c r="M242">
        <v>44348</v>
      </c>
      <c r="O242"/>
      <c r="P242"/>
      <c r="Q242"/>
      <c r="R242" s="165">
        <v>140</v>
      </c>
      <c r="S242" s="165"/>
      <c r="T242" t="s">
        <v>1267</v>
      </c>
      <c r="U242" s="165" t="s">
        <v>1267</v>
      </c>
      <c r="V242" s="165" t="s">
        <v>1267</v>
      </c>
      <c r="W242"/>
      <c r="X242"/>
      <c r="AB242"/>
      <c r="AC242"/>
      <c r="AD242"/>
      <c r="AE242"/>
      <c r="AF242"/>
      <c r="AG242"/>
      <c r="AH242"/>
    </row>
    <row r="243" spans="1:34" x14ac:dyDescent="0.25">
      <c r="A243" s="78">
        <v>20210405</v>
      </c>
      <c r="B243" s="165" t="s">
        <v>1311</v>
      </c>
      <c r="C243" s="165" t="s">
        <v>1312</v>
      </c>
      <c r="D243" s="165">
        <v>1</v>
      </c>
      <c r="E243" s="165" t="s">
        <v>1250</v>
      </c>
      <c r="F243" s="165" t="s">
        <v>1439</v>
      </c>
      <c r="G243" s="165" t="s">
        <v>1671</v>
      </c>
      <c r="H243" s="165" t="s">
        <v>937</v>
      </c>
      <c r="I243" s="165">
        <v>44334</v>
      </c>
      <c r="J243">
        <v>44334</v>
      </c>
      <c r="K243" s="165" t="s">
        <v>1671</v>
      </c>
      <c r="L243">
        <v>350</v>
      </c>
      <c r="M243">
        <v>44355</v>
      </c>
      <c r="O243"/>
      <c r="P243"/>
      <c r="Q243"/>
      <c r="R243" s="165">
        <v>350</v>
      </c>
      <c r="S243" s="165"/>
      <c r="T243" t="s">
        <v>1267</v>
      </c>
      <c r="U243" s="165" t="s">
        <v>1267</v>
      </c>
      <c r="V243" s="165" t="s">
        <v>1267</v>
      </c>
      <c r="W243"/>
      <c r="X243"/>
      <c r="AB243"/>
      <c r="AC243"/>
      <c r="AD243"/>
      <c r="AE243"/>
      <c r="AF243"/>
      <c r="AG243"/>
      <c r="AH243"/>
    </row>
    <row r="244" spans="1:34" x14ac:dyDescent="0.25">
      <c r="A244" s="78">
        <v>20210405</v>
      </c>
      <c r="B244" s="165" t="s">
        <v>97</v>
      </c>
      <c r="C244" s="165" t="s">
        <v>1279</v>
      </c>
      <c r="D244" s="165">
        <v>1</v>
      </c>
      <c r="E244" s="165" t="s">
        <v>1250</v>
      </c>
      <c r="F244" s="165" t="s">
        <v>1440</v>
      </c>
      <c r="G244" s="165" t="s">
        <v>1671</v>
      </c>
      <c r="H244" s="165" t="s">
        <v>937</v>
      </c>
      <c r="I244" s="165">
        <v>44361</v>
      </c>
      <c r="J244">
        <v>44361</v>
      </c>
      <c r="K244" s="165" t="s">
        <v>1671</v>
      </c>
      <c r="L244">
        <v>354</v>
      </c>
      <c r="M244">
        <v>44362</v>
      </c>
      <c r="O244"/>
      <c r="P244"/>
      <c r="Q244"/>
      <c r="R244" s="165">
        <v>345</v>
      </c>
      <c r="S244" s="165"/>
      <c r="T244" t="s">
        <v>1267</v>
      </c>
      <c r="U244" s="165" t="s">
        <v>1267</v>
      </c>
      <c r="V244" s="165" t="s">
        <v>1267</v>
      </c>
      <c r="W244"/>
      <c r="X244"/>
      <c r="AB244"/>
      <c r="AC244"/>
      <c r="AD244"/>
      <c r="AE244"/>
      <c r="AF244"/>
      <c r="AG244"/>
      <c r="AH244"/>
    </row>
    <row r="245" spans="1:34" x14ac:dyDescent="0.25">
      <c r="A245" s="78">
        <v>20210405</v>
      </c>
      <c r="B245" s="165" t="s">
        <v>1311</v>
      </c>
      <c r="C245" s="165" t="s">
        <v>1312</v>
      </c>
      <c r="D245" s="165">
        <v>1</v>
      </c>
      <c r="E245" s="165" t="s">
        <v>1250</v>
      </c>
      <c r="F245" s="165" t="s">
        <v>1441</v>
      </c>
      <c r="G245" s="165" t="s">
        <v>1671</v>
      </c>
      <c r="H245" s="165" t="s">
        <v>937</v>
      </c>
      <c r="I245" s="165">
        <v>44361</v>
      </c>
      <c r="J245">
        <v>44361</v>
      </c>
      <c r="K245" s="165" t="s">
        <v>1671</v>
      </c>
      <c r="L245">
        <v>435</v>
      </c>
      <c r="M245">
        <v>44362</v>
      </c>
      <c r="O245"/>
      <c r="P245"/>
      <c r="Q245"/>
      <c r="R245" s="165">
        <v>435</v>
      </c>
      <c r="S245" s="165"/>
      <c r="T245" t="s">
        <v>1267</v>
      </c>
      <c r="U245" s="165" t="s">
        <v>1267</v>
      </c>
      <c r="V245" s="165" t="s">
        <v>1267</v>
      </c>
      <c r="W245"/>
      <c r="X245"/>
      <c r="AB245"/>
      <c r="AC245"/>
      <c r="AD245"/>
      <c r="AE245"/>
      <c r="AF245"/>
      <c r="AG245"/>
      <c r="AH245"/>
    </row>
    <row r="246" spans="1:34" x14ac:dyDescent="0.25">
      <c r="A246" s="78">
        <v>20210405</v>
      </c>
      <c r="B246" s="165" t="s">
        <v>97</v>
      </c>
      <c r="C246" s="165" t="s">
        <v>1296</v>
      </c>
      <c r="D246" s="165">
        <v>21</v>
      </c>
      <c r="E246" s="165" t="s">
        <v>1250</v>
      </c>
      <c r="F246" s="165" t="s">
        <v>1442</v>
      </c>
      <c r="G246" s="165" t="s">
        <v>1671</v>
      </c>
      <c r="H246" s="165" t="s">
        <v>937</v>
      </c>
      <c r="I246" s="165">
        <v>44361</v>
      </c>
      <c r="J246">
        <v>44361</v>
      </c>
      <c r="K246" s="165" t="s">
        <v>1671</v>
      </c>
      <c r="L246">
        <v>43.333333333299997</v>
      </c>
      <c r="M246">
        <v>44362</v>
      </c>
      <c r="O246"/>
      <c r="P246"/>
      <c r="Q246"/>
      <c r="R246" s="165">
        <v>909.9999999992998</v>
      </c>
      <c r="S246" s="165"/>
      <c r="T246" t="s">
        <v>1267</v>
      </c>
      <c r="U246" s="165" t="s">
        <v>1267</v>
      </c>
      <c r="V246" s="165" t="s">
        <v>1267</v>
      </c>
      <c r="W246"/>
      <c r="X246"/>
      <c r="AB246"/>
      <c r="AC246"/>
      <c r="AD246"/>
      <c r="AE246"/>
      <c r="AF246"/>
      <c r="AG246"/>
      <c r="AH246"/>
    </row>
    <row r="247" spans="1:34" x14ac:dyDescent="0.25">
      <c r="A247" s="78">
        <v>20210405</v>
      </c>
      <c r="B247" s="165" t="s">
        <v>97</v>
      </c>
      <c r="C247" s="165" t="s">
        <v>1296</v>
      </c>
      <c r="D247" s="165">
        <v>2</v>
      </c>
      <c r="E247" s="165" t="s">
        <v>1250</v>
      </c>
      <c r="F247" s="165" t="s">
        <v>1443</v>
      </c>
      <c r="G247" s="165" t="s">
        <v>1671</v>
      </c>
      <c r="H247" s="165" t="s">
        <v>937</v>
      </c>
      <c r="I247" s="165">
        <v>44357</v>
      </c>
      <c r="J247">
        <v>44357</v>
      </c>
      <c r="K247" s="165" t="s">
        <v>1671</v>
      </c>
      <c r="L247">
        <v>504</v>
      </c>
      <c r="M247">
        <v>44362</v>
      </c>
      <c r="O247"/>
      <c r="P247"/>
      <c r="Q247"/>
      <c r="R247" s="165">
        <v>1008</v>
      </c>
      <c r="S247" s="165"/>
      <c r="T247" t="s">
        <v>1267</v>
      </c>
      <c r="U247" s="165" t="s">
        <v>1267</v>
      </c>
      <c r="V247" s="165" t="s">
        <v>1267</v>
      </c>
      <c r="W247"/>
      <c r="X247"/>
      <c r="AB247"/>
      <c r="AC247"/>
      <c r="AD247"/>
      <c r="AE247"/>
      <c r="AF247"/>
      <c r="AG247"/>
      <c r="AH247"/>
    </row>
    <row r="248" spans="1:34" x14ac:dyDescent="0.25">
      <c r="A248" s="78">
        <v>20210405</v>
      </c>
      <c r="B248" s="165" t="s">
        <v>1311</v>
      </c>
      <c r="C248" s="165" t="s">
        <v>1312</v>
      </c>
      <c r="D248" s="165">
        <v>1</v>
      </c>
      <c r="E248" s="165" t="s">
        <v>1250</v>
      </c>
      <c r="F248" s="165" t="s">
        <v>1444</v>
      </c>
      <c r="G248" s="165" t="s">
        <v>1671</v>
      </c>
      <c r="H248" s="165" t="s">
        <v>937</v>
      </c>
      <c r="I248" s="165">
        <v>44361</v>
      </c>
      <c r="J248">
        <v>44361</v>
      </c>
      <c r="K248" s="165" t="s">
        <v>1671</v>
      </c>
      <c r="L248">
        <v>224.95</v>
      </c>
      <c r="M248">
        <v>44362</v>
      </c>
      <c r="O248"/>
      <c r="P248"/>
      <c r="Q248"/>
      <c r="R248" s="165">
        <v>224.95</v>
      </c>
      <c r="S248" s="165"/>
      <c r="T248" t="s">
        <v>1267</v>
      </c>
      <c r="U248" s="165" t="s">
        <v>1267</v>
      </c>
      <c r="V248" s="165" t="s">
        <v>1267</v>
      </c>
      <c r="W248"/>
      <c r="X248"/>
      <c r="AB248"/>
      <c r="AC248"/>
      <c r="AD248"/>
      <c r="AE248"/>
      <c r="AF248"/>
      <c r="AG248"/>
      <c r="AH248"/>
    </row>
    <row r="249" spans="1:34" x14ac:dyDescent="0.25">
      <c r="A249" s="78">
        <v>20210405</v>
      </c>
      <c r="B249" s="165" t="s">
        <v>1311</v>
      </c>
      <c r="C249" s="165" t="s">
        <v>1312</v>
      </c>
      <c r="D249" s="165">
        <v>1</v>
      </c>
      <c r="E249" s="165" t="s">
        <v>1250</v>
      </c>
      <c r="F249" s="165" t="s">
        <v>1445</v>
      </c>
      <c r="G249" s="165" t="s">
        <v>1671</v>
      </c>
      <c r="H249" s="165" t="s">
        <v>937</v>
      </c>
      <c r="I249" s="165">
        <v>44361</v>
      </c>
      <c r="J249">
        <v>44361</v>
      </c>
      <c r="K249" s="165" t="s">
        <v>1671</v>
      </c>
      <c r="L249">
        <v>142.30000000000001</v>
      </c>
      <c r="M249">
        <v>44372</v>
      </c>
      <c r="O249"/>
      <c r="P249"/>
      <c r="Q249"/>
      <c r="R249" s="165">
        <v>142.30000000000001</v>
      </c>
      <c r="S249" s="165"/>
      <c r="T249" t="s">
        <v>1267</v>
      </c>
      <c r="U249" s="165" t="s">
        <v>1267</v>
      </c>
      <c r="V249" s="165" t="s">
        <v>1267</v>
      </c>
      <c r="W249"/>
      <c r="X249"/>
      <c r="AB249"/>
      <c r="AC249"/>
      <c r="AD249"/>
      <c r="AE249"/>
      <c r="AF249"/>
      <c r="AG249"/>
      <c r="AH249"/>
    </row>
    <row r="250" spans="1:34" x14ac:dyDescent="0.25">
      <c r="A250" s="78">
        <v>20210405</v>
      </c>
      <c r="B250" s="165" t="s">
        <v>1311</v>
      </c>
      <c r="C250" s="165" t="s">
        <v>1312</v>
      </c>
      <c r="D250" s="165">
        <v>1</v>
      </c>
      <c r="E250" s="165" t="s">
        <v>1250</v>
      </c>
      <c r="F250" s="165" t="s">
        <v>1439</v>
      </c>
      <c r="G250" s="165" t="s">
        <v>1671</v>
      </c>
      <c r="H250" s="165" t="s">
        <v>937</v>
      </c>
      <c r="I250" s="165">
        <v>44354</v>
      </c>
      <c r="J250">
        <v>44354</v>
      </c>
      <c r="K250" s="165" t="s">
        <v>1671</v>
      </c>
      <c r="L250">
        <v>350</v>
      </c>
      <c r="M250">
        <v>44376</v>
      </c>
      <c r="O250"/>
      <c r="P250"/>
      <c r="Q250"/>
      <c r="R250" s="165">
        <v>350</v>
      </c>
      <c r="S250" s="165"/>
      <c r="T250" t="s">
        <v>1267</v>
      </c>
      <c r="U250" s="165" t="s">
        <v>1267</v>
      </c>
      <c r="V250" s="165" t="s">
        <v>1267</v>
      </c>
      <c r="W250"/>
      <c r="X250"/>
      <c r="AB250"/>
      <c r="AC250"/>
      <c r="AD250"/>
      <c r="AE250"/>
      <c r="AF250"/>
      <c r="AG250"/>
      <c r="AH250"/>
    </row>
    <row r="251" spans="1:34" x14ac:dyDescent="0.25">
      <c r="A251" s="78">
        <v>20210405</v>
      </c>
      <c r="B251" s="165" t="s">
        <v>97</v>
      </c>
      <c r="C251" s="165" t="s">
        <v>1308</v>
      </c>
      <c r="D251" s="165">
        <v>1</v>
      </c>
      <c r="E251" s="165" t="s">
        <v>1250</v>
      </c>
      <c r="F251" s="165" t="s">
        <v>1446</v>
      </c>
      <c r="G251" s="165" t="s">
        <v>1671</v>
      </c>
      <c r="H251" s="165" t="s">
        <v>937</v>
      </c>
      <c r="I251" s="165">
        <v>44329</v>
      </c>
      <c r="J251">
        <v>44329</v>
      </c>
      <c r="K251" s="165" t="s">
        <v>1671</v>
      </c>
      <c r="L251">
        <v>610.41</v>
      </c>
      <c r="M251">
        <v>44354</v>
      </c>
      <c r="O251"/>
      <c r="P251"/>
      <c r="Q251"/>
      <c r="R251" s="165">
        <v>610.41</v>
      </c>
      <c r="S251" s="165"/>
      <c r="T251" t="s">
        <v>1267</v>
      </c>
      <c r="U251" s="165" t="s">
        <v>1267</v>
      </c>
      <c r="V251" s="165" t="s">
        <v>1267</v>
      </c>
      <c r="W251"/>
      <c r="X251"/>
      <c r="AB251"/>
      <c r="AC251"/>
      <c r="AD251"/>
      <c r="AE251"/>
      <c r="AF251"/>
      <c r="AG251"/>
      <c r="AH251"/>
    </row>
    <row r="252" spans="1:34" x14ac:dyDescent="0.25">
      <c r="A252" s="78">
        <v>20210405</v>
      </c>
      <c r="B252" s="165" t="s">
        <v>97</v>
      </c>
      <c r="C252" s="165" t="s">
        <v>1276</v>
      </c>
      <c r="D252" s="165">
        <v>1</v>
      </c>
      <c r="E252" s="165" t="s">
        <v>1250</v>
      </c>
      <c r="F252" s="165" t="s">
        <v>1447</v>
      </c>
      <c r="G252" s="165" t="s">
        <v>1671</v>
      </c>
      <c r="H252" s="165" t="s">
        <v>937</v>
      </c>
      <c r="I252" s="165">
        <v>44329</v>
      </c>
      <c r="J252">
        <v>44329</v>
      </c>
      <c r="K252" s="165" t="s">
        <v>1671</v>
      </c>
      <c r="L252">
        <v>968.71</v>
      </c>
      <c r="M252">
        <v>44358</v>
      </c>
      <c r="N252">
        <v>968.71</v>
      </c>
      <c r="O252">
        <v>44372</v>
      </c>
      <c r="P252"/>
      <c r="Q252"/>
      <c r="R252" s="165">
        <v>1937.42</v>
      </c>
      <c r="S252" s="165"/>
      <c r="T252" t="s">
        <v>1267</v>
      </c>
      <c r="U252" s="165" t="s">
        <v>1267</v>
      </c>
      <c r="V252" s="165" t="s">
        <v>1267</v>
      </c>
      <c r="W252"/>
      <c r="X252"/>
      <c r="AB252"/>
      <c r="AC252"/>
      <c r="AD252"/>
      <c r="AE252"/>
      <c r="AF252"/>
      <c r="AG252"/>
      <c r="AH252"/>
    </row>
    <row r="253" spans="1:34" x14ac:dyDescent="0.25">
      <c r="A253" s="78">
        <v>20210601</v>
      </c>
      <c r="B253" s="165" t="s">
        <v>1256</v>
      </c>
      <c r="C253" s="165" t="s">
        <v>1257</v>
      </c>
      <c r="D253" s="165">
        <v>2</v>
      </c>
      <c r="E253" s="165" t="s">
        <v>1250</v>
      </c>
      <c r="F253" s="165" t="s">
        <v>1258</v>
      </c>
      <c r="G253" s="165" t="s">
        <v>1671</v>
      </c>
      <c r="H253" s="165" t="s">
        <v>976</v>
      </c>
      <c r="I253" s="165">
        <v>44347</v>
      </c>
      <c r="J253">
        <v>44347</v>
      </c>
      <c r="K253" s="165" t="s">
        <v>1671</v>
      </c>
      <c r="L253">
        <v>594.27760000000001</v>
      </c>
      <c r="M253">
        <v>44361</v>
      </c>
      <c r="O253"/>
      <c r="P253"/>
      <c r="Q253"/>
      <c r="R253" s="165">
        <v>1188.5552</v>
      </c>
      <c r="S253" s="165"/>
      <c r="T253" t="s">
        <v>1267</v>
      </c>
      <c r="U253" s="165" t="s">
        <v>1267</v>
      </c>
      <c r="V253" s="165" t="s">
        <v>1267</v>
      </c>
      <c r="W253"/>
      <c r="X253"/>
      <c r="AB253"/>
      <c r="AC253"/>
      <c r="AD253"/>
      <c r="AE253"/>
      <c r="AF253"/>
      <c r="AG253"/>
      <c r="AH253"/>
    </row>
    <row r="254" spans="1:34" x14ac:dyDescent="0.25">
      <c r="A254" s="78">
        <v>20210601</v>
      </c>
      <c r="B254" s="165" t="s">
        <v>97</v>
      </c>
      <c r="C254" s="165" t="s">
        <v>1296</v>
      </c>
      <c r="D254" s="165">
        <v>1</v>
      </c>
      <c r="E254" s="165" t="s">
        <v>1250</v>
      </c>
      <c r="F254" s="165" t="s">
        <v>1448</v>
      </c>
      <c r="G254" s="165" t="s">
        <v>1671</v>
      </c>
      <c r="H254" s="165" t="s">
        <v>976</v>
      </c>
      <c r="I254" s="165">
        <v>44354</v>
      </c>
      <c r="J254">
        <v>44354</v>
      </c>
      <c r="K254" s="165" t="s">
        <v>1671</v>
      </c>
      <c r="L254">
        <v>5.5</v>
      </c>
      <c r="M254">
        <v>44354</v>
      </c>
      <c r="O254"/>
      <c r="P254"/>
      <c r="Q254"/>
      <c r="R254" s="165">
        <v>5.5</v>
      </c>
      <c r="S254" s="165"/>
      <c r="T254" t="s">
        <v>1267</v>
      </c>
      <c r="U254" s="165" t="s">
        <v>1267</v>
      </c>
      <c r="V254" s="165" t="s">
        <v>1267</v>
      </c>
      <c r="W254"/>
      <c r="X254"/>
      <c r="AB254"/>
      <c r="AC254"/>
      <c r="AD254"/>
      <c r="AE254"/>
      <c r="AF254"/>
      <c r="AG254"/>
      <c r="AH254"/>
    </row>
    <row r="255" spans="1:34" x14ac:dyDescent="0.25">
      <c r="A255" s="78">
        <v>20210601</v>
      </c>
      <c r="B255" s="165" t="s">
        <v>1256</v>
      </c>
      <c r="C255" s="165" t="s">
        <v>1257</v>
      </c>
      <c r="D255" s="165">
        <v>4</v>
      </c>
      <c r="E255" s="165" t="s">
        <v>1250</v>
      </c>
      <c r="F255" s="165" t="s">
        <v>1258</v>
      </c>
      <c r="G255" s="165" t="s">
        <v>1671</v>
      </c>
      <c r="H255" s="165" t="s">
        <v>976</v>
      </c>
      <c r="I255" s="165">
        <v>44347</v>
      </c>
      <c r="J255">
        <v>44347</v>
      </c>
      <c r="K255" s="165" t="s">
        <v>1671</v>
      </c>
      <c r="L255">
        <v>1188.5550000000001</v>
      </c>
      <c r="M255">
        <v>44375</v>
      </c>
      <c r="N255">
        <v>1188.5550000000001</v>
      </c>
      <c r="O255">
        <v>44403</v>
      </c>
      <c r="P255"/>
      <c r="Q255"/>
      <c r="R255" s="165">
        <v>2377.11</v>
      </c>
      <c r="S255" s="165"/>
      <c r="T255" t="s">
        <v>1267</v>
      </c>
      <c r="U255" s="165" t="s">
        <v>1267</v>
      </c>
      <c r="V255" s="165" t="s">
        <v>1267</v>
      </c>
      <c r="W255"/>
      <c r="X255"/>
      <c r="AB255"/>
      <c r="AC255"/>
      <c r="AD255"/>
      <c r="AE255"/>
      <c r="AF255"/>
      <c r="AG255"/>
      <c r="AH255"/>
    </row>
    <row r="256" spans="1:34" x14ac:dyDescent="0.25">
      <c r="A256" s="78">
        <v>20210502</v>
      </c>
      <c r="B256" s="165" t="s">
        <v>1256</v>
      </c>
      <c r="C256" s="165" t="s">
        <v>1257</v>
      </c>
      <c r="D256" s="165">
        <v>9</v>
      </c>
      <c r="E256" s="165" t="s">
        <v>1250</v>
      </c>
      <c r="F256" s="165" t="s">
        <v>1271</v>
      </c>
      <c r="G256" s="165" t="s">
        <v>1671</v>
      </c>
      <c r="H256" s="165" t="s">
        <v>969</v>
      </c>
      <c r="I256" s="165">
        <v>44347</v>
      </c>
      <c r="J256">
        <v>44347</v>
      </c>
      <c r="K256" s="165" t="s">
        <v>1671</v>
      </c>
      <c r="L256">
        <v>1795.0450000000001</v>
      </c>
      <c r="M256">
        <v>44375</v>
      </c>
      <c r="N256">
        <v>1795.0450000000001</v>
      </c>
      <c r="O256">
        <v>44403</v>
      </c>
      <c r="P256"/>
      <c r="Q256"/>
      <c r="R256" s="165">
        <v>3590.09</v>
      </c>
      <c r="S256" s="165"/>
      <c r="T256" t="s">
        <v>1267</v>
      </c>
      <c r="U256" s="165" t="s">
        <v>1267</v>
      </c>
      <c r="V256" s="165" t="s">
        <v>1267</v>
      </c>
      <c r="W256"/>
      <c r="X256"/>
      <c r="AB256"/>
      <c r="AC256"/>
      <c r="AD256"/>
      <c r="AE256"/>
      <c r="AF256"/>
      <c r="AG256"/>
      <c r="AH256"/>
    </row>
    <row r="257" spans="1:34" x14ac:dyDescent="0.25">
      <c r="A257" s="78">
        <v>20210504</v>
      </c>
      <c r="B257" s="165" t="s">
        <v>1311</v>
      </c>
      <c r="C257" s="165" t="s">
        <v>1312</v>
      </c>
      <c r="D257" s="165">
        <v>1</v>
      </c>
      <c r="E257" s="165" t="s">
        <v>1250</v>
      </c>
      <c r="F257" s="165" t="s">
        <v>1449</v>
      </c>
      <c r="G257" s="165" t="s">
        <v>1671</v>
      </c>
      <c r="H257" s="165" t="s">
        <v>937</v>
      </c>
      <c r="I257" s="165">
        <v>44344</v>
      </c>
      <c r="J257">
        <v>44344</v>
      </c>
      <c r="K257" s="165" t="s">
        <v>1671</v>
      </c>
      <c r="L257">
        <v>108.29</v>
      </c>
      <c r="M257">
        <v>44344</v>
      </c>
      <c r="O257"/>
      <c r="P257"/>
      <c r="Q257"/>
      <c r="R257" s="165">
        <v>108.29</v>
      </c>
      <c r="S257" s="165"/>
      <c r="T257" t="s">
        <v>1267</v>
      </c>
      <c r="U257" s="165" t="s">
        <v>1267</v>
      </c>
      <c r="V257" s="165" t="s">
        <v>1267</v>
      </c>
      <c r="W257"/>
      <c r="X257"/>
      <c r="AB257"/>
      <c r="AC257"/>
      <c r="AD257"/>
      <c r="AE257"/>
      <c r="AF257"/>
      <c r="AG257"/>
      <c r="AH257"/>
    </row>
    <row r="258" spans="1:34" x14ac:dyDescent="0.25">
      <c r="A258" s="78">
        <v>20210504</v>
      </c>
      <c r="B258" s="165" t="s">
        <v>1261</v>
      </c>
      <c r="C258" s="165" t="s">
        <v>1262</v>
      </c>
      <c r="D258" s="165">
        <v>1</v>
      </c>
      <c r="E258" s="165" t="s">
        <v>1250</v>
      </c>
      <c r="F258" s="165" t="s">
        <v>1450</v>
      </c>
      <c r="G258" s="165" t="s">
        <v>1671</v>
      </c>
      <c r="H258" s="165" t="s">
        <v>937</v>
      </c>
      <c r="I258" s="165">
        <v>44347</v>
      </c>
      <c r="J258">
        <v>44347</v>
      </c>
      <c r="K258" s="165" t="s">
        <v>1671</v>
      </c>
      <c r="L258">
        <v>513.13</v>
      </c>
      <c r="M258">
        <v>44376</v>
      </c>
      <c r="O258"/>
      <c r="P258"/>
      <c r="Q258"/>
      <c r="R258" s="165">
        <v>513.13</v>
      </c>
      <c r="S258" s="165"/>
      <c r="T258" t="s">
        <v>1267</v>
      </c>
      <c r="U258" s="165" t="s">
        <v>1267</v>
      </c>
      <c r="V258" s="165" t="s">
        <v>1267</v>
      </c>
      <c r="W258"/>
      <c r="X258"/>
      <c r="AB258"/>
      <c r="AC258"/>
      <c r="AD258"/>
      <c r="AE258"/>
      <c r="AF258"/>
      <c r="AG258"/>
      <c r="AH258"/>
    </row>
    <row r="259" spans="1:34" x14ac:dyDescent="0.25">
      <c r="A259" s="78">
        <v>20210504</v>
      </c>
      <c r="B259" s="165" t="s">
        <v>1292</v>
      </c>
      <c r="C259" s="165" t="s">
        <v>1293</v>
      </c>
      <c r="D259" s="165">
        <v>1</v>
      </c>
      <c r="E259" s="165" t="s">
        <v>1250</v>
      </c>
      <c r="F259" s="165" t="s">
        <v>1451</v>
      </c>
      <c r="G259" s="165" t="s">
        <v>1671</v>
      </c>
      <c r="H259" s="165" t="s">
        <v>937</v>
      </c>
      <c r="I259" s="165">
        <v>44348</v>
      </c>
      <c r="J259">
        <v>44348</v>
      </c>
      <c r="K259" s="165" t="s">
        <v>1671</v>
      </c>
      <c r="L259">
        <v>400</v>
      </c>
      <c r="M259">
        <v>44361</v>
      </c>
      <c r="O259"/>
      <c r="P259"/>
      <c r="Q259"/>
      <c r="R259" s="165">
        <v>400</v>
      </c>
      <c r="S259" s="165"/>
      <c r="T259" t="s">
        <v>1267</v>
      </c>
      <c r="U259" s="165" t="s">
        <v>1267</v>
      </c>
      <c r="V259" s="165" t="s">
        <v>1267</v>
      </c>
      <c r="W259"/>
      <c r="X259"/>
      <c r="AB259"/>
      <c r="AC259"/>
      <c r="AD259"/>
      <c r="AE259"/>
      <c r="AF259"/>
      <c r="AG259"/>
      <c r="AH259"/>
    </row>
    <row r="260" spans="1:34" x14ac:dyDescent="0.25">
      <c r="A260" s="78">
        <v>20210494</v>
      </c>
      <c r="B260" s="165" t="s">
        <v>97</v>
      </c>
      <c r="C260" s="165" t="s">
        <v>1288</v>
      </c>
      <c r="D260" s="165">
        <v>1</v>
      </c>
      <c r="E260" s="165" t="s">
        <v>1250</v>
      </c>
      <c r="F260" s="165" t="s">
        <v>1290</v>
      </c>
      <c r="G260" s="165" t="s">
        <v>1671</v>
      </c>
      <c r="H260" s="165" t="s">
        <v>922</v>
      </c>
      <c r="I260" s="165">
        <v>44337</v>
      </c>
      <c r="J260">
        <v>44337</v>
      </c>
      <c r="K260" s="165" t="s">
        <v>1671</v>
      </c>
      <c r="L260">
        <v>1380</v>
      </c>
      <c r="M260">
        <v>44371</v>
      </c>
      <c r="O260"/>
      <c r="P260"/>
      <c r="Q260"/>
      <c r="R260" s="165">
        <v>1380</v>
      </c>
      <c r="S260" s="165"/>
      <c r="T260" t="s">
        <v>1267</v>
      </c>
      <c r="U260" s="165" t="s">
        <v>1267</v>
      </c>
      <c r="V260" s="165" t="s">
        <v>1267</v>
      </c>
      <c r="W260"/>
      <c r="X260"/>
      <c r="AB260"/>
      <c r="AC260"/>
      <c r="AD260"/>
      <c r="AE260"/>
      <c r="AF260"/>
      <c r="AG260"/>
      <c r="AH260"/>
    </row>
    <row r="261" spans="1:34" x14ac:dyDescent="0.25">
      <c r="A261" s="78">
        <v>20210494</v>
      </c>
      <c r="B261" s="165" t="s">
        <v>1292</v>
      </c>
      <c r="C261" s="165" t="s">
        <v>1293</v>
      </c>
      <c r="D261" s="165">
        <v>1</v>
      </c>
      <c r="E261" s="165" t="s">
        <v>1250</v>
      </c>
      <c r="F261" s="165" t="s">
        <v>1452</v>
      </c>
      <c r="G261" s="165" t="s">
        <v>1671</v>
      </c>
      <c r="H261" s="165" t="s">
        <v>922</v>
      </c>
      <c r="I261" s="165">
        <v>44340</v>
      </c>
      <c r="J261">
        <v>44340</v>
      </c>
      <c r="K261" s="165" t="s">
        <v>1671</v>
      </c>
      <c r="L261">
        <v>500</v>
      </c>
      <c r="M261">
        <v>44358</v>
      </c>
      <c r="O261"/>
      <c r="P261"/>
      <c r="Q261"/>
      <c r="R261" s="165">
        <v>500</v>
      </c>
      <c r="S261" s="165"/>
      <c r="T261" t="s">
        <v>1267</v>
      </c>
      <c r="U261" s="165" t="s">
        <v>1267</v>
      </c>
      <c r="V261" s="165" t="s">
        <v>1267</v>
      </c>
      <c r="W261"/>
      <c r="X261"/>
      <c r="AB261"/>
      <c r="AC261"/>
      <c r="AD261"/>
      <c r="AE261"/>
      <c r="AF261"/>
      <c r="AG261"/>
      <c r="AH261"/>
    </row>
    <row r="262" spans="1:34" x14ac:dyDescent="0.25">
      <c r="A262" s="78">
        <v>20210615</v>
      </c>
      <c r="B262" s="165" t="s">
        <v>97</v>
      </c>
      <c r="C262" s="165" t="s">
        <v>1288</v>
      </c>
      <c r="D262" s="165">
        <v>1</v>
      </c>
      <c r="E262" s="165" t="s">
        <v>1250</v>
      </c>
      <c r="F262" s="165" t="s">
        <v>1289</v>
      </c>
      <c r="G262" s="165" t="s">
        <v>1671</v>
      </c>
      <c r="H262" s="165" t="s">
        <v>929</v>
      </c>
      <c r="I262" s="165">
        <v>44357</v>
      </c>
      <c r="J262">
        <v>44357</v>
      </c>
      <c r="K262" s="165" t="s">
        <v>1671</v>
      </c>
      <c r="L262">
        <v>271.5</v>
      </c>
      <c r="M262">
        <v>44385</v>
      </c>
      <c r="O262"/>
      <c r="P262"/>
      <c r="Q262"/>
      <c r="R262" s="165">
        <v>271.5</v>
      </c>
      <c r="S262" s="165"/>
      <c r="T262" t="s">
        <v>1267</v>
      </c>
      <c r="U262" s="165" t="s">
        <v>1267</v>
      </c>
      <c r="V262" s="165" t="s">
        <v>1267</v>
      </c>
      <c r="W262"/>
      <c r="X262"/>
      <c r="AB262"/>
      <c r="AC262"/>
      <c r="AD262"/>
      <c r="AE262"/>
      <c r="AF262"/>
      <c r="AG262"/>
      <c r="AH262"/>
    </row>
    <row r="263" spans="1:34" x14ac:dyDescent="0.25">
      <c r="A263" s="78">
        <v>20210615</v>
      </c>
      <c r="B263" s="165" t="s">
        <v>1261</v>
      </c>
      <c r="C263" s="165" t="s">
        <v>1262</v>
      </c>
      <c r="D263" s="165">
        <v>1</v>
      </c>
      <c r="E263" s="165" t="s">
        <v>1250</v>
      </c>
      <c r="F263" s="165" t="s">
        <v>1453</v>
      </c>
      <c r="G263" s="165" t="s">
        <v>1671</v>
      </c>
      <c r="H263" s="165" t="s">
        <v>929</v>
      </c>
      <c r="I263" s="165">
        <v>44357</v>
      </c>
      <c r="J263">
        <v>44357</v>
      </c>
      <c r="K263" s="165" t="s">
        <v>1671</v>
      </c>
      <c r="L263">
        <v>513.13</v>
      </c>
      <c r="M263">
        <v>44385</v>
      </c>
      <c r="O263"/>
      <c r="P263"/>
      <c r="Q263"/>
      <c r="R263" s="165">
        <v>513.13</v>
      </c>
      <c r="S263" s="165"/>
      <c r="T263" t="s">
        <v>1267</v>
      </c>
      <c r="U263" s="165" t="s">
        <v>1267</v>
      </c>
      <c r="V263" s="165" t="s">
        <v>1267</v>
      </c>
      <c r="W263"/>
      <c r="X263"/>
      <c r="AB263"/>
      <c r="AC263"/>
      <c r="AD263"/>
      <c r="AE263"/>
      <c r="AF263"/>
      <c r="AG263"/>
      <c r="AH263"/>
    </row>
    <row r="264" spans="1:34" x14ac:dyDescent="0.25">
      <c r="A264" s="78">
        <v>20210619</v>
      </c>
      <c r="B264" s="165" t="s">
        <v>97</v>
      </c>
      <c r="C264" s="165" t="s">
        <v>1296</v>
      </c>
      <c r="D264" s="165">
        <v>1</v>
      </c>
      <c r="E264" s="165" t="s">
        <v>1250</v>
      </c>
      <c r="F264" s="165" t="s">
        <v>1454</v>
      </c>
      <c r="G264" s="165" t="s">
        <v>1671</v>
      </c>
      <c r="H264" s="165" t="s">
        <v>922</v>
      </c>
      <c r="I264" s="165">
        <v>44357</v>
      </c>
      <c r="J264">
        <v>44357</v>
      </c>
      <c r="K264" s="165" t="s">
        <v>1671</v>
      </c>
      <c r="L264">
        <v>100</v>
      </c>
      <c r="M264">
        <v>44357</v>
      </c>
      <c r="O264"/>
      <c r="P264"/>
      <c r="Q264"/>
      <c r="R264" s="165">
        <v>100</v>
      </c>
      <c r="S264" s="165"/>
      <c r="T264" t="s">
        <v>1267</v>
      </c>
      <c r="U264" s="165" t="s">
        <v>1267</v>
      </c>
      <c r="V264" s="165" t="s">
        <v>1267</v>
      </c>
      <c r="W264"/>
      <c r="X264"/>
      <c r="AB264"/>
      <c r="AC264"/>
      <c r="AD264"/>
      <c r="AE264"/>
      <c r="AF264"/>
      <c r="AG264"/>
      <c r="AH264"/>
    </row>
    <row r="265" spans="1:34" x14ac:dyDescent="0.25">
      <c r="A265" s="78">
        <v>20210613</v>
      </c>
      <c r="B265" s="165" t="s">
        <v>97</v>
      </c>
      <c r="C265" s="165" t="s">
        <v>1346</v>
      </c>
      <c r="D265" s="165">
        <v>1</v>
      </c>
      <c r="E265" s="165" t="s">
        <v>1250</v>
      </c>
      <c r="F265" s="165" t="s">
        <v>1455</v>
      </c>
      <c r="G265" s="165" t="s">
        <v>1671</v>
      </c>
      <c r="H265" s="165" t="s">
        <v>969</v>
      </c>
      <c r="I265" s="165">
        <v>44356</v>
      </c>
      <c r="J265">
        <v>44356</v>
      </c>
      <c r="K265" s="165" t="s">
        <v>1671</v>
      </c>
      <c r="L265">
        <v>180</v>
      </c>
      <c r="M265">
        <v>44368</v>
      </c>
      <c r="O265"/>
      <c r="P265"/>
      <c r="Q265"/>
      <c r="R265" s="165">
        <v>180</v>
      </c>
      <c r="S265" s="165"/>
      <c r="T265" t="s">
        <v>1267</v>
      </c>
      <c r="U265" s="165" t="s">
        <v>1267</v>
      </c>
      <c r="V265" s="165" t="s">
        <v>1267</v>
      </c>
      <c r="W265"/>
      <c r="X265"/>
      <c r="AB265"/>
      <c r="AC265"/>
      <c r="AD265"/>
      <c r="AE265"/>
      <c r="AF265"/>
      <c r="AG265"/>
      <c r="AH265"/>
    </row>
    <row r="266" spans="1:34" x14ac:dyDescent="0.25">
      <c r="A266" s="78">
        <v>20210619</v>
      </c>
      <c r="B266" s="165" t="s">
        <v>97</v>
      </c>
      <c r="C266" s="165" t="s">
        <v>1264</v>
      </c>
      <c r="D266" s="165">
        <v>2</v>
      </c>
      <c r="E266" s="165" t="s">
        <v>1250</v>
      </c>
      <c r="F266" s="165" t="s">
        <v>1265</v>
      </c>
      <c r="G266" s="165" t="s">
        <v>1671</v>
      </c>
      <c r="H266" s="165" t="s">
        <v>922</v>
      </c>
      <c r="I266" s="165">
        <v>44358</v>
      </c>
      <c r="J266">
        <v>44358</v>
      </c>
      <c r="K266" s="165" t="s">
        <v>1671</v>
      </c>
      <c r="L266">
        <v>71.5</v>
      </c>
      <c r="M266">
        <v>44389</v>
      </c>
      <c r="O266"/>
      <c r="P266"/>
      <c r="Q266"/>
      <c r="R266" s="165">
        <v>143</v>
      </c>
      <c r="S266" s="165"/>
      <c r="T266" t="s">
        <v>1267</v>
      </c>
      <c r="U266" s="165" t="s">
        <v>1267</v>
      </c>
      <c r="V266" s="165" t="s">
        <v>1267</v>
      </c>
      <c r="W266"/>
      <c r="X266"/>
      <c r="AB266"/>
      <c r="AC266"/>
      <c r="AD266"/>
      <c r="AE266"/>
      <c r="AF266"/>
      <c r="AG266"/>
      <c r="AH266"/>
    </row>
    <row r="267" spans="1:34" x14ac:dyDescent="0.25">
      <c r="A267" s="78">
        <v>20210619</v>
      </c>
      <c r="B267" s="165" t="s">
        <v>97</v>
      </c>
      <c r="C267" s="165" t="s">
        <v>1308</v>
      </c>
      <c r="D267" s="165">
        <v>1</v>
      </c>
      <c r="E267" s="165" t="s">
        <v>1250</v>
      </c>
      <c r="F267" s="165" t="s">
        <v>1456</v>
      </c>
      <c r="G267" s="165" t="s">
        <v>1671</v>
      </c>
      <c r="H267" s="165" t="s">
        <v>922</v>
      </c>
      <c r="I267" s="165">
        <v>44369</v>
      </c>
      <c r="J267">
        <v>44369</v>
      </c>
      <c r="K267" s="165" t="s">
        <v>1671</v>
      </c>
      <c r="L267">
        <v>106</v>
      </c>
      <c r="M267">
        <v>44396</v>
      </c>
      <c r="O267"/>
      <c r="P267"/>
      <c r="Q267"/>
      <c r="R267" s="165">
        <v>106</v>
      </c>
      <c r="S267" s="165"/>
      <c r="T267" t="s">
        <v>1267</v>
      </c>
      <c r="U267" s="165" t="s">
        <v>1267</v>
      </c>
      <c r="V267" s="165" t="s">
        <v>1267</v>
      </c>
      <c r="W267"/>
      <c r="X267"/>
      <c r="AB267"/>
      <c r="AC267"/>
      <c r="AD267"/>
      <c r="AE267"/>
      <c r="AF267"/>
      <c r="AG267"/>
      <c r="AH267"/>
    </row>
    <row r="268" spans="1:34" x14ac:dyDescent="0.25">
      <c r="A268" s="78">
        <v>20210619</v>
      </c>
      <c r="B268" s="165" t="s">
        <v>97</v>
      </c>
      <c r="C268" s="165" t="s">
        <v>1356</v>
      </c>
      <c r="D268" s="165">
        <v>1</v>
      </c>
      <c r="E268" s="165" t="s">
        <v>1250</v>
      </c>
      <c r="F268" s="165" t="s">
        <v>1457</v>
      </c>
      <c r="G268" s="165" t="s">
        <v>1671</v>
      </c>
      <c r="H268" s="165" t="s">
        <v>922</v>
      </c>
      <c r="I268" s="165">
        <v>44361</v>
      </c>
      <c r="J268">
        <v>44361</v>
      </c>
      <c r="K268" s="165" t="s">
        <v>1671</v>
      </c>
      <c r="L268">
        <v>20</v>
      </c>
      <c r="M268">
        <v>44361</v>
      </c>
      <c r="O268"/>
      <c r="P268"/>
      <c r="Q268"/>
      <c r="R268" s="165">
        <v>20</v>
      </c>
      <c r="S268" s="165"/>
      <c r="T268" t="s">
        <v>1267</v>
      </c>
      <c r="U268" s="165" t="s">
        <v>1267</v>
      </c>
      <c r="V268" s="165" t="s">
        <v>1267</v>
      </c>
      <c r="W268"/>
      <c r="X268"/>
      <c r="AB268"/>
      <c r="AC268"/>
      <c r="AD268"/>
      <c r="AE268"/>
      <c r="AF268"/>
      <c r="AG268"/>
      <c r="AH268"/>
    </row>
    <row r="269" spans="1:34" x14ac:dyDescent="0.25">
      <c r="A269" s="78">
        <v>20210619</v>
      </c>
      <c r="B269" s="165" t="s">
        <v>1292</v>
      </c>
      <c r="C269" s="165" t="s">
        <v>1293</v>
      </c>
      <c r="D269" s="165">
        <v>1</v>
      </c>
      <c r="E269" s="165" t="s">
        <v>1250</v>
      </c>
      <c r="F269" s="165" t="s">
        <v>1292</v>
      </c>
      <c r="G269" s="165" t="s">
        <v>1671</v>
      </c>
      <c r="H269" s="165" t="s">
        <v>922</v>
      </c>
      <c r="I269" s="165">
        <v>44356</v>
      </c>
      <c r="J269">
        <v>44356</v>
      </c>
      <c r="K269" s="165" t="s">
        <v>1671</v>
      </c>
      <c r="L269">
        <v>200</v>
      </c>
      <c r="M269">
        <v>44356</v>
      </c>
      <c r="O269"/>
      <c r="P269"/>
      <c r="Q269"/>
      <c r="R269" s="165">
        <v>200</v>
      </c>
      <c r="S269" s="165"/>
      <c r="T269" t="s">
        <v>1267</v>
      </c>
      <c r="U269" s="165" t="s">
        <v>1267</v>
      </c>
      <c r="V269" s="165" t="s">
        <v>1267</v>
      </c>
      <c r="W269"/>
      <c r="X269"/>
      <c r="AB269"/>
      <c r="AC269"/>
      <c r="AD269"/>
      <c r="AE269"/>
      <c r="AF269"/>
      <c r="AG269"/>
      <c r="AH269"/>
    </row>
    <row r="270" spans="1:34" x14ac:dyDescent="0.25">
      <c r="A270" s="78">
        <v>20210619</v>
      </c>
      <c r="B270" s="165" t="s">
        <v>97</v>
      </c>
      <c r="C270" s="165" t="s">
        <v>1268</v>
      </c>
      <c r="D270" s="165">
        <v>1</v>
      </c>
      <c r="E270" s="165" t="s">
        <v>1250</v>
      </c>
      <c r="F270" s="165" t="s">
        <v>1458</v>
      </c>
      <c r="G270" s="165" t="s">
        <v>1671</v>
      </c>
      <c r="H270" s="165" t="s">
        <v>922</v>
      </c>
      <c r="I270" s="165">
        <v>44358</v>
      </c>
      <c r="J270">
        <v>44358</v>
      </c>
      <c r="K270" s="165" t="s">
        <v>1671</v>
      </c>
      <c r="L270">
        <v>148.69999999999999</v>
      </c>
      <c r="M270">
        <v>44389</v>
      </c>
      <c r="O270"/>
      <c r="P270"/>
      <c r="Q270"/>
      <c r="R270" s="165">
        <v>148.69999999999999</v>
      </c>
      <c r="S270" s="165"/>
      <c r="T270" t="s">
        <v>1267</v>
      </c>
      <c r="U270" s="165" t="s">
        <v>1267</v>
      </c>
      <c r="V270" s="165" t="s">
        <v>1267</v>
      </c>
      <c r="W270"/>
      <c r="X270"/>
      <c r="AB270"/>
      <c r="AC270"/>
      <c r="AD270"/>
      <c r="AE270"/>
      <c r="AF270"/>
      <c r="AG270"/>
      <c r="AH270"/>
    </row>
    <row r="271" spans="1:34" x14ac:dyDescent="0.25">
      <c r="A271" s="78">
        <v>20210619</v>
      </c>
      <c r="B271" s="165" t="s">
        <v>1261</v>
      </c>
      <c r="C271" s="165" t="s">
        <v>1262</v>
      </c>
      <c r="D271" s="165">
        <v>1</v>
      </c>
      <c r="E271" s="165" t="s">
        <v>1250</v>
      </c>
      <c r="F271" s="165" t="s">
        <v>1459</v>
      </c>
      <c r="G271" s="165" t="s">
        <v>1671</v>
      </c>
      <c r="H271" s="165" t="s">
        <v>922</v>
      </c>
      <c r="I271" s="165">
        <v>44358</v>
      </c>
      <c r="J271">
        <v>44358</v>
      </c>
      <c r="K271" s="165" t="s">
        <v>1671</v>
      </c>
      <c r="L271">
        <v>513.13</v>
      </c>
      <c r="M271">
        <v>44389</v>
      </c>
      <c r="O271"/>
      <c r="P271"/>
      <c r="Q271"/>
      <c r="R271" s="165">
        <v>513.13</v>
      </c>
      <c r="S271" s="165"/>
      <c r="T271" t="s">
        <v>1267</v>
      </c>
      <c r="U271" s="165" t="s">
        <v>1267</v>
      </c>
      <c r="V271" s="165" t="s">
        <v>1267</v>
      </c>
      <c r="W271"/>
      <c r="X271"/>
      <c r="AB271"/>
      <c r="AC271"/>
      <c r="AD271"/>
      <c r="AE271"/>
      <c r="AF271"/>
      <c r="AG271"/>
      <c r="AH271"/>
    </row>
    <row r="272" spans="1:34" x14ac:dyDescent="0.25">
      <c r="A272" s="78">
        <v>20210622</v>
      </c>
      <c r="B272" s="165" t="s">
        <v>1292</v>
      </c>
      <c r="C272" s="165" t="s">
        <v>1293</v>
      </c>
      <c r="D272" s="165">
        <v>1</v>
      </c>
      <c r="E272" s="165" t="s">
        <v>1250</v>
      </c>
      <c r="F272" s="165" t="s">
        <v>1421</v>
      </c>
      <c r="G272" s="165" t="s">
        <v>1671</v>
      </c>
      <c r="H272" s="165" t="s">
        <v>969</v>
      </c>
      <c r="I272" s="165">
        <v>44330</v>
      </c>
      <c r="J272">
        <v>44330</v>
      </c>
      <c r="K272" s="165" t="s">
        <v>1671</v>
      </c>
      <c r="L272">
        <v>234</v>
      </c>
      <c r="M272">
        <v>44361</v>
      </c>
      <c r="O272"/>
      <c r="P272"/>
      <c r="Q272"/>
      <c r="R272" s="165">
        <v>234</v>
      </c>
      <c r="S272" s="165"/>
      <c r="T272" t="s">
        <v>1267</v>
      </c>
      <c r="U272" s="165" t="s">
        <v>1267</v>
      </c>
      <c r="V272" s="165" t="s">
        <v>1267</v>
      </c>
      <c r="W272"/>
      <c r="X272"/>
      <c r="AB272"/>
      <c r="AC272"/>
      <c r="AD272"/>
      <c r="AE272"/>
      <c r="AF272"/>
      <c r="AG272"/>
      <c r="AH272"/>
    </row>
    <row r="273" spans="1:34" x14ac:dyDescent="0.25">
      <c r="A273" s="78">
        <v>20210606</v>
      </c>
      <c r="B273" s="165" t="s">
        <v>1311</v>
      </c>
      <c r="C273" s="165" t="s">
        <v>1312</v>
      </c>
      <c r="D273" s="165">
        <v>1</v>
      </c>
      <c r="E273" s="165" t="s">
        <v>1250</v>
      </c>
      <c r="F273" s="165" t="s">
        <v>1460</v>
      </c>
      <c r="G273" s="165" t="s">
        <v>1671</v>
      </c>
      <c r="H273" s="165" t="s">
        <v>960</v>
      </c>
      <c r="I273" s="165">
        <v>44363</v>
      </c>
      <c r="J273">
        <v>44363</v>
      </c>
      <c r="K273" s="165" t="s">
        <v>1671</v>
      </c>
      <c r="L273">
        <v>3000</v>
      </c>
      <c r="M273">
        <v>44364</v>
      </c>
      <c r="O273"/>
      <c r="P273"/>
      <c r="Q273"/>
      <c r="R273" s="165">
        <v>3000</v>
      </c>
      <c r="S273" s="165"/>
      <c r="T273" t="s">
        <v>1267</v>
      </c>
      <c r="U273" s="165" t="s">
        <v>1267</v>
      </c>
      <c r="V273" s="165" t="s">
        <v>1267</v>
      </c>
      <c r="W273"/>
      <c r="X273"/>
      <c r="AB273"/>
      <c r="AC273"/>
      <c r="AD273"/>
      <c r="AE273"/>
      <c r="AF273"/>
      <c r="AG273"/>
      <c r="AH273"/>
    </row>
    <row r="274" spans="1:34" x14ac:dyDescent="0.25">
      <c r="A274" s="78">
        <v>20210622</v>
      </c>
      <c r="B274" s="165" t="s">
        <v>97</v>
      </c>
      <c r="C274" s="165" t="s">
        <v>1272</v>
      </c>
      <c r="D274" s="165">
        <v>3</v>
      </c>
      <c r="E274" s="165" t="s">
        <v>1250</v>
      </c>
      <c r="F274" s="165" t="s">
        <v>1273</v>
      </c>
      <c r="G274" s="165" t="s">
        <v>1671</v>
      </c>
      <c r="H274" s="165" t="s">
        <v>969</v>
      </c>
      <c r="I274" s="165">
        <v>44364</v>
      </c>
      <c r="J274">
        <v>44364</v>
      </c>
      <c r="K274" s="165" t="s">
        <v>1671</v>
      </c>
      <c r="L274">
        <v>345.71</v>
      </c>
      <c r="M274">
        <v>44392</v>
      </c>
      <c r="O274"/>
      <c r="P274"/>
      <c r="Q274"/>
      <c r="R274" s="165">
        <v>1037.1300000000001</v>
      </c>
      <c r="S274" s="165"/>
      <c r="T274" t="s">
        <v>1267</v>
      </c>
      <c r="U274" s="165" t="s">
        <v>1267</v>
      </c>
      <c r="V274" s="165" t="s">
        <v>1267</v>
      </c>
      <c r="W274"/>
      <c r="X274"/>
      <c r="AB274"/>
      <c r="AC274"/>
      <c r="AD274"/>
      <c r="AE274"/>
      <c r="AF274"/>
      <c r="AG274"/>
      <c r="AH274"/>
    </row>
    <row r="275" spans="1:34" x14ac:dyDescent="0.25">
      <c r="A275" s="78">
        <v>20210620</v>
      </c>
      <c r="B275" s="165" t="s">
        <v>97</v>
      </c>
      <c r="C275" s="165" t="s">
        <v>1302</v>
      </c>
      <c r="D275" s="165">
        <v>1</v>
      </c>
      <c r="E275" s="165" t="s">
        <v>1250</v>
      </c>
      <c r="F275" s="165" t="s">
        <v>1461</v>
      </c>
      <c r="G275" s="165" t="s">
        <v>1671</v>
      </c>
      <c r="H275" s="165" t="s">
        <v>929</v>
      </c>
      <c r="I275" s="165">
        <v>44358</v>
      </c>
      <c r="J275">
        <v>44358</v>
      </c>
      <c r="K275" s="165" t="s">
        <v>1671</v>
      </c>
      <c r="L275">
        <v>454.5</v>
      </c>
      <c r="M275">
        <v>44392</v>
      </c>
      <c r="N275">
        <v>454.5</v>
      </c>
      <c r="O275">
        <v>44404</v>
      </c>
      <c r="P275"/>
      <c r="Q275"/>
      <c r="R275" s="165">
        <v>909</v>
      </c>
      <c r="S275" s="165"/>
      <c r="T275" t="s">
        <v>1267</v>
      </c>
      <c r="U275" s="165" t="s">
        <v>1267</v>
      </c>
      <c r="V275" s="165" t="s">
        <v>1267</v>
      </c>
      <c r="W275"/>
      <c r="X275"/>
      <c r="AB275"/>
      <c r="AC275"/>
      <c r="AD275"/>
      <c r="AE275"/>
      <c r="AF275"/>
      <c r="AG275"/>
      <c r="AH275"/>
    </row>
    <row r="276" spans="1:34" x14ac:dyDescent="0.25">
      <c r="A276" s="78">
        <v>20210307</v>
      </c>
      <c r="B276" s="165" t="s">
        <v>1256</v>
      </c>
      <c r="C276" s="165" t="s">
        <v>1257</v>
      </c>
      <c r="D276" s="165">
        <v>1</v>
      </c>
      <c r="E276" s="165" t="s">
        <v>1250</v>
      </c>
      <c r="F276" s="165" t="s">
        <v>1271</v>
      </c>
      <c r="G276" s="165" t="s">
        <v>1671</v>
      </c>
      <c r="H276" s="165" t="s">
        <v>943</v>
      </c>
      <c r="I276" s="165">
        <v>44365</v>
      </c>
      <c r="J276">
        <v>44365</v>
      </c>
      <c r="K276" s="165" t="s">
        <v>1671</v>
      </c>
      <c r="L276">
        <v>446.82</v>
      </c>
      <c r="M276">
        <v>44368</v>
      </c>
      <c r="O276"/>
      <c r="P276"/>
      <c r="Q276"/>
      <c r="R276" s="165">
        <v>446.82</v>
      </c>
      <c r="S276" s="165"/>
      <c r="T276" t="s">
        <v>1267</v>
      </c>
      <c r="U276" s="165" t="s">
        <v>1267</v>
      </c>
      <c r="V276" s="165" t="s">
        <v>1267</v>
      </c>
      <c r="W276"/>
      <c r="X276"/>
      <c r="AB276"/>
      <c r="AC276"/>
      <c r="AD276"/>
      <c r="AE276"/>
      <c r="AF276"/>
      <c r="AG276"/>
      <c r="AH276"/>
    </row>
    <row r="277" spans="1:34" x14ac:dyDescent="0.25">
      <c r="A277" s="78">
        <v>20210612</v>
      </c>
      <c r="B277" s="165" t="s">
        <v>97</v>
      </c>
      <c r="C277" s="165" t="s">
        <v>1302</v>
      </c>
      <c r="D277" s="165">
        <v>1</v>
      </c>
      <c r="E277" s="165" t="s">
        <v>1250</v>
      </c>
      <c r="F277" s="165" t="s">
        <v>1461</v>
      </c>
      <c r="G277" s="165" t="s">
        <v>1671</v>
      </c>
      <c r="H277" s="165" t="s">
        <v>1043</v>
      </c>
      <c r="I277" s="165">
        <v>44365</v>
      </c>
      <c r="J277">
        <v>44365</v>
      </c>
      <c r="K277" s="165" t="s">
        <v>1671</v>
      </c>
      <c r="L277">
        <v>720</v>
      </c>
      <c r="M277">
        <v>44386</v>
      </c>
      <c r="O277"/>
      <c r="P277"/>
      <c r="Q277"/>
      <c r="R277" s="165">
        <v>720</v>
      </c>
      <c r="S277" s="165"/>
      <c r="T277" t="s">
        <v>1267</v>
      </c>
      <c r="U277" s="165" t="s">
        <v>1267</v>
      </c>
      <c r="V277" s="165" t="s">
        <v>1267</v>
      </c>
      <c r="W277"/>
      <c r="X277"/>
      <c r="AB277"/>
      <c r="AC277"/>
      <c r="AD277"/>
      <c r="AE277"/>
      <c r="AF277"/>
      <c r="AG277"/>
      <c r="AH277"/>
    </row>
    <row r="278" spans="1:34" x14ac:dyDescent="0.25">
      <c r="A278" s="78">
        <v>20210630</v>
      </c>
      <c r="B278" s="165" t="s">
        <v>97</v>
      </c>
      <c r="C278" s="165" t="s">
        <v>1296</v>
      </c>
      <c r="D278" s="165">
        <v>1</v>
      </c>
      <c r="E278" s="165" t="s">
        <v>1250</v>
      </c>
      <c r="F278" s="165" t="s">
        <v>1462</v>
      </c>
      <c r="G278" s="165" t="s">
        <v>1671</v>
      </c>
      <c r="H278" s="165" t="s">
        <v>969</v>
      </c>
      <c r="I278" s="165">
        <v>44362</v>
      </c>
      <c r="J278">
        <v>44362</v>
      </c>
      <c r="K278" s="165" t="s">
        <v>1671</v>
      </c>
      <c r="L278">
        <v>150</v>
      </c>
      <c r="M278">
        <v>44362</v>
      </c>
      <c r="O278"/>
      <c r="P278"/>
      <c r="Q278"/>
      <c r="R278" s="165">
        <v>150</v>
      </c>
      <c r="S278" s="165"/>
      <c r="T278" t="s">
        <v>1267</v>
      </c>
      <c r="U278" s="165" t="s">
        <v>1267</v>
      </c>
      <c r="V278" s="165" t="s">
        <v>1267</v>
      </c>
      <c r="W278"/>
      <c r="X278"/>
      <c r="AB278"/>
      <c r="AC278"/>
      <c r="AD278"/>
      <c r="AE278"/>
      <c r="AF278"/>
      <c r="AG278"/>
      <c r="AH278"/>
    </row>
    <row r="279" spans="1:34" x14ac:dyDescent="0.25">
      <c r="A279" s="78">
        <v>20210631</v>
      </c>
      <c r="B279" s="165" t="s">
        <v>1256</v>
      </c>
      <c r="C279" s="165" t="s">
        <v>1257</v>
      </c>
      <c r="D279" s="165">
        <v>3</v>
      </c>
      <c r="E279" s="165" t="s">
        <v>1250</v>
      </c>
      <c r="F279" s="165" t="s">
        <v>1271</v>
      </c>
      <c r="G279" s="165" t="s">
        <v>1671</v>
      </c>
      <c r="H279" s="165" t="s">
        <v>969</v>
      </c>
      <c r="I279" s="165">
        <v>44370</v>
      </c>
      <c r="J279">
        <v>44370</v>
      </c>
      <c r="K279" s="165" t="s">
        <v>1671</v>
      </c>
      <c r="L279">
        <v>359</v>
      </c>
      <c r="M279">
        <v>44398</v>
      </c>
      <c r="O279"/>
      <c r="P279"/>
      <c r="Q279"/>
      <c r="R279" s="165">
        <v>1368.78</v>
      </c>
      <c r="S279" s="165"/>
      <c r="T279" t="s">
        <v>1267</v>
      </c>
      <c r="U279" s="165" t="s">
        <v>1267</v>
      </c>
      <c r="V279" s="165" t="s">
        <v>1267</v>
      </c>
      <c r="W279"/>
      <c r="X279"/>
      <c r="AB279"/>
      <c r="AC279"/>
      <c r="AD279"/>
      <c r="AE279"/>
      <c r="AF279"/>
      <c r="AG279"/>
      <c r="AH279"/>
    </row>
    <row r="280" spans="1:34" x14ac:dyDescent="0.25">
      <c r="A280" s="78">
        <v>20210631</v>
      </c>
      <c r="B280" s="165" t="s">
        <v>97</v>
      </c>
      <c r="C280" s="165" t="s">
        <v>1322</v>
      </c>
      <c r="D280" s="165">
        <v>1</v>
      </c>
      <c r="E280" s="165" t="s">
        <v>1250</v>
      </c>
      <c r="F280" s="165" t="s">
        <v>1463</v>
      </c>
      <c r="G280" s="165" t="s">
        <v>1671</v>
      </c>
      <c r="H280" s="165" t="s">
        <v>969</v>
      </c>
      <c r="I280" s="165">
        <v>44369</v>
      </c>
      <c r="J280">
        <v>44369</v>
      </c>
      <c r="K280" s="165" t="s">
        <v>1671</v>
      </c>
      <c r="L280">
        <v>18</v>
      </c>
      <c r="M280">
        <v>44369</v>
      </c>
      <c r="O280"/>
      <c r="P280"/>
      <c r="Q280"/>
      <c r="R280" s="165">
        <v>18</v>
      </c>
      <c r="S280" s="165"/>
      <c r="T280" t="s">
        <v>1267</v>
      </c>
      <c r="U280" s="165" t="s">
        <v>1267</v>
      </c>
      <c r="V280" s="165" t="s">
        <v>1267</v>
      </c>
      <c r="W280"/>
      <c r="X280"/>
      <c r="AB280"/>
      <c r="AC280"/>
      <c r="AD280"/>
      <c r="AE280"/>
      <c r="AF280"/>
      <c r="AG280"/>
      <c r="AH280"/>
    </row>
    <row r="281" spans="1:34" x14ac:dyDescent="0.25">
      <c r="A281" s="78">
        <v>20210631</v>
      </c>
      <c r="B281" s="165" t="s">
        <v>97</v>
      </c>
      <c r="C281" s="165" t="s">
        <v>1327</v>
      </c>
      <c r="D281" s="165">
        <v>2</v>
      </c>
      <c r="E281" s="165" t="s">
        <v>1250</v>
      </c>
      <c r="F281" s="165" t="s">
        <v>1464</v>
      </c>
      <c r="G281" s="165" t="s">
        <v>1671</v>
      </c>
      <c r="H281" s="165" t="s">
        <v>969</v>
      </c>
      <c r="I281" s="165">
        <v>44370</v>
      </c>
      <c r="J281">
        <v>44370</v>
      </c>
      <c r="K281" s="165" t="s">
        <v>1671</v>
      </c>
      <c r="L281">
        <v>13</v>
      </c>
      <c r="M281">
        <v>44370</v>
      </c>
      <c r="O281"/>
      <c r="P281"/>
      <c r="Q281"/>
      <c r="R281" s="165">
        <v>26</v>
      </c>
      <c r="S281" s="165"/>
      <c r="T281" t="s">
        <v>1267</v>
      </c>
      <c r="U281" s="165" t="s">
        <v>1267</v>
      </c>
      <c r="V281" s="165" t="s">
        <v>1267</v>
      </c>
      <c r="W281"/>
      <c r="X281"/>
      <c r="AB281"/>
      <c r="AC281"/>
      <c r="AD281"/>
      <c r="AE281"/>
      <c r="AF281"/>
      <c r="AG281"/>
      <c r="AH281"/>
    </row>
    <row r="282" spans="1:34" x14ac:dyDescent="0.25">
      <c r="A282" s="78">
        <v>20210631</v>
      </c>
      <c r="B282" s="165" t="s">
        <v>97</v>
      </c>
      <c r="C282" s="165" t="s">
        <v>1274</v>
      </c>
      <c r="D282" s="165">
        <v>1</v>
      </c>
      <c r="E282" s="165" t="s">
        <v>1250</v>
      </c>
      <c r="F282" s="165" t="s">
        <v>1465</v>
      </c>
      <c r="G282" s="165" t="s">
        <v>1671</v>
      </c>
      <c r="H282" s="165" t="s">
        <v>969</v>
      </c>
      <c r="I282" s="165">
        <v>44369</v>
      </c>
      <c r="J282">
        <v>44369</v>
      </c>
      <c r="K282" s="165" t="s">
        <v>1671</v>
      </c>
      <c r="L282">
        <v>63</v>
      </c>
      <c r="M282">
        <v>44369</v>
      </c>
      <c r="O282"/>
      <c r="P282"/>
      <c r="Q282"/>
      <c r="R282" s="165">
        <v>63</v>
      </c>
      <c r="S282" s="165"/>
      <c r="T282" t="s">
        <v>1267</v>
      </c>
      <c r="U282" s="165" t="s">
        <v>1267</v>
      </c>
      <c r="V282" s="165" t="s">
        <v>1267</v>
      </c>
      <c r="W282"/>
      <c r="X282"/>
      <c r="AB282"/>
      <c r="AC282"/>
      <c r="AD282"/>
      <c r="AE282"/>
      <c r="AF282"/>
      <c r="AG282"/>
      <c r="AH282"/>
    </row>
    <row r="283" spans="1:34" x14ac:dyDescent="0.25">
      <c r="A283" s="78">
        <v>20210631</v>
      </c>
      <c r="B283" s="165" t="s">
        <v>1261</v>
      </c>
      <c r="C283" s="165" t="s">
        <v>1262</v>
      </c>
      <c r="D283" s="165">
        <v>1</v>
      </c>
      <c r="E283" s="165" t="s">
        <v>1250</v>
      </c>
      <c r="F283" s="165" t="s">
        <v>1466</v>
      </c>
      <c r="G283" s="165" t="s">
        <v>1671</v>
      </c>
      <c r="H283" s="165" t="s">
        <v>969</v>
      </c>
      <c r="I283" s="165">
        <v>44370</v>
      </c>
      <c r="J283">
        <v>44370</v>
      </c>
      <c r="K283" s="165" t="s">
        <v>1671</v>
      </c>
      <c r="L283">
        <v>769.07</v>
      </c>
      <c r="M283">
        <v>44398</v>
      </c>
      <c r="O283"/>
      <c r="P283"/>
      <c r="Q283"/>
      <c r="R283" s="165">
        <v>769.07</v>
      </c>
      <c r="S283" s="165"/>
      <c r="T283" t="s">
        <v>1267</v>
      </c>
      <c r="U283" s="165" t="s">
        <v>1267</v>
      </c>
      <c r="V283" s="165" t="s">
        <v>1267</v>
      </c>
      <c r="W283"/>
      <c r="X283"/>
      <c r="AB283"/>
      <c r="AC283"/>
      <c r="AD283"/>
      <c r="AE283"/>
      <c r="AF283"/>
      <c r="AG283"/>
      <c r="AH283"/>
    </row>
    <row r="284" spans="1:34" x14ac:dyDescent="0.25">
      <c r="A284" s="78">
        <v>20210634</v>
      </c>
      <c r="B284" s="165" t="s">
        <v>97</v>
      </c>
      <c r="C284" s="165" t="s">
        <v>1272</v>
      </c>
      <c r="D284" s="165">
        <v>1</v>
      </c>
      <c r="E284" s="165" t="s">
        <v>1250</v>
      </c>
      <c r="F284" s="165" t="s">
        <v>1467</v>
      </c>
      <c r="G284" s="165" t="s">
        <v>1671</v>
      </c>
      <c r="H284" s="165" t="s">
        <v>976</v>
      </c>
      <c r="I284" s="165">
        <v>44371</v>
      </c>
      <c r="J284">
        <v>44371</v>
      </c>
      <c r="K284" s="165" t="s">
        <v>1671</v>
      </c>
      <c r="L284">
        <v>1587</v>
      </c>
      <c r="M284">
        <v>44399</v>
      </c>
      <c r="O284"/>
      <c r="P284"/>
      <c r="Q284"/>
      <c r="R284" s="165">
        <v>1587</v>
      </c>
      <c r="S284" s="165"/>
      <c r="T284" t="s">
        <v>1267</v>
      </c>
      <c r="U284" s="165" t="s">
        <v>1267</v>
      </c>
      <c r="V284" s="165" t="s">
        <v>1267</v>
      </c>
      <c r="W284"/>
      <c r="X284"/>
      <c r="AB284"/>
      <c r="AC284"/>
      <c r="AD284"/>
      <c r="AE284"/>
      <c r="AF284"/>
      <c r="AG284"/>
      <c r="AH284"/>
    </row>
    <row r="285" spans="1:34" x14ac:dyDescent="0.25">
      <c r="A285" s="78">
        <v>20210634</v>
      </c>
      <c r="B285" s="165" t="s">
        <v>1292</v>
      </c>
      <c r="C285" s="165" t="s">
        <v>1293</v>
      </c>
      <c r="D285" s="165">
        <v>1</v>
      </c>
      <c r="E285" s="165" t="s">
        <v>1250</v>
      </c>
      <c r="F285" s="165" t="s">
        <v>1468</v>
      </c>
      <c r="G285" s="165" t="s">
        <v>1671</v>
      </c>
      <c r="H285" s="165" t="s">
        <v>976</v>
      </c>
      <c r="I285" s="165">
        <v>44371</v>
      </c>
      <c r="J285">
        <v>44371</v>
      </c>
      <c r="K285" s="165" t="s">
        <v>1671</v>
      </c>
      <c r="L285">
        <v>236.64</v>
      </c>
      <c r="M285">
        <v>44371</v>
      </c>
      <c r="O285"/>
      <c r="P285"/>
      <c r="Q285"/>
      <c r="R285" s="165">
        <v>236.64</v>
      </c>
      <c r="S285" s="165"/>
      <c r="T285" t="s">
        <v>1267</v>
      </c>
      <c r="U285" s="165" t="s">
        <v>1267</v>
      </c>
      <c r="V285" s="165" t="s">
        <v>1267</v>
      </c>
      <c r="W285"/>
      <c r="X285"/>
      <c r="AB285"/>
      <c r="AC285"/>
      <c r="AD285"/>
      <c r="AE285"/>
      <c r="AF285"/>
      <c r="AG285"/>
      <c r="AH285"/>
    </row>
    <row r="286" spans="1:34" x14ac:dyDescent="0.25">
      <c r="A286" s="78">
        <v>20210622</v>
      </c>
      <c r="B286" s="165" t="s">
        <v>1256</v>
      </c>
      <c r="C286" s="165" t="s">
        <v>1257</v>
      </c>
      <c r="D286" s="165">
        <v>2</v>
      </c>
      <c r="E286" s="165" t="s">
        <v>1250</v>
      </c>
      <c r="F286" s="165" t="s">
        <v>1271</v>
      </c>
      <c r="G286" s="165" t="s">
        <v>1671</v>
      </c>
      <c r="H286" s="165" t="s">
        <v>969</v>
      </c>
      <c r="I286" s="165">
        <v>44369</v>
      </c>
      <c r="J286">
        <v>44369</v>
      </c>
      <c r="K286" s="165" t="s">
        <v>1671</v>
      </c>
      <c r="L286">
        <v>553.75250000000005</v>
      </c>
      <c r="M286">
        <v>44397</v>
      </c>
      <c r="O286"/>
      <c r="P286"/>
      <c r="Q286"/>
      <c r="R286" s="165">
        <v>1107.5050000000001</v>
      </c>
      <c r="S286" s="165"/>
      <c r="T286" t="s">
        <v>1267</v>
      </c>
      <c r="U286" s="165" t="s">
        <v>1267</v>
      </c>
      <c r="V286" s="165" t="s">
        <v>1267</v>
      </c>
      <c r="W286"/>
      <c r="X286"/>
      <c r="AB286"/>
      <c r="AC286"/>
      <c r="AD286"/>
      <c r="AE286"/>
      <c r="AF286"/>
      <c r="AG286"/>
      <c r="AH286"/>
    </row>
    <row r="287" spans="1:34" x14ac:dyDescent="0.25">
      <c r="A287" s="78">
        <v>20210622</v>
      </c>
      <c r="B287" s="165" t="s">
        <v>1261</v>
      </c>
      <c r="C287" s="165" t="s">
        <v>1262</v>
      </c>
      <c r="D287" s="165">
        <v>1</v>
      </c>
      <c r="E287" s="165" t="s">
        <v>1250</v>
      </c>
      <c r="F287" s="165" t="s">
        <v>1469</v>
      </c>
      <c r="G287" s="165" t="s">
        <v>1671</v>
      </c>
      <c r="H287" s="165" t="s">
        <v>969</v>
      </c>
      <c r="I287" s="165">
        <v>44371</v>
      </c>
      <c r="J287">
        <v>44371</v>
      </c>
      <c r="K287" s="165" t="s">
        <v>1671</v>
      </c>
      <c r="L287">
        <v>1628.63</v>
      </c>
      <c r="M287">
        <v>44399</v>
      </c>
      <c r="O287"/>
      <c r="P287"/>
      <c r="Q287"/>
      <c r="R287" s="165">
        <v>1628.63</v>
      </c>
      <c r="S287" s="165"/>
      <c r="T287" t="s">
        <v>1267</v>
      </c>
      <c r="U287" s="165" t="s">
        <v>1267</v>
      </c>
      <c r="V287" s="165" t="s">
        <v>1267</v>
      </c>
      <c r="W287"/>
      <c r="X287"/>
      <c r="AB287"/>
      <c r="AC287"/>
      <c r="AD287"/>
      <c r="AE287"/>
      <c r="AF287"/>
      <c r="AG287"/>
      <c r="AH287"/>
    </row>
    <row r="288" spans="1:34" x14ac:dyDescent="0.25">
      <c r="A288" s="78">
        <v>20210622</v>
      </c>
      <c r="B288" s="165" t="s">
        <v>1292</v>
      </c>
      <c r="C288" s="165" t="s">
        <v>1293</v>
      </c>
      <c r="D288" s="165">
        <v>1</v>
      </c>
      <c r="E288" s="165" t="s">
        <v>1250</v>
      </c>
      <c r="F288" s="165" t="s">
        <v>1470</v>
      </c>
      <c r="G288" s="165" t="s">
        <v>1671</v>
      </c>
      <c r="H288" s="165" t="s">
        <v>969</v>
      </c>
      <c r="I288" s="165">
        <v>44368</v>
      </c>
      <c r="J288">
        <v>44368</v>
      </c>
      <c r="K288" s="165" t="s">
        <v>1671</v>
      </c>
      <c r="L288">
        <v>591.63</v>
      </c>
      <c r="M288">
        <v>44379</v>
      </c>
      <c r="O288"/>
      <c r="P288"/>
      <c r="Q288"/>
      <c r="R288" s="165">
        <v>591.63</v>
      </c>
      <c r="S288" s="165"/>
      <c r="T288" t="s">
        <v>1267</v>
      </c>
      <c r="U288" s="165" t="s">
        <v>1267</v>
      </c>
      <c r="V288" s="165" t="s">
        <v>1267</v>
      </c>
      <c r="W288"/>
      <c r="X288"/>
      <c r="AB288"/>
      <c r="AC288"/>
      <c r="AD288"/>
      <c r="AE288"/>
      <c r="AF288"/>
      <c r="AG288"/>
      <c r="AH288"/>
    </row>
    <row r="289" spans="1:34" x14ac:dyDescent="0.25">
      <c r="A289" s="78">
        <v>20210622</v>
      </c>
      <c r="B289" s="165"/>
      <c r="C289" s="165" t="s">
        <v>1293</v>
      </c>
      <c r="D289" s="165">
        <v>1</v>
      </c>
      <c r="E289" s="165" t="s">
        <v>1250</v>
      </c>
      <c r="F289" s="165" t="s">
        <v>1425</v>
      </c>
      <c r="G289" s="165" t="s">
        <v>1671</v>
      </c>
      <c r="H289" s="165" t="s">
        <v>969</v>
      </c>
      <c r="I289" s="165">
        <v>44364</v>
      </c>
      <c r="J289">
        <v>44364</v>
      </c>
      <c r="K289" s="165" t="s">
        <v>1671</v>
      </c>
      <c r="L289">
        <v>80</v>
      </c>
      <c r="M289">
        <v>44398</v>
      </c>
      <c r="O289"/>
      <c r="P289"/>
      <c r="Q289"/>
      <c r="R289" s="165">
        <v>80</v>
      </c>
      <c r="S289" s="165"/>
      <c r="T289" t="s">
        <v>1267</v>
      </c>
      <c r="U289" s="165" t="s">
        <v>1267</v>
      </c>
      <c r="V289" s="165" t="s">
        <v>1267</v>
      </c>
      <c r="W289"/>
      <c r="X289"/>
      <c r="AB289"/>
      <c r="AC289"/>
      <c r="AD289"/>
      <c r="AE289"/>
      <c r="AF289"/>
      <c r="AG289"/>
      <c r="AH289"/>
    </row>
    <row r="290" spans="1:34" x14ac:dyDescent="0.25">
      <c r="A290" s="78">
        <v>20210622</v>
      </c>
      <c r="B290" s="165" t="s">
        <v>97</v>
      </c>
      <c r="C290" s="165" t="s">
        <v>1272</v>
      </c>
      <c r="D290" s="165">
        <v>1</v>
      </c>
      <c r="E290" s="165" t="s">
        <v>1250</v>
      </c>
      <c r="F290" s="165" t="s">
        <v>1273</v>
      </c>
      <c r="G290" s="165" t="s">
        <v>1671</v>
      </c>
      <c r="H290" s="165" t="s">
        <v>969</v>
      </c>
      <c r="I290" s="165">
        <v>44351</v>
      </c>
      <c r="J290">
        <v>44351</v>
      </c>
      <c r="K290" s="165" t="s">
        <v>1671</v>
      </c>
      <c r="L290">
        <v>345.71</v>
      </c>
      <c r="M290">
        <v>44379</v>
      </c>
      <c r="O290"/>
      <c r="P290"/>
      <c r="Q290"/>
      <c r="R290" s="165">
        <v>345.71</v>
      </c>
      <c r="S290" s="165"/>
      <c r="T290" t="s">
        <v>1267</v>
      </c>
      <c r="U290" s="165" t="s">
        <v>1267</v>
      </c>
      <c r="V290" s="165" t="s">
        <v>1267</v>
      </c>
      <c r="W290"/>
      <c r="X290"/>
      <c r="AB290"/>
      <c r="AC290"/>
      <c r="AD290"/>
      <c r="AE290"/>
      <c r="AF290"/>
      <c r="AG290"/>
      <c r="AH290"/>
    </row>
    <row r="291" spans="1:34" x14ac:dyDescent="0.25">
      <c r="A291" s="78">
        <v>20210622</v>
      </c>
      <c r="B291" s="165" t="s">
        <v>97</v>
      </c>
      <c r="C291" s="165" t="s">
        <v>1264</v>
      </c>
      <c r="D291" s="165">
        <v>1</v>
      </c>
      <c r="E291" s="165" t="s">
        <v>1250</v>
      </c>
      <c r="F291" s="165" t="s">
        <v>1471</v>
      </c>
      <c r="G291" s="165" t="s">
        <v>1671</v>
      </c>
      <c r="H291" s="165" t="s">
        <v>969</v>
      </c>
      <c r="I291" s="165">
        <v>44371</v>
      </c>
      <c r="J291">
        <v>44371</v>
      </c>
      <c r="K291" s="165" t="s">
        <v>1671</v>
      </c>
      <c r="L291">
        <v>100.76</v>
      </c>
      <c r="M291">
        <v>44399</v>
      </c>
      <c r="O291"/>
      <c r="P291"/>
      <c r="Q291"/>
      <c r="R291" s="165">
        <v>100.76</v>
      </c>
      <c r="S291" s="165"/>
      <c r="T291" t="s">
        <v>1267</v>
      </c>
      <c r="U291" s="165" t="s">
        <v>1267</v>
      </c>
      <c r="V291" s="165" t="s">
        <v>1267</v>
      </c>
      <c r="W291"/>
      <c r="X291"/>
      <c r="AB291"/>
      <c r="AC291"/>
      <c r="AD291"/>
      <c r="AE291"/>
      <c r="AF291"/>
      <c r="AG291"/>
      <c r="AH291"/>
    </row>
    <row r="292" spans="1:34" x14ac:dyDescent="0.25">
      <c r="A292" s="78">
        <v>20210622</v>
      </c>
      <c r="B292" s="165" t="s">
        <v>97</v>
      </c>
      <c r="C292" s="165" t="s">
        <v>1264</v>
      </c>
      <c r="D292" s="165">
        <v>1</v>
      </c>
      <c r="E292" s="165" t="s">
        <v>1250</v>
      </c>
      <c r="F292" s="165" t="s">
        <v>1472</v>
      </c>
      <c r="G292" s="165" t="s">
        <v>1671</v>
      </c>
      <c r="H292" s="165" t="s">
        <v>969</v>
      </c>
      <c r="I292" s="165">
        <v>44371</v>
      </c>
      <c r="J292">
        <v>44371</v>
      </c>
      <c r="K292" s="165" t="s">
        <v>1671</v>
      </c>
      <c r="L292">
        <v>209.6</v>
      </c>
      <c r="M292">
        <v>44399</v>
      </c>
      <c r="O292"/>
      <c r="P292"/>
      <c r="Q292"/>
      <c r="R292" s="165">
        <v>209.6</v>
      </c>
      <c r="S292" s="165"/>
      <c r="T292" t="s">
        <v>1267</v>
      </c>
      <c r="U292" s="165" t="s">
        <v>1267</v>
      </c>
      <c r="V292" s="165" t="s">
        <v>1267</v>
      </c>
      <c r="W292"/>
      <c r="X292"/>
      <c r="AB292"/>
      <c r="AC292"/>
      <c r="AD292"/>
      <c r="AE292"/>
      <c r="AF292"/>
      <c r="AG292"/>
      <c r="AH292"/>
    </row>
    <row r="293" spans="1:34" x14ac:dyDescent="0.25">
      <c r="A293" s="78">
        <v>20210622</v>
      </c>
      <c r="B293" s="165" t="s">
        <v>1256</v>
      </c>
      <c r="C293" s="165" t="s">
        <v>1257</v>
      </c>
      <c r="D293" s="165">
        <v>1</v>
      </c>
      <c r="E293" s="165" t="s">
        <v>1250</v>
      </c>
      <c r="F293" s="165" t="s">
        <v>1271</v>
      </c>
      <c r="G293" s="165" t="s">
        <v>1671</v>
      </c>
      <c r="H293" s="165" t="s">
        <v>969</v>
      </c>
      <c r="I293" s="165">
        <v>44371</v>
      </c>
      <c r="J293">
        <v>44371</v>
      </c>
      <c r="K293" s="165" t="s">
        <v>1671</v>
      </c>
      <c r="L293">
        <v>398.9</v>
      </c>
      <c r="M293">
        <v>44399</v>
      </c>
      <c r="O293"/>
      <c r="P293"/>
      <c r="Q293"/>
      <c r="R293" s="165">
        <v>398.9</v>
      </c>
      <c r="S293" s="165"/>
      <c r="T293" t="s">
        <v>1267</v>
      </c>
      <c r="U293" s="165" t="s">
        <v>1267</v>
      </c>
      <c r="V293" s="165" t="s">
        <v>1267</v>
      </c>
      <c r="W293"/>
      <c r="X293"/>
      <c r="AB293"/>
      <c r="AC293"/>
      <c r="AD293"/>
      <c r="AE293"/>
      <c r="AF293"/>
      <c r="AG293"/>
      <c r="AH293"/>
    </row>
    <row r="294" spans="1:34" x14ac:dyDescent="0.25">
      <c r="A294" s="78">
        <v>20210636</v>
      </c>
      <c r="B294" s="165" t="s">
        <v>97</v>
      </c>
      <c r="C294" s="165" t="s">
        <v>1264</v>
      </c>
      <c r="D294" s="165">
        <v>2</v>
      </c>
      <c r="E294" s="165" t="s">
        <v>1250</v>
      </c>
      <c r="F294" s="165" t="s">
        <v>1265</v>
      </c>
      <c r="G294" s="165" t="s">
        <v>1671</v>
      </c>
      <c r="H294" s="165" t="s">
        <v>1043</v>
      </c>
      <c r="I294" s="165">
        <v>44375</v>
      </c>
      <c r="J294">
        <v>44375</v>
      </c>
      <c r="K294" s="165" t="s">
        <v>1671</v>
      </c>
      <c r="M294">
        <v>44403</v>
      </c>
      <c r="O294"/>
      <c r="P294"/>
      <c r="Q294"/>
      <c r="R294" s="165">
        <v>0</v>
      </c>
      <c r="S294" s="165"/>
      <c r="T294" t="s">
        <v>1267</v>
      </c>
      <c r="U294" s="165" t="s">
        <v>1267</v>
      </c>
      <c r="V294" s="165" t="s">
        <v>1267</v>
      </c>
      <c r="W294"/>
      <c r="X294"/>
      <c r="AB294"/>
      <c r="AC294"/>
      <c r="AD294"/>
      <c r="AE294"/>
      <c r="AF294"/>
      <c r="AG294"/>
      <c r="AH294"/>
    </row>
    <row r="295" spans="1:34" x14ac:dyDescent="0.25">
      <c r="A295" s="78">
        <v>20210632</v>
      </c>
      <c r="B295" s="165" t="s">
        <v>1256</v>
      </c>
      <c r="C295" s="165" t="s">
        <v>1281</v>
      </c>
      <c r="D295" s="165">
        <v>1</v>
      </c>
      <c r="E295" s="165" t="s">
        <v>1250</v>
      </c>
      <c r="F295" s="165" t="s">
        <v>1282</v>
      </c>
      <c r="G295" s="165" t="s">
        <v>1671</v>
      </c>
      <c r="H295" s="165" t="s">
        <v>969</v>
      </c>
      <c r="I295" s="165">
        <v>44372</v>
      </c>
      <c r="J295">
        <v>44372</v>
      </c>
      <c r="K295" s="165" t="s">
        <v>1671</v>
      </c>
      <c r="L295">
        <v>370</v>
      </c>
      <c r="M295">
        <v>44382</v>
      </c>
      <c r="O295"/>
      <c r="P295"/>
      <c r="Q295"/>
      <c r="R295" s="165">
        <v>370</v>
      </c>
      <c r="S295" s="165"/>
      <c r="T295" t="s">
        <v>1267</v>
      </c>
      <c r="U295" s="165" t="s">
        <v>1267</v>
      </c>
      <c r="V295" s="165" t="s">
        <v>1267</v>
      </c>
      <c r="W295"/>
      <c r="X295"/>
      <c r="AB295"/>
      <c r="AC295"/>
      <c r="AD295"/>
      <c r="AE295"/>
      <c r="AF295"/>
      <c r="AG295"/>
      <c r="AH295"/>
    </row>
    <row r="296" spans="1:34" x14ac:dyDescent="0.25">
      <c r="A296" s="78">
        <v>20210640</v>
      </c>
      <c r="B296" s="165" t="s">
        <v>97</v>
      </c>
      <c r="C296" s="165" t="s">
        <v>1302</v>
      </c>
      <c r="D296" s="165">
        <v>1</v>
      </c>
      <c r="E296" s="165" t="s">
        <v>1250</v>
      </c>
      <c r="F296" s="165" t="s">
        <v>1473</v>
      </c>
      <c r="G296" s="165" t="s">
        <v>1671</v>
      </c>
      <c r="H296" s="165" t="s">
        <v>969</v>
      </c>
      <c r="I296" s="165">
        <v>44407</v>
      </c>
      <c r="J296">
        <v>44407</v>
      </c>
      <c r="K296" s="165" t="s">
        <v>1671</v>
      </c>
      <c r="L296">
        <v>692.08</v>
      </c>
      <c r="M296">
        <v>44391</v>
      </c>
      <c r="O296"/>
      <c r="P296"/>
      <c r="Q296"/>
      <c r="R296" s="165">
        <v>692.08</v>
      </c>
      <c r="S296" s="165"/>
      <c r="T296" t="s">
        <v>1267</v>
      </c>
      <c r="U296" s="165" t="s">
        <v>1267</v>
      </c>
      <c r="V296" s="165" t="s">
        <v>1267</v>
      </c>
      <c r="W296"/>
      <c r="X296"/>
      <c r="AB296"/>
      <c r="AC296"/>
      <c r="AD296"/>
      <c r="AE296"/>
      <c r="AF296"/>
      <c r="AG296"/>
      <c r="AH296"/>
    </row>
    <row r="297" spans="1:34" x14ac:dyDescent="0.25">
      <c r="A297" s="78">
        <v>20210640</v>
      </c>
      <c r="B297" s="165" t="s">
        <v>1292</v>
      </c>
      <c r="C297" s="165" t="s">
        <v>1293</v>
      </c>
      <c r="D297" s="165">
        <v>1</v>
      </c>
      <c r="E297" s="165" t="s">
        <v>1250</v>
      </c>
      <c r="F297" s="165" t="s">
        <v>1474</v>
      </c>
      <c r="G297" s="165" t="s">
        <v>1671</v>
      </c>
      <c r="H297" s="165" t="s">
        <v>969</v>
      </c>
      <c r="I297" s="165">
        <v>44382</v>
      </c>
      <c r="J297">
        <v>44382</v>
      </c>
      <c r="K297" s="165" t="s">
        <v>1671</v>
      </c>
      <c r="L297">
        <v>1450</v>
      </c>
      <c r="M297">
        <v>44397</v>
      </c>
      <c r="O297"/>
      <c r="P297"/>
      <c r="Q297"/>
      <c r="R297" s="165">
        <v>1450</v>
      </c>
      <c r="S297" s="165"/>
      <c r="T297" t="s">
        <v>1267</v>
      </c>
      <c r="U297" s="165" t="s">
        <v>1267</v>
      </c>
      <c r="V297" s="165" t="s">
        <v>1267</v>
      </c>
      <c r="W297"/>
      <c r="X297"/>
      <c r="AB297"/>
      <c r="AC297"/>
      <c r="AD297"/>
      <c r="AE297"/>
      <c r="AF297"/>
      <c r="AG297"/>
      <c r="AH297"/>
    </row>
    <row r="298" spans="1:34" x14ac:dyDescent="0.25">
      <c r="A298" s="78">
        <v>20210647</v>
      </c>
      <c r="B298" s="165" t="s">
        <v>97</v>
      </c>
      <c r="C298" s="165" t="s">
        <v>1296</v>
      </c>
      <c r="D298" s="165">
        <v>1</v>
      </c>
      <c r="E298" s="165" t="s">
        <v>1250</v>
      </c>
      <c r="F298" s="165" t="s">
        <v>1475</v>
      </c>
      <c r="G298" s="165" t="s">
        <v>1671</v>
      </c>
      <c r="H298" s="165" t="s">
        <v>945</v>
      </c>
      <c r="I298" s="165">
        <v>44382</v>
      </c>
      <c r="J298">
        <v>44382</v>
      </c>
      <c r="K298" s="165" t="s">
        <v>1671</v>
      </c>
      <c r="L298">
        <v>350</v>
      </c>
      <c r="M298">
        <v>44383</v>
      </c>
      <c r="O298"/>
      <c r="P298"/>
      <c r="Q298"/>
      <c r="R298" s="165">
        <v>350</v>
      </c>
      <c r="S298" s="165"/>
      <c r="T298" t="s">
        <v>1267</v>
      </c>
      <c r="U298" s="165" t="s">
        <v>1267</v>
      </c>
      <c r="V298" s="165" t="s">
        <v>1267</v>
      </c>
      <c r="W298"/>
      <c r="X298"/>
      <c r="AB298"/>
      <c r="AC298"/>
      <c r="AD298"/>
      <c r="AE298"/>
      <c r="AF298"/>
      <c r="AG298"/>
      <c r="AH298"/>
    </row>
    <row r="299" spans="1:34" x14ac:dyDescent="0.25">
      <c r="A299" s="78">
        <v>20210639</v>
      </c>
      <c r="B299" s="165" t="s">
        <v>1256</v>
      </c>
      <c r="C299" s="165" t="s">
        <v>1281</v>
      </c>
      <c r="D299" s="165">
        <v>1</v>
      </c>
      <c r="E299" s="165" t="s">
        <v>1250</v>
      </c>
      <c r="F299" s="165" t="s">
        <v>1282</v>
      </c>
      <c r="G299" s="165" t="s">
        <v>1671</v>
      </c>
      <c r="H299" s="165" t="s">
        <v>922</v>
      </c>
      <c r="I299" s="165">
        <v>44385</v>
      </c>
      <c r="J299">
        <v>44385</v>
      </c>
      <c r="K299" s="165" t="s">
        <v>1671</v>
      </c>
      <c r="L299">
        <v>405</v>
      </c>
      <c r="M299">
        <v>44405</v>
      </c>
      <c r="O299"/>
      <c r="P299"/>
      <c r="Q299"/>
      <c r="R299" s="165">
        <v>405</v>
      </c>
      <c r="S299" s="165"/>
      <c r="T299" t="s">
        <v>1267</v>
      </c>
      <c r="U299" s="165" t="s">
        <v>1267</v>
      </c>
      <c r="V299" s="165" t="s">
        <v>1267</v>
      </c>
      <c r="W299"/>
      <c r="X299"/>
      <c r="AB299"/>
      <c r="AC299"/>
      <c r="AD299"/>
      <c r="AE299"/>
      <c r="AF299"/>
      <c r="AG299"/>
      <c r="AH299"/>
    </row>
    <row r="300" spans="1:34" x14ac:dyDescent="0.25">
      <c r="A300" s="78">
        <v>20210662</v>
      </c>
      <c r="B300" s="165" t="s">
        <v>1292</v>
      </c>
      <c r="C300" s="165" t="s">
        <v>1293</v>
      </c>
      <c r="D300" s="165">
        <v>1</v>
      </c>
      <c r="E300" s="165" t="s">
        <v>1250</v>
      </c>
      <c r="F300" s="165" t="s">
        <v>1476</v>
      </c>
      <c r="G300" s="165" t="s">
        <v>1671</v>
      </c>
      <c r="H300" s="165" t="s">
        <v>943</v>
      </c>
      <c r="I300" s="165">
        <v>44386</v>
      </c>
      <c r="J300">
        <v>44386</v>
      </c>
      <c r="K300" s="165" t="s">
        <v>1671</v>
      </c>
      <c r="L300">
        <v>56.41</v>
      </c>
      <c r="M300">
        <v>44396</v>
      </c>
      <c r="O300"/>
      <c r="P300"/>
      <c r="Q300"/>
      <c r="R300" s="165">
        <v>56.41</v>
      </c>
      <c r="S300" s="165"/>
      <c r="T300" t="s">
        <v>1267</v>
      </c>
      <c r="U300" s="165" t="s">
        <v>1267</v>
      </c>
      <c r="V300" s="165" t="s">
        <v>1267</v>
      </c>
      <c r="W300"/>
      <c r="X300"/>
      <c r="AB300"/>
      <c r="AC300"/>
      <c r="AD300"/>
      <c r="AE300"/>
      <c r="AF300"/>
      <c r="AG300"/>
      <c r="AH300"/>
    </row>
    <row r="301" spans="1:34" x14ac:dyDescent="0.25">
      <c r="A301" s="78">
        <v>20210505</v>
      </c>
      <c r="B301" s="165" t="s">
        <v>1311</v>
      </c>
      <c r="C301" s="165" t="s">
        <v>1312</v>
      </c>
      <c r="D301" s="165">
        <v>1</v>
      </c>
      <c r="E301" s="165" t="s">
        <v>1250</v>
      </c>
      <c r="F301" s="165" t="s">
        <v>1477</v>
      </c>
      <c r="G301" s="165" t="s">
        <v>1671</v>
      </c>
      <c r="H301" s="165" t="s">
        <v>1043</v>
      </c>
      <c r="I301" s="165">
        <v>44348</v>
      </c>
      <c r="J301">
        <v>44348</v>
      </c>
      <c r="K301" s="165" t="s">
        <v>1671</v>
      </c>
      <c r="L301">
        <v>150.65</v>
      </c>
      <c r="M301">
        <v>44379</v>
      </c>
      <c r="O301"/>
      <c r="P301"/>
      <c r="Q301"/>
      <c r="R301" s="165">
        <v>150.65</v>
      </c>
      <c r="S301" s="165"/>
      <c r="T301" t="s">
        <v>1267</v>
      </c>
      <c r="U301" s="165" t="s">
        <v>1267</v>
      </c>
      <c r="V301" s="165" t="s">
        <v>1267</v>
      </c>
      <c r="W301"/>
      <c r="X301"/>
      <c r="AB301"/>
      <c r="AC301"/>
      <c r="AD301"/>
      <c r="AE301"/>
      <c r="AF301"/>
      <c r="AG301"/>
      <c r="AH301"/>
    </row>
    <row r="302" spans="1:34" x14ac:dyDescent="0.25">
      <c r="A302" s="78">
        <v>20210405</v>
      </c>
      <c r="B302" s="165" t="s">
        <v>1311</v>
      </c>
      <c r="C302" s="165" t="s">
        <v>1312</v>
      </c>
      <c r="D302" s="165">
        <v>1</v>
      </c>
      <c r="E302" s="165" t="s">
        <v>1250</v>
      </c>
      <c r="F302" s="165" t="s">
        <v>1478</v>
      </c>
      <c r="G302" s="165" t="s">
        <v>1671</v>
      </c>
      <c r="H302" s="165" t="s">
        <v>937</v>
      </c>
      <c r="I302" s="165">
        <v>44375</v>
      </c>
      <c r="J302">
        <v>44375</v>
      </c>
      <c r="K302" s="165" t="s">
        <v>1671</v>
      </c>
      <c r="L302">
        <v>350</v>
      </c>
      <c r="M302">
        <v>44406</v>
      </c>
      <c r="O302"/>
      <c r="P302"/>
      <c r="Q302"/>
      <c r="R302" s="165">
        <v>350</v>
      </c>
      <c r="S302" s="165"/>
      <c r="T302" t="s">
        <v>1267</v>
      </c>
      <c r="U302" s="165" t="s">
        <v>1267</v>
      </c>
      <c r="V302" s="165" t="s">
        <v>1267</v>
      </c>
      <c r="W302"/>
      <c r="X302"/>
      <c r="AB302"/>
      <c r="AC302"/>
      <c r="AD302"/>
      <c r="AE302"/>
      <c r="AF302"/>
      <c r="AG302"/>
      <c r="AH302"/>
    </row>
    <row r="303" spans="1:34" x14ac:dyDescent="0.25">
      <c r="A303" s="78">
        <v>20210405</v>
      </c>
      <c r="B303" s="165" t="s">
        <v>97</v>
      </c>
      <c r="C303" s="165" t="s">
        <v>1296</v>
      </c>
      <c r="D303" s="165">
        <v>1</v>
      </c>
      <c r="E303" s="165" t="s">
        <v>1250</v>
      </c>
      <c r="F303" s="165" t="s">
        <v>1479</v>
      </c>
      <c r="G303" s="165" t="s">
        <v>1671</v>
      </c>
      <c r="H303" s="165" t="s">
        <v>937</v>
      </c>
      <c r="I303" s="165">
        <v>44361</v>
      </c>
      <c r="J303">
        <v>44361</v>
      </c>
      <c r="K303" s="165" t="s">
        <v>1671</v>
      </c>
      <c r="L303">
        <v>662.46</v>
      </c>
      <c r="M303">
        <v>44404</v>
      </c>
      <c r="O303"/>
      <c r="P303"/>
      <c r="Q303"/>
      <c r="R303" s="165">
        <v>662.46</v>
      </c>
      <c r="S303" s="165"/>
      <c r="T303" t="s">
        <v>1267</v>
      </c>
      <c r="U303" s="165" t="s">
        <v>1267</v>
      </c>
      <c r="V303" s="165" t="s">
        <v>1267</v>
      </c>
      <c r="W303"/>
      <c r="X303"/>
      <c r="AB303"/>
      <c r="AC303"/>
      <c r="AD303"/>
      <c r="AE303"/>
      <c r="AF303"/>
      <c r="AG303"/>
      <c r="AH303"/>
    </row>
    <row r="304" spans="1:34" x14ac:dyDescent="0.25">
      <c r="A304" s="78">
        <v>20210405</v>
      </c>
      <c r="B304" s="165" t="s">
        <v>97</v>
      </c>
      <c r="C304" s="165" t="s">
        <v>1296</v>
      </c>
      <c r="D304" s="165">
        <v>1</v>
      </c>
      <c r="E304" s="165" t="s">
        <v>1250</v>
      </c>
      <c r="F304" s="165" t="s">
        <v>1450</v>
      </c>
      <c r="G304" s="165" t="s">
        <v>1671</v>
      </c>
      <c r="H304" s="165" t="s">
        <v>937</v>
      </c>
      <c r="I304" s="165">
        <v>44372</v>
      </c>
      <c r="J304">
        <v>44372</v>
      </c>
      <c r="K304" s="165" t="s">
        <v>1671</v>
      </c>
      <c r="L304">
        <v>902</v>
      </c>
      <c r="M304">
        <v>44402</v>
      </c>
      <c r="O304"/>
      <c r="P304"/>
      <c r="Q304"/>
      <c r="R304" s="165">
        <v>902</v>
      </c>
      <c r="S304" s="165"/>
      <c r="T304" t="s">
        <v>1267</v>
      </c>
      <c r="U304" s="165" t="s">
        <v>1267</v>
      </c>
      <c r="V304" s="165" t="s">
        <v>1267</v>
      </c>
      <c r="W304"/>
      <c r="X304"/>
      <c r="AB304"/>
      <c r="AC304"/>
      <c r="AD304"/>
      <c r="AE304"/>
      <c r="AF304"/>
      <c r="AG304"/>
      <c r="AH304"/>
    </row>
    <row r="305" spans="1:34" x14ac:dyDescent="0.25">
      <c r="A305" s="78">
        <v>20210405</v>
      </c>
      <c r="B305" s="165" t="s">
        <v>97</v>
      </c>
      <c r="C305" s="165" t="s">
        <v>1308</v>
      </c>
      <c r="D305" s="165">
        <v>1</v>
      </c>
      <c r="E305" s="165" t="s">
        <v>1250</v>
      </c>
      <c r="F305" s="165" t="s">
        <v>1480</v>
      </c>
      <c r="G305" s="165" t="s">
        <v>1671</v>
      </c>
      <c r="H305" s="165" t="s">
        <v>937</v>
      </c>
      <c r="I305" s="165">
        <v>44357</v>
      </c>
      <c r="J305">
        <v>44357</v>
      </c>
      <c r="K305" s="165" t="s">
        <v>1671</v>
      </c>
      <c r="L305">
        <v>800</v>
      </c>
      <c r="M305">
        <v>44403</v>
      </c>
      <c r="N305">
        <v>800</v>
      </c>
      <c r="O305">
        <v>44433</v>
      </c>
      <c r="P305">
        <v>800</v>
      </c>
      <c r="Q305">
        <v>44463</v>
      </c>
      <c r="R305" s="165">
        <v>2400</v>
      </c>
      <c r="S305" s="165"/>
      <c r="T305" t="s">
        <v>1267</v>
      </c>
      <c r="U305" s="165" t="s">
        <v>1267</v>
      </c>
      <c r="V305" s="165" t="s">
        <v>1267</v>
      </c>
      <c r="W305"/>
      <c r="X305"/>
      <c r="AB305"/>
      <c r="AC305"/>
      <c r="AD305"/>
      <c r="AE305"/>
      <c r="AF305"/>
      <c r="AG305"/>
      <c r="AH305"/>
    </row>
    <row r="306" spans="1:34" x14ac:dyDescent="0.25">
      <c r="A306" s="78">
        <v>20210405</v>
      </c>
      <c r="B306" s="165" t="s">
        <v>97</v>
      </c>
      <c r="C306" s="165" t="s">
        <v>1308</v>
      </c>
      <c r="D306" s="165">
        <v>1</v>
      </c>
      <c r="E306" s="165" t="s">
        <v>1250</v>
      </c>
      <c r="F306" s="165" t="s">
        <v>1481</v>
      </c>
      <c r="G306" s="165" t="s">
        <v>1671</v>
      </c>
      <c r="H306" s="165" t="s">
        <v>937</v>
      </c>
      <c r="I306" s="165">
        <v>44357</v>
      </c>
      <c r="J306">
        <v>44357</v>
      </c>
      <c r="K306" s="165" t="s">
        <v>1671</v>
      </c>
      <c r="L306">
        <v>1359.73</v>
      </c>
      <c r="M306">
        <v>44403</v>
      </c>
      <c r="O306"/>
      <c r="P306"/>
      <c r="Q306"/>
      <c r="R306" s="165">
        <v>1359.73</v>
      </c>
      <c r="S306" s="165"/>
      <c r="T306" t="s">
        <v>1267</v>
      </c>
      <c r="U306" s="165" t="s">
        <v>1267</v>
      </c>
      <c r="V306" s="165" t="s">
        <v>1267</v>
      </c>
      <c r="W306"/>
      <c r="X306"/>
      <c r="AB306"/>
      <c r="AC306"/>
      <c r="AD306"/>
      <c r="AE306"/>
      <c r="AF306"/>
      <c r="AG306"/>
      <c r="AH306"/>
    </row>
    <row r="307" spans="1:34" x14ac:dyDescent="0.25">
      <c r="A307" s="78">
        <v>20210405</v>
      </c>
      <c r="B307" s="165" t="s">
        <v>97</v>
      </c>
      <c r="C307" s="165" t="s">
        <v>1308</v>
      </c>
      <c r="D307" s="165">
        <v>1</v>
      </c>
      <c r="E307" s="165" t="s">
        <v>1250</v>
      </c>
      <c r="F307" s="165" t="s">
        <v>1481</v>
      </c>
      <c r="G307" s="165" t="s">
        <v>1671</v>
      </c>
      <c r="H307" s="165" t="s">
        <v>937</v>
      </c>
      <c r="I307" s="165">
        <v>44371</v>
      </c>
      <c r="J307">
        <v>44371</v>
      </c>
      <c r="K307" s="165" t="s">
        <v>1671</v>
      </c>
      <c r="L307">
        <v>60</v>
      </c>
      <c r="M307">
        <v>44399</v>
      </c>
      <c r="O307"/>
      <c r="P307"/>
      <c r="Q307"/>
      <c r="R307" s="165">
        <v>60</v>
      </c>
      <c r="S307" s="165"/>
      <c r="T307" t="s">
        <v>1267</v>
      </c>
      <c r="U307" s="165" t="s">
        <v>1267</v>
      </c>
      <c r="V307" s="165" t="s">
        <v>1267</v>
      </c>
      <c r="W307"/>
      <c r="X307"/>
      <c r="AB307"/>
      <c r="AC307"/>
      <c r="AD307"/>
      <c r="AE307"/>
      <c r="AF307"/>
      <c r="AG307"/>
      <c r="AH307"/>
    </row>
    <row r="308" spans="1:34" x14ac:dyDescent="0.25">
      <c r="A308" s="78">
        <v>20210405</v>
      </c>
      <c r="B308" s="165" t="s">
        <v>97</v>
      </c>
      <c r="C308" s="165" t="s">
        <v>1308</v>
      </c>
      <c r="D308" s="165">
        <v>1</v>
      </c>
      <c r="E308" s="165" t="s">
        <v>1250</v>
      </c>
      <c r="F308" s="165" t="s">
        <v>1481</v>
      </c>
      <c r="G308" s="165" t="s">
        <v>1671</v>
      </c>
      <c r="H308" s="165" t="s">
        <v>937</v>
      </c>
      <c r="I308" s="165">
        <v>44361</v>
      </c>
      <c r="J308">
        <v>44361</v>
      </c>
      <c r="K308" s="165" t="s">
        <v>1671</v>
      </c>
      <c r="L308">
        <v>1500.19</v>
      </c>
      <c r="M308">
        <v>44399</v>
      </c>
      <c r="O308"/>
      <c r="P308"/>
      <c r="Q308"/>
      <c r="R308" s="165">
        <v>1500.19</v>
      </c>
      <c r="S308" s="165"/>
      <c r="T308" t="s">
        <v>1267</v>
      </c>
      <c r="U308" s="165" t="s">
        <v>1267</v>
      </c>
      <c r="V308" s="165" t="s">
        <v>1267</v>
      </c>
      <c r="W308"/>
      <c r="X308"/>
      <c r="AB308"/>
      <c r="AC308"/>
      <c r="AD308"/>
      <c r="AE308"/>
      <c r="AF308"/>
      <c r="AG308"/>
      <c r="AH308"/>
    </row>
    <row r="309" spans="1:34" x14ac:dyDescent="0.25">
      <c r="A309" s="78">
        <v>20210405</v>
      </c>
      <c r="B309" s="165" t="s">
        <v>97</v>
      </c>
      <c r="C309" s="165" t="s">
        <v>1308</v>
      </c>
      <c r="D309" s="165">
        <v>1</v>
      </c>
      <c r="E309" s="165" t="s">
        <v>1250</v>
      </c>
      <c r="F309" s="165" t="s">
        <v>1481</v>
      </c>
      <c r="G309" s="165" t="s">
        <v>1671</v>
      </c>
      <c r="H309" s="165" t="s">
        <v>937</v>
      </c>
      <c r="I309" s="165">
        <v>44361</v>
      </c>
      <c r="J309">
        <v>44361</v>
      </c>
      <c r="K309" s="165" t="s">
        <v>1671</v>
      </c>
      <c r="L309">
        <v>2869.51</v>
      </c>
      <c r="M309">
        <v>44399</v>
      </c>
      <c r="O309"/>
      <c r="P309"/>
      <c r="Q309"/>
      <c r="R309" s="165">
        <v>2869.51</v>
      </c>
      <c r="S309" s="165"/>
      <c r="T309" t="s">
        <v>1267</v>
      </c>
      <c r="U309" s="165" t="s">
        <v>1267</v>
      </c>
      <c r="V309" s="165" t="s">
        <v>1267</v>
      </c>
      <c r="W309"/>
      <c r="X309"/>
      <c r="AB309"/>
      <c r="AC309"/>
      <c r="AD309"/>
      <c r="AE309"/>
      <c r="AF309"/>
      <c r="AG309"/>
      <c r="AH309"/>
    </row>
    <row r="310" spans="1:34" x14ac:dyDescent="0.25">
      <c r="A310" s="78">
        <v>20210405</v>
      </c>
      <c r="B310" s="165" t="s">
        <v>97</v>
      </c>
      <c r="C310" s="165" t="s">
        <v>1308</v>
      </c>
      <c r="D310" s="165">
        <v>1</v>
      </c>
      <c r="E310" s="165" t="s">
        <v>1250</v>
      </c>
      <c r="F310" s="165" t="s">
        <v>1478</v>
      </c>
      <c r="G310" s="165" t="s">
        <v>1671</v>
      </c>
      <c r="H310" s="165" t="s">
        <v>937</v>
      </c>
      <c r="I310" s="165">
        <v>44368</v>
      </c>
      <c r="J310">
        <v>44368</v>
      </c>
      <c r="K310" s="165" t="s">
        <v>1671</v>
      </c>
      <c r="L310">
        <v>350</v>
      </c>
      <c r="M310">
        <v>44398</v>
      </c>
      <c r="O310"/>
      <c r="P310"/>
      <c r="Q310"/>
      <c r="R310" s="165">
        <v>350</v>
      </c>
      <c r="S310" s="165"/>
      <c r="T310" t="s">
        <v>1267</v>
      </c>
      <c r="U310" s="165" t="s">
        <v>1267</v>
      </c>
      <c r="V310" s="165" t="s">
        <v>1267</v>
      </c>
      <c r="W310"/>
      <c r="X310"/>
      <c r="AB310"/>
      <c r="AC310"/>
      <c r="AD310"/>
      <c r="AE310"/>
      <c r="AF310"/>
      <c r="AG310"/>
      <c r="AH310"/>
    </row>
    <row r="311" spans="1:34" x14ac:dyDescent="0.25">
      <c r="A311" s="78">
        <v>20210405</v>
      </c>
      <c r="B311" s="165" t="s">
        <v>97</v>
      </c>
      <c r="C311" s="165" t="s">
        <v>1308</v>
      </c>
      <c r="D311" s="165">
        <v>1</v>
      </c>
      <c r="E311" s="165" t="s">
        <v>1250</v>
      </c>
      <c r="F311" s="165" t="s">
        <v>1482</v>
      </c>
      <c r="G311" s="165" t="s">
        <v>1671</v>
      </c>
      <c r="H311" s="165" t="s">
        <v>937</v>
      </c>
      <c r="I311" s="165">
        <v>44361</v>
      </c>
      <c r="J311">
        <v>44361</v>
      </c>
      <c r="K311" s="165" t="s">
        <v>1671</v>
      </c>
      <c r="L311">
        <v>2999</v>
      </c>
      <c r="M311">
        <v>44396</v>
      </c>
      <c r="O311"/>
      <c r="P311"/>
      <c r="Q311"/>
      <c r="R311" s="165">
        <v>2999</v>
      </c>
      <c r="S311" s="165"/>
      <c r="T311" t="s">
        <v>1267</v>
      </c>
      <c r="U311" s="165" t="s">
        <v>1267</v>
      </c>
      <c r="V311" s="165" t="s">
        <v>1267</v>
      </c>
      <c r="W311"/>
      <c r="X311"/>
      <c r="AB311"/>
      <c r="AC311"/>
      <c r="AD311"/>
      <c r="AE311"/>
      <c r="AF311"/>
      <c r="AG311"/>
      <c r="AH311"/>
    </row>
    <row r="312" spans="1:34" x14ac:dyDescent="0.25">
      <c r="A312" s="78">
        <v>20210405</v>
      </c>
      <c r="B312" s="165" t="s">
        <v>97</v>
      </c>
      <c r="C312" s="165" t="s">
        <v>1308</v>
      </c>
      <c r="D312" s="165">
        <v>1</v>
      </c>
      <c r="E312" s="165" t="s">
        <v>1250</v>
      </c>
      <c r="F312" s="165" t="s">
        <v>1483</v>
      </c>
      <c r="G312" s="165" t="s">
        <v>1671</v>
      </c>
      <c r="H312" s="165" t="s">
        <v>937</v>
      </c>
      <c r="I312" s="165">
        <v>44361</v>
      </c>
      <c r="J312">
        <v>44361</v>
      </c>
      <c r="K312" s="165" t="s">
        <v>1671</v>
      </c>
      <c r="L312">
        <v>1018.16</v>
      </c>
      <c r="M312">
        <v>44392</v>
      </c>
      <c r="O312"/>
      <c r="P312"/>
      <c r="Q312"/>
      <c r="R312" s="165">
        <v>1018.16</v>
      </c>
      <c r="S312" s="165"/>
      <c r="T312" t="s">
        <v>1267</v>
      </c>
      <c r="U312" s="165" t="s">
        <v>1267</v>
      </c>
      <c r="V312" s="165" t="s">
        <v>1267</v>
      </c>
      <c r="W312"/>
      <c r="X312"/>
      <c r="AB312"/>
      <c r="AC312"/>
      <c r="AD312"/>
      <c r="AE312"/>
      <c r="AF312"/>
      <c r="AG312"/>
      <c r="AH312"/>
    </row>
    <row r="313" spans="1:34" x14ac:dyDescent="0.25">
      <c r="A313" s="78">
        <v>20210405</v>
      </c>
      <c r="B313" s="165" t="s">
        <v>97</v>
      </c>
      <c r="C313" s="165" t="s">
        <v>1308</v>
      </c>
      <c r="D313" s="165">
        <v>1</v>
      </c>
      <c r="E313" s="165" t="s">
        <v>1250</v>
      </c>
      <c r="F313" s="165" t="s">
        <v>1484</v>
      </c>
      <c r="G313" s="165" t="s">
        <v>1671</v>
      </c>
      <c r="H313" s="165" t="s">
        <v>937</v>
      </c>
      <c r="I313" s="165">
        <v>44361</v>
      </c>
      <c r="J313">
        <v>44361</v>
      </c>
      <c r="K313" s="165" t="s">
        <v>1671</v>
      </c>
      <c r="L313">
        <v>74.400000000000006</v>
      </c>
      <c r="M313">
        <v>44392</v>
      </c>
      <c r="O313"/>
      <c r="P313"/>
      <c r="Q313"/>
      <c r="R313" s="165">
        <v>74.400000000000006</v>
      </c>
      <c r="S313" s="165"/>
      <c r="T313" t="s">
        <v>1267</v>
      </c>
      <c r="U313" s="165" t="s">
        <v>1267</v>
      </c>
      <c r="V313" s="165" t="s">
        <v>1267</v>
      </c>
      <c r="W313"/>
      <c r="X313"/>
      <c r="AB313"/>
      <c r="AC313"/>
      <c r="AD313"/>
      <c r="AE313"/>
      <c r="AF313"/>
      <c r="AG313"/>
      <c r="AH313"/>
    </row>
    <row r="314" spans="1:34" x14ac:dyDescent="0.25">
      <c r="A314" s="78">
        <v>20210405</v>
      </c>
      <c r="B314" s="165" t="s">
        <v>97</v>
      </c>
      <c r="C314" s="165" t="s">
        <v>1308</v>
      </c>
      <c r="D314" s="165">
        <v>1</v>
      </c>
      <c r="E314" s="165" t="s">
        <v>1250</v>
      </c>
      <c r="F314" s="165" t="s">
        <v>1478</v>
      </c>
      <c r="G314" s="165" t="s">
        <v>1671</v>
      </c>
      <c r="H314" s="165" t="s">
        <v>937</v>
      </c>
      <c r="I314" s="165">
        <v>44368</v>
      </c>
      <c r="J314">
        <v>44368</v>
      </c>
      <c r="K314" s="165" t="s">
        <v>1671</v>
      </c>
      <c r="L314">
        <v>350</v>
      </c>
      <c r="M314">
        <v>44391</v>
      </c>
      <c r="O314"/>
      <c r="P314"/>
      <c r="Q314"/>
      <c r="R314" s="165">
        <v>350</v>
      </c>
      <c r="S314" s="165"/>
      <c r="T314" t="s">
        <v>1267</v>
      </c>
      <c r="U314" s="165" t="s">
        <v>1267</v>
      </c>
      <c r="V314" s="165" t="s">
        <v>1267</v>
      </c>
      <c r="W314"/>
      <c r="X314"/>
      <c r="AB314"/>
      <c r="AC314"/>
      <c r="AD314"/>
      <c r="AE314"/>
      <c r="AF314"/>
      <c r="AG314"/>
      <c r="AH314"/>
    </row>
    <row r="315" spans="1:34" x14ac:dyDescent="0.25">
      <c r="A315" s="78">
        <v>20210405</v>
      </c>
      <c r="B315" s="165" t="s">
        <v>97</v>
      </c>
      <c r="C315" s="165" t="s">
        <v>1308</v>
      </c>
      <c r="D315" s="165">
        <v>1</v>
      </c>
      <c r="E315" s="165" t="s">
        <v>1250</v>
      </c>
      <c r="F315" s="165" t="s">
        <v>1485</v>
      </c>
      <c r="G315" s="165" t="s">
        <v>1671</v>
      </c>
      <c r="H315" s="165" t="s">
        <v>937</v>
      </c>
      <c r="I315" s="165">
        <v>44361</v>
      </c>
      <c r="J315">
        <v>44361</v>
      </c>
      <c r="K315" s="165" t="s">
        <v>1671</v>
      </c>
      <c r="L315">
        <v>274.55</v>
      </c>
      <c r="M315">
        <v>44391</v>
      </c>
      <c r="O315"/>
      <c r="P315"/>
      <c r="Q315"/>
      <c r="R315" s="165">
        <v>274.55</v>
      </c>
      <c r="S315" s="165"/>
      <c r="T315" t="s">
        <v>1267</v>
      </c>
      <c r="U315" s="165" t="s">
        <v>1267</v>
      </c>
      <c r="V315" s="165" t="s">
        <v>1267</v>
      </c>
      <c r="W315"/>
      <c r="X315"/>
      <c r="AB315"/>
      <c r="AC315"/>
      <c r="AD315"/>
      <c r="AE315"/>
      <c r="AF315"/>
      <c r="AG315"/>
      <c r="AH315"/>
    </row>
    <row r="316" spans="1:34" x14ac:dyDescent="0.25">
      <c r="A316" s="78">
        <v>20210405</v>
      </c>
      <c r="B316" s="165" t="s">
        <v>97</v>
      </c>
      <c r="C316" s="165" t="s">
        <v>1308</v>
      </c>
      <c r="D316" s="165">
        <v>1</v>
      </c>
      <c r="E316" s="165" t="s">
        <v>1250</v>
      </c>
      <c r="F316" s="165" t="s">
        <v>1340</v>
      </c>
      <c r="G316" s="165" t="s">
        <v>1671</v>
      </c>
      <c r="H316" s="165" t="s">
        <v>937</v>
      </c>
      <c r="I316" s="165">
        <v>44361</v>
      </c>
      <c r="J316">
        <v>44361</v>
      </c>
      <c r="K316" s="165" t="s">
        <v>1671</v>
      </c>
      <c r="L316">
        <v>201.34</v>
      </c>
      <c r="M316">
        <v>44390</v>
      </c>
      <c r="O316"/>
      <c r="P316"/>
      <c r="Q316"/>
      <c r="R316" s="165">
        <v>201.34</v>
      </c>
      <c r="S316" s="165"/>
      <c r="T316" t="s">
        <v>1267</v>
      </c>
      <c r="U316" s="165" t="s">
        <v>1267</v>
      </c>
      <c r="V316" s="165" t="s">
        <v>1267</v>
      </c>
      <c r="W316"/>
      <c r="X316"/>
      <c r="AB316"/>
      <c r="AC316"/>
      <c r="AD316"/>
      <c r="AE316"/>
      <c r="AF316"/>
      <c r="AG316"/>
      <c r="AH316"/>
    </row>
    <row r="317" spans="1:34" x14ac:dyDescent="0.25">
      <c r="A317" s="78">
        <v>20210405</v>
      </c>
      <c r="B317" s="165" t="s">
        <v>97</v>
      </c>
      <c r="C317" s="165" t="s">
        <v>1308</v>
      </c>
      <c r="D317" s="165">
        <v>1</v>
      </c>
      <c r="E317" s="165" t="s">
        <v>1250</v>
      </c>
      <c r="F317" s="165" t="s">
        <v>1486</v>
      </c>
      <c r="G317" s="165" t="s">
        <v>1671</v>
      </c>
      <c r="H317" s="165" t="s">
        <v>937</v>
      </c>
      <c r="I317" s="165">
        <v>44361</v>
      </c>
      <c r="J317">
        <v>44361</v>
      </c>
      <c r="K317" s="165" t="s">
        <v>1671</v>
      </c>
      <c r="L317">
        <v>461.11</v>
      </c>
      <c r="M317">
        <v>44390</v>
      </c>
      <c r="O317"/>
      <c r="P317"/>
      <c r="Q317"/>
      <c r="R317" s="165">
        <v>461.11</v>
      </c>
      <c r="S317" s="165"/>
      <c r="T317" t="s">
        <v>1267</v>
      </c>
      <c r="U317" s="165" t="s">
        <v>1267</v>
      </c>
      <c r="V317" s="165" t="s">
        <v>1267</v>
      </c>
      <c r="W317"/>
      <c r="X317"/>
      <c r="AB317"/>
      <c r="AC317"/>
      <c r="AD317"/>
      <c r="AE317"/>
      <c r="AF317"/>
      <c r="AG317"/>
      <c r="AH317"/>
    </row>
    <row r="318" spans="1:34" x14ac:dyDescent="0.25">
      <c r="A318" s="78">
        <v>20210405</v>
      </c>
      <c r="B318" s="165" t="s">
        <v>97</v>
      </c>
      <c r="C318" s="165" t="s">
        <v>1308</v>
      </c>
      <c r="D318" s="165">
        <v>1</v>
      </c>
      <c r="E318" s="165" t="s">
        <v>1250</v>
      </c>
      <c r="F318" s="165" t="s">
        <v>1487</v>
      </c>
      <c r="G318" s="165" t="s">
        <v>1671</v>
      </c>
      <c r="H318" s="165" t="s">
        <v>937</v>
      </c>
      <c r="I318" s="165">
        <v>44361</v>
      </c>
      <c r="J318">
        <v>44361</v>
      </c>
      <c r="K318" s="165" t="s">
        <v>1671</v>
      </c>
      <c r="L318">
        <v>618.89</v>
      </c>
      <c r="M318">
        <v>44389</v>
      </c>
      <c r="O318"/>
      <c r="P318"/>
      <c r="Q318"/>
      <c r="R318" s="165">
        <v>618.89</v>
      </c>
      <c r="S318" s="165"/>
      <c r="T318" t="s">
        <v>1267</v>
      </c>
      <c r="U318" s="165" t="s">
        <v>1267</v>
      </c>
      <c r="V318" s="165" t="s">
        <v>1267</v>
      </c>
      <c r="W318"/>
      <c r="X318"/>
      <c r="AB318"/>
      <c r="AC318"/>
      <c r="AD318"/>
      <c r="AE318"/>
      <c r="AF318"/>
      <c r="AG318"/>
      <c r="AH318"/>
    </row>
    <row r="319" spans="1:34" x14ac:dyDescent="0.25">
      <c r="A319" s="78">
        <v>20210405</v>
      </c>
      <c r="B319" s="165" t="s">
        <v>97</v>
      </c>
      <c r="C319" s="165" t="s">
        <v>1308</v>
      </c>
      <c r="D319" s="165">
        <v>1</v>
      </c>
      <c r="E319" s="165" t="s">
        <v>1250</v>
      </c>
      <c r="F319" s="165" t="s">
        <v>1488</v>
      </c>
      <c r="G319" s="165" t="s">
        <v>1671</v>
      </c>
      <c r="H319" s="165" t="s">
        <v>937</v>
      </c>
      <c r="I319" s="165">
        <v>44361</v>
      </c>
      <c r="J319">
        <v>44361</v>
      </c>
      <c r="K319" s="165" t="s">
        <v>1671</v>
      </c>
      <c r="L319">
        <v>197.5</v>
      </c>
      <c r="M319">
        <v>44389</v>
      </c>
      <c r="O319"/>
      <c r="P319"/>
      <c r="Q319"/>
      <c r="R319" s="165">
        <v>197.5</v>
      </c>
      <c r="S319" s="165"/>
      <c r="T319" t="s">
        <v>1267</v>
      </c>
      <c r="U319" s="165" t="s">
        <v>1267</v>
      </c>
      <c r="V319" s="165" t="s">
        <v>1267</v>
      </c>
      <c r="W319"/>
      <c r="X319"/>
      <c r="AB319"/>
      <c r="AC319"/>
      <c r="AD319"/>
      <c r="AE319"/>
      <c r="AF319"/>
      <c r="AG319"/>
      <c r="AH319"/>
    </row>
    <row r="320" spans="1:34" x14ac:dyDescent="0.25">
      <c r="A320" s="78">
        <v>20210405</v>
      </c>
      <c r="B320" s="165" t="s">
        <v>97</v>
      </c>
      <c r="C320" s="165" t="s">
        <v>1308</v>
      </c>
      <c r="D320" s="165">
        <v>1</v>
      </c>
      <c r="E320" s="165" t="s">
        <v>1250</v>
      </c>
      <c r="F320" s="165" t="s">
        <v>1489</v>
      </c>
      <c r="G320" s="165" t="s">
        <v>1671</v>
      </c>
      <c r="H320" s="165" t="s">
        <v>937</v>
      </c>
      <c r="I320" s="165">
        <v>44358</v>
      </c>
      <c r="J320">
        <v>44358</v>
      </c>
      <c r="K320" s="165" t="s">
        <v>1671</v>
      </c>
      <c r="L320">
        <v>916.16</v>
      </c>
      <c r="M320">
        <v>44389</v>
      </c>
      <c r="O320"/>
      <c r="P320"/>
      <c r="Q320"/>
      <c r="R320" s="165">
        <v>916.16</v>
      </c>
      <c r="S320" s="165"/>
      <c r="T320" t="s">
        <v>1267</v>
      </c>
      <c r="U320" s="165" t="s">
        <v>1267</v>
      </c>
      <c r="V320" s="165" t="s">
        <v>1267</v>
      </c>
      <c r="W320"/>
      <c r="X320"/>
      <c r="AB320"/>
      <c r="AC320"/>
      <c r="AD320"/>
      <c r="AE320"/>
      <c r="AF320"/>
      <c r="AG320"/>
      <c r="AH320"/>
    </row>
    <row r="321" spans="1:34" x14ac:dyDescent="0.25">
      <c r="A321" s="78">
        <v>20210405</v>
      </c>
      <c r="B321" s="165" t="s">
        <v>1311</v>
      </c>
      <c r="C321" s="165" t="s">
        <v>1312</v>
      </c>
      <c r="D321" s="165">
        <v>1</v>
      </c>
      <c r="E321" s="165" t="s">
        <v>1250</v>
      </c>
      <c r="F321" s="165" t="s">
        <v>1490</v>
      </c>
      <c r="G321" s="165" t="s">
        <v>1671</v>
      </c>
      <c r="H321" s="165" t="s">
        <v>937</v>
      </c>
      <c r="I321" s="165">
        <v>44358</v>
      </c>
      <c r="J321">
        <v>44358</v>
      </c>
      <c r="K321" s="165" t="s">
        <v>1671</v>
      </c>
      <c r="L321">
        <v>2556.21</v>
      </c>
      <c r="M321">
        <v>44389</v>
      </c>
      <c r="O321"/>
      <c r="P321"/>
      <c r="Q321"/>
      <c r="R321" s="165">
        <v>2556.21</v>
      </c>
      <c r="S321" s="165"/>
      <c r="T321" t="s">
        <v>1267</v>
      </c>
      <c r="U321" s="165" t="s">
        <v>1267</v>
      </c>
      <c r="V321" s="165" t="s">
        <v>1267</v>
      </c>
      <c r="W321"/>
      <c r="X321"/>
      <c r="AB321"/>
      <c r="AC321"/>
      <c r="AD321"/>
      <c r="AE321"/>
      <c r="AF321"/>
      <c r="AG321"/>
      <c r="AH321"/>
    </row>
    <row r="322" spans="1:34" x14ac:dyDescent="0.25">
      <c r="A322" s="78">
        <v>20210405</v>
      </c>
      <c r="B322" s="165" t="s">
        <v>1311</v>
      </c>
      <c r="C322" s="165" t="s">
        <v>1312</v>
      </c>
      <c r="D322" s="165">
        <v>1</v>
      </c>
      <c r="E322" s="165" t="s">
        <v>1250</v>
      </c>
      <c r="F322" s="165" t="s">
        <v>1481</v>
      </c>
      <c r="G322" s="165" t="s">
        <v>1671</v>
      </c>
      <c r="H322" s="165" t="s">
        <v>937</v>
      </c>
      <c r="I322" s="165">
        <v>44357</v>
      </c>
      <c r="J322">
        <v>44357</v>
      </c>
      <c r="K322" s="165" t="s">
        <v>1671</v>
      </c>
      <c r="L322">
        <v>123.75</v>
      </c>
      <c r="M322">
        <v>44389</v>
      </c>
      <c r="O322"/>
      <c r="P322"/>
      <c r="Q322"/>
      <c r="R322" s="165">
        <v>123.75</v>
      </c>
      <c r="S322" s="165"/>
      <c r="T322" t="s">
        <v>1267</v>
      </c>
      <c r="U322" s="165" t="s">
        <v>1267</v>
      </c>
      <c r="V322" s="165" t="s">
        <v>1267</v>
      </c>
      <c r="W322"/>
      <c r="X322"/>
      <c r="AB322"/>
      <c r="AC322"/>
      <c r="AD322"/>
      <c r="AE322"/>
      <c r="AF322"/>
      <c r="AG322"/>
      <c r="AH322"/>
    </row>
    <row r="323" spans="1:34" x14ac:dyDescent="0.25">
      <c r="A323" s="78">
        <v>20210405</v>
      </c>
      <c r="B323" s="165" t="s">
        <v>1311</v>
      </c>
      <c r="C323" s="165" t="s">
        <v>1312</v>
      </c>
      <c r="D323" s="165">
        <v>1</v>
      </c>
      <c r="E323" s="165" t="s">
        <v>1250</v>
      </c>
      <c r="F323" s="165" t="s">
        <v>1481</v>
      </c>
      <c r="G323" s="165" t="s">
        <v>1671</v>
      </c>
      <c r="H323" s="165" t="s">
        <v>937</v>
      </c>
      <c r="I323" s="165">
        <v>44357</v>
      </c>
      <c r="J323">
        <v>44357</v>
      </c>
      <c r="K323" s="165" t="s">
        <v>1671</v>
      </c>
      <c r="L323">
        <v>199</v>
      </c>
      <c r="M323">
        <v>44386</v>
      </c>
      <c r="O323"/>
      <c r="P323"/>
      <c r="Q323"/>
      <c r="R323" s="165">
        <v>199</v>
      </c>
      <c r="S323" s="165"/>
      <c r="T323" t="s">
        <v>1267</v>
      </c>
      <c r="U323" s="165" t="s">
        <v>1267</v>
      </c>
      <c r="V323" s="165" t="s">
        <v>1267</v>
      </c>
      <c r="W323"/>
      <c r="X323"/>
      <c r="AB323"/>
      <c r="AC323"/>
      <c r="AD323"/>
      <c r="AE323"/>
      <c r="AF323"/>
      <c r="AG323"/>
      <c r="AH323"/>
    </row>
    <row r="324" spans="1:34" x14ac:dyDescent="0.25">
      <c r="A324" s="78">
        <v>20210405</v>
      </c>
      <c r="B324" s="165" t="s">
        <v>1311</v>
      </c>
      <c r="C324" s="165" t="s">
        <v>1312</v>
      </c>
      <c r="D324" s="165">
        <v>1</v>
      </c>
      <c r="E324" s="165" t="s">
        <v>1250</v>
      </c>
      <c r="F324" s="165" t="s">
        <v>1481</v>
      </c>
      <c r="G324" s="165" t="s">
        <v>1671</v>
      </c>
      <c r="H324" s="165" t="s">
        <v>937</v>
      </c>
      <c r="I324" s="165">
        <v>44357</v>
      </c>
      <c r="J324">
        <v>44357</v>
      </c>
      <c r="K324" s="165" t="s">
        <v>1671</v>
      </c>
      <c r="L324">
        <v>991.42</v>
      </c>
      <c r="M324">
        <v>44389</v>
      </c>
      <c r="O324"/>
      <c r="P324"/>
      <c r="Q324"/>
      <c r="R324" s="165">
        <v>991.42</v>
      </c>
      <c r="S324" s="165"/>
      <c r="T324" t="s">
        <v>1267</v>
      </c>
      <c r="U324" s="165" t="s">
        <v>1267</v>
      </c>
      <c r="V324" s="165" t="s">
        <v>1267</v>
      </c>
      <c r="W324"/>
      <c r="X324"/>
      <c r="AB324"/>
      <c r="AC324"/>
      <c r="AD324"/>
      <c r="AE324"/>
      <c r="AF324"/>
      <c r="AG324"/>
      <c r="AH324"/>
    </row>
    <row r="325" spans="1:34" x14ac:dyDescent="0.25">
      <c r="A325" s="78">
        <v>20210405</v>
      </c>
      <c r="B325" s="165" t="s">
        <v>97</v>
      </c>
      <c r="C325" s="165" t="s">
        <v>1327</v>
      </c>
      <c r="D325" s="165">
        <v>1</v>
      </c>
      <c r="E325" s="165" t="s">
        <v>1250</v>
      </c>
      <c r="F325" s="165" t="s">
        <v>1491</v>
      </c>
      <c r="G325" s="165" t="s">
        <v>1671</v>
      </c>
      <c r="H325" s="165" t="s">
        <v>937</v>
      </c>
      <c r="I325" s="165">
        <v>44357</v>
      </c>
      <c r="J325">
        <v>44357</v>
      </c>
      <c r="K325" s="165" t="s">
        <v>1671</v>
      </c>
      <c r="L325">
        <v>1366.51</v>
      </c>
      <c r="M325">
        <v>44389</v>
      </c>
      <c r="O325"/>
      <c r="P325"/>
      <c r="Q325"/>
      <c r="R325" s="165">
        <v>1366.51</v>
      </c>
      <c r="S325" s="165"/>
      <c r="T325" t="s">
        <v>1267</v>
      </c>
      <c r="U325" s="165" t="s">
        <v>1267</v>
      </c>
      <c r="V325" s="165" t="s">
        <v>1267</v>
      </c>
      <c r="W325"/>
      <c r="X325"/>
      <c r="AB325"/>
      <c r="AC325"/>
      <c r="AD325"/>
      <c r="AE325"/>
      <c r="AF325"/>
      <c r="AG325"/>
      <c r="AH325"/>
    </row>
    <row r="326" spans="1:34" x14ac:dyDescent="0.25">
      <c r="A326" s="78">
        <v>20210405</v>
      </c>
      <c r="B326" s="165" t="s">
        <v>1311</v>
      </c>
      <c r="C326" s="165" t="s">
        <v>1312</v>
      </c>
      <c r="D326" s="165">
        <v>1</v>
      </c>
      <c r="E326" s="165" t="s">
        <v>1250</v>
      </c>
      <c r="F326" s="165" t="s">
        <v>1426</v>
      </c>
      <c r="G326" s="165" t="s">
        <v>1671</v>
      </c>
      <c r="H326" s="165" t="s">
        <v>937</v>
      </c>
      <c r="I326" s="165">
        <v>44357</v>
      </c>
      <c r="J326">
        <v>44357</v>
      </c>
      <c r="K326" s="165" t="s">
        <v>1671</v>
      </c>
      <c r="L326">
        <v>691.42</v>
      </c>
      <c r="M326">
        <v>44386</v>
      </c>
      <c r="O326"/>
      <c r="P326"/>
      <c r="Q326"/>
      <c r="R326" s="165">
        <v>691.42</v>
      </c>
      <c r="S326" s="165"/>
      <c r="T326" t="s">
        <v>1267</v>
      </c>
      <c r="U326" s="165" t="s">
        <v>1267</v>
      </c>
      <c r="V326" s="165" t="s">
        <v>1267</v>
      </c>
      <c r="W326"/>
      <c r="X326"/>
      <c r="AB326"/>
      <c r="AC326"/>
      <c r="AD326"/>
      <c r="AE326"/>
      <c r="AF326"/>
      <c r="AG326"/>
      <c r="AH326"/>
    </row>
    <row r="327" spans="1:34" x14ac:dyDescent="0.25">
      <c r="A327" s="78">
        <v>20210405</v>
      </c>
      <c r="B327" s="165" t="s">
        <v>1311</v>
      </c>
      <c r="C327" s="165" t="s">
        <v>1312</v>
      </c>
      <c r="D327" s="165">
        <v>1</v>
      </c>
      <c r="E327" s="165" t="s">
        <v>1250</v>
      </c>
      <c r="F327" s="165" t="s">
        <v>1492</v>
      </c>
      <c r="G327" s="165" t="s">
        <v>1671</v>
      </c>
      <c r="H327" s="165" t="s">
        <v>937</v>
      </c>
      <c r="I327" s="165">
        <v>44357</v>
      </c>
      <c r="J327">
        <v>44357</v>
      </c>
      <c r="K327" s="165" t="s">
        <v>1671</v>
      </c>
      <c r="L327">
        <v>1538.24</v>
      </c>
      <c r="M327">
        <v>44389</v>
      </c>
      <c r="O327"/>
      <c r="P327"/>
      <c r="Q327"/>
      <c r="R327" s="165">
        <v>1538.24</v>
      </c>
      <c r="S327" s="165"/>
      <c r="T327" t="s">
        <v>1267</v>
      </c>
      <c r="U327" s="165" t="s">
        <v>1267</v>
      </c>
      <c r="V327" s="165" t="s">
        <v>1267</v>
      </c>
      <c r="W327"/>
      <c r="X327"/>
      <c r="AB327"/>
      <c r="AC327"/>
      <c r="AD327"/>
      <c r="AE327"/>
      <c r="AF327"/>
      <c r="AG327"/>
      <c r="AH327"/>
    </row>
    <row r="328" spans="1:34" x14ac:dyDescent="0.25">
      <c r="A328" s="78">
        <v>20210405</v>
      </c>
      <c r="B328" s="165" t="s">
        <v>1311</v>
      </c>
      <c r="C328" s="165" t="s">
        <v>1312</v>
      </c>
      <c r="D328" s="165">
        <v>1</v>
      </c>
      <c r="E328" s="165" t="s">
        <v>1250</v>
      </c>
      <c r="F328" s="165" t="s">
        <v>1493</v>
      </c>
      <c r="G328" s="165" t="s">
        <v>1671</v>
      </c>
      <c r="H328" s="165" t="s">
        <v>937</v>
      </c>
      <c r="I328" s="165">
        <v>44357</v>
      </c>
      <c r="J328">
        <v>44357</v>
      </c>
      <c r="K328" s="165" t="s">
        <v>1671</v>
      </c>
      <c r="L328">
        <v>1359.74</v>
      </c>
      <c r="M328">
        <v>44389</v>
      </c>
      <c r="O328"/>
      <c r="P328"/>
      <c r="Q328"/>
      <c r="R328" s="165">
        <v>1359.74</v>
      </c>
      <c r="S328" s="165"/>
      <c r="T328" t="s">
        <v>1267</v>
      </c>
      <c r="U328" s="165" t="s">
        <v>1267</v>
      </c>
      <c r="V328" s="165" t="s">
        <v>1267</v>
      </c>
      <c r="W328"/>
      <c r="X328"/>
      <c r="AB328"/>
      <c r="AC328"/>
      <c r="AD328"/>
      <c r="AE328"/>
      <c r="AF328"/>
      <c r="AG328"/>
      <c r="AH328"/>
    </row>
    <row r="329" spans="1:34" x14ac:dyDescent="0.25">
      <c r="A329" s="78">
        <v>20210405</v>
      </c>
      <c r="B329" s="165" t="s">
        <v>97</v>
      </c>
      <c r="C329" s="165" t="s">
        <v>1296</v>
      </c>
      <c r="D329" s="165">
        <v>1</v>
      </c>
      <c r="E329" s="165" t="s">
        <v>1250</v>
      </c>
      <c r="F329" s="165" t="s">
        <v>1450</v>
      </c>
      <c r="G329" s="165" t="s">
        <v>1671</v>
      </c>
      <c r="H329" s="165" t="s">
        <v>937</v>
      </c>
      <c r="I329" s="165">
        <v>44357</v>
      </c>
      <c r="J329">
        <v>44357</v>
      </c>
      <c r="K329" s="165" t="s">
        <v>1671</v>
      </c>
      <c r="L329">
        <v>5022.46</v>
      </c>
      <c r="M329">
        <v>44406</v>
      </c>
      <c r="O329"/>
      <c r="P329"/>
      <c r="Q329"/>
      <c r="R329" s="165">
        <v>5022.46</v>
      </c>
      <c r="S329" s="165"/>
      <c r="T329" t="s">
        <v>1267</v>
      </c>
      <c r="U329" s="165" t="s">
        <v>1267</v>
      </c>
      <c r="V329" s="165" t="s">
        <v>1267</v>
      </c>
      <c r="W329"/>
      <c r="X329"/>
      <c r="AB329"/>
      <c r="AC329"/>
      <c r="AD329"/>
      <c r="AE329"/>
      <c r="AF329"/>
      <c r="AG329"/>
      <c r="AH329"/>
    </row>
    <row r="330" spans="1:34" x14ac:dyDescent="0.25">
      <c r="A330" s="78">
        <v>20210405</v>
      </c>
      <c r="B330" s="165" t="s">
        <v>97</v>
      </c>
      <c r="C330" s="165" t="s">
        <v>1296</v>
      </c>
      <c r="D330" s="165">
        <v>1</v>
      </c>
      <c r="E330" s="165" t="s">
        <v>1250</v>
      </c>
      <c r="F330" s="165" t="s">
        <v>1340</v>
      </c>
      <c r="G330" s="165" t="s">
        <v>1671</v>
      </c>
      <c r="H330" s="165" t="s">
        <v>937</v>
      </c>
      <c r="I330" s="165">
        <v>44383</v>
      </c>
      <c r="J330">
        <v>44383</v>
      </c>
      <c r="K330" s="165" t="s">
        <v>1671</v>
      </c>
      <c r="L330">
        <v>400</v>
      </c>
      <c r="M330">
        <v>44384</v>
      </c>
      <c r="O330"/>
      <c r="P330"/>
      <c r="Q330"/>
      <c r="R330" s="165">
        <v>400</v>
      </c>
      <c r="S330" s="165"/>
      <c r="T330" t="s">
        <v>1267</v>
      </c>
      <c r="U330" s="165" t="s">
        <v>1267</v>
      </c>
      <c r="V330" s="165" t="s">
        <v>1267</v>
      </c>
      <c r="W330"/>
      <c r="X330"/>
      <c r="AB330"/>
      <c r="AC330"/>
      <c r="AD330"/>
      <c r="AE330"/>
      <c r="AF330"/>
      <c r="AG330"/>
      <c r="AH330"/>
    </row>
    <row r="331" spans="1:34" x14ac:dyDescent="0.25">
      <c r="A331" s="78">
        <v>20210405</v>
      </c>
      <c r="B331" s="165" t="s">
        <v>1292</v>
      </c>
      <c r="C331" s="165" t="s">
        <v>1293</v>
      </c>
      <c r="D331" s="165">
        <v>1</v>
      </c>
      <c r="E331" s="165" t="s">
        <v>1250</v>
      </c>
      <c r="F331" s="165" t="s">
        <v>1494</v>
      </c>
      <c r="G331" s="165" t="s">
        <v>1671</v>
      </c>
      <c r="H331" s="165" t="s">
        <v>937</v>
      </c>
      <c r="I331" s="165">
        <v>44357</v>
      </c>
      <c r="J331">
        <v>44357</v>
      </c>
      <c r="K331" s="165" t="s">
        <v>1671</v>
      </c>
      <c r="L331">
        <v>275</v>
      </c>
      <c r="M331">
        <v>44431</v>
      </c>
      <c r="O331"/>
      <c r="P331"/>
      <c r="Q331"/>
      <c r="R331" s="165">
        <v>275</v>
      </c>
      <c r="S331" s="165"/>
      <c r="T331" t="s">
        <v>1267</v>
      </c>
      <c r="U331" s="165" t="s">
        <v>1267</v>
      </c>
      <c r="V331" s="165" t="s">
        <v>1267</v>
      </c>
      <c r="W331"/>
      <c r="X331"/>
      <c r="AB331"/>
      <c r="AC331"/>
      <c r="AD331"/>
      <c r="AE331"/>
      <c r="AF331"/>
      <c r="AG331"/>
      <c r="AH331"/>
    </row>
    <row r="332" spans="1:34" x14ac:dyDescent="0.25">
      <c r="A332" s="78">
        <v>20210405</v>
      </c>
      <c r="B332" s="165" t="s">
        <v>97</v>
      </c>
      <c r="C332" s="165" t="s">
        <v>1356</v>
      </c>
      <c r="D332" s="165">
        <v>1</v>
      </c>
      <c r="E332" s="165" t="s">
        <v>1250</v>
      </c>
      <c r="F332" s="165" t="s">
        <v>1495</v>
      </c>
      <c r="G332" s="165" t="s">
        <v>1671</v>
      </c>
      <c r="H332" s="165" t="s">
        <v>937</v>
      </c>
      <c r="I332" s="165">
        <v>44361</v>
      </c>
      <c r="J332">
        <v>44361</v>
      </c>
      <c r="K332" s="165" t="s">
        <v>1671</v>
      </c>
      <c r="L332">
        <v>1500.19</v>
      </c>
      <c r="M332">
        <v>44384</v>
      </c>
      <c r="O332"/>
      <c r="P332"/>
      <c r="Q332"/>
      <c r="R332" s="165">
        <v>1500.19</v>
      </c>
      <c r="S332" s="165"/>
      <c r="T332" t="s">
        <v>1267</v>
      </c>
      <c r="U332" s="165" t="s">
        <v>1267</v>
      </c>
      <c r="V332" s="165" t="s">
        <v>1267</v>
      </c>
      <c r="W332"/>
      <c r="X332"/>
      <c r="AB332"/>
      <c r="AC332"/>
      <c r="AD332"/>
      <c r="AE332"/>
      <c r="AF332"/>
      <c r="AG332"/>
      <c r="AH332"/>
    </row>
    <row r="333" spans="1:34" x14ac:dyDescent="0.25">
      <c r="A333" s="78">
        <v>20210405</v>
      </c>
      <c r="B333" s="165" t="s">
        <v>97</v>
      </c>
      <c r="C333" s="165" t="s">
        <v>1296</v>
      </c>
      <c r="D333" s="165">
        <v>1</v>
      </c>
      <c r="E333" s="165" t="s">
        <v>1250</v>
      </c>
      <c r="F333" s="165" t="s">
        <v>1495</v>
      </c>
      <c r="G333" s="165" t="s">
        <v>1671</v>
      </c>
      <c r="H333" s="165" t="s">
        <v>937</v>
      </c>
      <c r="I333" s="165">
        <v>44361</v>
      </c>
      <c r="J333">
        <v>44361</v>
      </c>
      <c r="K333" s="165" t="s">
        <v>1671</v>
      </c>
      <c r="L333">
        <v>2213.5100000000002</v>
      </c>
      <c r="M333">
        <v>44384</v>
      </c>
      <c r="O333"/>
      <c r="P333"/>
      <c r="Q333"/>
      <c r="R333" s="165">
        <v>2213.5100000000002</v>
      </c>
      <c r="S333" s="165"/>
      <c r="T333" t="s">
        <v>1267</v>
      </c>
      <c r="U333" s="165" t="s">
        <v>1267</v>
      </c>
      <c r="V333" s="165" t="s">
        <v>1267</v>
      </c>
      <c r="W333"/>
      <c r="X333"/>
      <c r="AB333"/>
      <c r="AC333"/>
      <c r="AD333"/>
      <c r="AE333"/>
      <c r="AF333"/>
      <c r="AG333"/>
      <c r="AH333"/>
    </row>
    <row r="334" spans="1:34" x14ac:dyDescent="0.25">
      <c r="A334" s="78">
        <v>20210639</v>
      </c>
      <c r="B334" s="165" t="s">
        <v>1256</v>
      </c>
      <c r="C334" s="165" t="s">
        <v>1281</v>
      </c>
      <c r="D334" s="165">
        <v>1</v>
      </c>
      <c r="E334" s="165" t="s">
        <v>1250</v>
      </c>
      <c r="F334" s="165" t="s">
        <v>1496</v>
      </c>
      <c r="G334" s="165" t="s">
        <v>1671</v>
      </c>
      <c r="H334" s="165" t="s">
        <v>922</v>
      </c>
      <c r="I334" s="165">
        <v>44400</v>
      </c>
      <c r="J334">
        <v>44400</v>
      </c>
      <c r="K334" s="165" t="s">
        <v>1671</v>
      </c>
      <c r="L334">
        <v>3150</v>
      </c>
      <c r="M334">
        <v>44400</v>
      </c>
      <c r="O334"/>
      <c r="P334"/>
      <c r="Q334"/>
      <c r="R334" s="165">
        <v>3150</v>
      </c>
      <c r="S334" s="165"/>
      <c r="T334" t="s">
        <v>1267</v>
      </c>
      <c r="U334" s="165" t="s">
        <v>1267</v>
      </c>
      <c r="V334" s="165" t="s">
        <v>1267</v>
      </c>
      <c r="W334"/>
      <c r="X334"/>
      <c r="AB334"/>
      <c r="AC334"/>
      <c r="AD334"/>
      <c r="AE334"/>
      <c r="AF334"/>
      <c r="AG334"/>
      <c r="AH334"/>
    </row>
    <row r="335" spans="1:34" x14ac:dyDescent="0.25">
      <c r="A335" s="78">
        <v>20210667</v>
      </c>
      <c r="B335" s="165" t="s">
        <v>97</v>
      </c>
      <c r="C335" s="165" t="s">
        <v>1272</v>
      </c>
      <c r="D335" s="165">
        <v>1</v>
      </c>
      <c r="E335" s="165" t="s">
        <v>1250</v>
      </c>
      <c r="F335" s="165" t="s">
        <v>1497</v>
      </c>
      <c r="G335" s="165" t="s">
        <v>1671</v>
      </c>
      <c r="H335" s="165" t="s">
        <v>929</v>
      </c>
      <c r="I335" s="165">
        <v>44399</v>
      </c>
      <c r="J335">
        <v>44399</v>
      </c>
      <c r="K335" s="165" t="s">
        <v>1671</v>
      </c>
      <c r="L335">
        <v>609.71</v>
      </c>
      <c r="M335">
        <v>44428</v>
      </c>
      <c r="O335"/>
      <c r="P335"/>
      <c r="Q335"/>
      <c r="R335" s="165">
        <v>609.71</v>
      </c>
      <c r="S335" s="165"/>
      <c r="T335" t="s">
        <v>1267</v>
      </c>
      <c r="U335" s="165" t="s">
        <v>1267</v>
      </c>
      <c r="V335" s="165" t="s">
        <v>1267</v>
      </c>
      <c r="W335"/>
      <c r="X335"/>
      <c r="AB335"/>
      <c r="AC335"/>
      <c r="AD335"/>
      <c r="AE335"/>
      <c r="AF335"/>
      <c r="AG335"/>
      <c r="AH335"/>
    </row>
    <row r="336" spans="1:34" x14ac:dyDescent="0.25">
      <c r="A336" s="78">
        <v>20210667</v>
      </c>
      <c r="B336" s="165" t="s">
        <v>1311</v>
      </c>
      <c r="C336" s="165" t="s">
        <v>1312</v>
      </c>
      <c r="D336" s="165">
        <v>1</v>
      </c>
      <c r="E336" s="165" t="s">
        <v>1250</v>
      </c>
      <c r="F336" s="165" t="s">
        <v>1498</v>
      </c>
      <c r="G336" s="165" t="s">
        <v>1671</v>
      </c>
      <c r="H336" s="165" t="s">
        <v>929</v>
      </c>
      <c r="I336" s="165">
        <v>44400</v>
      </c>
      <c r="J336">
        <v>44403</v>
      </c>
      <c r="K336" s="165" t="s">
        <v>1671</v>
      </c>
      <c r="L336">
        <v>3000</v>
      </c>
      <c r="M336">
        <v>44400</v>
      </c>
      <c r="O336"/>
      <c r="P336"/>
      <c r="Q336"/>
      <c r="R336" s="165">
        <v>3000</v>
      </c>
      <c r="S336" s="165"/>
      <c r="T336" t="s">
        <v>1267</v>
      </c>
      <c r="U336" s="165" t="s">
        <v>1267</v>
      </c>
      <c r="V336" s="165" t="s">
        <v>1267</v>
      </c>
      <c r="W336"/>
      <c r="X336"/>
      <c r="AB336"/>
      <c r="AC336"/>
      <c r="AD336"/>
      <c r="AE336"/>
      <c r="AF336"/>
      <c r="AG336"/>
      <c r="AH336"/>
    </row>
    <row r="337" spans="1:34" x14ac:dyDescent="0.25">
      <c r="A337" s="78">
        <v>20210667</v>
      </c>
      <c r="B337" s="165" t="s">
        <v>1292</v>
      </c>
      <c r="C337" s="165" t="s">
        <v>1293</v>
      </c>
      <c r="D337" s="165">
        <v>1</v>
      </c>
      <c r="E337" s="165" t="s">
        <v>1250</v>
      </c>
      <c r="F337" s="165" t="s">
        <v>1292</v>
      </c>
      <c r="G337" s="165" t="s">
        <v>1671</v>
      </c>
      <c r="H337" s="165" t="s">
        <v>929</v>
      </c>
      <c r="I337" s="165">
        <v>44400</v>
      </c>
      <c r="J337">
        <v>44400</v>
      </c>
      <c r="K337" s="165" t="s">
        <v>1671</v>
      </c>
      <c r="L337">
        <v>103.74</v>
      </c>
      <c r="M337">
        <v>44400</v>
      </c>
      <c r="O337"/>
      <c r="P337"/>
      <c r="Q337"/>
      <c r="R337" s="165">
        <v>103.74</v>
      </c>
      <c r="S337" s="165"/>
      <c r="T337" t="s">
        <v>1267</v>
      </c>
      <c r="U337" s="165" t="s">
        <v>1267</v>
      </c>
      <c r="V337" s="165" t="s">
        <v>1267</v>
      </c>
      <c r="W337"/>
      <c r="X337"/>
      <c r="AB337"/>
      <c r="AC337"/>
      <c r="AD337"/>
      <c r="AE337"/>
      <c r="AF337"/>
      <c r="AG337"/>
      <c r="AH337"/>
    </row>
    <row r="338" spans="1:34" x14ac:dyDescent="0.25">
      <c r="A338" s="78">
        <v>20210673</v>
      </c>
      <c r="B338" s="165" t="s">
        <v>1292</v>
      </c>
      <c r="C338" s="165" t="s">
        <v>1293</v>
      </c>
      <c r="D338" s="165">
        <v>1</v>
      </c>
      <c r="E338" s="165" t="s">
        <v>1250</v>
      </c>
      <c r="F338" s="165" t="s">
        <v>1499</v>
      </c>
      <c r="G338" s="165" t="s">
        <v>1671</v>
      </c>
      <c r="H338" s="165" t="s">
        <v>922</v>
      </c>
      <c r="I338" s="165">
        <v>44400</v>
      </c>
      <c r="J338">
        <v>44401</v>
      </c>
      <c r="K338" s="165" t="s">
        <v>1671</v>
      </c>
      <c r="L338">
        <v>670</v>
      </c>
      <c r="M338">
        <v>44417</v>
      </c>
      <c r="O338"/>
      <c r="P338"/>
      <c r="Q338"/>
      <c r="R338" s="165">
        <v>670</v>
      </c>
      <c r="S338" s="165"/>
      <c r="T338" t="s">
        <v>1267</v>
      </c>
      <c r="U338" s="165" t="s">
        <v>1267</v>
      </c>
      <c r="V338" s="165" t="s">
        <v>1267</v>
      </c>
      <c r="W338"/>
      <c r="X338"/>
      <c r="AB338"/>
      <c r="AC338"/>
      <c r="AD338"/>
      <c r="AE338"/>
      <c r="AF338"/>
      <c r="AG338"/>
      <c r="AH338"/>
    </row>
    <row r="339" spans="1:34" x14ac:dyDescent="0.25">
      <c r="A339" s="78">
        <v>20210405</v>
      </c>
      <c r="B339" s="165" t="s">
        <v>1292</v>
      </c>
      <c r="C339" s="165" t="s">
        <v>1293</v>
      </c>
      <c r="D339" s="165">
        <v>1</v>
      </c>
      <c r="E339" s="165" t="s">
        <v>1250</v>
      </c>
      <c r="F339" s="165" t="s">
        <v>1500</v>
      </c>
      <c r="G339" s="165" t="s">
        <v>1671</v>
      </c>
      <c r="H339" s="165" t="s">
        <v>937</v>
      </c>
      <c r="I339" s="165">
        <v>44400</v>
      </c>
      <c r="J339">
        <v>44401</v>
      </c>
      <c r="K339" s="165" t="s">
        <v>1671</v>
      </c>
      <c r="L339">
        <v>350</v>
      </c>
      <c r="M339">
        <v>44417</v>
      </c>
      <c r="O339"/>
      <c r="P339"/>
      <c r="Q339"/>
      <c r="R339" s="165">
        <v>350</v>
      </c>
      <c r="S339" s="165"/>
      <c r="T339" t="s">
        <v>1267</v>
      </c>
      <c r="U339" s="165" t="s">
        <v>1267</v>
      </c>
      <c r="V339" s="165" t="s">
        <v>1267</v>
      </c>
      <c r="W339"/>
      <c r="X339"/>
      <c r="AB339"/>
      <c r="AC339"/>
      <c r="AD339"/>
      <c r="AE339"/>
      <c r="AF339"/>
      <c r="AG339"/>
      <c r="AH339"/>
    </row>
    <row r="340" spans="1:34" x14ac:dyDescent="0.25">
      <c r="A340" s="78" t="s">
        <v>1501</v>
      </c>
      <c r="B340" s="165" t="s">
        <v>1292</v>
      </c>
      <c r="C340" s="165" t="s">
        <v>1293</v>
      </c>
      <c r="D340" s="165">
        <v>1</v>
      </c>
      <c r="E340" s="165" t="s">
        <v>1250</v>
      </c>
      <c r="F340" s="165" t="s">
        <v>1502</v>
      </c>
      <c r="G340" s="165" t="s">
        <v>1671</v>
      </c>
      <c r="H340" s="165" t="s">
        <v>1270</v>
      </c>
      <c r="I340" s="165">
        <v>44393</v>
      </c>
      <c r="J340">
        <v>44393</v>
      </c>
      <c r="K340" s="165" t="s">
        <v>1671</v>
      </c>
      <c r="L340">
        <v>570</v>
      </c>
      <c r="M340">
        <v>44404</v>
      </c>
      <c r="O340"/>
      <c r="P340"/>
      <c r="Q340"/>
      <c r="R340" s="165">
        <v>570</v>
      </c>
      <c r="S340" s="165"/>
      <c r="T340" t="s">
        <v>1267</v>
      </c>
      <c r="U340" s="165" t="s">
        <v>1267</v>
      </c>
      <c r="V340" s="165" t="s">
        <v>1267</v>
      </c>
      <c r="W340"/>
      <c r="X340"/>
      <c r="AB340"/>
      <c r="AC340"/>
      <c r="AD340"/>
      <c r="AE340"/>
      <c r="AF340"/>
      <c r="AG340"/>
      <c r="AH340"/>
    </row>
    <row r="341" spans="1:34" x14ac:dyDescent="0.25">
      <c r="A341" s="78" t="s">
        <v>1501</v>
      </c>
      <c r="B341" s="165" t="s">
        <v>1292</v>
      </c>
      <c r="C341" s="165" t="s">
        <v>1293</v>
      </c>
      <c r="D341" s="165">
        <v>1</v>
      </c>
      <c r="E341" s="165" t="s">
        <v>1250</v>
      </c>
      <c r="F341" s="165" t="s">
        <v>1502</v>
      </c>
      <c r="G341" s="165" t="s">
        <v>1671</v>
      </c>
      <c r="H341" s="165" t="s">
        <v>1270</v>
      </c>
      <c r="I341" s="165">
        <v>44376</v>
      </c>
      <c r="J341">
        <v>44376</v>
      </c>
      <c r="K341" s="165" t="s">
        <v>1671</v>
      </c>
      <c r="L341">
        <v>235</v>
      </c>
      <c r="M341">
        <v>44393</v>
      </c>
      <c r="O341"/>
      <c r="P341"/>
      <c r="Q341"/>
      <c r="R341" s="165">
        <v>235</v>
      </c>
      <c r="S341" s="165"/>
      <c r="T341" t="s">
        <v>1267</v>
      </c>
      <c r="U341" s="165" t="s">
        <v>1267</v>
      </c>
      <c r="V341" s="165" t="s">
        <v>1267</v>
      </c>
      <c r="W341"/>
      <c r="X341"/>
      <c r="AB341"/>
      <c r="AC341"/>
      <c r="AD341"/>
      <c r="AE341"/>
      <c r="AF341"/>
      <c r="AG341"/>
      <c r="AH341"/>
    </row>
    <row r="342" spans="1:34" x14ac:dyDescent="0.25">
      <c r="A342" s="78">
        <v>20210668</v>
      </c>
      <c r="B342" s="165" t="s">
        <v>1292</v>
      </c>
      <c r="C342" s="165" t="s">
        <v>1293</v>
      </c>
      <c r="D342" s="165">
        <v>1</v>
      </c>
      <c r="E342" s="165" t="s">
        <v>1250</v>
      </c>
      <c r="F342" s="165" t="s">
        <v>1503</v>
      </c>
      <c r="G342" s="165" t="s">
        <v>1671</v>
      </c>
      <c r="H342" s="165" t="s">
        <v>969</v>
      </c>
      <c r="I342" s="165">
        <v>44406</v>
      </c>
      <c r="J342">
        <v>44406</v>
      </c>
      <c r="K342" s="165" t="s">
        <v>1671</v>
      </c>
      <c r="L342">
        <v>4900</v>
      </c>
      <c r="M342">
        <v>44407</v>
      </c>
      <c r="N342">
        <v>4900</v>
      </c>
      <c r="O342">
        <v>44428</v>
      </c>
      <c r="P342"/>
      <c r="Q342"/>
      <c r="R342" s="165">
        <v>9800</v>
      </c>
      <c r="S342" s="165"/>
      <c r="T342" t="s">
        <v>1267</v>
      </c>
      <c r="U342" s="165" t="s">
        <v>1267</v>
      </c>
      <c r="V342" s="165" t="s">
        <v>1267</v>
      </c>
      <c r="W342"/>
      <c r="X342"/>
      <c r="AB342"/>
      <c r="AC342"/>
      <c r="AD342"/>
      <c r="AE342"/>
      <c r="AF342"/>
      <c r="AG342"/>
      <c r="AH342"/>
    </row>
    <row r="343" spans="1:34" x14ac:dyDescent="0.25">
      <c r="A343" s="78">
        <v>20210668</v>
      </c>
      <c r="B343" s="165" t="s">
        <v>1256</v>
      </c>
      <c r="C343" s="165" t="s">
        <v>1281</v>
      </c>
      <c r="D343" s="165">
        <v>4</v>
      </c>
      <c r="E343" s="165" t="s">
        <v>1250</v>
      </c>
      <c r="F343" s="165" t="s">
        <v>1504</v>
      </c>
      <c r="G343" s="165" t="s">
        <v>1671</v>
      </c>
      <c r="H343" s="165" t="s">
        <v>969</v>
      </c>
      <c r="I343" s="165">
        <v>44401</v>
      </c>
      <c r="J343">
        <v>44401</v>
      </c>
      <c r="K343" s="165" t="s">
        <v>1671</v>
      </c>
      <c r="L343">
        <v>100</v>
      </c>
      <c r="M343">
        <v>44401</v>
      </c>
      <c r="O343"/>
      <c r="P343"/>
      <c r="Q343"/>
      <c r="R343" s="165">
        <v>400</v>
      </c>
      <c r="S343" s="165"/>
      <c r="T343" t="s">
        <v>1267</v>
      </c>
      <c r="U343" s="165" t="s">
        <v>1267</v>
      </c>
      <c r="V343" s="165" t="s">
        <v>1267</v>
      </c>
      <c r="W343"/>
      <c r="X343"/>
      <c r="AB343"/>
      <c r="AC343"/>
      <c r="AD343"/>
      <c r="AE343"/>
      <c r="AF343"/>
      <c r="AG343"/>
      <c r="AH343"/>
    </row>
    <row r="344" spans="1:34" x14ac:dyDescent="0.25">
      <c r="A344" s="78">
        <v>20210669</v>
      </c>
      <c r="B344" s="165" t="s">
        <v>97</v>
      </c>
      <c r="C344" s="165" t="s">
        <v>1296</v>
      </c>
      <c r="D344" s="165">
        <v>1</v>
      </c>
      <c r="E344" s="165" t="s">
        <v>1250</v>
      </c>
      <c r="F344" s="165" t="s">
        <v>1505</v>
      </c>
      <c r="G344" s="165" t="s">
        <v>1671</v>
      </c>
      <c r="H344" s="165" t="s">
        <v>1136</v>
      </c>
      <c r="I344" s="165">
        <v>44407</v>
      </c>
      <c r="J344">
        <v>44407</v>
      </c>
      <c r="K344" s="165" t="s">
        <v>1671</v>
      </c>
      <c r="L344">
        <v>191.05</v>
      </c>
      <c r="M344">
        <v>44407</v>
      </c>
      <c r="O344"/>
      <c r="P344"/>
      <c r="Q344"/>
      <c r="R344" s="165">
        <v>191.05</v>
      </c>
      <c r="S344" s="165"/>
      <c r="T344" t="s">
        <v>1267</v>
      </c>
      <c r="U344" s="165" t="s">
        <v>1267</v>
      </c>
      <c r="V344" s="165" t="s">
        <v>1267</v>
      </c>
      <c r="W344"/>
      <c r="X344"/>
      <c r="AB344"/>
      <c r="AC344"/>
      <c r="AD344"/>
      <c r="AE344"/>
      <c r="AF344"/>
      <c r="AG344"/>
      <c r="AH344"/>
    </row>
    <row r="345" spans="1:34" x14ac:dyDescent="0.25">
      <c r="A345" s="78">
        <v>20210665</v>
      </c>
      <c r="B345" s="165" t="s">
        <v>97</v>
      </c>
      <c r="C345" s="165" t="s">
        <v>1327</v>
      </c>
      <c r="D345" s="165">
        <v>1</v>
      </c>
      <c r="E345" s="165" t="s">
        <v>1250</v>
      </c>
      <c r="F345" s="165" t="s">
        <v>1506</v>
      </c>
      <c r="G345" s="165" t="s">
        <v>1671</v>
      </c>
      <c r="H345" s="165" t="s">
        <v>1020</v>
      </c>
      <c r="I345" s="165">
        <v>44387</v>
      </c>
      <c r="J345">
        <v>44387</v>
      </c>
      <c r="K345" s="165" t="s">
        <v>1671</v>
      </c>
      <c r="L345">
        <v>20.8</v>
      </c>
      <c r="M345">
        <v>44387</v>
      </c>
      <c r="O345"/>
      <c r="P345"/>
      <c r="Q345"/>
      <c r="R345" s="165">
        <v>20.8</v>
      </c>
      <c r="S345" s="165"/>
      <c r="T345" t="s">
        <v>1267</v>
      </c>
      <c r="U345" s="165" t="s">
        <v>1267</v>
      </c>
      <c r="V345" s="165" t="s">
        <v>1267</v>
      </c>
      <c r="W345"/>
      <c r="X345"/>
      <c r="AB345"/>
      <c r="AC345"/>
      <c r="AD345"/>
      <c r="AE345"/>
      <c r="AF345"/>
      <c r="AG345"/>
      <c r="AH345"/>
    </row>
    <row r="346" spans="1:34" x14ac:dyDescent="0.25">
      <c r="A346" s="78" t="s">
        <v>1501</v>
      </c>
      <c r="B346" s="165" t="s">
        <v>1292</v>
      </c>
      <c r="C346" s="165" t="s">
        <v>1293</v>
      </c>
      <c r="D346" s="165">
        <v>1</v>
      </c>
      <c r="E346" s="165" t="s">
        <v>1250</v>
      </c>
      <c r="F346" s="165" t="s">
        <v>1507</v>
      </c>
      <c r="G346" s="165" t="s">
        <v>1671</v>
      </c>
      <c r="H346" s="165" t="s">
        <v>1270</v>
      </c>
      <c r="I346" s="165">
        <v>44392</v>
      </c>
      <c r="J346">
        <v>44392</v>
      </c>
      <c r="K346" s="165" t="s">
        <v>1671</v>
      </c>
      <c r="L346">
        <v>27</v>
      </c>
      <c r="M346">
        <v>44392</v>
      </c>
      <c r="O346"/>
      <c r="P346"/>
      <c r="Q346"/>
      <c r="R346" s="165">
        <v>27</v>
      </c>
      <c r="S346" s="165"/>
      <c r="T346" t="s">
        <v>1267</v>
      </c>
      <c r="U346" s="165" t="s">
        <v>1267</v>
      </c>
      <c r="V346" s="165" t="s">
        <v>1267</v>
      </c>
      <c r="W346"/>
      <c r="X346"/>
      <c r="AB346"/>
      <c r="AC346"/>
      <c r="AD346"/>
      <c r="AE346"/>
      <c r="AF346"/>
      <c r="AG346"/>
      <c r="AH346"/>
    </row>
    <row r="347" spans="1:34" x14ac:dyDescent="0.25">
      <c r="A347" s="78" t="s">
        <v>1501</v>
      </c>
      <c r="B347" s="165" t="s">
        <v>1292</v>
      </c>
      <c r="C347" s="165" t="s">
        <v>1293</v>
      </c>
      <c r="D347" s="165">
        <v>1</v>
      </c>
      <c r="E347" s="165" t="s">
        <v>1250</v>
      </c>
      <c r="F347" s="165" t="s">
        <v>1508</v>
      </c>
      <c r="G347" s="165" t="s">
        <v>1671</v>
      </c>
      <c r="H347" s="165" t="s">
        <v>1270</v>
      </c>
      <c r="I347" s="165">
        <v>44392</v>
      </c>
      <c r="J347">
        <v>44392</v>
      </c>
      <c r="K347" s="165" t="s">
        <v>1671</v>
      </c>
      <c r="L347">
        <v>41.5</v>
      </c>
      <c r="M347">
        <v>44392</v>
      </c>
      <c r="O347"/>
      <c r="P347"/>
      <c r="Q347"/>
      <c r="R347" s="165">
        <v>41.5</v>
      </c>
      <c r="S347" s="165"/>
      <c r="T347" t="s">
        <v>1267</v>
      </c>
      <c r="U347" s="165" t="s">
        <v>1267</v>
      </c>
      <c r="V347" s="165" t="s">
        <v>1267</v>
      </c>
      <c r="W347"/>
      <c r="X347"/>
      <c r="AB347"/>
      <c r="AC347"/>
      <c r="AD347"/>
      <c r="AE347"/>
      <c r="AF347"/>
      <c r="AG347"/>
      <c r="AH347"/>
    </row>
    <row r="348" spans="1:34" x14ac:dyDescent="0.25">
      <c r="A348" s="78">
        <v>20210669</v>
      </c>
      <c r="B348" s="165" t="s">
        <v>97</v>
      </c>
      <c r="C348" s="165" t="s">
        <v>1296</v>
      </c>
      <c r="D348" s="165">
        <v>1</v>
      </c>
      <c r="E348" s="165" t="s">
        <v>1250</v>
      </c>
      <c r="F348" s="165" t="s">
        <v>1509</v>
      </c>
      <c r="G348" s="165" t="s">
        <v>1671</v>
      </c>
      <c r="H348" s="165" t="s">
        <v>1136</v>
      </c>
      <c r="I348" s="165">
        <v>44407</v>
      </c>
      <c r="J348">
        <v>44407</v>
      </c>
      <c r="K348" s="165" t="s">
        <v>1671</v>
      </c>
      <c r="L348">
        <v>28</v>
      </c>
      <c r="M348">
        <v>44410</v>
      </c>
      <c r="O348"/>
      <c r="P348"/>
      <c r="Q348"/>
      <c r="R348" s="165">
        <v>28</v>
      </c>
      <c r="S348" s="165"/>
      <c r="T348" t="s">
        <v>1267</v>
      </c>
      <c r="U348" s="165" t="s">
        <v>1267</v>
      </c>
      <c r="V348" s="165" t="s">
        <v>1267</v>
      </c>
      <c r="W348"/>
      <c r="X348"/>
      <c r="AB348"/>
      <c r="AC348"/>
      <c r="AD348"/>
      <c r="AE348"/>
      <c r="AF348"/>
      <c r="AG348"/>
      <c r="AH348"/>
    </row>
    <row r="349" spans="1:34" x14ac:dyDescent="0.25">
      <c r="A349" s="78">
        <v>20210669</v>
      </c>
      <c r="B349" s="165" t="s">
        <v>97</v>
      </c>
      <c r="C349" s="165" t="s">
        <v>1296</v>
      </c>
      <c r="D349" s="165">
        <v>1</v>
      </c>
      <c r="E349" s="165" t="s">
        <v>1250</v>
      </c>
      <c r="F349" s="165" t="s">
        <v>1510</v>
      </c>
      <c r="G349" s="165" t="s">
        <v>1671</v>
      </c>
      <c r="H349" s="165" t="s">
        <v>1136</v>
      </c>
      <c r="I349" s="165">
        <v>44407</v>
      </c>
      <c r="J349">
        <v>44407</v>
      </c>
      <c r="K349" s="165" t="s">
        <v>1671</v>
      </c>
      <c r="L349">
        <v>4115</v>
      </c>
      <c r="M349">
        <v>44435</v>
      </c>
      <c r="O349"/>
      <c r="P349"/>
      <c r="Q349"/>
      <c r="R349" s="165">
        <v>4115</v>
      </c>
      <c r="S349" s="165"/>
      <c r="T349" t="s">
        <v>1267</v>
      </c>
      <c r="U349" s="165" t="s">
        <v>1267</v>
      </c>
      <c r="V349" s="165" t="s">
        <v>1267</v>
      </c>
      <c r="W349"/>
      <c r="X349"/>
      <c r="AB349"/>
      <c r="AC349"/>
      <c r="AD349"/>
      <c r="AE349"/>
      <c r="AF349"/>
      <c r="AG349"/>
      <c r="AH349"/>
    </row>
    <row r="350" spans="1:34" x14ac:dyDescent="0.25">
      <c r="A350" s="78">
        <v>20210669</v>
      </c>
      <c r="B350" s="165" t="s">
        <v>1292</v>
      </c>
      <c r="C350" s="165" t="s">
        <v>1293</v>
      </c>
      <c r="D350" s="165">
        <v>1</v>
      </c>
      <c r="E350" s="165" t="s">
        <v>1250</v>
      </c>
      <c r="F350" s="165" t="s">
        <v>1511</v>
      </c>
      <c r="G350" s="165" t="s">
        <v>1671</v>
      </c>
      <c r="H350" s="165" t="s">
        <v>1136</v>
      </c>
      <c r="I350" s="165">
        <v>44428</v>
      </c>
      <c r="J350">
        <v>44428</v>
      </c>
      <c r="K350" s="165" t="s">
        <v>1671</v>
      </c>
      <c r="L350">
        <v>200</v>
      </c>
      <c r="M350">
        <v>44428</v>
      </c>
      <c r="O350"/>
      <c r="P350"/>
      <c r="Q350"/>
      <c r="R350" s="165">
        <v>200</v>
      </c>
      <c r="S350" s="165"/>
      <c r="T350" t="s">
        <v>1267</v>
      </c>
      <c r="U350" s="165" t="s">
        <v>1267</v>
      </c>
      <c r="V350" s="165" t="s">
        <v>1267</v>
      </c>
      <c r="W350"/>
      <c r="X350"/>
      <c r="AB350"/>
      <c r="AC350"/>
      <c r="AD350"/>
      <c r="AE350"/>
      <c r="AF350"/>
      <c r="AG350"/>
      <c r="AH350"/>
    </row>
    <row r="351" spans="1:34" x14ac:dyDescent="0.25">
      <c r="A351" s="78">
        <v>20210639</v>
      </c>
      <c r="B351" s="165" t="s">
        <v>1261</v>
      </c>
      <c r="C351" s="165" t="s">
        <v>1262</v>
      </c>
      <c r="D351" s="165">
        <v>1</v>
      </c>
      <c r="E351" s="165" t="s">
        <v>1250</v>
      </c>
      <c r="F351" s="165" t="s">
        <v>1450</v>
      </c>
      <c r="G351" s="165" t="s">
        <v>1671</v>
      </c>
      <c r="H351" s="165" t="s">
        <v>922</v>
      </c>
      <c r="I351" s="165">
        <v>44393</v>
      </c>
      <c r="J351">
        <v>44393</v>
      </c>
      <c r="K351" s="165" t="s">
        <v>1671</v>
      </c>
      <c r="L351">
        <v>1180.1099999999999</v>
      </c>
      <c r="M351">
        <v>44411</v>
      </c>
      <c r="O351"/>
      <c r="P351"/>
      <c r="Q351"/>
      <c r="R351" s="165">
        <v>1180.1099999999999</v>
      </c>
      <c r="S351" s="165"/>
      <c r="T351" t="s">
        <v>1267</v>
      </c>
      <c r="U351" s="165" t="s">
        <v>1267</v>
      </c>
      <c r="V351" s="165" t="s">
        <v>1267</v>
      </c>
      <c r="W351"/>
      <c r="X351"/>
      <c r="AB351"/>
      <c r="AC351"/>
      <c r="AD351"/>
      <c r="AE351"/>
      <c r="AF351"/>
      <c r="AG351"/>
      <c r="AH351"/>
    </row>
    <row r="352" spans="1:34" x14ac:dyDescent="0.25">
      <c r="A352" s="78">
        <v>20210639</v>
      </c>
      <c r="B352" s="165" t="s">
        <v>1256</v>
      </c>
      <c r="C352" s="165" t="s">
        <v>1257</v>
      </c>
      <c r="D352" s="165">
        <v>8</v>
      </c>
      <c r="E352" s="165" t="s">
        <v>1250</v>
      </c>
      <c r="F352" s="165" t="s">
        <v>1258</v>
      </c>
      <c r="G352" s="165" t="s">
        <v>1671</v>
      </c>
      <c r="H352" s="165" t="s">
        <v>922</v>
      </c>
      <c r="I352" s="165">
        <v>44393</v>
      </c>
      <c r="J352">
        <v>44393</v>
      </c>
      <c r="K352" s="165" t="s">
        <v>1671</v>
      </c>
      <c r="L352">
        <v>484.24</v>
      </c>
      <c r="M352">
        <v>44411</v>
      </c>
      <c r="O352"/>
      <c r="P352"/>
      <c r="Q352"/>
      <c r="R352" s="165">
        <v>3873.92</v>
      </c>
      <c r="S352" s="165"/>
      <c r="T352" t="s">
        <v>1267</v>
      </c>
      <c r="U352" s="165" t="s">
        <v>1267</v>
      </c>
      <c r="V352" s="165" t="s">
        <v>1267</v>
      </c>
      <c r="W352"/>
      <c r="X352"/>
      <c r="AB352"/>
      <c r="AC352"/>
      <c r="AD352"/>
      <c r="AE352"/>
      <c r="AF352"/>
      <c r="AG352"/>
      <c r="AH352"/>
    </row>
    <row r="353" spans="1:34" x14ac:dyDescent="0.25">
      <c r="A353" s="78" t="s">
        <v>1501</v>
      </c>
      <c r="B353" s="165" t="s">
        <v>1292</v>
      </c>
      <c r="C353" s="165" t="s">
        <v>1293</v>
      </c>
      <c r="D353" s="165">
        <v>1</v>
      </c>
      <c r="E353" s="165" t="s">
        <v>1250</v>
      </c>
      <c r="F353" s="165" t="s">
        <v>1512</v>
      </c>
      <c r="G353" s="165" t="s">
        <v>1671</v>
      </c>
      <c r="H353" s="165" t="s">
        <v>1270</v>
      </c>
      <c r="I353" s="165">
        <v>44411</v>
      </c>
      <c r="J353">
        <v>44411</v>
      </c>
      <c r="K353" s="165" t="s">
        <v>1671</v>
      </c>
      <c r="L353">
        <v>4439.57</v>
      </c>
      <c r="M353">
        <v>44418</v>
      </c>
      <c r="N353">
        <v>4437.57</v>
      </c>
      <c r="O353">
        <v>44449</v>
      </c>
      <c r="P353"/>
      <c r="Q353"/>
      <c r="R353" s="165">
        <v>8877.14</v>
      </c>
      <c r="S353" s="165"/>
      <c r="T353" t="s">
        <v>1267</v>
      </c>
      <c r="U353" s="165" t="s">
        <v>1267</v>
      </c>
      <c r="V353" s="165" t="s">
        <v>1267</v>
      </c>
      <c r="W353"/>
      <c r="X353"/>
      <c r="AB353"/>
      <c r="AC353"/>
      <c r="AD353"/>
      <c r="AE353"/>
      <c r="AF353"/>
      <c r="AG353"/>
      <c r="AH353"/>
    </row>
    <row r="354" spans="1:34" x14ac:dyDescent="0.25">
      <c r="A354" s="78">
        <v>20210405</v>
      </c>
      <c r="B354" s="165" t="s">
        <v>1311</v>
      </c>
      <c r="C354" s="165" t="s">
        <v>1312</v>
      </c>
      <c r="D354" s="165">
        <v>1</v>
      </c>
      <c r="E354" s="165" t="s">
        <v>1250</v>
      </c>
      <c r="F354" s="165" t="s">
        <v>1513</v>
      </c>
      <c r="G354" s="165" t="s">
        <v>1671</v>
      </c>
      <c r="H354" s="165" t="s">
        <v>937</v>
      </c>
      <c r="I354" s="165">
        <v>44357</v>
      </c>
      <c r="J354">
        <v>44357</v>
      </c>
      <c r="K354" s="165" t="s">
        <v>1671</v>
      </c>
      <c r="L354">
        <v>1359.73</v>
      </c>
      <c r="M354">
        <v>44417</v>
      </c>
      <c r="O354"/>
      <c r="P354"/>
      <c r="Q354"/>
      <c r="R354" s="165">
        <v>1359.73</v>
      </c>
      <c r="S354" s="165"/>
      <c r="T354" t="s">
        <v>1267</v>
      </c>
      <c r="U354" s="165" t="s">
        <v>1267</v>
      </c>
      <c r="V354" s="165" t="s">
        <v>1267</v>
      </c>
      <c r="W354"/>
      <c r="X354"/>
      <c r="AB354"/>
      <c r="AC354"/>
      <c r="AD354"/>
      <c r="AE354"/>
      <c r="AF354"/>
      <c r="AG354"/>
      <c r="AH354"/>
    </row>
    <row r="355" spans="1:34" x14ac:dyDescent="0.25">
      <c r="A355" s="78">
        <v>20210405</v>
      </c>
      <c r="B355" s="165" t="s">
        <v>97</v>
      </c>
      <c r="C355" s="165" t="s">
        <v>1356</v>
      </c>
      <c r="D355" s="165">
        <v>1</v>
      </c>
      <c r="E355" s="165" t="s">
        <v>1250</v>
      </c>
      <c r="F355" s="165" t="s">
        <v>1495</v>
      </c>
      <c r="G355" s="165" t="s">
        <v>1671</v>
      </c>
      <c r="H355" s="165" t="s">
        <v>937</v>
      </c>
      <c r="I355" s="165">
        <v>44361</v>
      </c>
      <c r="J355">
        <v>44361</v>
      </c>
      <c r="K355" s="165" t="s">
        <v>1671</v>
      </c>
      <c r="L355">
        <v>1500.2</v>
      </c>
      <c r="M355">
        <v>44414</v>
      </c>
      <c r="O355"/>
      <c r="P355"/>
      <c r="Q355"/>
      <c r="R355" s="165">
        <v>1500.2</v>
      </c>
      <c r="S355" s="165"/>
      <c r="T355" t="s">
        <v>1267</v>
      </c>
      <c r="U355" s="165" t="s">
        <v>1267</v>
      </c>
      <c r="V355" s="165" t="s">
        <v>1267</v>
      </c>
      <c r="W355"/>
      <c r="X355"/>
      <c r="AB355"/>
      <c r="AC355"/>
      <c r="AD355"/>
      <c r="AE355"/>
      <c r="AF355"/>
      <c r="AG355"/>
      <c r="AH355"/>
    </row>
    <row r="356" spans="1:34" x14ac:dyDescent="0.25">
      <c r="A356" s="78">
        <v>20210405</v>
      </c>
      <c r="B356" s="165" t="s">
        <v>97</v>
      </c>
      <c r="C356" s="165" t="s">
        <v>1308</v>
      </c>
      <c r="D356" s="165">
        <v>1</v>
      </c>
      <c r="E356" s="165" t="s">
        <v>1250</v>
      </c>
      <c r="F356" s="165" t="s">
        <v>1514</v>
      </c>
      <c r="G356" s="165" t="s">
        <v>1671</v>
      </c>
      <c r="H356" s="165" t="s">
        <v>937</v>
      </c>
      <c r="I356" s="165">
        <v>44361</v>
      </c>
      <c r="J356">
        <v>44361</v>
      </c>
      <c r="K356" s="165" t="s">
        <v>1671</v>
      </c>
      <c r="L356">
        <v>2929.5</v>
      </c>
      <c r="M356">
        <v>44414</v>
      </c>
      <c r="O356"/>
      <c r="P356"/>
      <c r="Q356"/>
      <c r="R356" s="165">
        <v>2929.5</v>
      </c>
      <c r="S356" s="165"/>
      <c r="T356" t="s">
        <v>1267</v>
      </c>
      <c r="U356" s="165" t="s">
        <v>1267</v>
      </c>
      <c r="V356" s="165" t="s">
        <v>1267</v>
      </c>
      <c r="W356"/>
      <c r="X356"/>
      <c r="AB356"/>
      <c r="AC356"/>
      <c r="AD356"/>
      <c r="AE356"/>
      <c r="AF356"/>
      <c r="AG356"/>
      <c r="AH356"/>
    </row>
    <row r="357" spans="1:34" x14ac:dyDescent="0.25">
      <c r="A357" s="78">
        <v>20210622</v>
      </c>
      <c r="B357" s="165" t="s">
        <v>97</v>
      </c>
      <c r="C357" s="165" t="s">
        <v>1272</v>
      </c>
      <c r="D357" s="165">
        <v>1</v>
      </c>
      <c r="E357" s="165" t="s">
        <v>1250</v>
      </c>
      <c r="F357" s="165" t="s">
        <v>1426</v>
      </c>
      <c r="G357" s="165" t="s">
        <v>1671</v>
      </c>
      <c r="H357" s="165" t="s">
        <v>969</v>
      </c>
      <c r="I357" s="165">
        <v>44368</v>
      </c>
      <c r="J357">
        <v>44368</v>
      </c>
      <c r="K357" s="165" t="s">
        <v>1671</v>
      </c>
      <c r="L357">
        <v>177.36</v>
      </c>
      <c r="M357">
        <v>44410</v>
      </c>
      <c r="N357">
        <v>177.35</v>
      </c>
      <c r="O357">
        <v>44438</v>
      </c>
      <c r="P357"/>
      <c r="Q357"/>
      <c r="R357" s="165">
        <v>354.71000000000004</v>
      </c>
      <c r="S357" s="165"/>
      <c r="T357" t="s">
        <v>1267</v>
      </c>
      <c r="U357" s="165" t="s">
        <v>1267</v>
      </c>
      <c r="V357" s="165" t="s">
        <v>1267</v>
      </c>
      <c r="W357"/>
      <c r="X357"/>
      <c r="AB357"/>
      <c r="AC357"/>
      <c r="AD357"/>
      <c r="AE357"/>
      <c r="AF357"/>
      <c r="AG357"/>
      <c r="AH357"/>
    </row>
    <row r="358" spans="1:34" x14ac:dyDescent="0.25">
      <c r="A358" s="78" t="s">
        <v>1501</v>
      </c>
      <c r="B358" s="165" t="s">
        <v>1292</v>
      </c>
      <c r="C358" s="165" t="s">
        <v>1293</v>
      </c>
      <c r="D358" s="165">
        <v>1</v>
      </c>
      <c r="E358" s="165" t="s">
        <v>1250</v>
      </c>
      <c r="F358" s="165" t="s">
        <v>1515</v>
      </c>
      <c r="G358" s="165" t="s">
        <v>1671</v>
      </c>
      <c r="H358" s="165" t="s">
        <v>1270</v>
      </c>
      <c r="I358" s="165">
        <v>44411</v>
      </c>
      <c r="J358">
        <v>44411</v>
      </c>
      <c r="K358" s="165" t="s">
        <v>1671</v>
      </c>
      <c r="L358">
        <v>173</v>
      </c>
      <c r="M358">
        <v>44439</v>
      </c>
      <c r="O358"/>
      <c r="P358"/>
      <c r="Q358"/>
      <c r="R358" s="165">
        <v>173</v>
      </c>
      <c r="S358" s="165"/>
      <c r="T358" t="s">
        <v>1267</v>
      </c>
      <c r="U358" s="165" t="s">
        <v>1267</v>
      </c>
      <c r="V358" s="165" t="s">
        <v>1267</v>
      </c>
      <c r="W358"/>
      <c r="X358"/>
      <c r="AB358"/>
      <c r="AC358"/>
      <c r="AD358"/>
      <c r="AE358"/>
      <c r="AF358"/>
      <c r="AG358"/>
      <c r="AH358"/>
    </row>
    <row r="359" spans="1:34" x14ac:dyDescent="0.25">
      <c r="A359" s="78" t="s">
        <v>1501</v>
      </c>
      <c r="B359" s="165" t="s">
        <v>1292</v>
      </c>
      <c r="C359" s="165" t="s">
        <v>1293</v>
      </c>
      <c r="D359" s="165">
        <v>1</v>
      </c>
      <c r="E359" s="165" t="s">
        <v>1250</v>
      </c>
      <c r="F359" s="165" t="s">
        <v>1516</v>
      </c>
      <c r="G359" s="165" t="s">
        <v>1671</v>
      </c>
      <c r="H359" s="165" t="s">
        <v>1270</v>
      </c>
      <c r="I359" s="165">
        <v>44412</v>
      </c>
      <c r="J359">
        <v>44412</v>
      </c>
      <c r="K359" s="165" t="s">
        <v>1671</v>
      </c>
      <c r="L359">
        <v>168.5</v>
      </c>
      <c r="M359">
        <v>44412</v>
      </c>
      <c r="O359"/>
      <c r="P359"/>
      <c r="Q359"/>
      <c r="R359" s="165">
        <v>168.5</v>
      </c>
      <c r="S359" s="165"/>
      <c r="T359" t="s">
        <v>1267</v>
      </c>
      <c r="U359" s="165" t="s">
        <v>1267</v>
      </c>
      <c r="V359" s="165" t="s">
        <v>1267</v>
      </c>
      <c r="W359"/>
      <c r="X359"/>
      <c r="AB359"/>
      <c r="AC359"/>
      <c r="AD359"/>
      <c r="AE359"/>
      <c r="AF359"/>
      <c r="AG359"/>
      <c r="AH359"/>
    </row>
    <row r="360" spans="1:34" x14ac:dyDescent="0.25">
      <c r="A360" s="78" t="s">
        <v>1501</v>
      </c>
      <c r="B360" s="165" t="s">
        <v>1292</v>
      </c>
      <c r="C360" s="165" t="s">
        <v>1293</v>
      </c>
      <c r="D360" s="165">
        <v>1</v>
      </c>
      <c r="E360" s="165" t="s">
        <v>1250</v>
      </c>
      <c r="F360" s="165" t="s">
        <v>1517</v>
      </c>
      <c r="G360" s="165" t="s">
        <v>1671</v>
      </c>
      <c r="H360" s="165" t="s">
        <v>1270</v>
      </c>
      <c r="I360" s="165">
        <v>44419</v>
      </c>
      <c r="J360">
        <v>44419</v>
      </c>
      <c r="K360" s="165" t="s">
        <v>1671</v>
      </c>
      <c r="L360">
        <v>587.13</v>
      </c>
      <c r="M360">
        <v>44420</v>
      </c>
      <c r="O360"/>
      <c r="P360"/>
      <c r="Q360"/>
      <c r="R360" s="165">
        <v>587.13</v>
      </c>
      <c r="S360" s="165"/>
      <c r="T360" t="s">
        <v>1267</v>
      </c>
      <c r="U360" s="165" t="s">
        <v>1267</v>
      </c>
      <c r="V360" s="165" t="s">
        <v>1267</v>
      </c>
      <c r="W360"/>
      <c r="X360"/>
      <c r="AB360"/>
      <c r="AC360"/>
      <c r="AD360"/>
      <c r="AE360"/>
      <c r="AF360"/>
      <c r="AG360"/>
      <c r="AH360"/>
    </row>
    <row r="361" spans="1:34" x14ac:dyDescent="0.25">
      <c r="A361" s="78">
        <v>20210661</v>
      </c>
      <c r="B361" s="165" t="s">
        <v>97</v>
      </c>
      <c r="C361" s="165" t="s">
        <v>1296</v>
      </c>
      <c r="D361" s="165">
        <v>1</v>
      </c>
      <c r="E361" s="165" t="s">
        <v>1250</v>
      </c>
      <c r="F361" s="165" t="s">
        <v>1443</v>
      </c>
      <c r="G361" s="165" t="s">
        <v>1671</v>
      </c>
      <c r="H361" s="165" t="s">
        <v>1093</v>
      </c>
      <c r="I361" s="165">
        <v>44417</v>
      </c>
      <c r="J361">
        <v>44417</v>
      </c>
      <c r="K361" s="165" t="s">
        <v>1671</v>
      </c>
      <c r="L361">
        <v>504</v>
      </c>
      <c r="M361">
        <v>44418</v>
      </c>
      <c r="O361"/>
      <c r="P361"/>
      <c r="Q361"/>
      <c r="R361" s="165">
        <v>504</v>
      </c>
      <c r="S361" s="165"/>
      <c r="T361" t="s">
        <v>1267</v>
      </c>
      <c r="U361" s="165" t="s">
        <v>1267</v>
      </c>
      <c r="V361" s="165" t="s">
        <v>1267</v>
      </c>
      <c r="W361"/>
      <c r="X361"/>
      <c r="AB361"/>
      <c r="AC361"/>
      <c r="AD361"/>
      <c r="AE361"/>
      <c r="AF361"/>
      <c r="AG361"/>
      <c r="AH361"/>
    </row>
    <row r="362" spans="1:34" x14ac:dyDescent="0.25">
      <c r="A362" s="78" t="s">
        <v>1501</v>
      </c>
      <c r="B362" s="165" t="s">
        <v>1292</v>
      </c>
      <c r="C362" s="165" t="s">
        <v>1293</v>
      </c>
      <c r="D362" s="165">
        <v>1</v>
      </c>
      <c r="E362" s="165" t="s">
        <v>1250</v>
      </c>
      <c r="F362" s="165" t="s">
        <v>1518</v>
      </c>
      <c r="G362" s="165" t="s">
        <v>1671</v>
      </c>
      <c r="H362" s="165" t="s">
        <v>1270</v>
      </c>
      <c r="I362" s="165">
        <v>44426</v>
      </c>
      <c r="J362">
        <v>44426</v>
      </c>
      <c r="K362" s="165" t="s">
        <v>1671</v>
      </c>
      <c r="L362">
        <v>79.349999999999994</v>
      </c>
      <c r="M362">
        <v>44426</v>
      </c>
      <c r="O362"/>
      <c r="P362"/>
      <c r="Q362"/>
      <c r="R362" s="165">
        <v>79.349999999999994</v>
      </c>
      <c r="S362" s="165"/>
      <c r="T362" t="s">
        <v>1267</v>
      </c>
      <c r="U362" s="165" t="s">
        <v>1267</v>
      </c>
      <c r="V362" s="165" t="s">
        <v>1267</v>
      </c>
      <c r="W362"/>
      <c r="X362"/>
      <c r="AB362"/>
      <c r="AC362"/>
      <c r="AD362"/>
      <c r="AE362"/>
      <c r="AF362"/>
      <c r="AG362"/>
      <c r="AH362"/>
    </row>
    <row r="363" spans="1:34" x14ac:dyDescent="0.25">
      <c r="A363" s="78">
        <v>20210668</v>
      </c>
      <c r="B363" s="165" t="s">
        <v>97</v>
      </c>
      <c r="C363" s="165" t="s">
        <v>1274</v>
      </c>
      <c r="D363" s="165">
        <v>1</v>
      </c>
      <c r="E363" s="165" t="s">
        <v>1250</v>
      </c>
      <c r="F363" s="165" t="s">
        <v>1519</v>
      </c>
      <c r="G363" s="165" t="s">
        <v>1671</v>
      </c>
      <c r="H363" s="165" t="s">
        <v>969</v>
      </c>
      <c r="I363" s="165">
        <v>44421</v>
      </c>
      <c r="J363">
        <v>44421</v>
      </c>
      <c r="K363" s="165" t="s">
        <v>1671</v>
      </c>
      <c r="L363">
        <v>378</v>
      </c>
      <c r="M363">
        <v>44421</v>
      </c>
      <c r="O363"/>
      <c r="P363"/>
      <c r="Q363"/>
      <c r="R363" s="165">
        <v>378</v>
      </c>
      <c r="S363" s="165"/>
      <c r="T363" t="s">
        <v>1267</v>
      </c>
      <c r="U363" s="165" t="s">
        <v>1267</v>
      </c>
      <c r="V363" s="165" t="s">
        <v>1267</v>
      </c>
      <c r="W363"/>
      <c r="X363"/>
      <c r="AB363"/>
      <c r="AC363"/>
      <c r="AD363"/>
      <c r="AE363"/>
      <c r="AF363"/>
      <c r="AG363"/>
      <c r="AH363"/>
    </row>
    <row r="364" spans="1:34" x14ac:dyDescent="0.25">
      <c r="A364" s="78">
        <v>20210668</v>
      </c>
      <c r="B364" s="165" t="s">
        <v>1256</v>
      </c>
      <c r="C364" s="165" t="s">
        <v>1281</v>
      </c>
      <c r="D364" s="165">
        <v>1</v>
      </c>
      <c r="E364" s="165" t="s">
        <v>1250</v>
      </c>
      <c r="F364" s="165" t="s">
        <v>1520</v>
      </c>
      <c r="G364" s="165" t="s">
        <v>1671</v>
      </c>
      <c r="H364" s="165" t="s">
        <v>969</v>
      </c>
      <c r="I364" s="165">
        <v>44424</v>
      </c>
      <c r="J364">
        <v>44424</v>
      </c>
      <c r="K364" s="165" t="s">
        <v>1671</v>
      </c>
      <c r="L364">
        <v>90</v>
      </c>
      <c r="M364">
        <v>44424</v>
      </c>
      <c r="O364"/>
      <c r="P364"/>
      <c r="Q364"/>
      <c r="R364" s="165">
        <v>90</v>
      </c>
      <c r="S364" s="165"/>
      <c r="T364" t="s">
        <v>1267</v>
      </c>
      <c r="U364" s="165" t="s">
        <v>1267</v>
      </c>
      <c r="V364" s="165" t="s">
        <v>1267</v>
      </c>
      <c r="W364"/>
      <c r="X364"/>
      <c r="AB364"/>
      <c r="AC364"/>
      <c r="AD364"/>
      <c r="AE364"/>
      <c r="AF364"/>
      <c r="AG364"/>
      <c r="AH364"/>
    </row>
    <row r="365" spans="1:34" x14ac:dyDescent="0.25">
      <c r="A365" s="78">
        <v>20210668</v>
      </c>
      <c r="B365" s="165" t="s">
        <v>97</v>
      </c>
      <c r="C365" s="165" t="s">
        <v>1327</v>
      </c>
      <c r="D365" s="165">
        <v>1</v>
      </c>
      <c r="E365" s="165" t="s">
        <v>1250</v>
      </c>
      <c r="F365" s="165" t="s">
        <v>1521</v>
      </c>
      <c r="G365" s="165" t="s">
        <v>1671</v>
      </c>
      <c r="H365" s="165" t="s">
        <v>969</v>
      </c>
      <c r="I365" s="165">
        <v>44424</v>
      </c>
      <c r="J365">
        <v>44424</v>
      </c>
      <c r="K365" s="165" t="s">
        <v>1671</v>
      </c>
      <c r="L365">
        <v>17</v>
      </c>
      <c r="M365">
        <v>44424</v>
      </c>
      <c r="O365"/>
      <c r="P365"/>
      <c r="Q365"/>
      <c r="R365" s="165">
        <v>17</v>
      </c>
      <c r="S365" s="165"/>
      <c r="T365" t="s">
        <v>1267</v>
      </c>
      <c r="U365" s="165" t="s">
        <v>1267</v>
      </c>
      <c r="V365" s="165" t="s">
        <v>1267</v>
      </c>
      <c r="W365"/>
      <c r="X365"/>
      <c r="AB365"/>
      <c r="AC365"/>
      <c r="AD365"/>
      <c r="AE365"/>
      <c r="AF365"/>
      <c r="AG365"/>
      <c r="AH365"/>
    </row>
    <row r="366" spans="1:34" x14ac:dyDescent="0.25">
      <c r="A366" s="78">
        <v>20210668</v>
      </c>
      <c r="B366" s="165" t="s">
        <v>1292</v>
      </c>
      <c r="C366" s="165" t="s">
        <v>1293</v>
      </c>
      <c r="D366" s="165">
        <v>1</v>
      </c>
      <c r="E366" s="165" t="s">
        <v>1250</v>
      </c>
      <c r="F366" s="165" t="s">
        <v>1522</v>
      </c>
      <c r="G366" s="165" t="s">
        <v>1671</v>
      </c>
      <c r="H366" s="165" t="s">
        <v>969</v>
      </c>
      <c r="I366" s="165">
        <v>44424</v>
      </c>
      <c r="J366">
        <v>44424</v>
      </c>
      <c r="K366" s="165" t="s">
        <v>1671</v>
      </c>
      <c r="L366">
        <v>114</v>
      </c>
      <c r="M366">
        <v>44424</v>
      </c>
      <c r="O366"/>
      <c r="P366"/>
      <c r="Q366"/>
      <c r="R366" s="165">
        <v>114</v>
      </c>
      <c r="S366" s="165"/>
      <c r="T366" t="s">
        <v>1267</v>
      </c>
      <c r="U366" s="165" t="s">
        <v>1267</v>
      </c>
      <c r="V366" s="165" t="s">
        <v>1267</v>
      </c>
      <c r="W366"/>
      <c r="X366"/>
      <c r="AB366"/>
      <c r="AC366"/>
      <c r="AD366"/>
      <c r="AE366"/>
      <c r="AF366"/>
      <c r="AG366"/>
      <c r="AH366"/>
    </row>
    <row r="367" spans="1:34" x14ac:dyDescent="0.25">
      <c r="A367" s="78">
        <v>20210668</v>
      </c>
      <c r="B367" s="165" t="s">
        <v>1292</v>
      </c>
      <c r="C367" s="165" t="s">
        <v>1293</v>
      </c>
      <c r="D367" s="165">
        <v>1</v>
      </c>
      <c r="E367" s="165" t="s">
        <v>1250</v>
      </c>
      <c r="F367" s="165" t="s">
        <v>1523</v>
      </c>
      <c r="G367" s="165" t="s">
        <v>1671</v>
      </c>
      <c r="H367" s="165" t="s">
        <v>969</v>
      </c>
      <c r="I367" s="165">
        <v>44414</v>
      </c>
      <c r="J367">
        <v>44414</v>
      </c>
      <c r="K367" s="165" t="s">
        <v>1671</v>
      </c>
      <c r="L367">
        <v>950</v>
      </c>
      <c r="M367">
        <v>44424</v>
      </c>
      <c r="O367"/>
      <c r="P367"/>
      <c r="Q367"/>
      <c r="R367" s="165">
        <v>950</v>
      </c>
      <c r="S367" s="165"/>
      <c r="T367" t="s">
        <v>1267</v>
      </c>
      <c r="U367" s="165" t="s">
        <v>1267</v>
      </c>
      <c r="V367" s="165" t="s">
        <v>1267</v>
      </c>
      <c r="W367"/>
      <c r="X367"/>
      <c r="AB367"/>
      <c r="AC367"/>
      <c r="AD367"/>
      <c r="AE367"/>
      <c r="AF367"/>
      <c r="AG367"/>
      <c r="AH367"/>
    </row>
    <row r="368" spans="1:34" x14ac:dyDescent="0.25">
      <c r="A368" s="78">
        <v>20210668</v>
      </c>
      <c r="B368" s="165" t="s">
        <v>1292</v>
      </c>
      <c r="C368" s="165" t="s">
        <v>1293</v>
      </c>
      <c r="D368" s="165">
        <v>1</v>
      </c>
      <c r="E368" s="165" t="s">
        <v>1250</v>
      </c>
      <c r="F368" s="165" t="s">
        <v>1524</v>
      </c>
      <c r="G368" s="165" t="s">
        <v>1671</v>
      </c>
      <c r="H368" s="165" t="s">
        <v>969</v>
      </c>
      <c r="I368" s="165">
        <v>44427</v>
      </c>
      <c r="J368">
        <v>44427</v>
      </c>
      <c r="K368" s="165" t="s">
        <v>1671</v>
      </c>
      <c r="L368">
        <v>321.11</v>
      </c>
      <c r="M368">
        <v>44427</v>
      </c>
      <c r="O368"/>
      <c r="P368"/>
      <c r="Q368"/>
      <c r="R368" s="165">
        <v>321.11</v>
      </c>
      <c r="S368" s="165"/>
      <c r="T368" t="s">
        <v>1267</v>
      </c>
      <c r="U368" s="165" t="s">
        <v>1267</v>
      </c>
      <c r="V368" s="165" t="s">
        <v>1267</v>
      </c>
      <c r="W368"/>
      <c r="X368"/>
      <c r="AB368"/>
      <c r="AC368"/>
      <c r="AD368"/>
      <c r="AE368"/>
      <c r="AF368"/>
      <c r="AG368"/>
      <c r="AH368"/>
    </row>
    <row r="369" spans="1:34" x14ac:dyDescent="0.25">
      <c r="A369" s="78">
        <v>20210668</v>
      </c>
      <c r="B369" s="165" t="s">
        <v>1256</v>
      </c>
      <c r="C369" s="165" t="s">
        <v>1281</v>
      </c>
      <c r="D369" s="165">
        <v>1</v>
      </c>
      <c r="E369" s="165" t="s">
        <v>1250</v>
      </c>
      <c r="F369" s="165" t="s">
        <v>1525</v>
      </c>
      <c r="G369" s="165" t="s">
        <v>1671</v>
      </c>
      <c r="H369" s="165" t="s">
        <v>969</v>
      </c>
      <c r="I369" s="165">
        <v>44426</v>
      </c>
      <c r="J369">
        <v>44426</v>
      </c>
      <c r="K369" s="165" t="s">
        <v>1671</v>
      </c>
      <c r="L369">
        <v>150</v>
      </c>
      <c r="M369">
        <v>44426</v>
      </c>
      <c r="O369"/>
      <c r="P369"/>
      <c r="Q369"/>
      <c r="R369" s="165">
        <v>150</v>
      </c>
      <c r="S369" s="165"/>
      <c r="T369" t="s">
        <v>1267</v>
      </c>
      <c r="U369" s="165" t="s">
        <v>1267</v>
      </c>
      <c r="V369" s="165" t="s">
        <v>1267</v>
      </c>
      <c r="W369"/>
      <c r="X369"/>
      <c r="AB369"/>
      <c r="AC369"/>
      <c r="AD369"/>
      <c r="AE369"/>
      <c r="AF369"/>
      <c r="AG369"/>
      <c r="AH369"/>
    </row>
    <row r="370" spans="1:34" x14ac:dyDescent="0.25">
      <c r="A370" s="78">
        <v>20210668</v>
      </c>
      <c r="B370" s="165" t="s">
        <v>1311</v>
      </c>
      <c r="C370" s="165" t="s">
        <v>1312</v>
      </c>
      <c r="D370" s="165">
        <v>1</v>
      </c>
      <c r="E370" s="165" t="s">
        <v>1250</v>
      </c>
      <c r="F370" s="165" t="s">
        <v>1526</v>
      </c>
      <c r="G370" s="165" t="s">
        <v>1671</v>
      </c>
      <c r="H370" s="165" t="s">
        <v>969</v>
      </c>
      <c r="I370" s="165">
        <v>44418</v>
      </c>
      <c r="J370">
        <v>44418</v>
      </c>
      <c r="K370" s="165" t="s">
        <v>1671</v>
      </c>
      <c r="L370">
        <v>150</v>
      </c>
      <c r="M370">
        <v>44438</v>
      </c>
      <c r="O370"/>
      <c r="P370"/>
      <c r="Q370"/>
      <c r="R370" s="165">
        <v>150</v>
      </c>
      <c r="S370" s="165"/>
      <c r="T370" t="s">
        <v>1267</v>
      </c>
      <c r="U370" s="165" t="s">
        <v>1267</v>
      </c>
      <c r="V370" s="165" t="s">
        <v>1267</v>
      </c>
      <c r="W370"/>
      <c r="X370"/>
      <c r="AB370"/>
      <c r="AC370"/>
      <c r="AD370"/>
      <c r="AE370"/>
      <c r="AF370"/>
      <c r="AG370"/>
      <c r="AH370"/>
    </row>
    <row r="371" spans="1:34" x14ac:dyDescent="0.25">
      <c r="A371" s="78">
        <v>20210668</v>
      </c>
      <c r="B371" s="165" t="s">
        <v>1292</v>
      </c>
      <c r="C371" s="165" t="s">
        <v>1293</v>
      </c>
      <c r="D371" s="165">
        <v>1</v>
      </c>
      <c r="E371" s="165" t="s">
        <v>1250</v>
      </c>
      <c r="F371" s="165" t="s">
        <v>1522</v>
      </c>
      <c r="G371" s="165" t="s">
        <v>1671</v>
      </c>
      <c r="H371" s="165" t="s">
        <v>969</v>
      </c>
      <c r="I371" s="165">
        <v>44428</v>
      </c>
      <c r="J371">
        <v>44428</v>
      </c>
      <c r="K371" s="165" t="s">
        <v>1671</v>
      </c>
      <c r="L371">
        <v>250</v>
      </c>
      <c r="M371">
        <v>44438</v>
      </c>
      <c r="O371"/>
      <c r="P371"/>
      <c r="Q371"/>
      <c r="R371" s="165">
        <v>250</v>
      </c>
      <c r="S371" s="165"/>
      <c r="T371" t="s">
        <v>1267</v>
      </c>
      <c r="U371" s="165" t="s">
        <v>1267</v>
      </c>
      <c r="V371" s="165" t="s">
        <v>1267</v>
      </c>
      <c r="W371"/>
      <c r="X371"/>
      <c r="AB371"/>
      <c r="AC371"/>
      <c r="AD371"/>
      <c r="AE371"/>
      <c r="AF371"/>
      <c r="AG371"/>
      <c r="AH371"/>
    </row>
    <row r="372" spans="1:34" x14ac:dyDescent="0.25">
      <c r="A372" s="78">
        <v>20210668</v>
      </c>
      <c r="B372" s="165" t="s">
        <v>1292</v>
      </c>
      <c r="C372" s="165" t="s">
        <v>1293</v>
      </c>
      <c r="D372" s="165">
        <v>1</v>
      </c>
      <c r="E372" s="165" t="s">
        <v>1250</v>
      </c>
      <c r="F372" s="165" t="s">
        <v>1527</v>
      </c>
      <c r="G372" s="165" t="s">
        <v>1671</v>
      </c>
      <c r="H372" s="165" t="s">
        <v>969</v>
      </c>
      <c r="I372" s="165">
        <v>44428</v>
      </c>
      <c r="J372">
        <v>44428</v>
      </c>
      <c r="K372" s="165" t="s">
        <v>1671</v>
      </c>
      <c r="L372">
        <v>280</v>
      </c>
      <c r="M372">
        <v>44438</v>
      </c>
      <c r="O372"/>
      <c r="P372"/>
      <c r="Q372"/>
      <c r="R372" s="165">
        <v>280</v>
      </c>
      <c r="S372" s="165"/>
      <c r="T372" t="s">
        <v>1267</v>
      </c>
      <c r="U372" s="165" t="s">
        <v>1267</v>
      </c>
      <c r="V372" s="165" t="s">
        <v>1267</v>
      </c>
      <c r="W372"/>
      <c r="X372"/>
      <c r="AB372"/>
      <c r="AC372"/>
      <c r="AD372"/>
      <c r="AE372"/>
      <c r="AF372"/>
      <c r="AG372"/>
      <c r="AH372"/>
    </row>
    <row r="373" spans="1:34" x14ac:dyDescent="0.25">
      <c r="A373" s="78">
        <v>20210668</v>
      </c>
      <c r="B373" s="165" t="s">
        <v>1292</v>
      </c>
      <c r="C373" s="165" t="s">
        <v>1293</v>
      </c>
      <c r="D373" s="165">
        <v>1</v>
      </c>
      <c r="E373" s="165" t="s">
        <v>1250</v>
      </c>
      <c r="F373" s="165" t="s">
        <v>1412</v>
      </c>
      <c r="G373" s="165" t="s">
        <v>1671</v>
      </c>
      <c r="H373" s="165" t="s">
        <v>969</v>
      </c>
      <c r="I373" s="165">
        <v>44426</v>
      </c>
      <c r="J373">
        <v>44426</v>
      </c>
      <c r="K373" s="165" t="s">
        <v>1671</v>
      </c>
      <c r="L373">
        <v>100</v>
      </c>
      <c r="M373">
        <v>44426</v>
      </c>
      <c r="O373"/>
      <c r="P373"/>
      <c r="Q373"/>
      <c r="R373" s="165">
        <v>100</v>
      </c>
      <c r="S373" s="165"/>
      <c r="T373" t="s">
        <v>1267</v>
      </c>
      <c r="U373" s="165" t="s">
        <v>1267</v>
      </c>
      <c r="V373" s="165" t="s">
        <v>1267</v>
      </c>
      <c r="W373"/>
      <c r="X373"/>
      <c r="AB373"/>
      <c r="AC373"/>
      <c r="AD373"/>
      <c r="AE373"/>
      <c r="AF373"/>
      <c r="AG373"/>
      <c r="AH373"/>
    </row>
    <row r="374" spans="1:34" x14ac:dyDescent="0.25">
      <c r="A374" s="78">
        <v>20210668</v>
      </c>
      <c r="B374" s="165" t="s">
        <v>97</v>
      </c>
      <c r="C374" s="165" t="s">
        <v>1279</v>
      </c>
      <c r="D374" s="165">
        <v>1</v>
      </c>
      <c r="E374" s="165" t="s">
        <v>1250</v>
      </c>
      <c r="F374" s="165" t="s">
        <v>1528</v>
      </c>
      <c r="G374" s="165" t="s">
        <v>1671</v>
      </c>
      <c r="H374" s="165" t="s">
        <v>969</v>
      </c>
      <c r="I374" s="165">
        <v>44419</v>
      </c>
      <c r="J374">
        <v>44419</v>
      </c>
      <c r="K374" s="165" t="s">
        <v>1671</v>
      </c>
      <c r="L374">
        <v>413.35</v>
      </c>
      <c r="M374">
        <v>44419</v>
      </c>
      <c r="O374"/>
      <c r="P374"/>
      <c r="Q374"/>
      <c r="R374" s="165">
        <v>413.35</v>
      </c>
      <c r="S374" s="165"/>
      <c r="T374" t="s">
        <v>1267</v>
      </c>
      <c r="U374" s="165" t="s">
        <v>1267</v>
      </c>
      <c r="V374" s="165" t="s">
        <v>1267</v>
      </c>
      <c r="W374"/>
      <c r="X374"/>
      <c r="AB374"/>
      <c r="AC374"/>
      <c r="AD374"/>
      <c r="AE374"/>
      <c r="AF374"/>
      <c r="AG374"/>
      <c r="AH374"/>
    </row>
    <row r="375" spans="1:34" x14ac:dyDescent="0.25">
      <c r="A375" s="78">
        <v>20210668</v>
      </c>
      <c r="B375" s="165" t="s">
        <v>1292</v>
      </c>
      <c r="C375" s="165" t="s">
        <v>1293</v>
      </c>
      <c r="D375" s="165">
        <v>1</v>
      </c>
      <c r="E375" s="165" t="s">
        <v>1250</v>
      </c>
      <c r="F375" s="165" t="s">
        <v>1529</v>
      </c>
      <c r="G375" s="165" t="s">
        <v>1671</v>
      </c>
      <c r="H375" s="165" t="s">
        <v>969</v>
      </c>
      <c r="I375" s="165">
        <v>44420</v>
      </c>
      <c r="J375">
        <v>44420</v>
      </c>
      <c r="K375" s="165" t="s">
        <v>1671</v>
      </c>
      <c r="L375">
        <v>185</v>
      </c>
      <c r="M375">
        <v>44420</v>
      </c>
      <c r="O375"/>
      <c r="P375"/>
      <c r="Q375"/>
      <c r="R375" s="165">
        <v>185</v>
      </c>
      <c r="S375" s="165"/>
      <c r="T375" t="s">
        <v>1267</v>
      </c>
      <c r="U375" s="165" t="s">
        <v>1267</v>
      </c>
      <c r="V375" s="165" t="s">
        <v>1267</v>
      </c>
      <c r="W375"/>
      <c r="X375"/>
      <c r="AB375"/>
      <c r="AC375"/>
      <c r="AD375"/>
      <c r="AE375"/>
      <c r="AF375"/>
      <c r="AG375"/>
      <c r="AH375"/>
    </row>
    <row r="376" spans="1:34" x14ac:dyDescent="0.25">
      <c r="A376" s="78">
        <v>20210685</v>
      </c>
      <c r="B376" s="165" t="s">
        <v>1292</v>
      </c>
      <c r="C376" s="165" t="s">
        <v>1293</v>
      </c>
      <c r="D376" s="165">
        <v>1</v>
      </c>
      <c r="E376" s="165" t="s">
        <v>1250</v>
      </c>
      <c r="F376" s="165" t="s">
        <v>1530</v>
      </c>
      <c r="G376" s="165" t="s">
        <v>1671</v>
      </c>
      <c r="H376" s="165" t="s">
        <v>1031</v>
      </c>
      <c r="I376" s="165">
        <v>44419</v>
      </c>
      <c r="J376">
        <v>44419</v>
      </c>
      <c r="K376" s="165" t="s">
        <v>1671</v>
      </c>
      <c r="L376">
        <v>715</v>
      </c>
      <c r="M376">
        <v>44419</v>
      </c>
      <c r="O376"/>
      <c r="P376"/>
      <c r="Q376"/>
      <c r="R376" s="165">
        <v>715</v>
      </c>
      <c r="S376" s="165"/>
      <c r="T376" t="s">
        <v>1267</v>
      </c>
      <c r="U376" s="165" t="s">
        <v>1267</v>
      </c>
      <c r="V376" s="165" t="s">
        <v>1267</v>
      </c>
      <c r="W376"/>
      <c r="X376"/>
      <c r="AB376"/>
      <c r="AC376"/>
      <c r="AD376"/>
      <c r="AE376"/>
      <c r="AF376"/>
      <c r="AG376"/>
      <c r="AH376"/>
    </row>
    <row r="377" spans="1:34" x14ac:dyDescent="0.25">
      <c r="A377" s="78">
        <v>20210649</v>
      </c>
      <c r="B377" s="165" t="s">
        <v>97</v>
      </c>
      <c r="C377" s="165" t="s">
        <v>1356</v>
      </c>
      <c r="D377" s="165">
        <v>1</v>
      </c>
      <c r="E377" s="165" t="s">
        <v>1250</v>
      </c>
      <c r="F377" s="165" t="s">
        <v>1531</v>
      </c>
      <c r="G377" s="165" t="s">
        <v>1671</v>
      </c>
      <c r="H377" s="165" t="s">
        <v>1184</v>
      </c>
      <c r="I377" s="165">
        <v>44364</v>
      </c>
      <c r="J377">
        <v>44364</v>
      </c>
      <c r="K377" s="165" t="s">
        <v>1671</v>
      </c>
      <c r="L377">
        <v>2411.14</v>
      </c>
      <c r="M377">
        <v>44433</v>
      </c>
      <c r="O377"/>
      <c r="P377"/>
      <c r="Q377"/>
      <c r="R377" s="165">
        <v>2411.14</v>
      </c>
      <c r="S377" s="165"/>
      <c r="T377" t="s">
        <v>1267</v>
      </c>
      <c r="U377" s="165" t="s">
        <v>1267</v>
      </c>
      <c r="V377" s="165" t="s">
        <v>1267</v>
      </c>
      <c r="W377"/>
      <c r="X377"/>
      <c r="AB377"/>
      <c r="AC377"/>
      <c r="AD377"/>
      <c r="AE377"/>
      <c r="AF377"/>
      <c r="AG377"/>
      <c r="AH377"/>
    </row>
    <row r="378" spans="1:34" x14ac:dyDescent="0.25">
      <c r="A378" s="78">
        <v>20210649</v>
      </c>
      <c r="B378" s="165" t="s">
        <v>1292</v>
      </c>
      <c r="C378" s="165" t="s">
        <v>1293</v>
      </c>
      <c r="D378" s="165">
        <v>1</v>
      </c>
      <c r="E378" s="165" t="s">
        <v>1250</v>
      </c>
      <c r="F378" s="165" t="s">
        <v>1532</v>
      </c>
      <c r="G378" s="165" t="s">
        <v>1671</v>
      </c>
      <c r="H378" s="165" t="s">
        <v>1184</v>
      </c>
      <c r="I378" s="165">
        <v>44410</v>
      </c>
      <c r="J378">
        <v>44410</v>
      </c>
      <c r="K378" s="165" t="s">
        <v>1671</v>
      </c>
      <c r="L378">
        <v>286.73</v>
      </c>
      <c r="M378">
        <v>44425</v>
      </c>
      <c r="O378"/>
      <c r="P378"/>
      <c r="Q378"/>
      <c r="R378" s="165">
        <v>286.73</v>
      </c>
      <c r="S378" s="165"/>
      <c r="T378" t="s">
        <v>1267</v>
      </c>
      <c r="U378" s="165" t="s">
        <v>1267</v>
      </c>
      <c r="V378" s="165" t="s">
        <v>1267</v>
      </c>
      <c r="W378"/>
      <c r="X378"/>
      <c r="AB378"/>
      <c r="AC378"/>
      <c r="AD378"/>
      <c r="AE378"/>
      <c r="AF378"/>
      <c r="AG378"/>
      <c r="AH378"/>
    </row>
    <row r="379" spans="1:34" x14ac:dyDescent="0.25">
      <c r="A379" s="78">
        <v>20210438</v>
      </c>
      <c r="B379" s="165" t="s">
        <v>97</v>
      </c>
      <c r="C379" s="165" t="s">
        <v>1356</v>
      </c>
      <c r="D379" s="165">
        <v>1</v>
      </c>
      <c r="E379" s="165" t="s">
        <v>1250</v>
      </c>
      <c r="F379" s="165" t="s">
        <v>1533</v>
      </c>
      <c r="G379" s="165" t="s">
        <v>1671</v>
      </c>
      <c r="H379" s="165" t="s">
        <v>1270</v>
      </c>
      <c r="I379" s="165">
        <v>44420</v>
      </c>
      <c r="J379">
        <v>44420</v>
      </c>
      <c r="K379" s="165" t="s">
        <v>1671</v>
      </c>
      <c r="L379">
        <v>25000</v>
      </c>
      <c r="M379">
        <v>44420</v>
      </c>
      <c r="O379"/>
      <c r="P379"/>
      <c r="Q379"/>
      <c r="R379" s="165">
        <v>25000</v>
      </c>
      <c r="S379" s="165"/>
      <c r="T379" t="s">
        <v>1267</v>
      </c>
      <c r="U379" s="165" t="s">
        <v>1267</v>
      </c>
      <c r="V379" s="165" t="s">
        <v>1267</v>
      </c>
      <c r="W379"/>
      <c r="X379"/>
      <c r="AB379"/>
      <c r="AC379"/>
      <c r="AD379"/>
      <c r="AE379"/>
      <c r="AF379"/>
      <c r="AG379"/>
      <c r="AH379"/>
    </row>
    <row r="380" spans="1:34" x14ac:dyDescent="0.25">
      <c r="A380" s="78">
        <v>20210683</v>
      </c>
      <c r="B380" s="165" t="s">
        <v>1292</v>
      </c>
      <c r="C380" s="165" t="s">
        <v>1293</v>
      </c>
      <c r="D380" s="165">
        <v>1</v>
      </c>
      <c r="E380" s="165" t="s">
        <v>1250</v>
      </c>
      <c r="F380" s="165" t="s">
        <v>1534</v>
      </c>
      <c r="G380" s="165" t="s">
        <v>1671</v>
      </c>
      <c r="H380" s="165" t="s">
        <v>929</v>
      </c>
      <c r="I380" s="165">
        <v>44427</v>
      </c>
      <c r="J380">
        <v>44427</v>
      </c>
      <c r="K380" s="165" t="s">
        <v>1671</v>
      </c>
      <c r="L380">
        <v>550</v>
      </c>
      <c r="M380">
        <v>44434</v>
      </c>
      <c r="O380"/>
      <c r="P380"/>
      <c r="Q380"/>
      <c r="R380" s="165">
        <v>550</v>
      </c>
      <c r="S380" s="165"/>
      <c r="T380" t="s">
        <v>1267</v>
      </c>
      <c r="U380" s="165" t="s">
        <v>1267</v>
      </c>
      <c r="V380" s="165" t="s">
        <v>1267</v>
      </c>
      <c r="W380"/>
      <c r="X380"/>
      <c r="AB380"/>
      <c r="AC380"/>
      <c r="AD380"/>
      <c r="AE380"/>
      <c r="AF380"/>
      <c r="AG380"/>
      <c r="AH380"/>
    </row>
    <row r="381" spans="1:34" x14ac:dyDescent="0.25">
      <c r="A381" s="78">
        <v>20210684</v>
      </c>
      <c r="B381" s="165" t="s">
        <v>97</v>
      </c>
      <c r="C381" s="165" t="s">
        <v>1302</v>
      </c>
      <c r="D381" s="165">
        <v>1</v>
      </c>
      <c r="E381" s="165" t="s">
        <v>1250</v>
      </c>
      <c r="F381" s="165" t="s">
        <v>1535</v>
      </c>
      <c r="G381" s="165" t="s">
        <v>1671</v>
      </c>
      <c r="H381" s="165" t="s">
        <v>969</v>
      </c>
      <c r="I381" s="165">
        <v>44417</v>
      </c>
      <c r="J381">
        <v>44417</v>
      </c>
      <c r="K381" s="165" t="s">
        <v>1671</v>
      </c>
      <c r="L381">
        <v>692.08</v>
      </c>
      <c r="M381">
        <v>44431</v>
      </c>
      <c r="O381"/>
      <c r="P381"/>
      <c r="Q381"/>
      <c r="R381" s="165">
        <v>692.08</v>
      </c>
      <c r="S381" s="165"/>
      <c r="T381" t="s">
        <v>1267</v>
      </c>
      <c r="U381" s="165" t="s">
        <v>1267</v>
      </c>
      <c r="V381" s="165" t="s">
        <v>1267</v>
      </c>
      <c r="W381"/>
      <c r="X381"/>
      <c r="AB381"/>
      <c r="AC381"/>
      <c r="AD381"/>
      <c r="AE381"/>
      <c r="AF381"/>
      <c r="AG381"/>
      <c r="AH381"/>
    </row>
    <row r="382" spans="1:34" x14ac:dyDescent="0.25">
      <c r="A382" s="78">
        <v>20210684</v>
      </c>
      <c r="B382" s="165" t="s">
        <v>1256</v>
      </c>
      <c r="C382" s="165" t="s">
        <v>1257</v>
      </c>
      <c r="D382" s="165">
        <v>3</v>
      </c>
      <c r="E382" s="165" t="s">
        <v>1250</v>
      </c>
      <c r="F382" s="165" t="s">
        <v>1536</v>
      </c>
      <c r="G382" s="165" t="s">
        <v>1671</v>
      </c>
      <c r="H382" s="165" t="s">
        <v>969</v>
      </c>
      <c r="I382" s="165">
        <v>44432</v>
      </c>
      <c r="J382">
        <v>44432</v>
      </c>
      <c r="K382" s="165" t="s">
        <v>1671</v>
      </c>
      <c r="L382">
        <v>524.29999999999995</v>
      </c>
      <c r="M382">
        <v>44432</v>
      </c>
      <c r="O382"/>
      <c r="P382"/>
      <c r="Q382"/>
      <c r="R382" s="165">
        <v>1572.9</v>
      </c>
      <c r="S382" s="165"/>
      <c r="T382" t="s">
        <v>1267</v>
      </c>
      <c r="U382" s="165" t="s">
        <v>1267</v>
      </c>
      <c r="V382" s="165" t="s">
        <v>1267</v>
      </c>
      <c r="W382"/>
      <c r="X382"/>
      <c r="AB382"/>
      <c r="AC382"/>
      <c r="AD382"/>
      <c r="AE382"/>
      <c r="AF382"/>
      <c r="AG382"/>
      <c r="AH382"/>
    </row>
    <row r="383" spans="1:34" x14ac:dyDescent="0.25">
      <c r="A383" s="78">
        <v>20210695</v>
      </c>
      <c r="B383" s="165" t="s">
        <v>1261</v>
      </c>
      <c r="C383" s="165" t="s">
        <v>1262</v>
      </c>
      <c r="D383" s="165">
        <v>1</v>
      </c>
      <c r="E383" s="165" t="s">
        <v>1250</v>
      </c>
      <c r="F383" s="165" t="s">
        <v>1417</v>
      </c>
      <c r="G383" s="165" t="s">
        <v>1671</v>
      </c>
      <c r="H383" s="165" t="s">
        <v>922</v>
      </c>
      <c r="I383" s="165">
        <v>44410</v>
      </c>
      <c r="J383">
        <v>44410</v>
      </c>
      <c r="K383" s="165" t="s">
        <v>1671</v>
      </c>
      <c r="L383">
        <v>1808.25</v>
      </c>
      <c r="M383">
        <v>44439</v>
      </c>
      <c r="O383"/>
      <c r="P383"/>
      <c r="Q383"/>
      <c r="R383" s="165">
        <v>1808.25</v>
      </c>
      <c r="S383" s="165"/>
      <c r="T383" t="s">
        <v>1267</v>
      </c>
      <c r="U383" s="165" t="s">
        <v>1267</v>
      </c>
      <c r="V383" s="165" t="s">
        <v>1267</v>
      </c>
      <c r="W383"/>
      <c r="X383"/>
      <c r="AB383"/>
      <c r="AC383"/>
      <c r="AD383"/>
      <c r="AE383"/>
      <c r="AF383"/>
      <c r="AG383"/>
      <c r="AH383"/>
    </row>
    <row r="384" spans="1:34" x14ac:dyDescent="0.25">
      <c r="A384" s="78" t="s">
        <v>1501</v>
      </c>
      <c r="B384" s="165" t="s">
        <v>1292</v>
      </c>
      <c r="C384" s="165" t="s">
        <v>1293</v>
      </c>
      <c r="D384" s="165">
        <v>1</v>
      </c>
      <c r="E384" s="165" t="s">
        <v>1250</v>
      </c>
      <c r="F384" s="165" t="s">
        <v>1537</v>
      </c>
      <c r="G384" s="165" t="s">
        <v>1671</v>
      </c>
      <c r="H384" s="165" t="s">
        <v>1270</v>
      </c>
      <c r="I384" s="165">
        <v>44426</v>
      </c>
      <c r="J384">
        <v>44426</v>
      </c>
      <c r="K384" s="165" t="s">
        <v>1671</v>
      </c>
      <c r="M384">
        <v>44426</v>
      </c>
      <c r="O384"/>
      <c r="P384"/>
      <c r="Q384"/>
      <c r="R384" s="165">
        <v>0</v>
      </c>
      <c r="S384" s="165"/>
      <c r="T384" t="s">
        <v>1267</v>
      </c>
      <c r="U384" s="165" t="s">
        <v>1267</v>
      </c>
      <c r="V384" s="165" t="s">
        <v>1267</v>
      </c>
      <c r="W384"/>
      <c r="X384"/>
      <c r="AB384"/>
      <c r="AC384"/>
      <c r="AD384"/>
      <c r="AE384"/>
      <c r="AF384"/>
      <c r="AG384"/>
      <c r="AH384"/>
    </row>
    <row r="385" spans="1:34" x14ac:dyDescent="0.25">
      <c r="A385" s="78">
        <v>20210696</v>
      </c>
      <c r="B385" s="165" t="s">
        <v>97</v>
      </c>
      <c r="C385" s="165" t="s">
        <v>1279</v>
      </c>
      <c r="D385" s="165">
        <v>1</v>
      </c>
      <c r="E385" s="165" t="s">
        <v>1250</v>
      </c>
      <c r="F385" s="165" t="s">
        <v>1528</v>
      </c>
      <c r="G385" s="165" t="s">
        <v>1671</v>
      </c>
      <c r="H385" s="165" t="s">
        <v>932</v>
      </c>
      <c r="I385" s="165">
        <v>44425</v>
      </c>
      <c r="J385">
        <v>44425</v>
      </c>
      <c r="K385" s="165" t="s">
        <v>1671</v>
      </c>
      <c r="L385">
        <v>305.89999999999998</v>
      </c>
      <c r="M385">
        <v>44425</v>
      </c>
      <c r="O385"/>
      <c r="P385"/>
      <c r="Q385"/>
      <c r="R385" s="165">
        <v>305.89999999999998</v>
      </c>
      <c r="S385" s="165"/>
      <c r="T385" t="s">
        <v>1267</v>
      </c>
      <c r="U385" s="165" t="s">
        <v>1267</v>
      </c>
      <c r="V385" s="165" t="s">
        <v>1267</v>
      </c>
      <c r="W385"/>
      <c r="X385"/>
      <c r="AB385"/>
      <c r="AC385"/>
      <c r="AD385"/>
      <c r="AE385"/>
      <c r="AF385"/>
      <c r="AG385"/>
      <c r="AH385"/>
    </row>
    <row r="386" spans="1:34" x14ac:dyDescent="0.25">
      <c r="A386" s="78">
        <v>20210688</v>
      </c>
      <c r="B386" s="165" t="s">
        <v>1311</v>
      </c>
      <c r="C386" s="165" t="s">
        <v>1312</v>
      </c>
      <c r="D386" s="165">
        <v>1</v>
      </c>
      <c r="E386" s="165" t="s">
        <v>1250</v>
      </c>
      <c r="F386" s="165" t="s">
        <v>1538</v>
      </c>
      <c r="G386" s="165" t="s">
        <v>1671</v>
      </c>
      <c r="H386" s="165" t="s">
        <v>969</v>
      </c>
      <c r="I386" s="165">
        <v>44420</v>
      </c>
      <c r="J386">
        <v>44420</v>
      </c>
      <c r="K386" s="165" t="s">
        <v>1671</v>
      </c>
      <c r="L386">
        <v>508</v>
      </c>
      <c r="M386">
        <v>44432</v>
      </c>
      <c r="O386"/>
      <c r="P386"/>
      <c r="Q386"/>
      <c r="R386" s="165">
        <v>508</v>
      </c>
      <c r="S386" s="165"/>
      <c r="T386" t="s">
        <v>1267</v>
      </c>
      <c r="U386" s="165" t="s">
        <v>1267</v>
      </c>
      <c r="V386" s="165" t="s">
        <v>1267</v>
      </c>
      <c r="W386"/>
      <c r="X386"/>
      <c r="AB386"/>
      <c r="AC386"/>
      <c r="AD386"/>
      <c r="AE386"/>
      <c r="AF386"/>
      <c r="AG386"/>
      <c r="AH386"/>
    </row>
    <row r="387" spans="1:34" x14ac:dyDescent="0.25">
      <c r="A387" s="78">
        <v>20210631</v>
      </c>
      <c r="B387" s="165" t="s">
        <v>97</v>
      </c>
      <c r="C387" s="165" t="s">
        <v>1302</v>
      </c>
      <c r="D387" s="165">
        <v>1</v>
      </c>
      <c r="E387" s="165" t="s">
        <v>1250</v>
      </c>
      <c r="F387" s="165" t="s">
        <v>1539</v>
      </c>
      <c r="G387" s="165" t="s">
        <v>1671</v>
      </c>
      <c r="H387" s="165" t="s">
        <v>969</v>
      </c>
      <c r="I387" s="165">
        <v>44432</v>
      </c>
      <c r="J387">
        <v>44432</v>
      </c>
      <c r="K387" s="165" t="s">
        <v>1671</v>
      </c>
      <c r="L387">
        <v>60</v>
      </c>
      <c r="M387">
        <v>44432</v>
      </c>
      <c r="O387"/>
      <c r="P387"/>
      <c r="Q387"/>
      <c r="R387" s="165">
        <v>60</v>
      </c>
      <c r="S387" s="165"/>
      <c r="T387" t="s">
        <v>1267</v>
      </c>
      <c r="U387" s="165" t="s">
        <v>1267</v>
      </c>
      <c r="V387" s="165" t="s">
        <v>1267</v>
      </c>
      <c r="W387"/>
      <c r="X387"/>
      <c r="AB387"/>
      <c r="AC387"/>
      <c r="AD387"/>
      <c r="AE387"/>
      <c r="AF387"/>
      <c r="AG387"/>
      <c r="AH387"/>
    </row>
    <row r="388" spans="1:34" x14ac:dyDescent="0.25">
      <c r="A388" s="78">
        <v>20210631</v>
      </c>
      <c r="B388" s="165" t="s">
        <v>1256</v>
      </c>
      <c r="C388" s="165" t="s">
        <v>1257</v>
      </c>
      <c r="D388" s="165">
        <v>2</v>
      </c>
      <c r="E388" s="165" t="s">
        <v>1250</v>
      </c>
      <c r="F388" s="165" t="s">
        <v>1536</v>
      </c>
      <c r="G388" s="165" t="s">
        <v>1671</v>
      </c>
      <c r="H388" s="165" t="s">
        <v>969</v>
      </c>
      <c r="I388" s="165">
        <v>44434</v>
      </c>
      <c r="J388">
        <v>44434</v>
      </c>
      <c r="K388" s="165" t="s">
        <v>1671</v>
      </c>
      <c r="L388">
        <v>559</v>
      </c>
      <c r="M388">
        <v>44434</v>
      </c>
      <c r="N388">
        <v>559</v>
      </c>
      <c r="O388">
        <v>44461</v>
      </c>
      <c r="P388"/>
      <c r="Q388"/>
      <c r="R388" s="165">
        <v>1118</v>
      </c>
      <c r="S388" s="165"/>
      <c r="T388" t="s">
        <v>1267</v>
      </c>
      <c r="U388" s="165" t="s">
        <v>1267</v>
      </c>
      <c r="V388" s="165" t="s">
        <v>1267</v>
      </c>
      <c r="W388"/>
      <c r="X388"/>
      <c r="AB388"/>
      <c r="AC388"/>
      <c r="AD388"/>
      <c r="AE388"/>
      <c r="AF388"/>
      <c r="AG388"/>
      <c r="AH388"/>
    </row>
    <row r="389" spans="1:34" x14ac:dyDescent="0.25">
      <c r="A389" s="78">
        <v>20210668</v>
      </c>
      <c r="B389" s="165" t="s">
        <v>1292</v>
      </c>
      <c r="C389" s="165" t="s">
        <v>1293</v>
      </c>
      <c r="D389" s="165">
        <v>1</v>
      </c>
      <c r="E389" s="165" t="s">
        <v>1250</v>
      </c>
      <c r="F389" s="165" t="s">
        <v>1540</v>
      </c>
      <c r="G389" s="165" t="s">
        <v>1671</v>
      </c>
      <c r="H389" s="165" t="s">
        <v>969</v>
      </c>
      <c r="I389" s="165">
        <v>44428</v>
      </c>
      <c r="J389">
        <v>44428</v>
      </c>
      <c r="K389" s="165" t="s">
        <v>1671</v>
      </c>
      <c r="L389">
        <v>300</v>
      </c>
      <c r="M389">
        <v>44428</v>
      </c>
      <c r="O389"/>
      <c r="P389"/>
      <c r="Q389"/>
      <c r="R389" s="165">
        <v>300</v>
      </c>
      <c r="S389" s="165"/>
      <c r="T389" t="s">
        <v>1267</v>
      </c>
      <c r="U389" s="165" t="s">
        <v>1267</v>
      </c>
      <c r="V389" s="165" t="s">
        <v>1267</v>
      </c>
      <c r="W389"/>
      <c r="X389"/>
      <c r="AB389"/>
      <c r="AC389"/>
      <c r="AD389"/>
      <c r="AE389"/>
      <c r="AF389"/>
      <c r="AG389"/>
      <c r="AH389"/>
    </row>
    <row r="390" spans="1:34" x14ac:dyDescent="0.25">
      <c r="A390" s="78" t="s">
        <v>1501</v>
      </c>
      <c r="B390" s="165" t="s">
        <v>1292</v>
      </c>
      <c r="C390" s="165" t="s">
        <v>1293</v>
      </c>
      <c r="D390" s="165">
        <v>1</v>
      </c>
      <c r="E390" s="165" t="s">
        <v>1250</v>
      </c>
      <c r="F390" s="165" t="s">
        <v>1541</v>
      </c>
      <c r="G390" s="165" t="s">
        <v>1671</v>
      </c>
      <c r="H390" s="165" t="s">
        <v>1270</v>
      </c>
      <c r="I390" s="165">
        <v>44431</v>
      </c>
      <c r="J390">
        <v>44431</v>
      </c>
      <c r="K390" s="165" t="s">
        <v>1671</v>
      </c>
      <c r="L390">
        <v>584.80999999999995</v>
      </c>
      <c r="M390">
        <v>44431</v>
      </c>
      <c r="O390"/>
      <c r="P390"/>
      <c r="Q390"/>
      <c r="R390" s="165">
        <v>584.80999999999995</v>
      </c>
      <c r="S390" s="165"/>
      <c r="T390" t="s">
        <v>1267</v>
      </c>
      <c r="U390" s="165" t="s">
        <v>1267</v>
      </c>
      <c r="V390" s="165" t="s">
        <v>1267</v>
      </c>
      <c r="W390"/>
      <c r="X390"/>
      <c r="AB390"/>
      <c r="AC390"/>
      <c r="AD390"/>
      <c r="AE390"/>
      <c r="AF390"/>
      <c r="AG390"/>
      <c r="AH390"/>
    </row>
    <row r="391" spans="1:34" x14ac:dyDescent="0.25">
      <c r="A391" s="78" t="s">
        <v>1501</v>
      </c>
      <c r="B391" s="165" t="s">
        <v>1292</v>
      </c>
      <c r="C391" s="165" t="s">
        <v>1293</v>
      </c>
      <c r="D391" s="165">
        <v>1</v>
      </c>
      <c r="E391" s="165" t="s">
        <v>1250</v>
      </c>
      <c r="F391" s="165" t="s">
        <v>1292</v>
      </c>
      <c r="G391" s="165" t="s">
        <v>1671</v>
      </c>
      <c r="H391" s="165" t="s">
        <v>1270</v>
      </c>
      <c r="I391" s="165">
        <v>44434</v>
      </c>
      <c r="J391">
        <v>44434</v>
      </c>
      <c r="K391" s="165" t="s">
        <v>1671</v>
      </c>
      <c r="L391">
        <v>297.52999999999997</v>
      </c>
      <c r="M391">
        <v>44434</v>
      </c>
      <c r="O391"/>
      <c r="P391"/>
      <c r="Q391"/>
      <c r="R391" s="165">
        <v>297.52999999999997</v>
      </c>
      <c r="S391" s="165"/>
      <c r="T391" t="s">
        <v>1267</v>
      </c>
      <c r="U391" s="165" t="s">
        <v>1267</v>
      </c>
      <c r="V391" s="165" t="s">
        <v>1267</v>
      </c>
      <c r="W391"/>
      <c r="X391"/>
      <c r="AB391"/>
      <c r="AC391"/>
      <c r="AD391"/>
      <c r="AE391"/>
      <c r="AF391"/>
      <c r="AG391"/>
      <c r="AH391"/>
    </row>
    <row r="392" spans="1:34" x14ac:dyDescent="0.25">
      <c r="A392" s="78">
        <v>20210631</v>
      </c>
      <c r="B392" s="165" t="s">
        <v>97</v>
      </c>
      <c r="C392" s="165" t="s">
        <v>1296</v>
      </c>
      <c r="D392" s="165">
        <v>1</v>
      </c>
      <c r="E392" s="165" t="s">
        <v>1250</v>
      </c>
      <c r="F392" s="165" t="s">
        <v>1542</v>
      </c>
      <c r="G392" s="165" t="s">
        <v>1671</v>
      </c>
      <c r="H392" s="165" t="s">
        <v>969</v>
      </c>
      <c r="I392" s="165">
        <v>44434</v>
      </c>
      <c r="J392">
        <v>44434</v>
      </c>
      <c r="K392" s="165" t="s">
        <v>1671</v>
      </c>
      <c r="L392">
        <v>347.5</v>
      </c>
      <c r="M392">
        <v>44434</v>
      </c>
      <c r="N392">
        <v>347.5</v>
      </c>
      <c r="O392">
        <v>44461</v>
      </c>
      <c r="P392"/>
      <c r="Q392"/>
      <c r="R392" s="165">
        <v>695</v>
      </c>
      <c r="S392" s="165"/>
      <c r="T392" t="s">
        <v>1267</v>
      </c>
      <c r="U392" s="165" t="s">
        <v>1267</v>
      </c>
      <c r="V392" s="165" t="s">
        <v>1267</v>
      </c>
      <c r="W392"/>
      <c r="X392"/>
      <c r="AB392"/>
      <c r="AC392"/>
      <c r="AD392"/>
      <c r="AE392"/>
      <c r="AF392"/>
      <c r="AG392"/>
      <c r="AH392"/>
    </row>
    <row r="393" spans="1:34" x14ac:dyDescent="0.25">
      <c r="A393" s="78" t="s">
        <v>1501</v>
      </c>
      <c r="B393" s="165" t="s">
        <v>1292</v>
      </c>
      <c r="C393" s="165" t="s">
        <v>1293</v>
      </c>
      <c r="D393" s="165">
        <v>1</v>
      </c>
      <c r="E393" s="165" t="s">
        <v>1250</v>
      </c>
      <c r="F393" s="165" t="s">
        <v>1543</v>
      </c>
      <c r="G393" s="165" t="s">
        <v>1671</v>
      </c>
      <c r="H393" s="165" t="s">
        <v>1270</v>
      </c>
      <c r="I393" s="165">
        <v>44436</v>
      </c>
      <c r="J393">
        <v>44436</v>
      </c>
      <c r="K393" s="165" t="s">
        <v>1671</v>
      </c>
      <c r="L393">
        <v>162.04</v>
      </c>
      <c r="M393">
        <v>44436</v>
      </c>
      <c r="O393"/>
      <c r="P393"/>
      <c r="Q393"/>
      <c r="R393" s="165">
        <v>162.04</v>
      </c>
      <c r="S393" s="165"/>
      <c r="T393" t="s">
        <v>1267</v>
      </c>
      <c r="U393" s="165" t="s">
        <v>1267</v>
      </c>
      <c r="V393" s="165" t="s">
        <v>1267</v>
      </c>
      <c r="W393"/>
      <c r="X393"/>
      <c r="AB393"/>
      <c r="AC393"/>
      <c r="AD393"/>
      <c r="AE393"/>
      <c r="AF393"/>
      <c r="AG393"/>
      <c r="AH393"/>
    </row>
    <row r="394" spans="1:34" x14ac:dyDescent="0.25">
      <c r="A394" s="78" t="s">
        <v>1501</v>
      </c>
      <c r="B394" s="165" t="s">
        <v>1292</v>
      </c>
      <c r="C394" s="165" t="s">
        <v>1293</v>
      </c>
      <c r="D394" s="165">
        <v>1</v>
      </c>
      <c r="E394" s="165" t="s">
        <v>1250</v>
      </c>
      <c r="F394" s="165" t="s">
        <v>1292</v>
      </c>
      <c r="G394" s="165" t="s">
        <v>1671</v>
      </c>
      <c r="H394" s="165" t="s">
        <v>1270</v>
      </c>
      <c r="I394" s="165">
        <v>44418</v>
      </c>
      <c r="J394">
        <v>44418</v>
      </c>
      <c r="K394" s="165" t="s">
        <v>1671</v>
      </c>
      <c r="L394">
        <v>30</v>
      </c>
      <c r="M394">
        <v>44440</v>
      </c>
      <c r="O394"/>
      <c r="P394"/>
      <c r="Q394"/>
      <c r="R394" s="165">
        <v>30</v>
      </c>
      <c r="S394" s="165"/>
      <c r="T394" t="s">
        <v>1267</v>
      </c>
      <c r="U394" s="165" t="s">
        <v>1267</v>
      </c>
      <c r="V394" s="165" t="s">
        <v>1267</v>
      </c>
      <c r="W394"/>
      <c r="X394"/>
      <c r="AB394"/>
      <c r="AC394"/>
      <c r="AD394"/>
      <c r="AE394"/>
      <c r="AF394"/>
      <c r="AG394"/>
      <c r="AH394"/>
    </row>
    <row r="395" spans="1:34" x14ac:dyDescent="0.25">
      <c r="A395" s="78">
        <v>20210685</v>
      </c>
      <c r="B395" s="165" t="s">
        <v>1292</v>
      </c>
      <c r="C395" s="165" t="s">
        <v>1293</v>
      </c>
      <c r="D395" s="165">
        <v>1</v>
      </c>
      <c r="E395" s="165" t="s">
        <v>1250</v>
      </c>
      <c r="F395" s="165" t="s">
        <v>1544</v>
      </c>
      <c r="G395" s="165" t="s">
        <v>1671</v>
      </c>
      <c r="H395" s="165" t="s">
        <v>1031</v>
      </c>
      <c r="I395" s="165">
        <v>44449</v>
      </c>
      <c r="J395">
        <v>44449</v>
      </c>
      <c r="K395" s="165" t="s">
        <v>1671</v>
      </c>
      <c r="L395">
        <v>2300</v>
      </c>
      <c r="M395">
        <v>44449</v>
      </c>
      <c r="O395"/>
      <c r="P395"/>
      <c r="Q395"/>
      <c r="R395" s="165">
        <v>2300</v>
      </c>
      <c r="S395" s="165"/>
      <c r="T395" t="s">
        <v>1267</v>
      </c>
      <c r="U395" s="165" t="s">
        <v>1267</v>
      </c>
      <c r="V395" s="165" t="s">
        <v>1267</v>
      </c>
      <c r="W395"/>
      <c r="X395"/>
      <c r="AB395"/>
      <c r="AC395"/>
      <c r="AD395"/>
      <c r="AE395"/>
      <c r="AF395"/>
      <c r="AG395"/>
      <c r="AH395"/>
    </row>
    <row r="396" spans="1:34" x14ac:dyDescent="0.25">
      <c r="A396" s="78">
        <v>20210685</v>
      </c>
      <c r="B396" s="165" t="s">
        <v>1292</v>
      </c>
      <c r="C396" s="165" t="s">
        <v>1293</v>
      </c>
      <c r="D396" s="165">
        <v>1</v>
      </c>
      <c r="E396" s="165" t="s">
        <v>1250</v>
      </c>
      <c r="F396" s="165" t="s">
        <v>1544</v>
      </c>
      <c r="G396" s="165" t="s">
        <v>1671</v>
      </c>
      <c r="H396" s="165" t="s">
        <v>1031</v>
      </c>
      <c r="I396" s="165">
        <v>44440</v>
      </c>
      <c r="J396">
        <v>44440</v>
      </c>
      <c r="K396" s="165" t="s">
        <v>1671</v>
      </c>
      <c r="L396">
        <v>1700</v>
      </c>
      <c r="M396">
        <v>44440</v>
      </c>
      <c r="O396"/>
      <c r="P396"/>
      <c r="Q396"/>
      <c r="R396" s="165">
        <v>1700</v>
      </c>
      <c r="S396" s="165"/>
      <c r="T396" t="s">
        <v>1267</v>
      </c>
      <c r="U396" s="165" t="s">
        <v>1267</v>
      </c>
      <c r="V396" s="165" t="s">
        <v>1267</v>
      </c>
      <c r="W396"/>
      <c r="X396"/>
      <c r="AB396"/>
      <c r="AC396"/>
      <c r="AD396"/>
      <c r="AE396"/>
      <c r="AF396"/>
      <c r="AG396"/>
      <c r="AH396"/>
    </row>
    <row r="397" spans="1:34" x14ac:dyDescent="0.25">
      <c r="A397" s="78">
        <v>20210685</v>
      </c>
      <c r="B397" s="165" t="s">
        <v>1261</v>
      </c>
      <c r="C397" s="165" t="s">
        <v>1262</v>
      </c>
      <c r="D397" s="165">
        <v>1</v>
      </c>
      <c r="E397" s="165" t="s">
        <v>1250</v>
      </c>
      <c r="F397" s="165" t="s">
        <v>1450</v>
      </c>
      <c r="G397" s="165" t="s">
        <v>1671</v>
      </c>
      <c r="H397" s="165" t="s">
        <v>1031</v>
      </c>
      <c r="I397" s="165">
        <v>44440</v>
      </c>
      <c r="J397">
        <v>44440</v>
      </c>
      <c r="K397" s="165" t="s">
        <v>1671</v>
      </c>
      <c r="L397">
        <v>2881.68</v>
      </c>
      <c r="M397">
        <v>44461</v>
      </c>
      <c r="O397"/>
      <c r="P397"/>
      <c r="Q397"/>
      <c r="R397" s="165">
        <v>2881.68</v>
      </c>
      <c r="S397" s="165"/>
      <c r="T397" t="s">
        <v>1267</v>
      </c>
      <c r="U397" s="165" t="s">
        <v>1267</v>
      </c>
      <c r="V397" s="165" t="s">
        <v>1267</v>
      </c>
      <c r="W397"/>
      <c r="X397"/>
      <c r="AB397"/>
      <c r="AC397"/>
      <c r="AD397"/>
      <c r="AE397"/>
      <c r="AF397"/>
      <c r="AG397"/>
      <c r="AH397"/>
    </row>
    <row r="398" spans="1:34" x14ac:dyDescent="0.25">
      <c r="A398" s="78">
        <v>20210685</v>
      </c>
      <c r="B398" s="165" t="s">
        <v>97</v>
      </c>
      <c r="C398" s="165" t="s">
        <v>1272</v>
      </c>
      <c r="D398" s="165">
        <v>3</v>
      </c>
      <c r="E398" s="165" t="s">
        <v>1250</v>
      </c>
      <c r="F398" s="165" t="s">
        <v>1545</v>
      </c>
      <c r="G398" s="165" t="s">
        <v>1671</v>
      </c>
      <c r="H398" s="165" t="s">
        <v>1031</v>
      </c>
      <c r="I398" s="165">
        <v>44448</v>
      </c>
      <c r="J398">
        <v>44448</v>
      </c>
      <c r="K398" s="165" t="s">
        <v>1671</v>
      </c>
      <c r="L398">
        <v>345.71</v>
      </c>
      <c r="M398">
        <v>44448</v>
      </c>
      <c r="O398"/>
      <c r="P398"/>
      <c r="Q398"/>
      <c r="R398" s="165">
        <v>1037.1300000000001</v>
      </c>
      <c r="S398" s="165"/>
      <c r="T398" t="s">
        <v>1267</v>
      </c>
      <c r="U398" s="165" t="s">
        <v>1267</v>
      </c>
      <c r="V398" s="165" t="s">
        <v>1267</v>
      </c>
      <c r="W398"/>
      <c r="X398"/>
      <c r="AB398"/>
      <c r="AC398"/>
      <c r="AD398"/>
      <c r="AE398"/>
      <c r="AF398"/>
      <c r="AG398"/>
      <c r="AH398"/>
    </row>
    <row r="399" spans="1:34" x14ac:dyDescent="0.25">
      <c r="A399" s="78">
        <v>20210685</v>
      </c>
      <c r="B399" s="165" t="s">
        <v>97</v>
      </c>
      <c r="C399" s="165" t="s">
        <v>1305</v>
      </c>
      <c r="D399" s="165">
        <v>1</v>
      </c>
      <c r="E399" s="165" t="s">
        <v>1250</v>
      </c>
      <c r="F399" s="165" t="s">
        <v>1546</v>
      </c>
      <c r="G399" s="165" t="s">
        <v>1671</v>
      </c>
      <c r="H399" s="165" t="s">
        <v>1031</v>
      </c>
      <c r="I399" s="165">
        <v>44447</v>
      </c>
      <c r="J399">
        <v>44447</v>
      </c>
      <c r="K399" s="165" t="s">
        <v>1671</v>
      </c>
      <c r="L399">
        <v>1500</v>
      </c>
      <c r="M399">
        <v>44447</v>
      </c>
      <c r="O399"/>
      <c r="P399"/>
      <c r="Q399"/>
      <c r="R399" s="165">
        <v>1500</v>
      </c>
      <c r="S399" s="165"/>
      <c r="T399" t="s">
        <v>1267</v>
      </c>
      <c r="U399" s="165" t="s">
        <v>1267</v>
      </c>
      <c r="V399" s="165" t="s">
        <v>1267</v>
      </c>
      <c r="W399"/>
      <c r="X399"/>
      <c r="AB399"/>
      <c r="AC399"/>
      <c r="AD399"/>
      <c r="AE399"/>
      <c r="AF399"/>
      <c r="AG399"/>
      <c r="AH399"/>
    </row>
    <row r="400" spans="1:34" x14ac:dyDescent="0.25">
      <c r="A400" s="78">
        <v>20210685</v>
      </c>
      <c r="B400" s="165" t="s">
        <v>1311</v>
      </c>
      <c r="C400" s="165" t="s">
        <v>1312</v>
      </c>
      <c r="D400" s="165">
        <v>1</v>
      </c>
      <c r="E400" s="165" t="s">
        <v>1250</v>
      </c>
      <c r="F400" s="165" t="s">
        <v>1481</v>
      </c>
      <c r="G400" s="165" t="s">
        <v>1671</v>
      </c>
      <c r="H400" s="165" t="s">
        <v>1031</v>
      </c>
      <c r="I400" s="165">
        <v>44440</v>
      </c>
      <c r="J400">
        <v>44440</v>
      </c>
      <c r="K400" s="165" t="s">
        <v>1671</v>
      </c>
      <c r="L400">
        <v>145</v>
      </c>
      <c r="M400">
        <v>44440</v>
      </c>
      <c r="O400"/>
      <c r="P400"/>
      <c r="Q400"/>
      <c r="R400" s="165">
        <v>145</v>
      </c>
      <c r="S400" s="165"/>
      <c r="T400" t="s">
        <v>1267</v>
      </c>
      <c r="U400" s="165" t="s">
        <v>1267</v>
      </c>
      <c r="V400" s="165" t="s">
        <v>1267</v>
      </c>
      <c r="W400"/>
      <c r="X400"/>
      <c r="AB400"/>
      <c r="AC400"/>
      <c r="AD400"/>
      <c r="AE400"/>
      <c r="AF400"/>
      <c r="AG400"/>
      <c r="AH400"/>
    </row>
    <row r="401" spans="1:34" x14ac:dyDescent="0.25">
      <c r="A401" s="78">
        <v>20210685</v>
      </c>
      <c r="B401" s="165" t="s">
        <v>1311</v>
      </c>
      <c r="C401" s="165" t="s">
        <v>1312</v>
      </c>
      <c r="D401" s="165">
        <v>1</v>
      </c>
      <c r="E401" s="165" t="s">
        <v>1250</v>
      </c>
      <c r="F401" s="165" t="s">
        <v>1481</v>
      </c>
      <c r="G401" s="165" t="s">
        <v>1671</v>
      </c>
      <c r="H401" s="165" t="s">
        <v>1031</v>
      </c>
      <c r="I401" s="165">
        <v>44450</v>
      </c>
      <c r="J401">
        <v>44450</v>
      </c>
      <c r="K401" s="165" t="s">
        <v>1671</v>
      </c>
      <c r="L401">
        <v>58.9</v>
      </c>
      <c r="M401">
        <v>44450</v>
      </c>
      <c r="O401"/>
      <c r="P401"/>
      <c r="Q401"/>
      <c r="R401" s="165">
        <v>58.9</v>
      </c>
      <c r="S401" s="165"/>
      <c r="T401" t="s">
        <v>1267</v>
      </c>
      <c r="U401" s="165" t="s">
        <v>1267</v>
      </c>
      <c r="V401" s="165" t="s">
        <v>1267</v>
      </c>
      <c r="W401"/>
      <c r="X401"/>
      <c r="AB401"/>
      <c r="AC401"/>
      <c r="AD401"/>
      <c r="AE401"/>
      <c r="AF401"/>
      <c r="AG401"/>
      <c r="AH401"/>
    </row>
    <row r="402" spans="1:34" x14ac:dyDescent="0.25">
      <c r="A402" s="78">
        <v>20210685</v>
      </c>
      <c r="B402" s="165" t="s">
        <v>1311</v>
      </c>
      <c r="C402" s="165" t="s">
        <v>1312</v>
      </c>
      <c r="D402" s="165">
        <v>1</v>
      </c>
      <c r="E402" s="165" t="s">
        <v>1250</v>
      </c>
      <c r="F402" s="165" t="s">
        <v>1481</v>
      </c>
      <c r="G402" s="165" t="s">
        <v>1671</v>
      </c>
      <c r="H402" s="165" t="s">
        <v>1031</v>
      </c>
      <c r="I402" s="165">
        <v>44452</v>
      </c>
      <c r="J402">
        <v>44452</v>
      </c>
      <c r="K402" s="165" t="s">
        <v>1671</v>
      </c>
      <c r="L402">
        <v>40</v>
      </c>
      <c r="M402">
        <v>44452</v>
      </c>
      <c r="O402"/>
      <c r="P402"/>
      <c r="Q402"/>
      <c r="R402" s="165">
        <v>40</v>
      </c>
      <c r="S402" s="165"/>
      <c r="T402" t="s">
        <v>1267</v>
      </c>
      <c r="U402" s="165" t="s">
        <v>1267</v>
      </c>
      <c r="V402" s="165" t="s">
        <v>1267</v>
      </c>
      <c r="W402"/>
      <c r="X402"/>
      <c r="AB402"/>
      <c r="AC402"/>
      <c r="AD402"/>
      <c r="AE402"/>
      <c r="AF402"/>
      <c r="AG402"/>
      <c r="AH402"/>
    </row>
    <row r="403" spans="1:34" x14ac:dyDescent="0.25">
      <c r="A403" s="78">
        <v>20210685</v>
      </c>
      <c r="B403" s="165" t="s">
        <v>1311</v>
      </c>
      <c r="C403" s="165" t="s">
        <v>1312</v>
      </c>
      <c r="D403" s="165">
        <v>1</v>
      </c>
      <c r="E403" s="165" t="s">
        <v>1250</v>
      </c>
      <c r="F403" s="165" t="s">
        <v>1481</v>
      </c>
      <c r="G403" s="165" t="s">
        <v>1671</v>
      </c>
      <c r="H403" s="165" t="s">
        <v>1031</v>
      </c>
      <c r="I403" s="165">
        <v>44441</v>
      </c>
      <c r="J403">
        <v>44441</v>
      </c>
      <c r="K403" s="165" t="s">
        <v>1671</v>
      </c>
      <c r="L403">
        <v>100</v>
      </c>
      <c r="M403">
        <v>44441</v>
      </c>
      <c r="O403"/>
      <c r="P403"/>
      <c r="Q403"/>
      <c r="R403" s="165">
        <v>100</v>
      </c>
      <c r="S403" s="165"/>
      <c r="T403" t="s">
        <v>1267</v>
      </c>
      <c r="U403" s="165" t="s">
        <v>1267</v>
      </c>
      <c r="V403" s="165" t="s">
        <v>1267</v>
      </c>
      <c r="W403"/>
      <c r="X403"/>
      <c r="AB403"/>
      <c r="AC403"/>
      <c r="AD403"/>
      <c r="AE403"/>
      <c r="AF403"/>
      <c r="AG403"/>
      <c r="AH403"/>
    </row>
    <row r="404" spans="1:34" x14ac:dyDescent="0.25">
      <c r="A404" s="78">
        <v>20210685</v>
      </c>
      <c r="B404" s="165" t="s">
        <v>1311</v>
      </c>
      <c r="C404" s="165" t="s">
        <v>1312</v>
      </c>
      <c r="D404" s="165">
        <v>1</v>
      </c>
      <c r="E404" s="165" t="s">
        <v>1250</v>
      </c>
      <c r="F404" s="165" t="s">
        <v>1481</v>
      </c>
      <c r="G404" s="165" t="s">
        <v>1671</v>
      </c>
      <c r="H404" s="165" t="s">
        <v>1031</v>
      </c>
      <c r="I404" s="165">
        <v>44442</v>
      </c>
      <c r="J404">
        <v>44442</v>
      </c>
      <c r="K404" s="165" t="s">
        <v>1671</v>
      </c>
      <c r="L404">
        <v>110</v>
      </c>
      <c r="M404">
        <v>44442</v>
      </c>
      <c r="O404"/>
      <c r="P404"/>
      <c r="Q404"/>
      <c r="R404" s="165">
        <v>110</v>
      </c>
      <c r="S404" s="165"/>
      <c r="T404" t="s">
        <v>1267</v>
      </c>
      <c r="U404" s="165" t="s">
        <v>1267</v>
      </c>
      <c r="V404" s="165" t="s">
        <v>1267</v>
      </c>
      <c r="W404"/>
      <c r="X404"/>
      <c r="AB404"/>
      <c r="AC404"/>
      <c r="AD404"/>
      <c r="AE404"/>
      <c r="AF404"/>
      <c r="AG404"/>
      <c r="AH404"/>
    </row>
    <row r="405" spans="1:34" x14ac:dyDescent="0.25">
      <c r="A405" s="78">
        <v>20210707</v>
      </c>
      <c r="B405" s="165" t="s">
        <v>97</v>
      </c>
      <c r="C405" s="165" t="s">
        <v>1279</v>
      </c>
      <c r="D405" s="165">
        <v>1</v>
      </c>
      <c r="E405" s="165" t="s">
        <v>1250</v>
      </c>
      <c r="F405" s="165" t="s">
        <v>1547</v>
      </c>
      <c r="G405" s="165" t="s">
        <v>1671</v>
      </c>
      <c r="H405" s="165" t="s">
        <v>969</v>
      </c>
      <c r="I405" s="165">
        <v>44447</v>
      </c>
      <c r="J405">
        <v>44447</v>
      </c>
      <c r="K405" s="165" t="s">
        <v>1671</v>
      </c>
      <c r="L405">
        <v>92.93</v>
      </c>
      <c r="M405">
        <v>44447</v>
      </c>
      <c r="O405"/>
      <c r="P405"/>
      <c r="Q405"/>
      <c r="R405" s="165">
        <v>92.93</v>
      </c>
      <c r="S405" s="165"/>
      <c r="T405" t="s">
        <v>1267</v>
      </c>
      <c r="U405" s="165" t="s">
        <v>1267</v>
      </c>
      <c r="V405" s="165" t="s">
        <v>1267</v>
      </c>
      <c r="W405"/>
      <c r="X405"/>
      <c r="AB405"/>
      <c r="AC405"/>
      <c r="AD405"/>
      <c r="AE405"/>
      <c r="AF405"/>
      <c r="AG405"/>
      <c r="AH405"/>
    </row>
    <row r="406" spans="1:34" x14ac:dyDescent="0.25">
      <c r="A406" s="78">
        <v>20210716</v>
      </c>
      <c r="B406" s="165" t="s">
        <v>97</v>
      </c>
      <c r="C406" s="165" t="s">
        <v>1283</v>
      </c>
      <c r="D406" s="165">
        <v>1</v>
      </c>
      <c r="E406" s="165" t="s">
        <v>1250</v>
      </c>
      <c r="F406" s="165" t="s">
        <v>1548</v>
      </c>
      <c r="G406" s="165" t="s">
        <v>1671</v>
      </c>
      <c r="H406" s="165" t="s">
        <v>1184</v>
      </c>
      <c r="I406" s="165">
        <v>44449</v>
      </c>
      <c r="J406">
        <v>44449</v>
      </c>
      <c r="K406" s="165" t="s">
        <v>1671</v>
      </c>
      <c r="L406">
        <v>2370.8000000000002</v>
      </c>
      <c r="M406">
        <v>44449</v>
      </c>
      <c r="O406"/>
      <c r="P406"/>
      <c r="Q406"/>
      <c r="R406" s="165">
        <v>2370.8000000000002</v>
      </c>
      <c r="S406" s="165"/>
      <c r="T406" t="s">
        <v>1267</v>
      </c>
      <c r="U406" s="165" t="s">
        <v>1267</v>
      </c>
      <c r="V406" s="165" t="s">
        <v>1267</v>
      </c>
      <c r="W406"/>
      <c r="X406"/>
      <c r="AB406"/>
      <c r="AC406"/>
      <c r="AD406"/>
      <c r="AE406"/>
      <c r="AF406"/>
      <c r="AG406"/>
      <c r="AH406"/>
    </row>
    <row r="407" spans="1:34" x14ac:dyDescent="0.25">
      <c r="A407" s="78">
        <v>20210699</v>
      </c>
      <c r="B407" s="165" t="s">
        <v>97</v>
      </c>
      <c r="C407" s="165" t="s">
        <v>1296</v>
      </c>
      <c r="D407" s="165">
        <v>1</v>
      </c>
      <c r="E407" s="165" t="s">
        <v>1250</v>
      </c>
      <c r="F407" s="165" t="s">
        <v>1549</v>
      </c>
      <c r="G407" s="165" t="s">
        <v>1671</v>
      </c>
      <c r="H407" s="165" t="s">
        <v>969</v>
      </c>
      <c r="I407" s="165">
        <v>44433</v>
      </c>
      <c r="J407">
        <v>44433</v>
      </c>
      <c r="K407" s="165" t="s">
        <v>1671</v>
      </c>
      <c r="L407">
        <v>906.5</v>
      </c>
      <c r="M407">
        <v>44461</v>
      </c>
      <c r="O407"/>
      <c r="P407"/>
      <c r="Q407"/>
      <c r="R407" s="165">
        <v>906.5</v>
      </c>
      <c r="S407" s="165"/>
      <c r="T407" t="s">
        <v>1267</v>
      </c>
      <c r="U407" s="165" t="s">
        <v>1267</v>
      </c>
      <c r="V407" s="165" t="s">
        <v>1267</v>
      </c>
      <c r="W407"/>
      <c r="X407"/>
      <c r="AB407"/>
      <c r="AC407"/>
      <c r="AD407"/>
      <c r="AE407"/>
      <c r="AF407"/>
      <c r="AG407"/>
      <c r="AH407"/>
    </row>
    <row r="408" spans="1:34" x14ac:dyDescent="0.25">
      <c r="A408" s="78">
        <v>20210669</v>
      </c>
      <c r="B408" s="165" t="s">
        <v>1311</v>
      </c>
      <c r="C408" s="165" t="s">
        <v>1312</v>
      </c>
      <c r="D408" s="165">
        <v>1</v>
      </c>
      <c r="E408" s="165" t="s">
        <v>1250</v>
      </c>
      <c r="F408" s="165" t="s">
        <v>1550</v>
      </c>
      <c r="G408" s="165" t="s">
        <v>1671</v>
      </c>
      <c r="H408" s="165" t="s">
        <v>1136</v>
      </c>
      <c r="I408" s="165">
        <v>44431</v>
      </c>
      <c r="J408">
        <v>44431</v>
      </c>
      <c r="K408" s="165" t="s">
        <v>1671</v>
      </c>
      <c r="L408">
        <v>2818</v>
      </c>
      <c r="M408">
        <v>44460</v>
      </c>
      <c r="O408"/>
      <c r="P408"/>
      <c r="Q408"/>
      <c r="R408" s="165">
        <v>2818</v>
      </c>
      <c r="S408" s="165"/>
      <c r="T408" t="s">
        <v>1267</v>
      </c>
      <c r="U408" s="165" t="s">
        <v>1267</v>
      </c>
      <c r="V408" s="165" t="s">
        <v>1267</v>
      </c>
      <c r="W408"/>
      <c r="X408"/>
      <c r="AB408"/>
      <c r="AC408"/>
      <c r="AD408"/>
      <c r="AE408"/>
      <c r="AF408"/>
      <c r="AG408"/>
      <c r="AH408"/>
    </row>
    <row r="409" spans="1:34" x14ac:dyDescent="0.25">
      <c r="A409" s="78">
        <v>20210683</v>
      </c>
      <c r="B409" s="165" t="s">
        <v>1256</v>
      </c>
      <c r="C409" s="165" t="s">
        <v>1257</v>
      </c>
      <c r="D409" s="165">
        <v>7</v>
      </c>
      <c r="E409" s="165" t="s">
        <v>1250</v>
      </c>
      <c r="F409" s="165" t="s">
        <v>1258</v>
      </c>
      <c r="G409" s="165" t="s">
        <v>1671</v>
      </c>
      <c r="H409" s="165" t="s">
        <v>929</v>
      </c>
      <c r="I409" s="165">
        <v>44432</v>
      </c>
      <c r="J409">
        <v>44432</v>
      </c>
      <c r="K409" s="165" t="s">
        <v>1671</v>
      </c>
      <c r="L409">
        <v>443.78</v>
      </c>
      <c r="M409">
        <v>44461</v>
      </c>
      <c r="O409"/>
      <c r="P409"/>
      <c r="Q409"/>
      <c r="R409" s="165">
        <v>3106.46</v>
      </c>
      <c r="S409" s="165"/>
      <c r="T409" t="s">
        <v>1267</v>
      </c>
      <c r="U409" s="165" t="s">
        <v>1267</v>
      </c>
      <c r="V409" s="165" t="s">
        <v>1267</v>
      </c>
      <c r="W409"/>
      <c r="X409"/>
      <c r="AB409"/>
      <c r="AC409"/>
      <c r="AD409"/>
      <c r="AE409"/>
      <c r="AF409"/>
      <c r="AG409"/>
      <c r="AH409"/>
    </row>
    <row r="410" spans="1:34" x14ac:dyDescent="0.25">
      <c r="A410" s="78">
        <v>20210697</v>
      </c>
      <c r="B410" s="165" t="s">
        <v>1256</v>
      </c>
      <c r="C410" s="165" t="s">
        <v>1257</v>
      </c>
      <c r="D410" s="165">
        <v>3</v>
      </c>
      <c r="E410" s="165" t="s">
        <v>1250</v>
      </c>
      <c r="F410" s="165" t="s">
        <v>1271</v>
      </c>
      <c r="G410" s="165" t="s">
        <v>1671</v>
      </c>
      <c r="H410" s="165" t="s">
        <v>969</v>
      </c>
      <c r="I410" s="165">
        <v>44432</v>
      </c>
      <c r="J410">
        <v>44432</v>
      </c>
      <c r="K410" s="165" t="s">
        <v>1671</v>
      </c>
      <c r="L410">
        <v>475.14</v>
      </c>
      <c r="M410">
        <v>44461</v>
      </c>
      <c r="O410"/>
      <c r="P410"/>
      <c r="Q410"/>
      <c r="R410" s="165">
        <v>1425.42</v>
      </c>
      <c r="S410" s="165"/>
      <c r="T410" t="s">
        <v>1267</v>
      </c>
      <c r="U410" s="165" t="s">
        <v>1267</v>
      </c>
      <c r="V410" s="165" t="s">
        <v>1267</v>
      </c>
      <c r="W410"/>
      <c r="X410"/>
      <c r="AB410"/>
      <c r="AC410"/>
      <c r="AD410"/>
      <c r="AE410"/>
      <c r="AF410"/>
      <c r="AG410"/>
      <c r="AH410"/>
    </row>
    <row r="411" spans="1:34" x14ac:dyDescent="0.25">
      <c r="A411" s="78">
        <v>20210719</v>
      </c>
      <c r="B411" s="165" t="s">
        <v>1292</v>
      </c>
      <c r="C411" s="165" t="s">
        <v>1293</v>
      </c>
      <c r="D411" s="165">
        <v>1</v>
      </c>
      <c r="E411" s="165" t="s">
        <v>1250</v>
      </c>
      <c r="F411" s="165" t="s">
        <v>1551</v>
      </c>
      <c r="G411" s="165" t="s">
        <v>1671</v>
      </c>
      <c r="H411" s="165" t="s">
        <v>969</v>
      </c>
      <c r="I411" s="165">
        <v>44456</v>
      </c>
      <c r="J411">
        <v>44456</v>
      </c>
      <c r="K411" s="165" t="s">
        <v>1671</v>
      </c>
      <c r="L411">
        <v>24.1</v>
      </c>
      <c r="M411">
        <v>44462</v>
      </c>
      <c r="O411"/>
      <c r="P411"/>
      <c r="Q411"/>
      <c r="R411" s="165">
        <v>24.1</v>
      </c>
      <c r="S411" s="165"/>
      <c r="T411" t="s">
        <v>1267</v>
      </c>
      <c r="U411" s="165" t="s">
        <v>1267</v>
      </c>
      <c r="V411" s="165" t="s">
        <v>1267</v>
      </c>
      <c r="W411"/>
      <c r="X411"/>
      <c r="AB411"/>
      <c r="AC411"/>
      <c r="AD411"/>
      <c r="AE411"/>
      <c r="AF411"/>
      <c r="AG411"/>
      <c r="AH411"/>
    </row>
    <row r="412" spans="1:34" x14ac:dyDescent="0.25">
      <c r="A412" s="78">
        <v>20210719</v>
      </c>
      <c r="B412" s="165" t="s">
        <v>1292</v>
      </c>
      <c r="C412" s="165" t="s">
        <v>1293</v>
      </c>
      <c r="D412" s="165">
        <v>1</v>
      </c>
      <c r="E412" s="165" t="s">
        <v>1250</v>
      </c>
      <c r="F412" s="165" t="s">
        <v>1427</v>
      </c>
      <c r="G412" s="165" t="s">
        <v>1671</v>
      </c>
      <c r="H412" s="165" t="s">
        <v>969</v>
      </c>
      <c r="I412" s="165">
        <v>44460</v>
      </c>
      <c r="J412">
        <v>44460</v>
      </c>
      <c r="K412" s="165" t="s">
        <v>1671</v>
      </c>
      <c r="L412">
        <v>550</v>
      </c>
      <c r="M412">
        <v>44460</v>
      </c>
      <c r="O412"/>
      <c r="P412"/>
      <c r="Q412"/>
      <c r="R412" s="165">
        <v>550</v>
      </c>
      <c r="S412" s="165"/>
      <c r="T412" t="s">
        <v>1267</v>
      </c>
      <c r="U412" s="165" t="s">
        <v>1267</v>
      </c>
      <c r="V412" s="165" t="s">
        <v>1267</v>
      </c>
      <c r="W412"/>
      <c r="X412"/>
      <c r="AB412"/>
      <c r="AC412"/>
      <c r="AD412"/>
      <c r="AE412"/>
      <c r="AF412"/>
      <c r="AG412"/>
      <c r="AH412"/>
    </row>
    <row r="413" spans="1:34" x14ac:dyDescent="0.25">
      <c r="A413" s="78">
        <v>20210719</v>
      </c>
      <c r="B413" s="165" t="s">
        <v>1292</v>
      </c>
      <c r="C413" s="165" t="s">
        <v>1293</v>
      </c>
      <c r="D413" s="165">
        <v>1</v>
      </c>
      <c r="E413" s="165" t="s">
        <v>1250</v>
      </c>
      <c r="F413" s="165" t="s">
        <v>1552</v>
      </c>
      <c r="G413" s="165" t="s">
        <v>1671</v>
      </c>
      <c r="H413" s="165" t="s">
        <v>969</v>
      </c>
      <c r="I413" s="165">
        <v>44456</v>
      </c>
      <c r="J413">
        <v>44456</v>
      </c>
      <c r="K413" s="165" t="s">
        <v>1671</v>
      </c>
      <c r="L413">
        <v>220</v>
      </c>
      <c r="M413">
        <v>44456</v>
      </c>
      <c r="O413"/>
      <c r="P413"/>
      <c r="Q413"/>
      <c r="R413" s="165">
        <v>220</v>
      </c>
      <c r="S413" s="165"/>
      <c r="T413" t="s">
        <v>1267</v>
      </c>
      <c r="U413" s="165" t="s">
        <v>1267</v>
      </c>
      <c r="V413" s="165" t="s">
        <v>1267</v>
      </c>
      <c r="W413"/>
      <c r="X413"/>
      <c r="AB413"/>
      <c r="AC413"/>
      <c r="AD413"/>
      <c r="AE413"/>
      <c r="AF413"/>
      <c r="AG413"/>
      <c r="AH413"/>
    </row>
    <row r="414" spans="1:34" x14ac:dyDescent="0.25">
      <c r="A414" s="78">
        <v>20210719</v>
      </c>
      <c r="B414" s="165" t="s">
        <v>1256</v>
      </c>
      <c r="C414" s="165" t="s">
        <v>1257</v>
      </c>
      <c r="D414" s="165">
        <v>5</v>
      </c>
      <c r="E414" s="165" t="s">
        <v>1250</v>
      </c>
      <c r="F414" s="165" t="s">
        <v>1271</v>
      </c>
      <c r="G414" s="165" t="s">
        <v>1671</v>
      </c>
      <c r="H414" s="165" t="s">
        <v>969</v>
      </c>
      <c r="I414" s="165">
        <v>44459</v>
      </c>
      <c r="J414">
        <v>44459</v>
      </c>
      <c r="K414" s="165" t="s">
        <v>1671</v>
      </c>
      <c r="L414">
        <v>1755.3</v>
      </c>
      <c r="M414">
        <v>44459</v>
      </c>
      <c r="O414"/>
      <c r="P414"/>
      <c r="Q414"/>
      <c r="R414" s="165">
        <v>8776.5</v>
      </c>
      <c r="S414" s="165"/>
      <c r="T414" t="s">
        <v>1267</v>
      </c>
      <c r="U414" s="165" t="s">
        <v>1267</v>
      </c>
      <c r="V414" s="165" t="s">
        <v>1267</v>
      </c>
      <c r="W414"/>
      <c r="X414"/>
      <c r="AB414"/>
      <c r="AC414"/>
      <c r="AD414"/>
      <c r="AE414"/>
      <c r="AF414"/>
      <c r="AG414"/>
      <c r="AH414"/>
    </row>
    <row r="415" spans="1:34" x14ac:dyDescent="0.25">
      <c r="A415" s="78">
        <v>20210719</v>
      </c>
      <c r="B415" s="165" t="s">
        <v>1261</v>
      </c>
      <c r="C415" s="165" t="s">
        <v>1262</v>
      </c>
      <c r="D415" s="165">
        <v>1</v>
      </c>
      <c r="E415" s="165" t="s">
        <v>1250</v>
      </c>
      <c r="F415" s="165" t="s">
        <v>1553</v>
      </c>
      <c r="G415" s="165" t="s">
        <v>1671</v>
      </c>
      <c r="H415" s="165" t="s">
        <v>969</v>
      </c>
      <c r="I415" s="165">
        <v>44459</v>
      </c>
      <c r="J415">
        <v>44459</v>
      </c>
      <c r="K415" s="165" t="s">
        <v>1671</v>
      </c>
      <c r="L415">
        <v>439.09</v>
      </c>
      <c r="M415">
        <v>44459</v>
      </c>
      <c r="O415"/>
      <c r="P415"/>
      <c r="Q415"/>
      <c r="R415" s="165">
        <v>439.09</v>
      </c>
      <c r="S415" s="165"/>
      <c r="T415" t="s">
        <v>1267</v>
      </c>
      <c r="U415" s="165" t="s">
        <v>1267</v>
      </c>
      <c r="V415" s="165" t="s">
        <v>1267</v>
      </c>
      <c r="W415"/>
      <c r="X415"/>
      <c r="AB415"/>
      <c r="AC415"/>
      <c r="AD415"/>
      <c r="AE415"/>
      <c r="AF415"/>
      <c r="AG415"/>
      <c r="AH415"/>
    </row>
    <row r="416" spans="1:34" x14ac:dyDescent="0.25">
      <c r="A416" s="78">
        <v>20210668</v>
      </c>
      <c r="B416" s="165" t="s">
        <v>1256</v>
      </c>
      <c r="C416" s="165" t="s">
        <v>1257</v>
      </c>
      <c r="D416" s="165">
        <v>4</v>
      </c>
      <c r="E416" s="165" t="s">
        <v>1250</v>
      </c>
      <c r="F416" s="165" t="s">
        <v>1271</v>
      </c>
      <c r="G416" s="165" t="s">
        <v>1671</v>
      </c>
      <c r="H416" s="165" t="s">
        <v>969</v>
      </c>
      <c r="I416" s="165" t="s">
        <v>1660</v>
      </c>
      <c r="J416" t="s">
        <v>1660</v>
      </c>
      <c r="K416" s="165" t="s">
        <v>1671</v>
      </c>
      <c r="L416">
        <v>601.96249999999998</v>
      </c>
      <c r="M416" t="s">
        <v>1661</v>
      </c>
      <c r="O416"/>
      <c r="P416"/>
      <c r="Q416"/>
      <c r="R416" s="165">
        <v>2407.85</v>
      </c>
      <c r="S416" s="165"/>
      <c r="T416" t="s">
        <v>1267</v>
      </c>
      <c r="U416" s="165" t="s">
        <v>1267</v>
      </c>
      <c r="V416" s="165" t="s">
        <v>1267</v>
      </c>
      <c r="W416"/>
      <c r="X416"/>
      <c r="AB416"/>
      <c r="AC416"/>
      <c r="AD416"/>
      <c r="AE416"/>
      <c r="AF416"/>
      <c r="AG416"/>
      <c r="AH416"/>
    </row>
    <row r="417" spans="1:34" x14ac:dyDescent="0.25">
      <c r="A417" s="78">
        <v>20210668</v>
      </c>
      <c r="B417" s="165" t="s">
        <v>1261</v>
      </c>
      <c r="C417" s="165" t="s">
        <v>1262</v>
      </c>
      <c r="D417" s="165">
        <v>1</v>
      </c>
      <c r="E417" s="165" t="s">
        <v>1250</v>
      </c>
      <c r="F417" s="165" t="s">
        <v>1554</v>
      </c>
      <c r="G417" s="165" t="s">
        <v>1671</v>
      </c>
      <c r="H417" s="165" t="s">
        <v>969</v>
      </c>
      <c r="I417" s="165" t="s">
        <v>1660</v>
      </c>
      <c r="J417" t="s">
        <v>1660</v>
      </c>
      <c r="K417" s="165" t="s">
        <v>1671</v>
      </c>
      <c r="L417">
        <v>1587</v>
      </c>
      <c r="M417" t="s">
        <v>1661</v>
      </c>
      <c r="O417"/>
      <c r="P417"/>
      <c r="Q417"/>
      <c r="R417" s="165">
        <v>1587</v>
      </c>
      <c r="S417" s="165"/>
      <c r="T417" t="s">
        <v>1267</v>
      </c>
      <c r="U417" s="165" t="s">
        <v>1267</v>
      </c>
      <c r="V417" s="165" t="s">
        <v>1267</v>
      </c>
      <c r="W417"/>
      <c r="X417"/>
      <c r="AB417"/>
      <c r="AC417"/>
      <c r="AD417"/>
      <c r="AE417"/>
      <c r="AF417"/>
      <c r="AG417"/>
      <c r="AH417"/>
    </row>
    <row r="418" spans="1:34" x14ac:dyDescent="0.25">
      <c r="A418" s="78">
        <v>20210668</v>
      </c>
      <c r="B418" s="165" t="s">
        <v>1261</v>
      </c>
      <c r="C418" s="165" t="s">
        <v>1262</v>
      </c>
      <c r="D418" s="165">
        <v>1</v>
      </c>
      <c r="E418" s="165" t="s">
        <v>1250</v>
      </c>
      <c r="F418" s="165" t="s">
        <v>1555</v>
      </c>
      <c r="G418" s="165" t="s">
        <v>1671</v>
      </c>
      <c r="H418" s="165" t="s">
        <v>969</v>
      </c>
      <c r="I418" s="165">
        <v>44427</v>
      </c>
      <c r="J418">
        <v>44427</v>
      </c>
      <c r="K418" s="165" t="s">
        <v>1671</v>
      </c>
      <c r="L418">
        <v>2271.1799999999998</v>
      </c>
      <c r="M418">
        <v>44462</v>
      </c>
      <c r="N418">
        <v>1996.16</v>
      </c>
      <c r="O418">
        <v>44487</v>
      </c>
      <c r="P418">
        <v>1996.16</v>
      </c>
      <c r="Q418">
        <v>44517</v>
      </c>
      <c r="R418" s="165">
        <v>6263.5</v>
      </c>
      <c r="S418" s="165"/>
      <c r="T418" t="s">
        <v>1267</v>
      </c>
      <c r="U418" s="165" t="s">
        <v>1267</v>
      </c>
      <c r="V418" s="165" t="s">
        <v>1267</v>
      </c>
      <c r="W418"/>
      <c r="X418"/>
      <c r="AB418"/>
      <c r="AC418"/>
      <c r="AD418"/>
      <c r="AE418"/>
      <c r="AF418"/>
      <c r="AG418"/>
      <c r="AH418"/>
    </row>
    <row r="419" spans="1:34" x14ac:dyDescent="0.25">
      <c r="A419" s="78">
        <v>20210668</v>
      </c>
      <c r="B419" s="165" t="s">
        <v>97</v>
      </c>
      <c r="C419" s="165" t="s">
        <v>1346</v>
      </c>
      <c r="D419" s="165">
        <v>1</v>
      </c>
      <c r="E419" s="165" t="s">
        <v>1250</v>
      </c>
      <c r="F419" s="165" t="s">
        <v>1556</v>
      </c>
      <c r="G419" s="165" t="s">
        <v>1671</v>
      </c>
      <c r="H419" s="165" t="s">
        <v>969</v>
      </c>
      <c r="I419" s="165" t="s">
        <v>1662</v>
      </c>
      <c r="J419" t="s">
        <v>1662</v>
      </c>
      <c r="K419" s="165" t="s">
        <v>1671</v>
      </c>
      <c r="L419">
        <v>51.75</v>
      </c>
      <c r="M419" t="s">
        <v>1663</v>
      </c>
      <c r="O419"/>
      <c r="P419"/>
      <c r="Q419"/>
      <c r="R419" s="165">
        <v>51.75</v>
      </c>
      <c r="S419" s="165"/>
      <c r="T419" t="s">
        <v>1267</v>
      </c>
      <c r="U419" s="165" t="s">
        <v>1267</v>
      </c>
      <c r="V419" s="165" t="s">
        <v>1267</v>
      </c>
      <c r="W419"/>
      <c r="X419"/>
      <c r="AB419"/>
      <c r="AC419"/>
      <c r="AD419"/>
      <c r="AE419"/>
      <c r="AF419"/>
      <c r="AG419"/>
      <c r="AH419"/>
    </row>
    <row r="420" spans="1:34" x14ac:dyDescent="0.25">
      <c r="A420" s="78">
        <v>20210668</v>
      </c>
      <c r="B420" s="165" t="s">
        <v>97</v>
      </c>
      <c r="C420" s="165" t="s">
        <v>1356</v>
      </c>
      <c r="D420" s="165">
        <v>1</v>
      </c>
      <c r="E420" s="165" t="s">
        <v>1250</v>
      </c>
      <c r="F420" s="165" t="s">
        <v>1557</v>
      </c>
      <c r="G420" s="165" t="s">
        <v>1671</v>
      </c>
      <c r="H420" s="165" t="s">
        <v>969</v>
      </c>
      <c r="I420" s="165" t="s">
        <v>1664</v>
      </c>
      <c r="J420" t="s">
        <v>1664</v>
      </c>
      <c r="K420" s="165" t="s">
        <v>1671</v>
      </c>
      <c r="L420">
        <v>33</v>
      </c>
      <c r="M420" t="s">
        <v>1663</v>
      </c>
      <c r="O420"/>
      <c r="P420"/>
      <c r="Q420"/>
      <c r="R420" s="165">
        <v>33</v>
      </c>
      <c r="S420" s="165"/>
      <c r="T420" t="s">
        <v>1267</v>
      </c>
      <c r="U420" s="165" t="s">
        <v>1267</v>
      </c>
      <c r="V420" s="165" t="s">
        <v>1267</v>
      </c>
      <c r="W420"/>
      <c r="X420"/>
      <c r="AB420"/>
      <c r="AC420"/>
      <c r="AD420"/>
      <c r="AE420"/>
      <c r="AF420"/>
      <c r="AG420"/>
      <c r="AH420"/>
    </row>
    <row r="421" spans="1:34" x14ac:dyDescent="0.25">
      <c r="A421" s="78">
        <v>20210668</v>
      </c>
      <c r="B421" s="165" t="s">
        <v>97</v>
      </c>
      <c r="C421" s="165" t="s">
        <v>1346</v>
      </c>
      <c r="D421" s="165">
        <v>1</v>
      </c>
      <c r="E421" s="165" t="s">
        <v>1250</v>
      </c>
      <c r="F421" s="165" t="s">
        <v>1558</v>
      </c>
      <c r="G421" s="165" t="s">
        <v>1671</v>
      </c>
      <c r="H421" s="165" t="s">
        <v>969</v>
      </c>
      <c r="I421" s="165" t="s">
        <v>1664</v>
      </c>
      <c r="J421" t="s">
        <v>1664</v>
      </c>
      <c r="K421" s="165" t="s">
        <v>1671</v>
      </c>
      <c r="L421">
        <v>1885.28</v>
      </c>
      <c r="M421" t="s">
        <v>1665</v>
      </c>
      <c r="O421"/>
      <c r="P421"/>
      <c r="Q421"/>
      <c r="R421" s="165">
        <v>1885.28</v>
      </c>
      <c r="S421" s="165"/>
      <c r="T421" t="s">
        <v>1267</v>
      </c>
      <c r="U421" s="165" t="s">
        <v>1267</v>
      </c>
      <c r="V421" s="165" t="s">
        <v>1267</v>
      </c>
      <c r="W421"/>
      <c r="X421"/>
      <c r="AB421"/>
      <c r="AC421"/>
      <c r="AD421"/>
      <c r="AE421"/>
      <c r="AF421"/>
      <c r="AG421"/>
      <c r="AH421"/>
    </row>
    <row r="422" spans="1:34" x14ac:dyDescent="0.25">
      <c r="A422" s="78">
        <v>20210695</v>
      </c>
      <c r="B422" s="165" t="s">
        <v>1256</v>
      </c>
      <c r="C422" s="165" t="s">
        <v>1257</v>
      </c>
      <c r="D422" s="165">
        <v>6</v>
      </c>
      <c r="E422" s="165" t="s">
        <v>1250</v>
      </c>
      <c r="F422" s="165" t="s">
        <v>1258</v>
      </c>
      <c r="G422" s="165" t="s">
        <v>1671</v>
      </c>
      <c r="H422" s="165" t="s">
        <v>922</v>
      </c>
      <c r="I422" s="165">
        <v>44427</v>
      </c>
      <c r="J422">
        <v>44427</v>
      </c>
      <c r="K422" s="165" t="s">
        <v>1671</v>
      </c>
      <c r="L422">
        <v>1008.0133333333</v>
      </c>
      <c r="M422">
        <v>44455</v>
      </c>
      <c r="N422">
        <v>1008.0133333333</v>
      </c>
      <c r="O422">
        <v>44469</v>
      </c>
      <c r="P422">
        <v>1008.0133333333</v>
      </c>
      <c r="Q422">
        <v>44483</v>
      </c>
      <c r="R422" s="165">
        <v>3024.0399999998999</v>
      </c>
      <c r="S422" s="165"/>
      <c r="T422" t="s">
        <v>1267</v>
      </c>
      <c r="U422" s="165" t="s">
        <v>1267</v>
      </c>
      <c r="V422" s="165" t="s">
        <v>1267</v>
      </c>
      <c r="W422"/>
      <c r="X422"/>
      <c r="AB422"/>
      <c r="AC422"/>
      <c r="AD422"/>
      <c r="AE422"/>
      <c r="AF422"/>
      <c r="AG422"/>
      <c r="AH422"/>
    </row>
    <row r="423" spans="1:34" x14ac:dyDescent="0.25">
      <c r="A423" s="78">
        <v>20210695</v>
      </c>
      <c r="B423" s="165" t="s">
        <v>97</v>
      </c>
      <c r="C423" s="165" t="s">
        <v>1264</v>
      </c>
      <c r="D423" s="165">
        <v>2</v>
      </c>
      <c r="E423" s="165" t="s">
        <v>1250</v>
      </c>
      <c r="F423" s="165" t="s">
        <v>1559</v>
      </c>
      <c r="G423" s="165" t="s">
        <v>1671</v>
      </c>
      <c r="H423" s="165" t="s">
        <v>922</v>
      </c>
      <c r="I423" s="165">
        <v>44427</v>
      </c>
      <c r="J423">
        <v>44427</v>
      </c>
      <c r="K423" s="165" t="s">
        <v>1671</v>
      </c>
      <c r="L423">
        <v>45.2133333333</v>
      </c>
      <c r="M423">
        <v>44455</v>
      </c>
      <c r="N423">
        <v>45.2133333333</v>
      </c>
      <c r="O423">
        <v>44469</v>
      </c>
      <c r="P423">
        <v>45.2133333333</v>
      </c>
      <c r="Q423">
        <v>44483</v>
      </c>
      <c r="R423" s="165">
        <v>135.6399999999</v>
      </c>
      <c r="S423" s="165"/>
      <c r="T423" t="s">
        <v>1267</v>
      </c>
      <c r="U423" s="165" t="s">
        <v>1267</v>
      </c>
      <c r="V423" s="165" t="s">
        <v>1267</v>
      </c>
      <c r="W423"/>
      <c r="X423"/>
      <c r="AB423"/>
      <c r="AC423"/>
      <c r="AD423"/>
      <c r="AE423"/>
      <c r="AF423"/>
      <c r="AG423"/>
      <c r="AH423"/>
    </row>
    <row r="424" spans="1:34" x14ac:dyDescent="0.25">
      <c r="A424" s="78">
        <v>20210695</v>
      </c>
      <c r="B424" s="165" t="s">
        <v>97</v>
      </c>
      <c r="C424" s="165" t="s">
        <v>1264</v>
      </c>
      <c r="D424" s="165">
        <v>1</v>
      </c>
      <c r="E424" s="165" t="s">
        <v>1250</v>
      </c>
      <c r="F424" s="165" t="s">
        <v>1559</v>
      </c>
      <c r="G424" s="165" t="s">
        <v>1671</v>
      </c>
      <c r="H424" s="165" t="s">
        <v>922</v>
      </c>
      <c r="I424" s="165">
        <v>44427</v>
      </c>
      <c r="J424">
        <v>44427</v>
      </c>
      <c r="K424" s="165" t="s">
        <v>1671</v>
      </c>
      <c r="L424">
        <v>29.833333</v>
      </c>
      <c r="M424">
        <v>44455</v>
      </c>
      <c r="N424">
        <v>29.833333</v>
      </c>
      <c r="O424">
        <v>44469</v>
      </c>
      <c r="P424">
        <v>29.833333</v>
      </c>
      <c r="Q424">
        <v>44483</v>
      </c>
      <c r="R424" s="165">
        <v>89.499999000000003</v>
      </c>
      <c r="S424" s="165"/>
      <c r="T424" t="s">
        <v>1267</v>
      </c>
      <c r="U424" s="165" t="s">
        <v>1267</v>
      </c>
      <c r="V424" s="165" t="s">
        <v>1267</v>
      </c>
      <c r="W424"/>
      <c r="X424"/>
      <c r="AB424"/>
      <c r="AC424"/>
      <c r="AD424"/>
      <c r="AE424"/>
      <c r="AF424"/>
      <c r="AG424"/>
      <c r="AH424"/>
    </row>
    <row r="425" spans="1:34" x14ac:dyDescent="0.25">
      <c r="A425" s="78">
        <v>20210695</v>
      </c>
      <c r="B425" s="165" t="s">
        <v>97</v>
      </c>
      <c r="C425" s="165" t="s">
        <v>1322</v>
      </c>
      <c r="D425" s="165">
        <v>1</v>
      </c>
      <c r="E425" s="165" t="s">
        <v>1250</v>
      </c>
      <c r="F425" s="165" t="s">
        <v>1560</v>
      </c>
      <c r="G425" s="165" t="s">
        <v>1671</v>
      </c>
      <c r="H425" s="165" t="s">
        <v>922</v>
      </c>
      <c r="I425" s="165">
        <v>44427</v>
      </c>
      <c r="J425">
        <v>44427</v>
      </c>
      <c r="K425" s="165" t="s">
        <v>1671</v>
      </c>
      <c r="L425">
        <v>177.66333</v>
      </c>
      <c r="M425">
        <v>44455</v>
      </c>
      <c r="N425">
        <v>177.66333</v>
      </c>
      <c r="O425">
        <v>44469</v>
      </c>
      <c r="P425">
        <v>177.66333</v>
      </c>
      <c r="Q425">
        <v>44483</v>
      </c>
      <c r="R425" s="165">
        <v>532.98999000000003</v>
      </c>
      <c r="S425" s="165"/>
      <c r="T425" t="s">
        <v>1267</v>
      </c>
      <c r="U425" s="165" t="s">
        <v>1267</v>
      </c>
      <c r="V425" s="165" t="s">
        <v>1267</v>
      </c>
      <c r="W425"/>
      <c r="X425"/>
      <c r="AB425"/>
      <c r="AC425"/>
      <c r="AD425"/>
      <c r="AE425"/>
      <c r="AF425"/>
      <c r="AG425"/>
      <c r="AH425"/>
    </row>
    <row r="426" spans="1:34" x14ac:dyDescent="0.25">
      <c r="A426" s="78">
        <v>20210695</v>
      </c>
      <c r="B426" s="165" t="s">
        <v>1261</v>
      </c>
      <c r="C426" s="165" t="s">
        <v>1262</v>
      </c>
      <c r="D426" s="165">
        <v>1</v>
      </c>
      <c r="E426" s="165" t="s">
        <v>1250</v>
      </c>
      <c r="F426" s="165" t="s">
        <v>1450</v>
      </c>
      <c r="G426" s="165" t="s">
        <v>1671</v>
      </c>
      <c r="H426" s="165" t="s">
        <v>922</v>
      </c>
      <c r="I426" s="165">
        <v>44427</v>
      </c>
      <c r="J426">
        <v>44427</v>
      </c>
      <c r="K426" s="165" t="s">
        <v>1671</v>
      </c>
      <c r="L426">
        <v>366.90665999999999</v>
      </c>
      <c r="M426">
        <v>44455</v>
      </c>
      <c r="N426">
        <v>366.90665999999999</v>
      </c>
      <c r="O426">
        <v>44469</v>
      </c>
      <c r="P426">
        <v>366.90665999999999</v>
      </c>
      <c r="Q426">
        <v>44483</v>
      </c>
      <c r="R426" s="165">
        <v>1100.7199800000001</v>
      </c>
      <c r="S426" s="165"/>
      <c r="T426" t="s">
        <v>1267</v>
      </c>
      <c r="U426" s="165" t="s">
        <v>1267</v>
      </c>
      <c r="V426" s="165" t="s">
        <v>1267</v>
      </c>
      <c r="W426"/>
      <c r="X426"/>
      <c r="AB426"/>
      <c r="AC426"/>
      <c r="AD426"/>
      <c r="AE426"/>
      <c r="AF426"/>
      <c r="AG426"/>
      <c r="AH426"/>
    </row>
    <row r="427" spans="1:34" x14ac:dyDescent="0.25">
      <c r="A427" s="78">
        <v>20210695</v>
      </c>
      <c r="B427" s="165" t="s">
        <v>1261</v>
      </c>
      <c r="C427" s="165" t="s">
        <v>1262</v>
      </c>
      <c r="D427" s="165">
        <v>1</v>
      </c>
      <c r="E427" s="165" t="s">
        <v>1250</v>
      </c>
      <c r="F427" s="165" t="s">
        <v>1450</v>
      </c>
      <c r="G427" s="165" t="s">
        <v>1671</v>
      </c>
      <c r="H427" s="165" t="s">
        <v>922</v>
      </c>
      <c r="I427" s="165">
        <v>44427</v>
      </c>
      <c r="J427">
        <v>44427</v>
      </c>
      <c r="K427" s="165" t="s">
        <v>1671</v>
      </c>
      <c r="L427">
        <v>497.92333000000002</v>
      </c>
      <c r="M427">
        <v>44455</v>
      </c>
      <c r="N427">
        <v>497.92333000000002</v>
      </c>
      <c r="O427">
        <v>44469</v>
      </c>
      <c r="P427">
        <v>497.92333000000002</v>
      </c>
      <c r="Q427">
        <v>44483</v>
      </c>
      <c r="R427" s="165">
        <v>1493.76999</v>
      </c>
      <c r="S427" s="165"/>
      <c r="T427" t="s">
        <v>1267</v>
      </c>
      <c r="U427" s="165" t="s">
        <v>1267</v>
      </c>
      <c r="V427" s="165" t="s">
        <v>1267</v>
      </c>
      <c r="W427"/>
      <c r="X427"/>
      <c r="AB427"/>
      <c r="AC427"/>
      <c r="AD427"/>
      <c r="AE427"/>
      <c r="AF427"/>
      <c r="AG427"/>
      <c r="AH427"/>
    </row>
    <row r="428" spans="1:34" x14ac:dyDescent="0.25">
      <c r="A428" s="78">
        <v>20210695</v>
      </c>
      <c r="B428" s="165" t="s">
        <v>97</v>
      </c>
      <c r="C428" s="165" t="s">
        <v>1296</v>
      </c>
      <c r="D428" s="165">
        <v>1</v>
      </c>
      <c r="E428" s="165" t="s">
        <v>1250</v>
      </c>
      <c r="F428" s="165" t="s">
        <v>1561</v>
      </c>
      <c r="G428" s="165" t="s">
        <v>1671</v>
      </c>
      <c r="H428" s="165" t="s">
        <v>922</v>
      </c>
      <c r="I428" s="165">
        <v>44427</v>
      </c>
      <c r="J428">
        <v>44427</v>
      </c>
      <c r="K428" s="165" t="s">
        <v>1671</v>
      </c>
      <c r="L428">
        <v>12.62</v>
      </c>
      <c r="M428">
        <v>44455</v>
      </c>
      <c r="N428">
        <v>12.62</v>
      </c>
      <c r="O428">
        <v>44469</v>
      </c>
      <c r="P428">
        <v>12.62</v>
      </c>
      <c r="Q428">
        <v>44483</v>
      </c>
      <c r="R428" s="165">
        <v>37.86</v>
      </c>
      <c r="S428" s="165"/>
      <c r="T428" t="s">
        <v>1267</v>
      </c>
      <c r="U428" s="165" t="s">
        <v>1267</v>
      </c>
      <c r="V428" s="165" t="s">
        <v>1267</v>
      </c>
      <c r="W428"/>
      <c r="X428"/>
      <c r="AB428"/>
      <c r="AC428"/>
      <c r="AD428"/>
      <c r="AE428"/>
      <c r="AF428"/>
      <c r="AG428"/>
      <c r="AH428"/>
    </row>
    <row r="429" spans="1:34" x14ac:dyDescent="0.25">
      <c r="A429" s="78">
        <v>20210695</v>
      </c>
      <c r="B429" s="165" t="s">
        <v>1292</v>
      </c>
      <c r="C429" s="165" t="s">
        <v>1293</v>
      </c>
      <c r="D429" s="165">
        <v>1</v>
      </c>
      <c r="E429" s="165" t="s">
        <v>1250</v>
      </c>
      <c r="F429" s="165" t="s">
        <v>1292</v>
      </c>
      <c r="G429" s="165" t="s">
        <v>1671</v>
      </c>
      <c r="H429" s="165" t="s">
        <v>922</v>
      </c>
      <c r="I429" s="165">
        <v>44427</v>
      </c>
      <c r="J429">
        <v>44427</v>
      </c>
      <c r="K429" s="165" t="s">
        <v>1671</v>
      </c>
      <c r="L429">
        <v>202.45332999999999</v>
      </c>
      <c r="M429">
        <v>44455</v>
      </c>
      <c r="N429">
        <v>202.45332999999999</v>
      </c>
      <c r="O429">
        <v>44469</v>
      </c>
      <c r="P429">
        <v>202.45332999999999</v>
      </c>
      <c r="Q429">
        <v>44483</v>
      </c>
      <c r="R429" s="165">
        <v>607.35998999999993</v>
      </c>
      <c r="S429" s="165"/>
      <c r="T429" t="s">
        <v>1267</v>
      </c>
      <c r="U429" s="165" t="s">
        <v>1267</v>
      </c>
      <c r="V429" s="165" t="s">
        <v>1267</v>
      </c>
      <c r="W429"/>
      <c r="X429"/>
      <c r="AB429"/>
      <c r="AC429"/>
      <c r="AD429"/>
      <c r="AE429"/>
      <c r="AF429"/>
      <c r="AG429"/>
      <c r="AH429"/>
    </row>
    <row r="430" spans="1:34" x14ac:dyDescent="0.25">
      <c r="A430" s="78">
        <v>20210695</v>
      </c>
      <c r="B430" s="165" t="s">
        <v>1256</v>
      </c>
      <c r="C430" s="165" t="s">
        <v>1257</v>
      </c>
      <c r="D430" s="165">
        <v>4</v>
      </c>
      <c r="E430" s="165" t="s">
        <v>1250</v>
      </c>
      <c r="F430" s="165" t="s">
        <v>1258</v>
      </c>
      <c r="G430" s="165" t="s">
        <v>1671</v>
      </c>
      <c r="H430" s="165" t="s">
        <v>922</v>
      </c>
      <c r="I430" s="165">
        <v>44428</v>
      </c>
      <c r="J430">
        <v>44428</v>
      </c>
      <c r="K430" s="165" t="s">
        <v>1671</v>
      </c>
      <c r="L430">
        <v>1008</v>
      </c>
      <c r="M430">
        <v>44456</v>
      </c>
      <c r="N430">
        <v>1008</v>
      </c>
      <c r="O430">
        <v>44484</v>
      </c>
      <c r="P430"/>
      <c r="Q430"/>
      <c r="R430" s="165">
        <v>2016</v>
      </c>
      <c r="S430" s="165"/>
      <c r="T430" t="s">
        <v>1267</v>
      </c>
      <c r="U430" s="165" t="s">
        <v>1267</v>
      </c>
      <c r="V430" s="165" t="s">
        <v>1267</v>
      </c>
      <c r="W430"/>
      <c r="X430"/>
      <c r="AB430"/>
      <c r="AC430"/>
      <c r="AD430"/>
      <c r="AE430"/>
      <c r="AF430"/>
      <c r="AG430"/>
      <c r="AH430"/>
    </row>
    <row r="431" spans="1:34" x14ac:dyDescent="0.25">
      <c r="A431" s="78">
        <v>20210702</v>
      </c>
      <c r="B431" s="165" t="s">
        <v>1261</v>
      </c>
      <c r="C431" s="165" t="s">
        <v>1262</v>
      </c>
      <c r="D431" s="165">
        <v>1</v>
      </c>
      <c r="E431" s="165" t="s">
        <v>1250</v>
      </c>
      <c r="F431" s="165" t="s">
        <v>1450</v>
      </c>
      <c r="G431" s="165" t="s">
        <v>1671</v>
      </c>
      <c r="H431" s="165" t="s">
        <v>922</v>
      </c>
      <c r="I431" s="165">
        <v>44428</v>
      </c>
      <c r="J431">
        <v>44428</v>
      </c>
      <c r="K431" s="165" t="s">
        <v>1671</v>
      </c>
      <c r="L431">
        <v>530.36500000000001</v>
      </c>
      <c r="M431">
        <v>44456</v>
      </c>
      <c r="N431">
        <v>530.36500000000001</v>
      </c>
      <c r="O431">
        <v>44484</v>
      </c>
      <c r="P431"/>
      <c r="Q431"/>
      <c r="R431" s="165">
        <v>1060.73</v>
      </c>
      <c r="S431" s="165"/>
      <c r="T431" t="s">
        <v>1267</v>
      </c>
      <c r="U431" s="165" t="s">
        <v>1267</v>
      </c>
      <c r="V431" s="165" t="s">
        <v>1267</v>
      </c>
      <c r="W431"/>
      <c r="X431"/>
      <c r="AB431"/>
      <c r="AC431"/>
      <c r="AD431"/>
      <c r="AE431"/>
      <c r="AF431"/>
      <c r="AG431"/>
      <c r="AH431"/>
    </row>
    <row r="432" spans="1:34" x14ac:dyDescent="0.25">
      <c r="A432" s="78">
        <v>20210702</v>
      </c>
      <c r="B432" s="165" t="s">
        <v>97</v>
      </c>
      <c r="C432" s="165" t="s">
        <v>1264</v>
      </c>
      <c r="D432" s="165">
        <v>2</v>
      </c>
      <c r="E432" s="165" t="s">
        <v>1250</v>
      </c>
      <c r="F432" s="165" t="s">
        <v>1559</v>
      </c>
      <c r="G432" s="165" t="s">
        <v>1671</v>
      </c>
      <c r="H432" s="165" t="s">
        <v>922</v>
      </c>
      <c r="I432" s="165">
        <v>44428</v>
      </c>
      <c r="J432">
        <v>44428</v>
      </c>
      <c r="K432" s="165" t="s">
        <v>1671</v>
      </c>
      <c r="L432">
        <v>67.819999999999993</v>
      </c>
      <c r="M432">
        <v>44456</v>
      </c>
      <c r="N432">
        <v>67.819999999999993</v>
      </c>
      <c r="O432">
        <v>44484</v>
      </c>
      <c r="P432"/>
      <c r="Q432"/>
      <c r="R432" s="165">
        <v>135.63999999999999</v>
      </c>
      <c r="S432" s="165"/>
      <c r="T432" t="s">
        <v>1267</v>
      </c>
      <c r="U432" s="165" t="s">
        <v>1267</v>
      </c>
      <c r="V432" s="165" t="s">
        <v>1267</v>
      </c>
      <c r="W432"/>
      <c r="X432"/>
      <c r="AB432"/>
      <c r="AC432"/>
      <c r="AD432"/>
      <c r="AE432"/>
      <c r="AF432"/>
      <c r="AG432"/>
      <c r="AH432"/>
    </row>
    <row r="433" spans="1:34" x14ac:dyDescent="0.25">
      <c r="A433" s="78">
        <v>20210702</v>
      </c>
      <c r="B433" s="165" t="s">
        <v>1261</v>
      </c>
      <c r="C433" s="165" t="s">
        <v>1262</v>
      </c>
      <c r="D433" s="165">
        <v>1</v>
      </c>
      <c r="E433" s="165" t="s">
        <v>1250</v>
      </c>
      <c r="F433" s="165" t="s">
        <v>1450</v>
      </c>
      <c r="G433" s="165" t="s">
        <v>1671</v>
      </c>
      <c r="H433" s="165" t="s">
        <v>922</v>
      </c>
      <c r="I433" s="165">
        <v>44460</v>
      </c>
      <c r="J433">
        <v>44460</v>
      </c>
      <c r="K433" s="165" t="s">
        <v>1671</v>
      </c>
      <c r="L433">
        <v>723.98</v>
      </c>
      <c r="M433">
        <v>44463</v>
      </c>
      <c r="N433">
        <v>723.98</v>
      </c>
      <c r="O433">
        <v>44491</v>
      </c>
      <c r="P433"/>
      <c r="Q433"/>
      <c r="R433" s="165">
        <v>1447.96</v>
      </c>
      <c r="S433" s="165"/>
      <c r="T433" t="s">
        <v>1267</v>
      </c>
      <c r="U433" s="165" t="s">
        <v>1267</v>
      </c>
      <c r="V433" s="165" t="s">
        <v>1267</v>
      </c>
      <c r="W433"/>
      <c r="X433"/>
      <c r="AB433"/>
      <c r="AC433"/>
      <c r="AD433"/>
      <c r="AE433"/>
      <c r="AF433"/>
      <c r="AG433"/>
      <c r="AH433"/>
    </row>
    <row r="434" spans="1:34" x14ac:dyDescent="0.25">
      <c r="A434" s="78">
        <v>20210702</v>
      </c>
      <c r="B434" s="165" t="s">
        <v>97</v>
      </c>
      <c r="C434" s="165" t="s">
        <v>1268</v>
      </c>
      <c r="D434" s="165">
        <v>1</v>
      </c>
      <c r="E434" s="165" t="s">
        <v>1250</v>
      </c>
      <c r="F434" s="165" t="s">
        <v>1562</v>
      </c>
      <c r="G434" s="165" t="s">
        <v>1671</v>
      </c>
      <c r="H434" s="165" t="s">
        <v>922</v>
      </c>
      <c r="I434" s="165">
        <v>44428</v>
      </c>
      <c r="J434">
        <v>44428</v>
      </c>
      <c r="K434" s="165" t="s">
        <v>1671</v>
      </c>
      <c r="L434">
        <v>70.5</v>
      </c>
      <c r="M434">
        <v>44456</v>
      </c>
      <c r="N434">
        <v>70.5</v>
      </c>
      <c r="O434">
        <v>44484</v>
      </c>
      <c r="P434"/>
      <c r="Q434"/>
      <c r="R434" s="165">
        <v>141</v>
      </c>
      <c r="S434" s="165"/>
      <c r="T434" t="s">
        <v>1267</v>
      </c>
      <c r="U434" s="165" t="s">
        <v>1267</v>
      </c>
      <c r="V434" s="165" t="s">
        <v>1267</v>
      </c>
      <c r="W434"/>
      <c r="X434"/>
      <c r="AB434"/>
      <c r="AC434"/>
      <c r="AD434"/>
      <c r="AE434"/>
      <c r="AF434"/>
      <c r="AG434"/>
      <c r="AH434"/>
    </row>
    <row r="435" spans="1:34" x14ac:dyDescent="0.25">
      <c r="A435" s="78">
        <v>20210702</v>
      </c>
      <c r="B435" s="165" t="s">
        <v>97</v>
      </c>
      <c r="C435" s="165" t="s">
        <v>1264</v>
      </c>
      <c r="D435" s="165">
        <v>1</v>
      </c>
      <c r="E435" s="165" t="s">
        <v>1250</v>
      </c>
      <c r="F435" s="165" t="s">
        <v>1563</v>
      </c>
      <c r="G435" s="165" t="s">
        <v>1671</v>
      </c>
      <c r="H435" s="165" t="s">
        <v>922</v>
      </c>
      <c r="I435" s="165">
        <v>44428</v>
      </c>
      <c r="J435">
        <v>44428</v>
      </c>
      <c r="K435" s="165" t="s">
        <v>1671</v>
      </c>
      <c r="L435">
        <v>36.945</v>
      </c>
      <c r="M435">
        <v>44456</v>
      </c>
      <c r="N435">
        <v>36.945</v>
      </c>
      <c r="O435">
        <v>44484</v>
      </c>
      <c r="P435"/>
      <c r="Q435"/>
      <c r="R435" s="165">
        <v>73.89</v>
      </c>
      <c r="S435" s="165"/>
      <c r="T435" t="s">
        <v>1267</v>
      </c>
      <c r="U435" s="165" t="s">
        <v>1267</v>
      </c>
      <c r="V435" s="165" t="s">
        <v>1267</v>
      </c>
      <c r="W435"/>
      <c r="X435"/>
      <c r="AB435"/>
      <c r="AC435"/>
      <c r="AD435"/>
      <c r="AE435"/>
      <c r="AF435"/>
      <c r="AG435"/>
      <c r="AH435"/>
    </row>
    <row r="436" spans="1:34" x14ac:dyDescent="0.25">
      <c r="A436" s="78">
        <v>20210702</v>
      </c>
      <c r="B436" s="165" t="s">
        <v>1292</v>
      </c>
      <c r="C436" s="165" t="s">
        <v>1293</v>
      </c>
      <c r="D436" s="165">
        <v>1</v>
      </c>
      <c r="E436" s="165" t="s">
        <v>1250</v>
      </c>
      <c r="F436" s="165" t="s">
        <v>1292</v>
      </c>
      <c r="G436" s="165" t="s">
        <v>1671</v>
      </c>
      <c r="H436" s="165" t="s">
        <v>922</v>
      </c>
      <c r="I436" s="165">
        <v>44428</v>
      </c>
      <c r="J436">
        <v>44428</v>
      </c>
      <c r="K436" s="165" t="s">
        <v>1671</v>
      </c>
      <c r="L436">
        <v>101.625</v>
      </c>
      <c r="M436">
        <v>44456</v>
      </c>
      <c r="N436">
        <v>101.625</v>
      </c>
      <c r="O436">
        <v>44484</v>
      </c>
      <c r="P436"/>
      <c r="Q436"/>
      <c r="R436" s="165">
        <v>203.25</v>
      </c>
      <c r="S436" s="165"/>
      <c r="T436" t="s">
        <v>1267</v>
      </c>
      <c r="U436" s="165" t="s">
        <v>1267</v>
      </c>
      <c r="V436" s="165" t="s">
        <v>1267</v>
      </c>
      <c r="W436"/>
      <c r="X436"/>
      <c r="AB436"/>
      <c r="AC436"/>
      <c r="AD436"/>
      <c r="AE436"/>
      <c r="AF436"/>
      <c r="AG436"/>
      <c r="AH436"/>
    </row>
    <row r="437" spans="1:34" x14ac:dyDescent="0.25">
      <c r="A437" s="78">
        <v>20210702</v>
      </c>
      <c r="B437" s="165" t="s">
        <v>1292</v>
      </c>
      <c r="C437" s="165" t="s">
        <v>1293</v>
      </c>
      <c r="D437" s="165">
        <v>1</v>
      </c>
      <c r="E437" s="165" t="s">
        <v>1250</v>
      </c>
      <c r="F437" s="165" t="s">
        <v>1292</v>
      </c>
      <c r="G437" s="165" t="s">
        <v>1671</v>
      </c>
      <c r="H437" s="165" t="s">
        <v>922</v>
      </c>
      <c r="I437" s="165">
        <v>44475</v>
      </c>
      <c r="J437">
        <v>44475</v>
      </c>
      <c r="K437" s="165" t="s">
        <v>1671</v>
      </c>
      <c r="L437">
        <v>120.32</v>
      </c>
      <c r="M437">
        <v>44476</v>
      </c>
      <c r="O437"/>
      <c r="P437"/>
      <c r="Q437"/>
      <c r="R437" s="165">
        <v>120.32</v>
      </c>
      <c r="S437" s="165"/>
      <c r="T437" t="s">
        <v>1267</v>
      </c>
      <c r="U437" s="165" t="s">
        <v>1267</v>
      </c>
      <c r="V437" s="165" t="s">
        <v>1267</v>
      </c>
      <c r="W437"/>
      <c r="X437"/>
      <c r="AB437"/>
      <c r="AC437"/>
      <c r="AD437"/>
      <c r="AE437"/>
      <c r="AF437"/>
      <c r="AG437"/>
      <c r="AH437"/>
    </row>
    <row r="438" spans="1:34" x14ac:dyDescent="0.25">
      <c r="A438" s="78">
        <v>20210702</v>
      </c>
      <c r="B438" s="165" t="s">
        <v>1261</v>
      </c>
      <c r="C438" s="165" t="s">
        <v>1262</v>
      </c>
      <c r="D438" s="165">
        <v>1</v>
      </c>
      <c r="E438" s="165" t="s">
        <v>1250</v>
      </c>
      <c r="F438" s="165" t="s">
        <v>1450</v>
      </c>
      <c r="G438" s="165" t="s">
        <v>1671</v>
      </c>
      <c r="H438" s="165" t="s">
        <v>922</v>
      </c>
      <c r="I438" s="165">
        <v>44428</v>
      </c>
      <c r="J438">
        <v>44428</v>
      </c>
      <c r="K438" s="165" t="s">
        <v>1671</v>
      </c>
      <c r="L438">
        <v>629.07000000000005</v>
      </c>
      <c r="M438">
        <v>44456</v>
      </c>
      <c r="N438">
        <v>629.05999999999995</v>
      </c>
      <c r="O438">
        <v>44484</v>
      </c>
      <c r="P438"/>
      <c r="Q438"/>
      <c r="R438" s="165">
        <v>1258.1300000000001</v>
      </c>
      <c r="S438" s="165"/>
      <c r="T438" t="s">
        <v>1267</v>
      </c>
      <c r="U438" s="165" t="s">
        <v>1267</v>
      </c>
      <c r="V438" s="165" t="s">
        <v>1267</v>
      </c>
      <c r="W438"/>
      <c r="X438"/>
      <c r="AB438"/>
      <c r="AC438"/>
      <c r="AD438"/>
      <c r="AE438"/>
      <c r="AF438"/>
      <c r="AG438"/>
      <c r="AH438"/>
    </row>
    <row r="439" spans="1:34" x14ac:dyDescent="0.25">
      <c r="A439" s="78">
        <v>20210697</v>
      </c>
      <c r="B439" s="165" t="s">
        <v>1256</v>
      </c>
      <c r="C439" s="165" t="s">
        <v>1257</v>
      </c>
      <c r="D439" s="165">
        <v>4</v>
      </c>
      <c r="E439" s="165" t="s">
        <v>1250</v>
      </c>
      <c r="F439" s="165" t="s">
        <v>1564</v>
      </c>
      <c r="G439" s="165" t="s">
        <v>1671</v>
      </c>
      <c r="H439" s="165" t="s">
        <v>969</v>
      </c>
      <c r="I439" s="165">
        <v>44427</v>
      </c>
      <c r="J439">
        <v>44427</v>
      </c>
      <c r="K439" s="165" t="s">
        <v>1671</v>
      </c>
      <c r="L439">
        <v>592.59</v>
      </c>
      <c r="M439">
        <v>44462</v>
      </c>
      <c r="N439">
        <v>577.55999999999995</v>
      </c>
      <c r="O439">
        <v>44487</v>
      </c>
      <c r="P439">
        <v>577.54999999999995</v>
      </c>
      <c r="Q439">
        <v>44517</v>
      </c>
      <c r="R439" s="165">
        <v>1747.7</v>
      </c>
      <c r="S439" s="165"/>
      <c r="T439" t="s">
        <v>1267</v>
      </c>
      <c r="U439" s="165" t="s">
        <v>1267</v>
      </c>
      <c r="V439" s="165" t="s">
        <v>1267</v>
      </c>
      <c r="W439"/>
      <c r="X439"/>
      <c r="AB439"/>
      <c r="AC439"/>
      <c r="AD439"/>
      <c r="AE439"/>
      <c r="AF439"/>
      <c r="AG439"/>
      <c r="AH439"/>
    </row>
    <row r="440" spans="1:34" x14ac:dyDescent="0.25">
      <c r="A440" s="78">
        <v>20210717</v>
      </c>
      <c r="B440" s="165" t="s">
        <v>1292</v>
      </c>
      <c r="C440" s="165" t="s">
        <v>1293</v>
      </c>
      <c r="D440" s="165">
        <v>1</v>
      </c>
      <c r="E440" s="165" t="s">
        <v>1250</v>
      </c>
      <c r="F440" s="165" t="s">
        <v>1565</v>
      </c>
      <c r="G440" s="165" t="s">
        <v>1671</v>
      </c>
      <c r="H440" s="165" t="s">
        <v>1157</v>
      </c>
      <c r="I440" s="165">
        <v>44467</v>
      </c>
      <c r="J440">
        <v>44467</v>
      </c>
      <c r="K440" s="165" t="s">
        <v>1671</v>
      </c>
      <c r="L440">
        <v>79.599999999999994</v>
      </c>
      <c r="M440">
        <v>44467</v>
      </c>
      <c r="O440"/>
      <c r="P440"/>
      <c r="Q440"/>
      <c r="R440" s="165">
        <v>79.599999999999994</v>
      </c>
      <c r="S440" s="165"/>
      <c r="T440" t="s">
        <v>1267</v>
      </c>
      <c r="U440" s="165" t="s">
        <v>1267</v>
      </c>
      <c r="V440" s="165" t="s">
        <v>1267</v>
      </c>
      <c r="W440"/>
      <c r="X440"/>
      <c r="AB440"/>
      <c r="AC440"/>
      <c r="AD440"/>
      <c r="AE440"/>
      <c r="AF440"/>
      <c r="AG440"/>
      <c r="AH440"/>
    </row>
    <row r="441" spans="1:34" x14ac:dyDescent="0.25">
      <c r="A441" s="78">
        <v>20210740</v>
      </c>
      <c r="B441" s="165" t="s">
        <v>97</v>
      </c>
      <c r="C441" s="165" t="s">
        <v>1346</v>
      </c>
      <c r="D441" s="165">
        <v>1</v>
      </c>
      <c r="E441" s="165" t="s">
        <v>1250</v>
      </c>
      <c r="F441" s="165" t="s">
        <v>1566</v>
      </c>
      <c r="G441" s="165" t="s">
        <v>1671</v>
      </c>
      <c r="H441" s="165" t="s">
        <v>922</v>
      </c>
      <c r="I441" s="165">
        <v>44454</v>
      </c>
      <c r="J441">
        <v>44454</v>
      </c>
      <c r="K441" s="165" t="s">
        <v>1671</v>
      </c>
      <c r="L441">
        <v>1069.28</v>
      </c>
      <c r="M441">
        <v>44468</v>
      </c>
      <c r="O441"/>
      <c r="P441"/>
      <c r="Q441"/>
      <c r="R441" s="165">
        <v>1069.28</v>
      </c>
      <c r="S441" s="165"/>
      <c r="T441" t="s">
        <v>1267</v>
      </c>
      <c r="U441" s="165" t="s">
        <v>1267</v>
      </c>
      <c r="V441" s="165" t="s">
        <v>1267</v>
      </c>
      <c r="W441"/>
      <c r="X441"/>
      <c r="AB441"/>
      <c r="AC441"/>
      <c r="AD441"/>
      <c r="AE441"/>
      <c r="AF441"/>
      <c r="AG441"/>
      <c r="AH441"/>
    </row>
    <row r="442" spans="1:34" x14ac:dyDescent="0.25">
      <c r="A442" s="78">
        <v>20210732</v>
      </c>
      <c r="B442" s="165" t="s">
        <v>97</v>
      </c>
      <c r="C442" s="165" t="s">
        <v>1296</v>
      </c>
      <c r="D442" s="165">
        <v>1</v>
      </c>
      <c r="E442" s="165" t="s">
        <v>1250</v>
      </c>
      <c r="F442" s="165" t="s">
        <v>1567</v>
      </c>
      <c r="G442" s="165" t="s">
        <v>1671</v>
      </c>
      <c r="H442" s="165" t="s">
        <v>937</v>
      </c>
      <c r="I442" s="165">
        <v>44466</v>
      </c>
      <c r="J442">
        <v>44466</v>
      </c>
      <c r="K442" s="165" t="s">
        <v>1671</v>
      </c>
      <c r="L442">
        <v>671.92</v>
      </c>
      <c r="M442">
        <v>44466</v>
      </c>
      <c r="O442"/>
      <c r="P442"/>
      <c r="Q442"/>
      <c r="R442" s="165">
        <v>671.92</v>
      </c>
      <c r="S442" s="165"/>
      <c r="T442" t="s">
        <v>1267</v>
      </c>
      <c r="U442" s="165" t="s">
        <v>1267</v>
      </c>
      <c r="V442" s="165" t="s">
        <v>1267</v>
      </c>
      <c r="W442"/>
      <c r="X442"/>
      <c r="AB442"/>
      <c r="AC442"/>
      <c r="AD442"/>
      <c r="AE442"/>
      <c r="AF442"/>
      <c r="AG442"/>
      <c r="AH442"/>
    </row>
    <row r="443" spans="1:34" x14ac:dyDescent="0.25">
      <c r="A443" s="78">
        <v>20210719</v>
      </c>
      <c r="B443" s="165" t="s">
        <v>97</v>
      </c>
      <c r="C443" s="165" t="s">
        <v>1272</v>
      </c>
      <c r="D443" s="165">
        <v>4</v>
      </c>
      <c r="E443" s="165" t="s">
        <v>1250</v>
      </c>
      <c r="F443" s="165" t="s">
        <v>1568</v>
      </c>
      <c r="G443" s="165" t="s">
        <v>1671</v>
      </c>
      <c r="H443" s="165" t="s">
        <v>969</v>
      </c>
      <c r="I443" s="165">
        <v>44454</v>
      </c>
      <c r="J443">
        <v>44454</v>
      </c>
      <c r="K443" s="165" t="s">
        <v>1671</v>
      </c>
      <c r="L443">
        <v>966</v>
      </c>
      <c r="M443">
        <v>44484</v>
      </c>
      <c r="O443"/>
      <c r="P443"/>
      <c r="Q443"/>
      <c r="R443" s="165">
        <v>3864</v>
      </c>
      <c r="S443" s="165"/>
      <c r="T443" t="s">
        <v>1267</v>
      </c>
      <c r="U443" s="165" t="s">
        <v>1267</v>
      </c>
      <c r="V443" s="165" t="s">
        <v>1267</v>
      </c>
      <c r="W443"/>
      <c r="X443"/>
      <c r="AB443"/>
      <c r="AC443"/>
      <c r="AD443"/>
      <c r="AE443"/>
      <c r="AF443"/>
      <c r="AG443"/>
      <c r="AH443"/>
    </row>
    <row r="444" spans="1:34" x14ac:dyDescent="0.25">
      <c r="A444" s="78">
        <v>20210730</v>
      </c>
      <c r="B444" s="165" t="s">
        <v>97</v>
      </c>
      <c r="C444" s="165" t="s">
        <v>1302</v>
      </c>
      <c r="D444" s="165">
        <v>1</v>
      </c>
      <c r="E444" s="165" t="s">
        <v>1250</v>
      </c>
      <c r="F444" s="165" t="s">
        <v>1569</v>
      </c>
      <c r="G444" s="165" t="s">
        <v>1671</v>
      </c>
      <c r="H444" s="165" t="s">
        <v>969</v>
      </c>
      <c r="I444" s="165">
        <v>44468</v>
      </c>
      <c r="J444">
        <v>44468</v>
      </c>
      <c r="K444" s="165" t="s">
        <v>1671</v>
      </c>
      <c r="L444">
        <v>692.07</v>
      </c>
      <c r="M444">
        <v>44482</v>
      </c>
      <c r="O444"/>
      <c r="P444"/>
      <c r="Q444"/>
      <c r="R444" s="165">
        <v>692.07</v>
      </c>
      <c r="S444" s="165"/>
      <c r="T444" t="s">
        <v>1267</v>
      </c>
      <c r="U444" s="165" t="s">
        <v>1267</v>
      </c>
      <c r="V444" s="165" t="s">
        <v>1267</v>
      </c>
      <c r="W444"/>
      <c r="X444"/>
      <c r="AB444"/>
      <c r="AC444"/>
      <c r="AD444"/>
      <c r="AE444"/>
      <c r="AF444"/>
      <c r="AG444"/>
      <c r="AH444"/>
    </row>
    <row r="445" spans="1:34" x14ac:dyDescent="0.25">
      <c r="A445" s="78">
        <v>20210735</v>
      </c>
      <c r="B445" s="165" t="s">
        <v>97</v>
      </c>
      <c r="C445" s="165" t="s">
        <v>1302</v>
      </c>
      <c r="D445" s="165">
        <v>1</v>
      </c>
      <c r="E445" s="165" t="s">
        <v>1250</v>
      </c>
      <c r="F445" s="165" t="s">
        <v>1569</v>
      </c>
      <c r="G445" s="165" t="s">
        <v>1671</v>
      </c>
      <c r="H445" s="165" t="s">
        <v>1203</v>
      </c>
      <c r="I445" s="165">
        <v>44474</v>
      </c>
      <c r="J445">
        <v>44474</v>
      </c>
      <c r="K445" s="165" t="s">
        <v>1671</v>
      </c>
      <c r="L445">
        <v>930.09</v>
      </c>
      <c r="M445">
        <v>44488</v>
      </c>
      <c r="O445"/>
      <c r="P445"/>
      <c r="Q445"/>
      <c r="R445" s="165">
        <v>930.09</v>
      </c>
      <c r="S445" s="165"/>
      <c r="T445" t="s">
        <v>1267</v>
      </c>
      <c r="U445" s="165" t="s">
        <v>1267</v>
      </c>
      <c r="V445" s="165" t="s">
        <v>1267</v>
      </c>
      <c r="W445"/>
      <c r="X445"/>
      <c r="AB445"/>
      <c r="AC445"/>
      <c r="AD445"/>
      <c r="AE445"/>
      <c r="AF445"/>
      <c r="AG445"/>
      <c r="AH445"/>
    </row>
    <row r="446" spans="1:34" x14ac:dyDescent="0.25">
      <c r="A446" s="78">
        <v>20210735</v>
      </c>
      <c r="B446" s="165" t="s">
        <v>1261</v>
      </c>
      <c r="C446" s="165" t="s">
        <v>1262</v>
      </c>
      <c r="D446" s="165">
        <v>1</v>
      </c>
      <c r="E446" s="165" t="s">
        <v>1250</v>
      </c>
      <c r="F446" s="165" t="s">
        <v>1450</v>
      </c>
      <c r="G446" s="165" t="s">
        <v>1671</v>
      </c>
      <c r="H446" s="165" t="s">
        <v>1203</v>
      </c>
      <c r="I446" s="165">
        <v>44495</v>
      </c>
      <c r="J446">
        <v>44495</v>
      </c>
      <c r="K446" s="165" t="s">
        <v>1671</v>
      </c>
      <c r="L446">
        <v>1118.8399999999999</v>
      </c>
      <c r="M446">
        <v>44496</v>
      </c>
      <c r="O446"/>
      <c r="P446"/>
      <c r="Q446"/>
      <c r="R446" s="165">
        <v>1118.8399999999999</v>
      </c>
      <c r="S446" s="165"/>
      <c r="T446" t="s">
        <v>1267</v>
      </c>
      <c r="U446" s="165" t="s">
        <v>1267</v>
      </c>
      <c r="V446" s="165" t="s">
        <v>1267</v>
      </c>
      <c r="W446"/>
      <c r="X446"/>
      <c r="AB446"/>
      <c r="AC446"/>
      <c r="AD446"/>
      <c r="AE446"/>
      <c r="AF446"/>
      <c r="AG446"/>
      <c r="AH446"/>
    </row>
    <row r="447" spans="1:34" x14ac:dyDescent="0.25">
      <c r="A447" s="78">
        <v>20210735</v>
      </c>
      <c r="B447" s="165" t="s">
        <v>1292</v>
      </c>
      <c r="C447" s="165" t="s">
        <v>1293</v>
      </c>
      <c r="D447" s="165">
        <v>1</v>
      </c>
      <c r="E447" s="165" t="s">
        <v>1250</v>
      </c>
      <c r="F447" s="165" t="s">
        <v>1292</v>
      </c>
      <c r="G447" s="165" t="s">
        <v>1671</v>
      </c>
      <c r="H447" s="165" t="s">
        <v>1203</v>
      </c>
      <c r="I447" s="165">
        <v>44448</v>
      </c>
      <c r="J447">
        <v>44448</v>
      </c>
      <c r="K447" s="165" t="s">
        <v>1671</v>
      </c>
      <c r="L447">
        <v>262.10000000000002</v>
      </c>
      <c r="M447">
        <v>44476</v>
      </c>
      <c r="O447"/>
      <c r="P447"/>
      <c r="Q447"/>
      <c r="R447" s="165">
        <v>262.10000000000002</v>
      </c>
      <c r="S447" s="165"/>
      <c r="T447" t="s">
        <v>1267</v>
      </c>
      <c r="U447" s="165" t="s">
        <v>1267</v>
      </c>
      <c r="V447" s="165" t="s">
        <v>1267</v>
      </c>
      <c r="W447"/>
      <c r="X447"/>
      <c r="AB447"/>
      <c r="AC447"/>
      <c r="AD447"/>
      <c r="AE447"/>
      <c r="AF447"/>
      <c r="AG447"/>
      <c r="AH447"/>
    </row>
    <row r="448" spans="1:34" x14ac:dyDescent="0.25">
      <c r="A448" s="78">
        <v>20210719</v>
      </c>
      <c r="B448" s="165" t="s">
        <v>97</v>
      </c>
      <c r="C448" s="165" t="s">
        <v>1288</v>
      </c>
      <c r="D448" s="165">
        <v>1</v>
      </c>
      <c r="E448" s="165" t="s">
        <v>1250</v>
      </c>
      <c r="F448" s="165" t="s">
        <v>1290</v>
      </c>
      <c r="G448" s="165" t="s">
        <v>1671</v>
      </c>
      <c r="H448" s="165" t="s">
        <v>969</v>
      </c>
      <c r="I448" s="165">
        <v>44460</v>
      </c>
      <c r="J448">
        <v>44460</v>
      </c>
      <c r="K448" s="165" t="s">
        <v>1671</v>
      </c>
      <c r="L448">
        <v>2602</v>
      </c>
      <c r="M448">
        <v>44482</v>
      </c>
      <c r="O448"/>
      <c r="P448"/>
      <c r="Q448"/>
      <c r="R448" s="165">
        <v>2602</v>
      </c>
      <c r="S448" s="165"/>
      <c r="T448" t="s">
        <v>1267</v>
      </c>
      <c r="U448" s="165" t="s">
        <v>1267</v>
      </c>
      <c r="V448" s="165" t="s">
        <v>1267</v>
      </c>
      <c r="W448"/>
      <c r="X448"/>
      <c r="AB448"/>
      <c r="AC448"/>
      <c r="AD448"/>
      <c r="AE448"/>
      <c r="AF448"/>
      <c r="AG448"/>
      <c r="AH448"/>
    </row>
    <row r="449" spans="1:34" x14ac:dyDescent="0.25">
      <c r="A449" s="78">
        <v>20210696</v>
      </c>
      <c r="B449" s="165" t="s">
        <v>97</v>
      </c>
      <c r="C449" s="165" t="s">
        <v>1272</v>
      </c>
      <c r="D449" s="165">
        <v>3</v>
      </c>
      <c r="E449" s="165" t="s">
        <v>1250</v>
      </c>
      <c r="F449" s="165" t="s">
        <v>1570</v>
      </c>
      <c r="G449" s="165" t="s">
        <v>1671</v>
      </c>
      <c r="H449" s="165" t="s">
        <v>932</v>
      </c>
      <c r="I449" s="165">
        <v>44432</v>
      </c>
      <c r="J449">
        <v>44432</v>
      </c>
      <c r="K449" s="165" t="s">
        <v>1671</v>
      </c>
      <c r="L449">
        <v>345.71000000000004</v>
      </c>
      <c r="M449">
        <v>44474</v>
      </c>
      <c r="O449"/>
      <c r="P449"/>
      <c r="Q449"/>
      <c r="R449" s="165">
        <v>1037.1300000000001</v>
      </c>
      <c r="S449" s="165"/>
      <c r="T449" t="s">
        <v>1267</v>
      </c>
      <c r="U449" s="165" t="s">
        <v>1267</v>
      </c>
      <c r="V449" s="165" t="s">
        <v>1267</v>
      </c>
      <c r="W449"/>
      <c r="X449"/>
      <c r="AB449"/>
      <c r="AC449"/>
      <c r="AD449"/>
      <c r="AE449"/>
      <c r="AF449"/>
      <c r="AG449"/>
      <c r="AH449"/>
    </row>
    <row r="450" spans="1:34" x14ac:dyDescent="0.25">
      <c r="A450" s="78">
        <v>20210732</v>
      </c>
      <c r="B450" s="165" t="s">
        <v>1256</v>
      </c>
      <c r="C450" s="165" t="s">
        <v>1281</v>
      </c>
      <c r="D450" s="165">
        <v>1</v>
      </c>
      <c r="E450" s="165" t="s">
        <v>1250</v>
      </c>
      <c r="F450" s="165" t="s">
        <v>1571</v>
      </c>
      <c r="G450" s="165" t="s">
        <v>1671</v>
      </c>
      <c r="H450" s="165" t="s">
        <v>937</v>
      </c>
      <c r="I450" s="165">
        <v>44467</v>
      </c>
      <c r="J450">
        <v>44467</v>
      </c>
      <c r="K450" s="165" t="s">
        <v>1671</v>
      </c>
      <c r="L450">
        <v>150</v>
      </c>
      <c r="M450">
        <v>44480</v>
      </c>
      <c r="O450"/>
      <c r="P450"/>
      <c r="Q450"/>
      <c r="R450" s="165">
        <v>150</v>
      </c>
      <c r="S450" s="165"/>
      <c r="T450" t="s">
        <v>1267</v>
      </c>
      <c r="U450" s="165" t="s">
        <v>1267</v>
      </c>
      <c r="V450" s="165" t="s">
        <v>1267</v>
      </c>
      <c r="W450"/>
      <c r="X450"/>
      <c r="AB450"/>
      <c r="AC450"/>
      <c r="AD450"/>
      <c r="AE450"/>
      <c r="AF450"/>
      <c r="AG450"/>
      <c r="AH450"/>
    </row>
    <row r="451" spans="1:34" x14ac:dyDescent="0.25">
      <c r="A451" s="78">
        <v>20210733</v>
      </c>
      <c r="B451" s="165" t="s">
        <v>1292</v>
      </c>
      <c r="C451" s="165" t="s">
        <v>1293</v>
      </c>
      <c r="D451" s="165">
        <v>1</v>
      </c>
      <c r="E451" s="165" t="s">
        <v>1250</v>
      </c>
      <c r="F451" s="165" t="s">
        <v>1572</v>
      </c>
      <c r="G451" s="165" t="s">
        <v>1671</v>
      </c>
      <c r="H451" s="165" t="s">
        <v>937</v>
      </c>
      <c r="I451" s="165">
        <v>44470</v>
      </c>
      <c r="J451">
        <v>44470</v>
      </c>
      <c r="K451" s="165" t="s">
        <v>1671</v>
      </c>
      <c r="L451">
        <v>1400</v>
      </c>
      <c r="M451">
        <v>44484</v>
      </c>
      <c r="O451"/>
      <c r="P451"/>
      <c r="Q451"/>
      <c r="R451" s="165">
        <v>1400</v>
      </c>
      <c r="S451" s="165"/>
      <c r="T451" t="s">
        <v>1267</v>
      </c>
      <c r="U451" s="165" t="s">
        <v>1267</v>
      </c>
      <c r="V451" s="165" t="s">
        <v>1267</v>
      </c>
      <c r="W451"/>
      <c r="X451"/>
      <c r="AB451"/>
      <c r="AC451"/>
      <c r="AD451"/>
      <c r="AE451"/>
      <c r="AF451"/>
      <c r="AG451"/>
      <c r="AH451"/>
    </row>
    <row r="452" spans="1:34" x14ac:dyDescent="0.25">
      <c r="A452" s="78">
        <v>20210744</v>
      </c>
      <c r="B452" s="165" t="s">
        <v>1292</v>
      </c>
      <c r="C452" s="165" t="s">
        <v>1293</v>
      </c>
      <c r="D452" s="165">
        <v>1</v>
      </c>
      <c r="E452" s="165" t="s">
        <v>1250</v>
      </c>
      <c r="F452" s="165" t="s">
        <v>1573</v>
      </c>
      <c r="G452" s="165" t="s">
        <v>1671</v>
      </c>
      <c r="H452" s="165" t="s">
        <v>969</v>
      </c>
      <c r="I452" s="165">
        <v>44483</v>
      </c>
      <c r="J452">
        <v>44483</v>
      </c>
      <c r="K452" s="165" t="s">
        <v>1671</v>
      </c>
      <c r="L452">
        <v>169.12</v>
      </c>
      <c r="M452">
        <v>44483</v>
      </c>
      <c r="O452"/>
      <c r="P452"/>
      <c r="Q452"/>
      <c r="R452" s="165">
        <v>169.12</v>
      </c>
      <c r="S452" s="165"/>
      <c r="T452" t="s">
        <v>1267</v>
      </c>
      <c r="U452" s="165" t="s">
        <v>1267</v>
      </c>
      <c r="V452" s="165" t="s">
        <v>1267</v>
      </c>
      <c r="W452"/>
      <c r="X452"/>
      <c r="AB452"/>
      <c r="AC452"/>
      <c r="AD452"/>
      <c r="AE452"/>
      <c r="AF452"/>
      <c r="AG452"/>
      <c r="AH452"/>
    </row>
    <row r="453" spans="1:34" x14ac:dyDescent="0.25">
      <c r="A453" s="78" t="s">
        <v>1501</v>
      </c>
      <c r="B453" s="165" t="s">
        <v>1292</v>
      </c>
      <c r="C453" s="165" t="s">
        <v>1293</v>
      </c>
      <c r="D453" s="165">
        <v>1</v>
      </c>
      <c r="E453" s="165" t="s">
        <v>1250</v>
      </c>
      <c r="F453" s="165" t="s">
        <v>1574</v>
      </c>
      <c r="G453" s="165" t="s">
        <v>1671</v>
      </c>
      <c r="H453" s="165" t="s">
        <v>1270</v>
      </c>
      <c r="I453" s="165">
        <v>44477</v>
      </c>
      <c r="J453">
        <v>44477</v>
      </c>
      <c r="K453" s="165" t="s">
        <v>1671</v>
      </c>
      <c r="L453">
        <v>188</v>
      </c>
      <c r="M453">
        <v>44480</v>
      </c>
      <c r="O453"/>
      <c r="P453"/>
      <c r="Q453"/>
      <c r="R453" s="165">
        <v>188</v>
      </c>
      <c r="S453" s="165"/>
      <c r="T453" t="s">
        <v>1267</v>
      </c>
      <c r="U453" s="165" t="s">
        <v>1267</v>
      </c>
      <c r="V453" s="165" t="s">
        <v>1267</v>
      </c>
      <c r="W453"/>
      <c r="X453"/>
      <c r="AB453"/>
      <c r="AC453"/>
      <c r="AD453"/>
      <c r="AE453"/>
      <c r="AF453"/>
      <c r="AG453"/>
      <c r="AH453"/>
    </row>
    <row r="454" spans="1:34" x14ac:dyDescent="0.25">
      <c r="A454" s="78" t="s">
        <v>1501</v>
      </c>
      <c r="B454" s="165" t="s">
        <v>1292</v>
      </c>
      <c r="C454" s="165" t="s">
        <v>1293</v>
      </c>
      <c r="D454" s="165">
        <v>1</v>
      </c>
      <c r="E454" s="165" t="s">
        <v>1250</v>
      </c>
      <c r="F454" s="165" t="s">
        <v>1575</v>
      </c>
      <c r="G454" s="165" t="s">
        <v>1671</v>
      </c>
      <c r="H454" s="165" t="s">
        <v>1270</v>
      </c>
      <c r="I454" s="165">
        <v>44483</v>
      </c>
      <c r="J454">
        <v>44483</v>
      </c>
      <c r="K454" s="165" t="s">
        <v>1671</v>
      </c>
      <c r="L454">
        <v>38.200000000000003</v>
      </c>
      <c r="M454">
        <v>44483</v>
      </c>
      <c r="N454">
        <v>40</v>
      </c>
      <c r="O454">
        <v>44501</v>
      </c>
      <c r="P454"/>
      <c r="Q454"/>
      <c r="R454" s="165">
        <v>78.2</v>
      </c>
      <c r="S454" s="165"/>
      <c r="T454" t="s">
        <v>1267</v>
      </c>
      <c r="U454" s="165" t="s">
        <v>1267</v>
      </c>
      <c r="V454" s="165" t="s">
        <v>1267</v>
      </c>
      <c r="W454"/>
      <c r="X454"/>
      <c r="AB454"/>
      <c r="AC454"/>
      <c r="AD454"/>
      <c r="AE454"/>
      <c r="AF454"/>
      <c r="AG454"/>
      <c r="AH454"/>
    </row>
    <row r="455" spans="1:34" x14ac:dyDescent="0.25">
      <c r="A455" s="78">
        <v>20210682</v>
      </c>
      <c r="B455" s="165" t="s">
        <v>1292</v>
      </c>
      <c r="C455" s="165" t="s">
        <v>1293</v>
      </c>
      <c r="D455" s="165">
        <v>1</v>
      </c>
      <c r="E455" s="165" t="s">
        <v>1250</v>
      </c>
      <c r="F455" s="165" t="s">
        <v>1576</v>
      </c>
      <c r="G455" s="165" t="s">
        <v>1671</v>
      </c>
      <c r="H455" s="165" t="s">
        <v>1093</v>
      </c>
      <c r="I455" s="165">
        <v>44470</v>
      </c>
      <c r="J455">
        <v>44470</v>
      </c>
      <c r="K455" s="165" t="s">
        <v>1671</v>
      </c>
      <c r="L455">
        <v>240.27</v>
      </c>
      <c r="M455">
        <v>44489</v>
      </c>
      <c r="O455"/>
      <c r="P455"/>
      <c r="Q455"/>
      <c r="R455" s="165">
        <v>240.27</v>
      </c>
      <c r="S455" s="165"/>
      <c r="T455" t="s">
        <v>1267</v>
      </c>
      <c r="U455" s="165" t="s">
        <v>1267</v>
      </c>
      <c r="V455" s="165" t="s">
        <v>1267</v>
      </c>
      <c r="W455"/>
      <c r="X455"/>
      <c r="AB455"/>
      <c r="AC455"/>
      <c r="AD455"/>
      <c r="AE455"/>
      <c r="AF455"/>
      <c r="AG455"/>
      <c r="AH455"/>
    </row>
    <row r="456" spans="1:34" x14ac:dyDescent="0.25">
      <c r="A456" s="78">
        <v>20210682</v>
      </c>
      <c r="B456" s="165" t="s">
        <v>1292</v>
      </c>
      <c r="C456" s="165" t="s">
        <v>1293</v>
      </c>
      <c r="D456" s="165">
        <v>1</v>
      </c>
      <c r="E456" s="165" t="s">
        <v>1250</v>
      </c>
      <c r="F456" s="165" t="s">
        <v>1577</v>
      </c>
      <c r="G456" s="165" t="s">
        <v>1671</v>
      </c>
      <c r="H456" s="165" t="s">
        <v>1093</v>
      </c>
      <c r="I456" s="165">
        <v>44490</v>
      </c>
      <c r="J456">
        <v>44490</v>
      </c>
      <c r="K456" s="165" t="s">
        <v>1671</v>
      </c>
      <c r="L456">
        <v>1070</v>
      </c>
      <c r="M456">
        <v>44490</v>
      </c>
      <c r="O456"/>
      <c r="P456"/>
      <c r="Q456"/>
      <c r="R456" s="165">
        <v>1070</v>
      </c>
      <c r="S456" s="165"/>
      <c r="T456" t="s">
        <v>1267</v>
      </c>
      <c r="U456" s="165" t="s">
        <v>1267</v>
      </c>
      <c r="V456" s="165" t="s">
        <v>1267</v>
      </c>
      <c r="W456"/>
      <c r="X456"/>
      <c r="AB456"/>
      <c r="AC456"/>
      <c r="AD456"/>
      <c r="AE456"/>
      <c r="AF456"/>
      <c r="AG456"/>
      <c r="AH456"/>
    </row>
    <row r="457" spans="1:34" x14ac:dyDescent="0.25">
      <c r="A457" s="78">
        <v>20210682</v>
      </c>
      <c r="B457" s="165" t="s">
        <v>97</v>
      </c>
      <c r="C457" s="165" t="s">
        <v>1356</v>
      </c>
      <c r="D457" s="165">
        <v>1</v>
      </c>
      <c r="E457" s="165" t="s">
        <v>1250</v>
      </c>
      <c r="F457" s="165" t="s">
        <v>1578</v>
      </c>
      <c r="G457" s="165" t="s">
        <v>1671</v>
      </c>
      <c r="H457" s="165" t="s">
        <v>1093</v>
      </c>
      <c r="I457" s="165">
        <v>44420</v>
      </c>
      <c r="J457">
        <v>44420</v>
      </c>
      <c r="K457" s="165" t="s">
        <v>1671</v>
      </c>
      <c r="L457">
        <v>1674.4</v>
      </c>
      <c r="M457">
        <v>44497</v>
      </c>
      <c r="O457"/>
      <c r="P457"/>
      <c r="Q457"/>
      <c r="R457" s="165">
        <v>1674.4</v>
      </c>
      <c r="S457" s="165"/>
      <c r="T457" t="s">
        <v>1267</v>
      </c>
      <c r="U457" s="165" t="s">
        <v>1267</v>
      </c>
      <c r="V457" s="165" t="s">
        <v>1267</v>
      </c>
      <c r="W457"/>
      <c r="X457"/>
      <c r="AB457"/>
      <c r="AC457"/>
      <c r="AD457"/>
      <c r="AE457"/>
      <c r="AF457"/>
      <c r="AG457"/>
      <c r="AH457"/>
    </row>
    <row r="458" spans="1:34" x14ac:dyDescent="0.25">
      <c r="A458" s="78" t="s">
        <v>1501</v>
      </c>
      <c r="B458" s="165" t="s">
        <v>1292</v>
      </c>
      <c r="C458" s="165" t="s">
        <v>1293</v>
      </c>
      <c r="D458" s="165">
        <v>1</v>
      </c>
      <c r="E458" s="165" t="s">
        <v>1250</v>
      </c>
      <c r="F458" s="165" t="s">
        <v>1579</v>
      </c>
      <c r="G458" s="165" t="s">
        <v>1671</v>
      </c>
      <c r="H458" s="165" t="s">
        <v>1270</v>
      </c>
      <c r="I458" s="165">
        <v>44478</v>
      </c>
      <c r="J458">
        <v>44478</v>
      </c>
      <c r="K458" s="165" t="s">
        <v>1671</v>
      </c>
      <c r="L458">
        <v>489.22</v>
      </c>
      <c r="M458">
        <v>44478</v>
      </c>
      <c r="O458"/>
      <c r="P458"/>
      <c r="Q458"/>
      <c r="R458" s="165">
        <v>489.22</v>
      </c>
      <c r="S458" s="165"/>
      <c r="T458" t="s">
        <v>1267</v>
      </c>
      <c r="U458" s="165" t="s">
        <v>1267</v>
      </c>
      <c r="V458" s="165" t="s">
        <v>1267</v>
      </c>
      <c r="W458"/>
      <c r="X458"/>
      <c r="AB458"/>
      <c r="AC458"/>
      <c r="AD458"/>
      <c r="AE458"/>
      <c r="AF458"/>
      <c r="AG458"/>
      <c r="AH458"/>
    </row>
    <row r="459" spans="1:34" x14ac:dyDescent="0.25">
      <c r="A459" s="78">
        <v>20210740</v>
      </c>
      <c r="B459" s="165" t="s">
        <v>1292</v>
      </c>
      <c r="C459" s="165" t="s">
        <v>1293</v>
      </c>
      <c r="D459" s="165">
        <v>1</v>
      </c>
      <c r="E459" s="165" t="s">
        <v>1250</v>
      </c>
      <c r="F459" s="165" t="s">
        <v>1580</v>
      </c>
      <c r="G459" s="165" t="s">
        <v>1671</v>
      </c>
      <c r="H459" s="165" t="s">
        <v>922</v>
      </c>
      <c r="I459" s="165">
        <v>44488</v>
      </c>
      <c r="J459">
        <v>44488</v>
      </c>
      <c r="K459" s="165" t="s">
        <v>1671</v>
      </c>
      <c r="L459">
        <v>835</v>
      </c>
      <c r="M459">
        <v>44488</v>
      </c>
      <c r="O459"/>
      <c r="P459"/>
      <c r="Q459"/>
      <c r="R459" s="165">
        <v>835</v>
      </c>
      <c r="S459" s="165"/>
      <c r="T459" t="s">
        <v>1267</v>
      </c>
      <c r="U459" s="165" t="s">
        <v>1267</v>
      </c>
      <c r="V459" s="165" t="s">
        <v>1267</v>
      </c>
      <c r="W459"/>
      <c r="X459"/>
      <c r="AB459"/>
      <c r="AC459"/>
      <c r="AD459"/>
      <c r="AE459"/>
      <c r="AF459"/>
      <c r="AG459"/>
      <c r="AH459"/>
    </row>
    <row r="460" spans="1:34" x14ac:dyDescent="0.25">
      <c r="A460" s="78">
        <v>20210405</v>
      </c>
      <c r="B460" s="165" t="s">
        <v>97</v>
      </c>
      <c r="C460" s="165" t="s">
        <v>1346</v>
      </c>
      <c r="D460" s="165">
        <v>1</v>
      </c>
      <c r="E460" s="165" t="s">
        <v>1250</v>
      </c>
      <c r="F460" s="165" t="s">
        <v>1480</v>
      </c>
      <c r="G460" s="165" t="s">
        <v>1671</v>
      </c>
      <c r="H460" s="165" t="s">
        <v>937</v>
      </c>
      <c r="I460" s="165">
        <v>44357</v>
      </c>
      <c r="J460">
        <v>44357</v>
      </c>
      <c r="K460" s="165" t="s">
        <v>1671</v>
      </c>
      <c r="L460">
        <v>800</v>
      </c>
      <c r="M460">
        <v>44494</v>
      </c>
      <c r="O460"/>
      <c r="P460"/>
      <c r="Q460"/>
      <c r="R460" s="165">
        <v>800</v>
      </c>
      <c r="S460" s="165"/>
      <c r="T460" t="s">
        <v>1267</v>
      </c>
      <c r="U460" s="165" t="s">
        <v>1267</v>
      </c>
      <c r="V460" s="165" t="s">
        <v>1267</v>
      </c>
      <c r="W460"/>
      <c r="X460"/>
      <c r="AB460"/>
      <c r="AC460"/>
      <c r="AD460"/>
      <c r="AE460"/>
      <c r="AF460"/>
      <c r="AG460"/>
      <c r="AH460"/>
    </row>
    <row r="461" spans="1:34" x14ac:dyDescent="0.25">
      <c r="A461" s="78">
        <v>20210717</v>
      </c>
      <c r="B461" s="165" t="s">
        <v>1292</v>
      </c>
      <c r="C461" s="165" t="s">
        <v>1293</v>
      </c>
      <c r="D461" s="165">
        <v>1</v>
      </c>
      <c r="E461" s="165" t="s">
        <v>1250</v>
      </c>
      <c r="F461" s="165" t="s">
        <v>1581</v>
      </c>
      <c r="G461" s="165" t="s">
        <v>1671</v>
      </c>
      <c r="H461" s="165" t="s">
        <v>1157</v>
      </c>
      <c r="I461" s="165">
        <v>44482</v>
      </c>
      <c r="J461">
        <v>44482</v>
      </c>
      <c r="K461" s="165" t="s">
        <v>1671</v>
      </c>
      <c r="L461">
        <v>70</v>
      </c>
      <c r="M461">
        <v>44482</v>
      </c>
      <c r="O461"/>
      <c r="P461"/>
      <c r="Q461"/>
      <c r="R461" s="165">
        <v>70</v>
      </c>
      <c r="S461" s="165"/>
      <c r="T461" t="s">
        <v>1267</v>
      </c>
      <c r="U461" s="165" t="s">
        <v>1267</v>
      </c>
      <c r="V461" s="165" t="s">
        <v>1267</v>
      </c>
      <c r="W461"/>
      <c r="X461"/>
      <c r="AB461"/>
      <c r="AC461"/>
      <c r="AD461"/>
      <c r="AE461"/>
      <c r="AF461"/>
      <c r="AG461"/>
      <c r="AH461"/>
    </row>
    <row r="462" spans="1:34" x14ac:dyDescent="0.25">
      <c r="A462" s="78">
        <v>20210762</v>
      </c>
      <c r="B462" s="165" t="s">
        <v>1292</v>
      </c>
      <c r="C462" s="165" t="s">
        <v>1293</v>
      </c>
      <c r="D462" s="165">
        <v>1</v>
      </c>
      <c r="E462" s="165" t="s">
        <v>1250</v>
      </c>
      <c r="F462" s="165" t="s">
        <v>1582</v>
      </c>
      <c r="G462" s="165" t="s">
        <v>1671</v>
      </c>
      <c r="H462" s="165" t="s">
        <v>937</v>
      </c>
      <c r="I462" s="165">
        <v>44491</v>
      </c>
      <c r="J462">
        <v>44491</v>
      </c>
      <c r="K462" s="165" t="s">
        <v>1671</v>
      </c>
      <c r="L462">
        <v>228.59</v>
      </c>
      <c r="M462">
        <v>44491</v>
      </c>
      <c r="O462"/>
      <c r="P462"/>
      <c r="Q462"/>
      <c r="R462" s="165">
        <v>228.59</v>
      </c>
      <c r="S462" s="165"/>
      <c r="T462" t="s">
        <v>1267</v>
      </c>
      <c r="U462" s="165" t="s">
        <v>1267</v>
      </c>
      <c r="V462" s="165" t="s">
        <v>1267</v>
      </c>
      <c r="W462"/>
      <c r="X462"/>
      <c r="AB462"/>
      <c r="AC462"/>
      <c r="AD462"/>
      <c r="AE462"/>
      <c r="AF462"/>
      <c r="AG462"/>
      <c r="AH462"/>
    </row>
    <row r="463" spans="1:34" x14ac:dyDescent="0.25">
      <c r="A463" s="78">
        <v>20210749</v>
      </c>
      <c r="B463" s="165" t="s">
        <v>97</v>
      </c>
      <c r="C463" s="165" t="s">
        <v>1327</v>
      </c>
      <c r="D463" s="165">
        <v>1</v>
      </c>
      <c r="E463" s="165" t="s">
        <v>1250</v>
      </c>
      <c r="F463" s="165" t="s">
        <v>1561</v>
      </c>
      <c r="G463" s="165" t="s">
        <v>1671</v>
      </c>
      <c r="H463" s="165" t="s">
        <v>969</v>
      </c>
      <c r="I463" s="165">
        <v>44489</v>
      </c>
      <c r="J463">
        <v>44489</v>
      </c>
      <c r="K463" s="165" t="s">
        <v>1671</v>
      </c>
      <c r="L463">
        <v>34.479999999999997</v>
      </c>
      <c r="M463">
        <v>44490</v>
      </c>
      <c r="O463"/>
      <c r="P463"/>
      <c r="Q463"/>
      <c r="R463" s="165">
        <v>34.479999999999997</v>
      </c>
      <c r="S463" s="165"/>
      <c r="T463" t="s">
        <v>1267</v>
      </c>
      <c r="U463" s="165" t="s">
        <v>1267</v>
      </c>
      <c r="V463" s="165" t="s">
        <v>1267</v>
      </c>
      <c r="W463"/>
      <c r="X463"/>
      <c r="AB463"/>
      <c r="AC463"/>
      <c r="AD463"/>
      <c r="AE463"/>
      <c r="AF463"/>
      <c r="AG463"/>
      <c r="AH463"/>
    </row>
    <row r="464" spans="1:34" x14ac:dyDescent="0.25">
      <c r="A464" s="78">
        <v>20210749</v>
      </c>
      <c r="B464" s="165" t="s">
        <v>1256</v>
      </c>
      <c r="C464" s="165" t="s">
        <v>1257</v>
      </c>
      <c r="D464" s="165">
        <v>3</v>
      </c>
      <c r="E464" s="165" t="s">
        <v>1250</v>
      </c>
      <c r="F464" s="165" t="s">
        <v>1564</v>
      </c>
      <c r="G464" s="165" t="s">
        <v>1671</v>
      </c>
      <c r="H464" s="165" t="s">
        <v>969</v>
      </c>
      <c r="I464" s="165">
        <v>44498</v>
      </c>
      <c r="J464">
        <v>44498</v>
      </c>
      <c r="K464" s="165" t="s">
        <v>1671</v>
      </c>
      <c r="L464">
        <v>2793.8966666599999</v>
      </c>
      <c r="M464">
        <v>44517</v>
      </c>
      <c r="O464"/>
      <c r="P464"/>
      <c r="Q464"/>
      <c r="R464" s="165">
        <v>8381.6899999800007</v>
      </c>
      <c r="S464" s="165"/>
      <c r="T464" t="s">
        <v>1267</v>
      </c>
      <c r="U464" s="165" t="s">
        <v>1267</v>
      </c>
      <c r="V464" s="165" t="s">
        <v>1267</v>
      </c>
      <c r="W464"/>
      <c r="X464"/>
      <c r="AB464"/>
      <c r="AC464"/>
      <c r="AD464"/>
      <c r="AE464"/>
      <c r="AF464"/>
      <c r="AG464"/>
      <c r="AH464"/>
    </row>
    <row r="465" spans="1:34" x14ac:dyDescent="0.25">
      <c r="A465" s="78">
        <v>20210740</v>
      </c>
      <c r="B465" s="165" t="s">
        <v>97</v>
      </c>
      <c r="C465" s="165" t="s">
        <v>1305</v>
      </c>
      <c r="D465" s="165">
        <v>1</v>
      </c>
      <c r="E465" s="165" t="s">
        <v>1250</v>
      </c>
      <c r="F465" s="165" t="s">
        <v>1583</v>
      </c>
      <c r="G465" s="165" t="s">
        <v>1671</v>
      </c>
      <c r="H465" s="165" t="s">
        <v>922</v>
      </c>
      <c r="I465" s="165">
        <v>44498</v>
      </c>
      <c r="J465">
        <v>44498</v>
      </c>
      <c r="K465" s="165" t="s">
        <v>1671</v>
      </c>
      <c r="L465">
        <v>7348.94</v>
      </c>
      <c r="M465">
        <v>44516</v>
      </c>
      <c r="N465">
        <v>6947.91</v>
      </c>
      <c r="O465">
        <v>44530</v>
      </c>
      <c r="P465"/>
      <c r="Q465"/>
      <c r="R465" s="165">
        <v>14296.85</v>
      </c>
      <c r="S465" s="165"/>
      <c r="T465" t="s">
        <v>1267</v>
      </c>
      <c r="U465" s="165" t="s">
        <v>1267</v>
      </c>
      <c r="V465" s="165" t="s">
        <v>1267</v>
      </c>
      <c r="W465"/>
      <c r="X465"/>
      <c r="AB465"/>
      <c r="AC465"/>
      <c r="AD465"/>
      <c r="AE465"/>
      <c r="AF465"/>
      <c r="AG465"/>
      <c r="AH465"/>
    </row>
    <row r="466" spans="1:34" x14ac:dyDescent="0.25">
      <c r="A466" s="78">
        <v>20210701</v>
      </c>
      <c r="B466" s="165" t="s">
        <v>97</v>
      </c>
      <c r="C466" s="165" t="s">
        <v>1272</v>
      </c>
      <c r="D466" s="165">
        <v>1</v>
      </c>
      <c r="E466" s="165" t="s">
        <v>1250</v>
      </c>
      <c r="F466" s="165" t="s">
        <v>1545</v>
      </c>
      <c r="G466" s="165" t="s">
        <v>1671</v>
      </c>
      <c r="H466" s="165" t="s">
        <v>969</v>
      </c>
      <c r="I466" s="165">
        <v>44438</v>
      </c>
      <c r="J466">
        <v>44438</v>
      </c>
      <c r="K466" s="165" t="s">
        <v>1671</v>
      </c>
      <c r="L466">
        <v>115.24</v>
      </c>
      <c r="M466">
        <v>44496</v>
      </c>
      <c r="N466">
        <v>115.24</v>
      </c>
      <c r="O466">
        <v>44510</v>
      </c>
      <c r="P466">
        <v>115.23</v>
      </c>
      <c r="Q466">
        <v>44524</v>
      </c>
      <c r="R466" s="165">
        <v>345.71</v>
      </c>
      <c r="S466" s="165"/>
      <c r="T466" t="s">
        <v>1267</v>
      </c>
      <c r="U466" s="165" t="s">
        <v>1267</v>
      </c>
      <c r="V466" s="165" t="s">
        <v>1267</v>
      </c>
      <c r="W466"/>
      <c r="X466"/>
      <c r="AB466"/>
      <c r="AC466"/>
      <c r="AD466"/>
      <c r="AE466"/>
      <c r="AF466"/>
      <c r="AG466"/>
      <c r="AH466"/>
    </row>
    <row r="467" spans="1:34" x14ac:dyDescent="0.25">
      <c r="A467" s="78">
        <v>20210755</v>
      </c>
      <c r="B467" s="165" t="s">
        <v>1292</v>
      </c>
      <c r="C467" s="165" t="s">
        <v>1293</v>
      </c>
      <c r="D467" s="165">
        <v>1</v>
      </c>
      <c r="E467" s="165" t="s">
        <v>1250</v>
      </c>
      <c r="F467" s="165" t="s">
        <v>1292</v>
      </c>
      <c r="G467" s="165" t="s">
        <v>1671</v>
      </c>
      <c r="H467" s="165" t="s">
        <v>1011</v>
      </c>
      <c r="I467" s="165">
        <v>44498</v>
      </c>
      <c r="J467">
        <v>44498</v>
      </c>
      <c r="K467" s="165" t="s">
        <v>1671</v>
      </c>
      <c r="L467">
        <v>150</v>
      </c>
      <c r="M467">
        <v>44498</v>
      </c>
      <c r="O467"/>
      <c r="P467"/>
      <c r="Q467"/>
      <c r="R467" s="165">
        <v>150</v>
      </c>
      <c r="S467" s="165"/>
      <c r="T467" t="s">
        <v>1267</v>
      </c>
      <c r="U467" s="165" t="s">
        <v>1267</v>
      </c>
      <c r="V467" s="165" t="s">
        <v>1267</v>
      </c>
      <c r="W467"/>
      <c r="X467"/>
      <c r="AB467"/>
      <c r="AC467"/>
      <c r="AD467"/>
      <c r="AE467"/>
      <c r="AF467"/>
      <c r="AG467"/>
      <c r="AH467"/>
    </row>
    <row r="468" spans="1:34" x14ac:dyDescent="0.25">
      <c r="A468" s="78">
        <v>20210737</v>
      </c>
      <c r="B468" s="165" t="s">
        <v>97</v>
      </c>
      <c r="C468" s="165" t="s">
        <v>1279</v>
      </c>
      <c r="D468" s="165">
        <v>1</v>
      </c>
      <c r="E468" s="165" t="s">
        <v>1250</v>
      </c>
      <c r="F468" s="165" t="s">
        <v>1584</v>
      </c>
      <c r="G468" s="165" t="s">
        <v>1671</v>
      </c>
      <c r="H468" s="165" t="s">
        <v>1244</v>
      </c>
      <c r="I468" s="165">
        <v>44487</v>
      </c>
      <c r="J468">
        <v>44487</v>
      </c>
      <c r="K468" s="165" t="s">
        <v>1671</v>
      </c>
      <c r="L468">
        <v>3817.6</v>
      </c>
      <c r="M468">
        <v>44487</v>
      </c>
      <c r="O468"/>
      <c r="P468"/>
      <c r="Q468"/>
      <c r="R468" s="165">
        <v>3817.6</v>
      </c>
      <c r="S468" s="165"/>
      <c r="T468" t="s">
        <v>1267</v>
      </c>
      <c r="U468" s="165" t="s">
        <v>1267</v>
      </c>
      <c r="V468" s="165" t="s">
        <v>1267</v>
      </c>
      <c r="W468"/>
      <c r="X468"/>
      <c r="AB468"/>
      <c r="AC468"/>
      <c r="AD468"/>
      <c r="AE468"/>
      <c r="AF468"/>
      <c r="AG468"/>
      <c r="AH468"/>
    </row>
    <row r="469" spans="1:34" x14ac:dyDescent="0.25">
      <c r="A469" s="78">
        <v>20210740</v>
      </c>
      <c r="B469" s="165" t="s">
        <v>1292</v>
      </c>
      <c r="C469" s="165" t="s">
        <v>1293</v>
      </c>
      <c r="D469" s="165">
        <v>1</v>
      </c>
      <c r="E469" s="165" t="s">
        <v>1250</v>
      </c>
      <c r="F469" s="165" t="s">
        <v>1585</v>
      </c>
      <c r="G469" s="165" t="s">
        <v>1671</v>
      </c>
      <c r="H469" s="165" t="s">
        <v>922</v>
      </c>
      <c r="I469" s="165">
        <v>44498</v>
      </c>
      <c r="J469">
        <v>44498</v>
      </c>
      <c r="K469" s="165" t="s">
        <v>1671</v>
      </c>
      <c r="L469">
        <v>780.74</v>
      </c>
      <c r="M469">
        <v>44498</v>
      </c>
      <c r="O469"/>
      <c r="P469"/>
      <c r="Q469"/>
      <c r="R469" s="165">
        <v>780.74</v>
      </c>
      <c r="S469" s="165"/>
      <c r="T469" t="s">
        <v>1267</v>
      </c>
      <c r="U469" s="165" t="s">
        <v>1267</v>
      </c>
      <c r="V469" s="165" t="s">
        <v>1267</v>
      </c>
      <c r="W469"/>
      <c r="X469"/>
      <c r="AB469"/>
      <c r="AC469"/>
      <c r="AD469"/>
      <c r="AE469"/>
      <c r="AF469"/>
      <c r="AG469"/>
      <c r="AH469"/>
    </row>
    <row r="470" spans="1:34" x14ac:dyDescent="0.25">
      <c r="A470" s="78">
        <v>20210776</v>
      </c>
      <c r="B470" s="165" t="s">
        <v>1311</v>
      </c>
      <c r="C470" s="165" t="s">
        <v>1312</v>
      </c>
      <c r="D470" s="165">
        <v>1</v>
      </c>
      <c r="E470" s="165" t="s">
        <v>1250</v>
      </c>
      <c r="F470" s="165" t="s">
        <v>1481</v>
      </c>
      <c r="G470" s="165" t="s">
        <v>1671</v>
      </c>
      <c r="H470" s="165" t="s">
        <v>929</v>
      </c>
      <c r="I470" s="165">
        <v>44497</v>
      </c>
      <c r="J470">
        <v>44497</v>
      </c>
      <c r="K470" s="165" t="s">
        <v>1671</v>
      </c>
      <c r="L470">
        <v>166.97</v>
      </c>
      <c r="M470">
        <v>44498</v>
      </c>
      <c r="O470"/>
      <c r="P470"/>
      <c r="Q470"/>
      <c r="R470" s="165">
        <v>1289.68</v>
      </c>
      <c r="S470" s="165"/>
      <c r="T470" t="s">
        <v>1267</v>
      </c>
      <c r="U470" s="165" t="s">
        <v>1267</v>
      </c>
      <c r="V470" s="165" t="s">
        <v>1267</v>
      </c>
      <c r="W470"/>
      <c r="X470"/>
      <c r="AB470"/>
      <c r="AC470"/>
      <c r="AD470"/>
      <c r="AE470"/>
      <c r="AF470"/>
      <c r="AG470"/>
      <c r="AH470"/>
    </row>
    <row r="471" spans="1:34" x14ac:dyDescent="0.25">
      <c r="A471" s="78" t="s">
        <v>1501</v>
      </c>
      <c r="B471" s="165" t="s">
        <v>1292</v>
      </c>
      <c r="C471" s="165" t="s">
        <v>1293</v>
      </c>
      <c r="D471" s="165">
        <v>1</v>
      </c>
      <c r="E471" s="165" t="s">
        <v>1250</v>
      </c>
      <c r="F471" s="165" t="s">
        <v>1292</v>
      </c>
      <c r="G471" s="165" t="s">
        <v>1671</v>
      </c>
      <c r="H471" s="165" t="s">
        <v>1270</v>
      </c>
      <c r="I471" s="165">
        <v>44498</v>
      </c>
      <c r="J471">
        <v>44498</v>
      </c>
      <c r="K471" s="165" t="s">
        <v>1671</v>
      </c>
      <c r="L471">
        <v>1033.8</v>
      </c>
      <c r="M471">
        <v>44498</v>
      </c>
      <c r="O471"/>
      <c r="P471"/>
      <c r="Q471"/>
      <c r="R471" s="165">
        <v>1033.8</v>
      </c>
      <c r="S471" s="165"/>
      <c r="T471" t="s">
        <v>1267</v>
      </c>
      <c r="U471" s="165" t="s">
        <v>1267</v>
      </c>
      <c r="V471" s="165" t="s">
        <v>1267</v>
      </c>
      <c r="W471"/>
      <c r="X471"/>
      <c r="AB471"/>
      <c r="AC471"/>
      <c r="AD471"/>
      <c r="AE471"/>
      <c r="AF471"/>
      <c r="AG471"/>
      <c r="AH471"/>
    </row>
    <row r="472" spans="1:34" x14ac:dyDescent="0.25">
      <c r="A472" s="78">
        <v>20210748</v>
      </c>
      <c r="B472" s="165" t="s">
        <v>1261</v>
      </c>
      <c r="C472" s="165" t="s">
        <v>1262</v>
      </c>
      <c r="D472" s="165">
        <v>1</v>
      </c>
      <c r="E472" s="165" t="s">
        <v>1250</v>
      </c>
      <c r="F472" s="165" t="s">
        <v>1450</v>
      </c>
      <c r="G472" s="165" t="s">
        <v>1671</v>
      </c>
      <c r="H472" s="165" t="s">
        <v>922</v>
      </c>
      <c r="I472" s="165">
        <v>44509</v>
      </c>
      <c r="J472">
        <v>44509</v>
      </c>
      <c r="K472" s="165" t="s">
        <v>1671</v>
      </c>
      <c r="L472">
        <v>654.52</v>
      </c>
      <c r="M472">
        <v>44517</v>
      </c>
      <c r="N472">
        <v>654.52</v>
      </c>
      <c r="O472">
        <v>44539</v>
      </c>
      <c r="P472"/>
      <c r="Q472"/>
      <c r="R472" s="165">
        <v>1309.04</v>
      </c>
      <c r="S472" s="165"/>
      <c r="T472" t="s">
        <v>1267</v>
      </c>
      <c r="U472" s="165" t="s">
        <v>1267</v>
      </c>
      <c r="V472" s="165" t="s">
        <v>1267</v>
      </c>
      <c r="W472"/>
      <c r="X472"/>
      <c r="AB472"/>
      <c r="AC472"/>
      <c r="AD472"/>
      <c r="AE472"/>
      <c r="AF472"/>
      <c r="AG472"/>
      <c r="AH472"/>
    </row>
    <row r="473" spans="1:34" x14ac:dyDescent="0.25">
      <c r="A473" s="78" t="s">
        <v>1501</v>
      </c>
      <c r="B473" s="165" t="s">
        <v>1261</v>
      </c>
      <c r="C473" s="165" t="s">
        <v>1262</v>
      </c>
      <c r="D473" s="165">
        <v>1</v>
      </c>
      <c r="E473" s="165" t="s">
        <v>1250</v>
      </c>
      <c r="F473" s="165" t="s">
        <v>1586</v>
      </c>
      <c r="G473" s="165" t="s">
        <v>1671</v>
      </c>
      <c r="H473" s="165" t="s">
        <v>1270</v>
      </c>
      <c r="I473" s="165">
        <v>44510</v>
      </c>
      <c r="J473">
        <v>44510</v>
      </c>
      <c r="K473" s="165" t="s">
        <v>1671</v>
      </c>
      <c r="L473">
        <v>450</v>
      </c>
      <c r="M473">
        <v>44510</v>
      </c>
      <c r="O473"/>
      <c r="P473"/>
      <c r="Q473"/>
      <c r="R473" s="165">
        <v>450</v>
      </c>
      <c r="S473" s="165"/>
      <c r="T473" t="s">
        <v>1267</v>
      </c>
      <c r="U473" s="165" t="s">
        <v>1267</v>
      </c>
      <c r="V473" s="165" t="s">
        <v>1267</v>
      </c>
      <c r="W473"/>
      <c r="X473"/>
      <c r="AB473"/>
      <c r="AC473"/>
      <c r="AD473"/>
      <c r="AE473"/>
      <c r="AF473"/>
      <c r="AG473"/>
      <c r="AH473"/>
    </row>
    <row r="474" spans="1:34" x14ac:dyDescent="0.25">
      <c r="A474" s="78" t="s">
        <v>1501</v>
      </c>
      <c r="B474" s="165" t="s">
        <v>97</v>
      </c>
      <c r="C474" s="165" t="s">
        <v>1305</v>
      </c>
      <c r="D474" s="165">
        <v>1</v>
      </c>
      <c r="E474" s="165" t="s">
        <v>1250</v>
      </c>
      <c r="F474" s="165" t="s">
        <v>1587</v>
      </c>
      <c r="G474" s="165" t="s">
        <v>1671</v>
      </c>
      <c r="H474" s="165" t="s">
        <v>1270</v>
      </c>
      <c r="I474" s="165">
        <v>44509</v>
      </c>
      <c r="J474">
        <v>44509</v>
      </c>
      <c r="K474" s="165" t="s">
        <v>1671</v>
      </c>
      <c r="L474">
        <v>1122.71</v>
      </c>
      <c r="M474">
        <v>44509</v>
      </c>
      <c r="O474"/>
      <c r="P474"/>
      <c r="Q474"/>
      <c r="R474" s="165">
        <v>1122.71</v>
      </c>
      <c r="S474" s="165"/>
      <c r="T474" t="s">
        <v>1267</v>
      </c>
      <c r="U474" s="165" t="s">
        <v>1267</v>
      </c>
      <c r="V474" s="165" t="s">
        <v>1267</v>
      </c>
      <c r="W474"/>
      <c r="X474"/>
      <c r="AB474"/>
      <c r="AC474"/>
      <c r="AD474"/>
      <c r="AE474"/>
      <c r="AF474"/>
      <c r="AG474"/>
      <c r="AH474"/>
    </row>
    <row r="475" spans="1:34" x14ac:dyDescent="0.25">
      <c r="A475" s="78">
        <v>20210781</v>
      </c>
      <c r="B475" s="165" t="s">
        <v>1292</v>
      </c>
      <c r="C475" s="165" t="s">
        <v>1293</v>
      </c>
      <c r="D475" s="165">
        <v>1</v>
      </c>
      <c r="E475" s="165" t="s">
        <v>1250</v>
      </c>
      <c r="F475" s="165" t="s">
        <v>1588</v>
      </c>
      <c r="G475" s="165" t="s">
        <v>1671</v>
      </c>
      <c r="H475" s="165" t="s">
        <v>1046</v>
      </c>
      <c r="I475" s="165">
        <v>44510</v>
      </c>
      <c r="J475">
        <v>44510</v>
      </c>
      <c r="K475" s="165" t="s">
        <v>1671</v>
      </c>
      <c r="L475">
        <v>81.349999999999994</v>
      </c>
      <c r="M475">
        <v>44510</v>
      </c>
      <c r="O475"/>
      <c r="P475"/>
      <c r="Q475"/>
      <c r="R475" s="165">
        <v>121.35</v>
      </c>
      <c r="S475" s="165"/>
      <c r="T475" t="s">
        <v>1267</v>
      </c>
      <c r="U475" s="165" t="s">
        <v>1267</v>
      </c>
      <c r="V475" s="165" t="s">
        <v>1267</v>
      </c>
      <c r="W475"/>
      <c r="X475"/>
      <c r="AB475"/>
      <c r="AC475"/>
      <c r="AD475"/>
      <c r="AE475"/>
      <c r="AF475"/>
      <c r="AG475"/>
      <c r="AH475"/>
    </row>
    <row r="476" spans="1:34" x14ac:dyDescent="0.25">
      <c r="A476" s="78">
        <v>20210781</v>
      </c>
      <c r="B476" s="165" t="s">
        <v>1311</v>
      </c>
      <c r="C476" s="165" t="s">
        <v>1312</v>
      </c>
      <c r="D476" s="165">
        <v>1</v>
      </c>
      <c r="E476" s="165" t="s">
        <v>1250</v>
      </c>
      <c r="F476" s="165" t="s">
        <v>1589</v>
      </c>
      <c r="G476" s="165" t="s">
        <v>1671</v>
      </c>
      <c r="H476" s="165" t="s">
        <v>1046</v>
      </c>
      <c r="I476" s="165">
        <v>44511</v>
      </c>
      <c r="J476">
        <v>44511</v>
      </c>
      <c r="K476" s="165" t="s">
        <v>1671</v>
      </c>
      <c r="L476">
        <v>260.87</v>
      </c>
      <c r="M476">
        <v>44522</v>
      </c>
      <c r="O476"/>
      <c r="P476"/>
      <c r="Q476"/>
      <c r="R476" s="165">
        <v>260.87</v>
      </c>
      <c r="S476" s="165"/>
      <c r="T476" t="s">
        <v>1267</v>
      </c>
      <c r="U476" s="165" t="s">
        <v>1267</v>
      </c>
      <c r="V476" s="165" t="s">
        <v>1267</v>
      </c>
      <c r="W476"/>
      <c r="X476"/>
      <c r="AB476"/>
      <c r="AC476"/>
      <c r="AD476"/>
      <c r="AE476"/>
      <c r="AF476"/>
      <c r="AG476"/>
      <c r="AH476"/>
    </row>
    <row r="477" spans="1:34" x14ac:dyDescent="0.25">
      <c r="A477" s="78">
        <v>20210718</v>
      </c>
      <c r="B477" s="165" t="s">
        <v>1256</v>
      </c>
      <c r="C477" s="165" t="s">
        <v>1257</v>
      </c>
      <c r="D477" s="165">
        <v>26</v>
      </c>
      <c r="E477" s="165" t="s">
        <v>1250</v>
      </c>
      <c r="F477" s="165" t="s">
        <v>1258</v>
      </c>
      <c r="G477" s="165" t="s">
        <v>1671</v>
      </c>
      <c r="H477" s="165" t="s">
        <v>1031</v>
      </c>
      <c r="I477" s="165">
        <v>44511</v>
      </c>
      <c r="J477">
        <v>44511</v>
      </c>
      <c r="K477" s="165" t="s">
        <v>1671</v>
      </c>
      <c r="L477">
        <v>4833</v>
      </c>
      <c r="M477">
        <v>44511</v>
      </c>
      <c r="N477">
        <v>19536.82</v>
      </c>
      <c r="O477">
        <v>44540</v>
      </c>
      <c r="P477"/>
      <c r="Q477"/>
      <c r="R477" s="165">
        <v>24369.82</v>
      </c>
      <c r="S477" s="165"/>
      <c r="T477" t="s">
        <v>1267</v>
      </c>
      <c r="U477" s="165" t="s">
        <v>1267</v>
      </c>
      <c r="V477" s="165" t="s">
        <v>1267</v>
      </c>
      <c r="W477"/>
      <c r="X477"/>
      <c r="AB477"/>
      <c r="AC477"/>
      <c r="AD477"/>
      <c r="AE477"/>
      <c r="AF477"/>
      <c r="AG477"/>
      <c r="AH477"/>
    </row>
    <row r="478" spans="1:34" x14ac:dyDescent="0.25">
      <c r="A478" s="78">
        <v>20210779</v>
      </c>
      <c r="B478" s="165" t="s">
        <v>1292</v>
      </c>
      <c r="C478" s="165" t="s">
        <v>1293</v>
      </c>
      <c r="D478" s="165">
        <v>1</v>
      </c>
      <c r="E478" s="165" t="s">
        <v>1250</v>
      </c>
      <c r="F478" s="165" t="s">
        <v>1590</v>
      </c>
      <c r="G478" s="165" t="s">
        <v>1671</v>
      </c>
      <c r="H478" s="165" t="s">
        <v>945</v>
      </c>
      <c r="I478" s="165">
        <v>44512</v>
      </c>
      <c r="J478">
        <v>44512</v>
      </c>
      <c r="K478" s="165" t="s">
        <v>1671</v>
      </c>
      <c r="L478">
        <v>381</v>
      </c>
      <c r="M478">
        <v>44512</v>
      </c>
      <c r="O478"/>
      <c r="P478"/>
      <c r="Q478"/>
      <c r="R478" s="165">
        <v>381</v>
      </c>
      <c r="S478" s="165"/>
      <c r="T478" t="s">
        <v>1267</v>
      </c>
      <c r="U478" s="165" t="s">
        <v>1267</v>
      </c>
      <c r="V478" s="165" t="s">
        <v>1267</v>
      </c>
      <c r="W478"/>
      <c r="X478"/>
      <c r="AB478"/>
      <c r="AC478"/>
      <c r="AD478"/>
      <c r="AE478"/>
      <c r="AF478"/>
      <c r="AG478"/>
      <c r="AH478"/>
    </row>
    <row r="479" spans="1:34" x14ac:dyDescent="0.25">
      <c r="A479" s="78">
        <v>20210779</v>
      </c>
      <c r="B479" s="165" t="s">
        <v>97</v>
      </c>
      <c r="C479" s="165" t="s">
        <v>1283</v>
      </c>
      <c r="D479" s="165">
        <v>1</v>
      </c>
      <c r="E479" s="165" t="s">
        <v>1250</v>
      </c>
      <c r="F479" s="165" t="s">
        <v>1591</v>
      </c>
      <c r="G479" s="165" t="s">
        <v>1671</v>
      </c>
      <c r="H479" s="165" t="s">
        <v>945</v>
      </c>
      <c r="I479" s="165">
        <v>44511</v>
      </c>
      <c r="J479">
        <v>44511</v>
      </c>
      <c r="K479" s="165" t="s">
        <v>1671</v>
      </c>
      <c r="L479">
        <v>1346.8</v>
      </c>
      <c r="M479">
        <v>44511</v>
      </c>
      <c r="O479"/>
      <c r="P479"/>
      <c r="Q479"/>
      <c r="R479" s="165">
        <v>1346.8</v>
      </c>
      <c r="S479" s="165"/>
      <c r="T479" t="s">
        <v>1267</v>
      </c>
      <c r="U479" s="165" t="s">
        <v>1267</v>
      </c>
      <c r="V479" s="165" t="s">
        <v>1267</v>
      </c>
      <c r="W479"/>
      <c r="X479"/>
      <c r="AB479"/>
      <c r="AC479"/>
      <c r="AD479"/>
      <c r="AE479"/>
      <c r="AF479"/>
      <c r="AG479"/>
      <c r="AH479"/>
    </row>
    <row r="480" spans="1:34" x14ac:dyDescent="0.25">
      <c r="A480" s="78">
        <v>20210779</v>
      </c>
      <c r="B480" s="165" t="s">
        <v>97</v>
      </c>
      <c r="C480" s="165" t="s">
        <v>1296</v>
      </c>
      <c r="D480" s="165">
        <v>1</v>
      </c>
      <c r="E480" s="165" t="s">
        <v>1250</v>
      </c>
      <c r="F480" s="165" t="s">
        <v>1592</v>
      </c>
      <c r="G480" s="165" t="s">
        <v>1671</v>
      </c>
      <c r="H480" s="165" t="s">
        <v>945</v>
      </c>
      <c r="I480" s="165">
        <v>44505</v>
      </c>
      <c r="J480">
        <v>44505</v>
      </c>
      <c r="K480" s="165" t="s">
        <v>1671</v>
      </c>
      <c r="L480">
        <v>870</v>
      </c>
      <c r="M480">
        <v>44505</v>
      </c>
      <c r="O480"/>
      <c r="P480"/>
      <c r="Q480"/>
      <c r="R480" s="165">
        <v>870</v>
      </c>
      <c r="S480" s="165"/>
      <c r="T480" t="s">
        <v>1267</v>
      </c>
      <c r="U480" s="165" t="s">
        <v>1267</v>
      </c>
      <c r="V480" s="165" t="s">
        <v>1267</v>
      </c>
      <c r="W480"/>
      <c r="X480"/>
      <c r="AB480"/>
      <c r="AC480"/>
      <c r="AD480"/>
      <c r="AE480"/>
      <c r="AF480"/>
      <c r="AG480"/>
      <c r="AH480"/>
    </row>
    <row r="481" spans="1:34" x14ac:dyDescent="0.25">
      <c r="A481" s="78">
        <v>20210779</v>
      </c>
      <c r="B481" s="165" t="s">
        <v>1311</v>
      </c>
      <c r="C481" s="165" t="s">
        <v>1312</v>
      </c>
      <c r="D481" s="165">
        <v>1</v>
      </c>
      <c r="E481" s="165" t="s">
        <v>1250</v>
      </c>
      <c r="F481" s="165" t="s">
        <v>1593</v>
      </c>
      <c r="G481" s="165" t="s">
        <v>1671</v>
      </c>
      <c r="H481" s="165" t="s">
        <v>945</v>
      </c>
      <c r="I481" s="165">
        <v>44505</v>
      </c>
      <c r="J481">
        <v>44505</v>
      </c>
      <c r="K481" s="165" t="s">
        <v>1671</v>
      </c>
      <c r="L481">
        <v>265</v>
      </c>
      <c r="M481">
        <v>44512</v>
      </c>
      <c r="O481"/>
      <c r="P481"/>
      <c r="Q481"/>
      <c r="R481" s="165">
        <v>265</v>
      </c>
      <c r="S481" s="165"/>
      <c r="T481" t="s">
        <v>1267</v>
      </c>
      <c r="U481" s="165" t="s">
        <v>1267</v>
      </c>
      <c r="V481" s="165" t="s">
        <v>1267</v>
      </c>
      <c r="W481"/>
      <c r="X481"/>
      <c r="AB481"/>
      <c r="AC481"/>
      <c r="AD481"/>
      <c r="AE481"/>
      <c r="AF481"/>
      <c r="AG481"/>
      <c r="AH481"/>
    </row>
    <row r="482" spans="1:34" x14ac:dyDescent="0.25">
      <c r="A482" s="78">
        <v>20210786</v>
      </c>
      <c r="B482" s="165" t="s">
        <v>1311</v>
      </c>
      <c r="C482" s="165" t="s">
        <v>1312</v>
      </c>
      <c r="D482" s="165">
        <v>1</v>
      </c>
      <c r="E482" s="165" t="s">
        <v>1250</v>
      </c>
      <c r="F482" s="165" t="s">
        <v>1594</v>
      </c>
      <c r="G482" s="165" t="s">
        <v>1671</v>
      </c>
      <c r="H482" s="165" t="s">
        <v>1157</v>
      </c>
      <c r="I482" s="165">
        <v>44510</v>
      </c>
      <c r="J482">
        <v>44510</v>
      </c>
      <c r="K482" s="165" t="s">
        <v>1671</v>
      </c>
      <c r="L482">
        <v>850</v>
      </c>
      <c r="M482">
        <v>44510</v>
      </c>
      <c r="O482"/>
      <c r="P482"/>
      <c r="Q482"/>
      <c r="R482" s="165">
        <v>850</v>
      </c>
      <c r="S482" s="165"/>
      <c r="T482" t="s">
        <v>1267</v>
      </c>
      <c r="U482" s="165" t="s">
        <v>1267</v>
      </c>
      <c r="V482" s="165" t="s">
        <v>1267</v>
      </c>
      <c r="W482"/>
      <c r="X482"/>
      <c r="AB482"/>
      <c r="AC482"/>
      <c r="AD482"/>
      <c r="AE482"/>
      <c r="AF482"/>
      <c r="AG482"/>
      <c r="AH482"/>
    </row>
    <row r="483" spans="1:34" x14ac:dyDescent="0.25">
      <c r="A483" s="78">
        <v>20210756</v>
      </c>
      <c r="B483" s="165" t="s">
        <v>1311</v>
      </c>
      <c r="C483" s="165" t="s">
        <v>1312</v>
      </c>
      <c r="D483" s="165">
        <v>1</v>
      </c>
      <c r="E483" s="165" t="s">
        <v>1250</v>
      </c>
      <c r="F483" s="165" t="s">
        <v>1595</v>
      </c>
      <c r="G483" s="165" t="s">
        <v>1671</v>
      </c>
      <c r="H483" s="165" t="s">
        <v>1136</v>
      </c>
      <c r="I483" s="165">
        <v>44511</v>
      </c>
      <c r="J483">
        <v>44511</v>
      </c>
      <c r="K483" s="165" t="s">
        <v>1671</v>
      </c>
      <c r="L483">
        <v>121.5</v>
      </c>
      <c r="M483">
        <v>44525</v>
      </c>
      <c r="O483"/>
      <c r="P483"/>
      <c r="Q483"/>
      <c r="R483" s="165">
        <v>121.5</v>
      </c>
      <c r="S483" s="165"/>
      <c r="T483" t="s">
        <v>1267</v>
      </c>
      <c r="U483" s="165" t="s">
        <v>1267</v>
      </c>
      <c r="V483" s="165" t="s">
        <v>1267</v>
      </c>
      <c r="W483"/>
      <c r="X483"/>
      <c r="AB483"/>
      <c r="AC483"/>
      <c r="AD483"/>
      <c r="AE483"/>
      <c r="AF483"/>
      <c r="AG483"/>
      <c r="AH483"/>
    </row>
    <row r="484" spans="1:34" x14ac:dyDescent="0.25">
      <c r="A484" s="78">
        <v>20210756</v>
      </c>
      <c r="B484" s="165" t="s">
        <v>97</v>
      </c>
      <c r="C484" s="165" t="s">
        <v>1296</v>
      </c>
      <c r="D484" s="165">
        <v>1</v>
      </c>
      <c r="E484" s="165" t="s">
        <v>1250</v>
      </c>
      <c r="F484" s="165" t="s">
        <v>1596</v>
      </c>
      <c r="G484" s="165" t="s">
        <v>1671</v>
      </c>
      <c r="H484" s="165" t="s">
        <v>1136</v>
      </c>
      <c r="I484" s="165">
        <v>44511</v>
      </c>
      <c r="J484">
        <v>44511</v>
      </c>
      <c r="K484" s="165" t="s">
        <v>1671</v>
      </c>
      <c r="L484">
        <v>2003.72</v>
      </c>
      <c r="M484">
        <v>44511</v>
      </c>
      <c r="O484"/>
      <c r="P484"/>
      <c r="Q484"/>
      <c r="R484" s="165">
        <v>2003.72</v>
      </c>
      <c r="S484" s="165"/>
      <c r="T484" t="s">
        <v>1267</v>
      </c>
      <c r="U484" s="165" t="s">
        <v>1267</v>
      </c>
      <c r="V484" s="165" t="s">
        <v>1267</v>
      </c>
      <c r="W484"/>
      <c r="X484"/>
      <c r="AB484"/>
      <c r="AC484"/>
      <c r="AD484"/>
      <c r="AE484"/>
      <c r="AF484"/>
      <c r="AG484"/>
      <c r="AH484"/>
    </row>
    <row r="485" spans="1:34" x14ac:dyDescent="0.25">
      <c r="A485" s="78">
        <v>20210756</v>
      </c>
      <c r="B485" s="165" t="s">
        <v>97</v>
      </c>
      <c r="C485" s="165" t="s">
        <v>1296</v>
      </c>
      <c r="D485" s="165">
        <v>1</v>
      </c>
      <c r="E485" s="165" t="s">
        <v>1250</v>
      </c>
      <c r="F485" s="165" t="s">
        <v>1597</v>
      </c>
      <c r="G485" s="165" t="s">
        <v>1671</v>
      </c>
      <c r="H485" s="165" t="s">
        <v>1136</v>
      </c>
      <c r="I485" s="165">
        <v>44511</v>
      </c>
      <c r="J485">
        <v>44511</v>
      </c>
      <c r="K485" s="165" t="s">
        <v>1671</v>
      </c>
      <c r="L485">
        <v>2367.4699999999998</v>
      </c>
      <c r="M485">
        <v>44511</v>
      </c>
      <c r="O485"/>
      <c r="P485"/>
      <c r="Q485"/>
      <c r="R485" s="165">
        <v>2367.4699999999998</v>
      </c>
      <c r="S485" s="165"/>
      <c r="T485" t="s">
        <v>1267</v>
      </c>
      <c r="U485" s="165" t="s">
        <v>1267</v>
      </c>
      <c r="V485" s="165" t="s">
        <v>1267</v>
      </c>
      <c r="W485"/>
      <c r="X485"/>
      <c r="AB485"/>
      <c r="AC485"/>
      <c r="AD485"/>
      <c r="AE485"/>
      <c r="AF485"/>
      <c r="AG485"/>
      <c r="AH485"/>
    </row>
    <row r="486" spans="1:34" x14ac:dyDescent="0.25">
      <c r="A486" s="78">
        <v>20210756</v>
      </c>
      <c r="B486" s="165" t="s">
        <v>97</v>
      </c>
      <c r="C486" s="165" t="s">
        <v>1327</v>
      </c>
      <c r="D486" s="165">
        <v>1</v>
      </c>
      <c r="E486" s="165" t="s">
        <v>1250</v>
      </c>
      <c r="F486" s="165" t="s">
        <v>1598</v>
      </c>
      <c r="G486" s="165" t="s">
        <v>1671</v>
      </c>
      <c r="H486" s="165" t="s">
        <v>1136</v>
      </c>
      <c r="I486" s="165">
        <v>44511</v>
      </c>
      <c r="J486">
        <v>44511</v>
      </c>
      <c r="K486" s="165" t="s">
        <v>1671</v>
      </c>
      <c r="L486">
        <v>77.7</v>
      </c>
      <c r="M486">
        <v>44511</v>
      </c>
      <c r="O486"/>
      <c r="P486"/>
      <c r="Q486"/>
      <c r="R486" s="165">
        <v>77.7</v>
      </c>
      <c r="S486" s="165"/>
      <c r="T486" t="s">
        <v>1267</v>
      </c>
      <c r="U486" s="165" t="s">
        <v>1267</v>
      </c>
      <c r="V486" s="165" t="s">
        <v>1267</v>
      </c>
      <c r="W486"/>
      <c r="X486"/>
      <c r="AB486"/>
      <c r="AC486"/>
      <c r="AD486"/>
      <c r="AE486"/>
      <c r="AF486"/>
      <c r="AG486"/>
      <c r="AH486"/>
    </row>
    <row r="487" spans="1:34" x14ac:dyDescent="0.25">
      <c r="A487" s="78">
        <v>20210744</v>
      </c>
      <c r="B487" s="165" t="s">
        <v>97</v>
      </c>
      <c r="C487" s="165" t="s">
        <v>1272</v>
      </c>
      <c r="D487" s="165">
        <v>2</v>
      </c>
      <c r="E487" s="165" t="s">
        <v>1250</v>
      </c>
      <c r="F487" s="165" t="s">
        <v>1426</v>
      </c>
      <c r="G487" s="165" t="s">
        <v>1671</v>
      </c>
      <c r="H487" s="165" t="s">
        <v>969</v>
      </c>
      <c r="I487" s="165">
        <v>44484</v>
      </c>
      <c r="J487">
        <v>44484</v>
      </c>
      <c r="K487" s="165" t="s">
        <v>1671</v>
      </c>
      <c r="L487">
        <v>345.71</v>
      </c>
      <c r="M487">
        <v>44512</v>
      </c>
      <c r="O487"/>
      <c r="P487"/>
      <c r="Q487"/>
      <c r="R487" s="165">
        <v>691.42</v>
      </c>
      <c r="S487" s="165"/>
      <c r="T487" t="s">
        <v>1267</v>
      </c>
      <c r="U487" s="165" t="s">
        <v>1267</v>
      </c>
      <c r="V487" s="165" t="s">
        <v>1267</v>
      </c>
      <c r="W487"/>
      <c r="X487"/>
      <c r="AB487"/>
      <c r="AC487"/>
      <c r="AD487"/>
      <c r="AE487"/>
      <c r="AF487"/>
      <c r="AG487"/>
      <c r="AH487"/>
    </row>
    <row r="488" spans="1:34" x14ac:dyDescent="0.25">
      <c r="A488" s="78">
        <v>20210744</v>
      </c>
      <c r="B488" s="165" t="s">
        <v>1256</v>
      </c>
      <c r="C488" s="165" t="s">
        <v>1257</v>
      </c>
      <c r="D488" s="165">
        <v>3</v>
      </c>
      <c r="E488" s="165" t="s">
        <v>1250</v>
      </c>
      <c r="F488" s="165" t="s">
        <v>1564</v>
      </c>
      <c r="G488" s="165" t="s">
        <v>1671</v>
      </c>
      <c r="H488" s="165" t="s">
        <v>969</v>
      </c>
      <c r="I488" s="165">
        <v>44509</v>
      </c>
      <c r="J488">
        <v>44509</v>
      </c>
      <c r="K488" s="165" t="s">
        <v>1671</v>
      </c>
      <c r="L488">
        <v>2749.9566666669998</v>
      </c>
      <c r="M488">
        <v>44516</v>
      </c>
      <c r="O488"/>
      <c r="P488"/>
      <c r="Q488"/>
      <c r="R488" s="165">
        <v>8249.8700000009994</v>
      </c>
      <c r="S488" s="165"/>
      <c r="T488" t="s">
        <v>1267</v>
      </c>
      <c r="U488" s="165" t="s">
        <v>1267</v>
      </c>
      <c r="V488" s="165" t="s">
        <v>1267</v>
      </c>
      <c r="W488"/>
      <c r="X488"/>
      <c r="AB488"/>
      <c r="AC488"/>
      <c r="AD488"/>
      <c r="AE488"/>
      <c r="AF488"/>
      <c r="AG488"/>
      <c r="AH488"/>
    </row>
    <row r="489" spans="1:34" x14ac:dyDescent="0.25">
      <c r="A489" s="78">
        <v>20210744</v>
      </c>
      <c r="B489" s="165" t="s">
        <v>1292</v>
      </c>
      <c r="C489" s="165" t="s">
        <v>1293</v>
      </c>
      <c r="D489" s="165">
        <v>1</v>
      </c>
      <c r="E489" s="165" t="s">
        <v>1250</v>
      </c>
      <c r="F489" s="165" t="s">
        <v>1292</v>
      </c>
      <c r="G489" s="165" t="s">
        <v>1671</v>
      </c>
      <c r="H489" s="165" t="s">
        <v>969</v>
      </c>
      <c r="I489" s="165">
        <v>44491</v>
      </c>
      <c r="J489">
        <v>44491</v>
      </c>
      <c r="K489" s="165" t="s">
        <v>1671</v>
      </c>
      <c r="L489">
        <v>40</v>
      </c>
      <c r="M489">
        <v>44501</v>
      </c>
      <c r="O489"/>
      <c r="P489"/>
      <c r="Q489"/>
      <c r="R489" s="165">
        <v>40</v>
      </c>
      <c r="S489" s="165"/>
      <c r="T489" t="s">
        <v>1267</v>
      </c>
      <c r="U489" s="165" t="s">
        <v>1267</v>
      </c>
      <c r="V489" s="165" t="s">
        <v>1267</v>
      </c>
      <c r="W489"/>
      <c r="X489"/>
      <c r="AB489"/>
      <c r="AC489"/>
      <c r="AD489"/>
      <c r="AE489"/>
      <c r="AF489"/>
      <c r="AG489"/>
      <c r="AH489"/>
    </row>
    <row r="490" spans="1:34" x14ac:dyDescent="0.25">
      <c r="A490" s="78">
        <v>20210761</v>
      </c>
      <c r="B490" s="165" t="s">
        <v>97</v>
      </c>
      <c r="C490" s="165" t="s">
        <v>1288</v>
      </c>
      <c r="D490" s="165">
        <v>1</v>
      </c>
      <c r="E490" s="165" t="s">
        <v>1250</v>
      </c>
      <c r="F490" s="165" t="s">
        <v>1290</v>
      </c>
      <c r="G490" s="165" t="s">
        <v>1671</v>
      </c>
      <c r="H490" s="165" t="s">
        <v>969</v>
      </c>
      <c r="I490" s="165">
        <v>44490</v>
      </c>
      <c r="J490">
        <v>44490</v>
      </c>
      <c r="K490" s="165" t="s">
        <v>1671</v>
      </c>
      <c r="L490">
        <v>1834.5</v>
      </c>
      <c r="M490">
        <v>44518</v>
      </c>
      <c r="O490"/>
      <c r="P490"/>
      <c r="Q490"/>
      <c r="R490" s="165">
        <v>1834.5</v>
      </c>
      <c r="S490" s="165"/>
      <c r="T490" t="s">
        <v>1267</v>
      </c>
      <c r="U490" s="165" t="s">
        <v>1267</v>
      </c>
      <c r="V490" s="165" t="s">
        <v>1267</v>
      </c>
      <c r="W490"/>
      <c r="X490"/>
      <c r="AB490"/>
      <c r="AC490"/>
      <c r="AD490"/>
      <c r="AE490"/>
      <c r="AF490"/>
      <c r="AG490"/>
      <c r="AH490"/>
    </row>
    <row r="491" spans="1:34" x14ac:dyDescent="0.25">
      <c r="A491" s="78">
        <v>20210761</v>
      </c>
      <c r="B491" s="165" t="s">
        <v>1261</v>
      </c>
      <c r="C491" s="165" t="s">
        <v>1262</v>
      </c>
      <c r="D491" s="165">
        <v>2</v>
      </c>
      <c r="E491" s="165" t="s">
        <v>1250</v>
      </c>
      <c r="F491" s="165" t="s">
        <v>1599</v>
      </c>
      <c r="G491" s="165" t="s">
        <v>1671</v>
      </c>
      <c r="H491" s="165" t="s">
        <v>969</v>
      </c>
      <c r="I491" s="165">
        <v>44490</v>
      </c>
      <c r="J491">
        <v>44490</v>
      </c>
      <c r="K491" s="165" t="s">
        <v>1671</v>
      </c>
      <c r="L491">
        <v>529</v>
      </c>
      <c r="M491">
        <v>44518</v>
      </c>
      <c r="O491"/>
      <c r="P491"/>
      <c r="Q491"/>
      <c r="R491" s="165">
        <v>1585</v>
      </c>
      <c r="S491" s="165"/>
      <c r="T491" t="s">
        <v>1267</v>
      </c>
      <c r="U491" s="165" t="s">
        <v>1267</v>
      </c>
      <c r="V491" s="165" t="s">
        <v>1267</v>
      </c>
      <c r="W491"/>
      <c r="X491"/>
      <c r="AB491"/>
      <c r="AC491"/>
      <c r="AD491"/>
      <c r="AE491"/>
      <c r="AF491"/>
      <c r="AG491"/>
      <c r="AH491"/>
    </row>
    <row r="492" spans="1:34" x14ac:dyDescent="0.25">
      <c r="A492" s="78">
        <v>20210761</v>
      </c>
      <c r="B492" s="165" t="s">
        <v>97</v>
      </c>
      <c r="C492" s="165" t="s">
        <v>1264</v>
      </c>
      <c r="D492" s="165">
        <v>2</v>
      </c>
      <c r="E492" s="165" t="s">
        <v>1250</v>
      </c>
      <c r="F492" s="165" t="s">
        <v>1600</v>
      </c>
      <c r="G492" s="165" t="s">
        <v>1671</v>
      </c>
      <c r="H492" s="165" t="s">
        <v>969</v>
      </c>
      <c r="I492" s="165">
        <v>44496</v>
      </c>
      <c r="J492">
        <v>44496</v>
      </c>
      <c r="K492" s="165" t="s">
        <v>1671</v>
      </c>
      <c r="L492">
        <v>125</v>
      </c>
      <c r="M492">
        <v>44524</v>
      </c>
      <c r="O492"/>
      <c r="P492"/>
      <c r="Q492"/>
      <c r="R492" s="165">
        <v>250</v>
      </c>
      <c r="S492" s="165"/>
      <c r="T492" t="s">
        <v>1267</v>
      </c>
      <c r="U492" s="165" t="s">
        <v>1267</v>
      </c>
      <c r="V492" s="165" t="s">
        <v>1267</v>
      </c>
      <c r="W492"/>
      <c r="X492"/>
      <c r="AB492"/>
      <c r="AC492"/>
      <c r="AD492"/>
      <c r="AE492"/>
      <c r="AF492"/>
      <c r="AG492"/>
      <c r="AH492"/>
    </row>
    <row r="493" spans="1:34" x14ac:dyDescent="0.25">
      <c r="A493" s="78">
        <v>20210681</v>
      </c>
      <c r="B493" s="165" t="s">
        <v>1256</v>
      </c>
      <c r="C493" s="165" t="s">
        <v>1257</v>
      </c>
      <c r="D493" s="165">
        <v>11</v>
      </c>
      <c r="E493" s="165" t="s">
        <v>1250</v>
      </c>
      <c r="F493" s="165" t="s">
        <v>1601</v>
      </c>
      <c r="G493" s="165" t="s">
        <v>1671</v>
      </c>
      <c r="H493" s="165" t="s">
        <v>937</v>
      </c>
      <c r="I493" s="165">
        <v>44512</v>
      </c>
      <c r="J493">
        <v>44512</v>
      </c>
      <c r="K493" s="165" t="s">
        <v>1671</v>
      </c>
      <c r="L493">
        <v>3760</v>
      </c>
      <c r="M493">
        <v>44517</v>
      </c>
      <c r="N493">
        <v>3760</v>
      </c>
      <c r="O493">
        <v>44525</v>
      </c>
      <c r="P493">
        <v>3760</v>
      </c>
      <c r="Q493">
        <v>44536</v>
      </c>
      <c r="R493" s="165">
        <v>11280</v>
      </c>
      <c r="S493" s="165"/>
      <c r="T493" t="s">
        <v>1267</v>
      </c>
      <c r="U493" s="165" t="s">
        <v>1267</v>
      </c>
      <c r="V493" s="165" t="s">
        <v>1267</v>
      </c>
      <c r="W493"/>
      <c r="X493"/>
      <c r="AB493"/>
      <c r="AC493"/>
      <c r="AD493"/>
      <c r="AE493"/>
      <c r="AF493"/>
      <c r="AG493"/>
      <c r="AH493"/>
    </row>
    <row r="494" spans="1:34" x14ac:dyDescent="0.25">
      <c r="A494" s="78">
        <v>20210759</v>
      </c>
      <c r="B494" s="165" t="s">
        <v>97</v>
      </c>
      <c r="C494" s="165" t="s">
        <v>1283</v>
      </c>
      <c r="D494" s="165">
        <v>1</v>
      </c>
      <c r="E494" s="165" t="s">
        <v>1250</v>
      </c>
      <c r="F494" s="165" t="s">
        <v>1602</v>
      </c>
      <c r="G494" s="165" t="s">
        <v>1671</v>
      </c>
      <c r="H494" s="165" t="s">
        <v>1209</v>
      </c>
      <c r="I494" s="165">
        <v>44497</v>
      </c>
      <c r="J494">
        <v>44497</v>
      </c>
      <c r="K494" s="165" t="s">
        <v>1671</v>
      </c>
      <c r="L494">
        <v>964.25</v>
      </c>
      <c r="M494">
        <v>44527</v>
      </c>
      <c r="N494">
        <v>964.25</v>
      </c>
      <c r="O494">
        <v>44543</v>
      </c>
      <c r="P494"/>
      <c r="Q494"/>
      <c r="R494" s="165">
        <v>1928.5</v>
      </c>
      <c r="S494" s="165"/>
      <c r="T494" t="s">
        <v>1267</v>
      </c>
      <c r="U494" s="165" t="s">
        <v>1267</v>
      </c>
      <c r="V494" s="165" t="s">
        <v>1267</v>
      </c>
      <c r="W494"/>
      <c r="X494"/>
      <c r="AB494"/>
      <c r="AC494"/>
      <c r="AD494"/>
      <c r="AE494"/>
      <c r="AF494"/>
      <c r="AG494"/>
      <c r="AH494"/>
    </row>
    <row r="495" spans="1:34" x14ac:dyDescent="0.25">
      <c r="A495" s="78">
        <v>20210759</v>
      </c>
      <c r="B495" s="165" t="s">
        <v>1292</v>
      </c>
      <c r="C495" s="165" t="s">
        <v>1293</v>
      </c>
      <c r="D495" s="165">
        <v>1</v>
      </c>
      <c r="E495" s="165" t="s">
        <v>1250</v>
      </c>
      <c r="F495" s="165" t="s">
        <v>1603</v>
      </c>
      <c r="G495" s="165" t="s">
        <v>1671</v>
      </c>
      <c r="H495" s="165" t="s">
        <v>1209</v>
      </c>
      <c r="I495" s="165">
        <v>44519</v>
      </c>
      <c r="J495">
        <v>44519</v>
      </c>
      <c r="K495" s="165" t="s">
        <v>1671</v>
      </c>
      <c r="L495">
        <v>3209</v>
      </c>
      <c r="M495">
        <v>44519</v>
      </c>
      <c r="O495"/>
      <c r="P495"/>
      <c r="Q495"/>
      <c r="R495" s="165">
        <v>3209</v>
      </c>
      <c r="S495" s="165"/>
      <c r="T495" t="s">
        <v>1267</v>
      </c>
      <c r="U495" s="165" t="s">
        <v>1267</v>
      </c>
      <c r="V495" s="165" t="s">
        <v>1267</v>
      </c>
      <c r="W495"/>
      <c r="X495"/>
      <c r="AB495"/>
      <c r="AC495"/>
      <c r="AD495"/>
      <c r="AE495"/>
      <c r="AF495"/>
      <c r="AG495"/>
      <c r="AH495"/>
    </row>
    <row r="496" spans="1:34" x14ac:dyDescent="0.25">
      <c r="A496" s="78">
        <v>20210759</v>
      </c>
      <c r="B496" s="165" t="s">
        <v>97</v>
      </c>
      <c r="C496" s="165" t="s">
        <v>1283</v>
      </c>
      <c r="D496" s="165">
        <v>1</v>
      </c>
      <c r="E496" s="165" t="s">
        <v>1250</v>
      </c>
      <c r="F496" s="165" t="s">
        <v>1587</v>
      </c>
      <c r="G496" s="165" t="s">
        <v>1671</v>
      </c>
      <c r="H496" s="165" t="s">
        <v>1209</v>
      </c>
      <c r="I496" s="165">
        <v>44526</v>
      </c>
      <c r="J496">
        <v>44526</v>
      </c>
      <c r="K496" s="165" t="s">
        <v>1671</v>
      </c>
      <c r="L496">
        <v>1382.87</v>
      </c>
      <c r="M496">
        <v>44529</v>
      </c>
      <c r="O496"/>
      <c r="P496"/>
      <c r="Q496"/>
      <c r="R496" s="165">
        <v>1382.87</v>
      </c>
      <c r="S496" s="165"/>
      <c r="T496" t="s">
        <v>1267</v>
      </c>
      <c r="U496" s="165" t="s">
        <v>1267</v>
      </c>
      <c r="V496" s="165" t="s">
        <v>1267</v>
      </c>
      <c r="W496"/>
      <c r="X496"/>
      <c r="AB496"/>
      <c r="AC496"/>
      <c r="AD496"/>
      <c r="AE496"/>
      <c r="AF496"/>
      <c r="AG496"/>
      <c r="AH496"/>
    </row>
    <row r="497" spans="1:34" x14ac:dyDescent="0.25">
      <c r="A497" s="78">
        <v>20210759</v>
      </c>
      <c r="B497" s="165" t="s">
        <v>97</v>
      </c>
      <c r="C497" s="165" t="s">
        <v>1283</v>
      </c>
      <c r="D497" s="165">
        <v>1</v>
      </c>
      <c r="E497" s="165" t="s">
        <v>1250</v>
      </c>
      <c r="F497" s="165" t="s">
        <v>1604</v>
      </c>
      <c r="G497" s="165" t="s">
        <v>1671</v>
      </c>
      <c r="H497" s="165" t="s">
        <v>1209</v>
      </c>
      <c r="I497" s="165">
        <v>44517</v>
      </c>
      <c r="J497">
        <v>44517</v>
      </c>
      <c r="K497" s="165" t="s">
        <v>1671</v>
      </c>
      <c r="L497">
        <v>2086.25</v>
      </c>
      <c r="M497">
        <v>44518</v>
      </c>
      <c r="O497"/>
      <c r="P497"/>
      <c r="Q497"/>
      <c r="R497" s="165">
        <v>2086.25</v>
      </c>
      <c r="S497" s="165"/>
      <c r="T497" t="s">
        <v>1267</v>
      </c>
      <c r="U497" s="165" t="s">
        <v>1267</v>
      </c>
      <c r="V497" s="165" t="s">
        <v>1267</v>
      </c>
      <c r="W497"/>
      <c r="X497"/>
      <c r="AB497"/>
      <c r="AC497"/>
      <c r="AD497"/>
      <c r="AE497"/>
      <c r="AF497"/>
      <c r="AG497"/>
      <c r="AH497"/>
    </row>
    <row r="498" spans="1:34" x14ac:dyDescent="0.25">
      <c r="A498" s="78">
        <v>20210759</v>
      </c>
      <c r="B498" s="165" t="s">
        <v>97</v>
      </c>
      <c r="C498" s="165" t="s">
        <v>1283</v>
      </c>
      <c r="D498" s="165">
        <v>1</v>
      </c>
      <c r="E498" s="165" t="s">
        <v>1250</v>
      </c>
      <c r="F498" s="165" t="s">
        <v>1481</v>
      </c>
      <c r="G498" s="165" t="s">
        <v>1671</v>
      </c>
      <c r="H498" s="165" t="s">
        <v>1209</v>
      </c>
      <c r="I498" s="165">
        <v>44482</v>
      </c>
      <c r="J498">
        <v>44482</v>
      </c>
      <c r="K498" s="165" t="s">
        <v>1671</v>
      </c>
      <c r="L498">
        <v>734.33</v>
      </c>
      <c r="M498">
        <v>44517</v>
      </c>
      <c r="N498">
        <v>734.33</v>
      </c>
      <c r="O498">
        <v>44532</v>
      </c>
      <c r="P498">
        <v>734.34</v>
      </c>
      <c r="Q498">
        <v>44547</v>
      </c>
      <c r="R498" s="165">
        <v>2203</v>
      </c>
      <c r="S498" s="165"/>
      <c r="T498" t="s">
        <v>1267</v>
      </c>
      <c r="U498" s="165" t="s">
        <v>1267</v>
      </c>
      <c r="V498" s="165" t="s">
        <v>1267</v>
      </c>
      <c r="W498"/>
      <c r="X498"/>
      <c r="AB498"/>
      <c r="AC498"/>
      <c r="AD498"/>
      <c r="AE498"/>
      <c r="AF498"/>
      <c r="AG498"/>
      <c r="AH498"/>
    </row>
    <row r="499" spans="1:34" x14ac:dyDescent="0.25">
      <c r="A499" s="78">
        <v>20210791</v>
      </c>
      <c r="B499" s="165" t="s">
        <v>1292</v>
      </c>
      <c r="C499" s="165" t="s">
        <v>1293</v>
      </c>
      <c r="D499" s="165">
        <v>1</v>
      </c>
      <c r="E499" s="165" t="s">
        <v>1250</v>
      </c>
      <c r="F499" s="165" t="s">
        <v>1585</v>
      </c>
      <c r="G499" s="165" t="s">
        <v>1671</v>
      </c>
      <c r="H499" s="165" t="s">
        <v>969</v>
      </c>
      <c r="I499" s="165">
        <v>44519</v>
      </c>
      <c r="J499">
        <v>44519</v>
      </c>
      <c r="K499" s="165" t="s">
        <v>1671</v>
      </c>
      <c r="L499">
        <v>183.2</v>
      </c>
      <c r="M499">
        <v>44519</v>
      </c>
      <c r="O499"/>
      <c r="P499"/>
      <c r="Q499"/>
      <c r="R499" s="165">
        <v>183.2</v>
      </c>
      <c r="S499" s="165"/>
      <c r="T499" t="s">
        <v>1267</v>
      </c>
      <c r="U499" s="165" t="s">
        <v>1267</v>
      </c>
      <c r="V499" s="165" t="s">
        <v>1267</v>
      </c>
      <c r="W499"/>
      <c r="X499"/>
      <c r="AB499"/>
      <c r="AC499"/>
      <c r="AD499"/>
      <c r="AE499"/>
      <c r="AF499"/>
      <c r="AG499"/>
      <c r="AH499"/>
    </row>
    <row r="500" spans="1:34" x14ac:dyDescent="0.25">
      <c r="A500" s="78">
        <v>20210752</v>
      </c>
      <c r="B500" s="165" t="s">
        <v>1311</v>
      </c>
      <c r="C500" s="165" t="s">
        <v>1312</v>
      </c>
      <c r="D500" s="165">
        <v>1</v>
      </c>
      <c r="E500" s="165" t="s">
        <v>1250</v>
      </c>
      <c r="F500" s="165" t="s">
        <v>1605</v>
      </c>
      <c r="G500" s="165" t="s">
        <v>1671</v>
      </c>
      <c r="H500" s="165" t="s">
        <v>1043</v>
      </c>
      <c r="I500" s="165">
        <v>44505</v>
      </c>
      <c r="J500">
        <v>44505</v>
      </c>
      <c r="K500" s="165" t="s">
        <v>1671</v>
      </c>
      <c r="L500">
        <v>3580</v>
      </c>
      <c r="M500">
        <v>44512</v>
      </c>
      <c r="O500"/>
      <c r="P500"/>
      <c r="Q500"/>
      <c r="R500" s="165">
        <v>3580</v>
      </c>
      <c r="S500" s="165"/>
      <c r="T500" t="s">
        <v>1267</v>
      </c>
      <c r="U500" s="165" t="s">
        <v>1267</v>
      </c>
      <c r="V500" s="165" t="s">
        <v>1267</v>
      </c>
      <c r="W500"/>
      <c r="X500"/>
      <c r="AB500"/>
      <c r="AC500"/>
      <c r="AD500"/>
      <c r="AE500"/>
      <c r="AF500"/>
      <c r="AG500"/>
      <c r="AH500"/>
    </row>
    <row r="501" spans="1:34" x14ac:dyDescent="0.25">
      <c r="A501" s="78">
        <v>20210735</v>
      </c>
      <c r="B501" s="165" t="s">
        <v>1292</v>
      </c>
      <c r="C501" s="165" t="s">
        <v>1293</v>
      </c>
      <c r="D501" s="165">
        <v>1</v>
      </c>
      <c r="E501" s="165" t="s">
        <v>1250</v>
      </c>
      <c r="F501" s="165" t="s">
        <v>1606</v>
      </c>
      <c r="G501" s="165" t="s">
        <v>1671</v>
      </c>
      <c r="H501" s="165" t="s">
        <v>1203</v>
      </c>
      <c r="I501" s="165">
        <v>44491</v>
      </c>
      <c r="J501">
        <v>44491</v>
      </c>
      <c r="K501" s="165" t="s">
        <v>1671</v>
      </c>
      <c r="L501">
        <v>400</v>
      </c>
      <c r="M501">
        <v>44501</v>
      </c>
      <c r="O501"/>
      <c r="P501"/>
      <c r="Q501"/>
      <c r="R501" s="165">
        <v>400</v>
      </c>
      <c r="S501" s="165"/>
      <c r="T501" t="s">
        <v>1267</v>
      </c>
      <c r="U501" s="165" t="s">
        <v>1267</v>
      </c>
      <c r="V501" s="165" t="s">
        <v>1267</v>
      </c>
      <c r="W501"/>
      <c r="X501"/>
      <c r="AB501"/>
      <c r="AC501"/>
      <c r="AD501"/>
      <c r="AE501"/>
      <c r="AF501"/>
      <c r="AG501"/>
      <c r="AH501"/>
    </row>
    <row r="502" spans="1:34" x14ac:dyDescent="0.25">
      <c r="A502" s="78">
        <v>20210767</v>
      </c>
      <c r="B502" s="165" t="s">
        <v>1256</v>
      </c>
      <c r="C502" s="165" t="s">
        <v>1257</v>
      </c>
      <c r="D502" s="165">
        <v>3</v>
      </c>
      <c r="E502" s="165" t="s">
        <v>1250</v>
      </c>
      <c r="F502" s="165" t="s">
        <v>1564</v>
      </c>
      <c r="G502" s="165" t="s">
        <v>1671</v>
      </c>
      <c r="H502" s="165" t="s">
        <v>1244</v>
      </c>
      <c r="I502" s="165">
        <v>44513</v>
      </c>
      <c r="J502">
        <v>44513</v>
      </c>
      <c r="K502" s="165" t="s">
        <v>1671</v>
      </c>
      <c r="L502">
        <v>2726.3332999999998</v>
      </c>
      <c r="M502">
        <v>44519</v>
      </c>
      <c r="O502"/>
      <c r="P502"/>
      <c r="Q502"/>
      <c r="R502" s="165">
        <v>8178.999899999998</v>
      </c>
      <c r="S502" s="165"/>
      <c r="T502" t="s">
        <v>1267</v>
      </c>
      <c r="U502" s="165" t="s">
        <v>1267</v>
      </c>
      <c r="V502" s="165" t="s">
        <v>1267</v>
      </c>
      <c r="W502"/>
      <c r="X502"/>
      <c r="AB502"/>
      <c r="AC502"/>
      <c r="AD502"/>
      <c r="AE502"/>
      <c r="AF502"/>
      <c r="AG502"/>
      <c r="AH502"/>
    </row>
    <row r="503" spans="1:34" x14ac:dyDescent="0.25">
      <c r="A503" s="78">
        <v>20210765</v>
      </c>
      <c r="B503" s="165" t="s">
        <v>97</v>
      </c>
      <c r="C503" s="165" t="s">
        <v>1288</v>
      </c>
      <c r="D503" s="165">
        <v>1</v>
      </c>
      <c r="E503" s="165" t="s">
        <v>1250</v>
      </c>
      <c r="F503" s="165" t="s">
        <v>1290</v>
      </c>
      <c r="G503" s="165" t="s">
        <v>1671</v>
      </c>
      <c r="H503" s="165" t="s">
        <v>922</v>
      </c>
      <c r="I503" s="165">
        <v>44496</v>
      </c>
      <c r="J503">
        <v>44496</v>
      </c>
      <c r="K503" s="165" t="s">
        <v>1671</v>
      </c>
      <c r="L503">
        <v>2610.5</v>
      </c>
      <c r="M503">
        <v>44524</v>
      </c>
      <c r="O503"/>
      <c r="P503"/>
      <c r="Q503"/>
      <c r="R503" s="165">
        <v>2610.5</v>
      </c>
      <c r="S503" s="165"/>
      <c r="T503" t="s">
        <v>1267</v>
      </c>
      <c r="U503" s="165" t="s">
        <v>1267</v>
      </c>
      <c r="V503" s="165" t="s">
        <v>1267</v>
      </c>
      <c r="W503"/>
      <c r="X503"/>
      <c r="AB503"/>
      <c r="AC503"/>
      <c r="AD503"/>
      <c r="AE503"/>
      <c r="AF503"/>
      <c r="AG503"/>
      <c r="AH503"/>
    </row>
    <row r="504" spans="1:34" x14ac:dyDescent="0.25">
      <c r="A504" s="78">
        <v>20210734</v>
      </c>
      <c r="B504" s="165" t="s">
        <v>97</v>
      </c>
      <c r="C504" s="165" t="s">
        <v>1305</v>
      </c>
      <c r="D504" s="165">
        <v>1</v>
      </c>
      <c r="E504" s="165" t="s">
        <v>1250</v>
      </c>
      <c r="F504" s="165" t="s">
        <v>1607</v>
      </c>
      <c r="G504" s="165" t="s">
        <v>1671</v>
      </c>
      <c r="H504" s="165" t="s">
        <v>922</v>
      </c>
      <c r="I504" s="165">
        <v>44501</v>
      </c>
      <c r="J504">
        <v>44501</v>
      </c>
      <c r="K504" s="165" t="s">
        <v>1671</v>
      </c>
      <c r="L504">
        <v>3144.29</v>
      </c>
      <c r="M504">
        <v>44503</v>
      </c>
      <c r="N504">
        <v>3144.29</v>
      </c>
      <c r="O504">
        <v>44531</v>
      </c>
      <c r="P504">
        <v>3144.29</v>
      </c>
      <c r="Q504">
        <v>44559</v>
      </c>
      <c r="R504" s="165">
        <v>9432.8700000000008</v>
      </c>
      <c r="S504" s="165"/>
      <c r="T504" t="s">
        <v>1267</v>
      </c>
      <c r="U504" s="165" t="s">
        <v>1267</v>
      </c>
      <c r="V504" s="165" t="s">
        <v>1267</v>
      </c>
      <c r="W504"/>
      <c r="X504"/>
      <c r="AB504"/>
      <c r="AC504"/>
      <c r="AD504"/>
      <c r="AE504"/>
      <c r="AF504"/>
      <c r="AG504"/>
      <c r="AH504"/>
    </row>
    <row r="505" spans="1:34" x14ac:dyDescent="0.25">
      <c r="A505" s="78">
        <v>20210767</v>
      </c>
      <c r="B505" s="165" t="s">
        <v>97</v>
      </c>
      <c r="C505" s="165" t="s">
        <v>1274</v>
      </c>
      <c r="D505" s="165">
        <v>1</v>
      </c>
      <c r="E505" s="165" t="s">
        <v>1250</v>
      </c>
      <c r="F505" s="165" t="s">
        <v>1608</v>
      </c>
      <c r="G505" s="165" t="s">
        <v>1671</v>
      </c>
      <c r="H505" s="165" t="s">
        <v>1244</v>
      </c>
      <c r="I505" s="165">
        <v>44511</v>
      </c>
      <c r="J505">
        <v>44511</v>
      </c>
      <c r="K505" s="165" t="s">
        <v>1671</v>
      </c>
      <c r="L505">
        <v>777.51</v>
      </c>
      <c r="M505">
        <v>44517</v>
      </c>
      <c r="O505"/>
      <c r="P505"/>
      <c r="Q505"/>
      <c r="R505" s="165">
        <v>777.51</v>
      </c>
      <c r="S505" s="165"/>
      <c r="T505" t="s">
        <v>1267</v>
      </c>
      <c r="U505" s="165" t="s">
        <v>1267</v>
      </c>
      <c r="V505" s="165" t="s">
        <v>1267</v>
      </c>
      <c r="W505"/>
      <c r="X505"/>
      <c r="AB505"/>
      <c r="AC505"/>
      <c r="AD505"/>
      <c r="AE505"/>
      <c r="AF505"/>
      <c r="AG505"/>
      <c r="AH505"/>
    </row>
    <row r="506" spans="1:34" x14ac:dyDescent="0.25">
      <c r="A506" s="78">
        <v>20210767</v>
      </c>
      <c r="B506" s="165" t="s">
        <v>1256</v>
      </c>
      <c r="C506" s="165" t="s">
        <v>1257</v>
      </c>
      <c r="D506" s="165">
        <v>6</v>
      </c>
      <c r="E506" s="165" t="s">
        <v>1250</v>
      </c>
      <c r="F506" s="165" t="s">
        <v>1564</v>
      </c>
      <c r="G506" s="165" t="s">
        <v>1671</v>
      </c>
      <c r="H506" s="165" t="s">
        <v>1244</v>
      </c>
      <c r="I506" s="165">
        <v>44508</v>
      </c>
      <c r="J506">
        <v>44508</v>
      </c>
      <c r="K506" s="165" t="s">
        <v>1671</v>
      </c>
      <c r="L506">
        <v>5677.6</v>
      </c>
      <c r="M506">
        <v>44529</v>
      </c>
      <c r="N506">
        <v>5677.6</v>
      </c>
      <c r="O506">
        <v>44557</v>
      </c>
      <c r="P506">
        <v>5677.61</v>
      </c>
      <c r="Q506">
        <v>44587</v>
      </c>
      <c r="R506" s="165">
        <v>17032.810000000001</v>
      </c>
      <c r="S506" s="165"/>
      <c r="T506" t="s">
        <v>1267</v>
      </c>
      <c r="U506" s="165" t="s">
        <v>1267</v>
      </c>
      <c r="V506" s="165" t="s">
        <v>1266</v>
      </c>
      <c r="W506"/>
      <c r="X506"/>
      <c r="AB506"/>
      <c r="AC506"/>
      <c r="AD506"/>
      <c r="AE506"/>
      <c r="AF506"/>
      <c r="AG506"/>
      <c r="AH506"/>
    </row>
    <row r="507" spans="1:34" x14ac:dyDescent="0.25">
      <c r="A507" s="78">
        <v>20210767</v>
      </c>
      <c r="B507" s="165" t="s">
        <v>97</v>
      </c>
      <c r="C507" s="165" t="s">
        <v>1346</v>
      </c>
      <c r="D507" s="165">
        <v>1</v>
      </c>
      <c r="E507" s="165" t="s">
        <v>1250</v>
      </c>
      <c r="F507" s="165" t="s">
        <v>1609</v>
      </c>
      <c r="G507" s="165" t="s">
        <v>1671</v>
      </c>
      <c r="H507" s="165" t="s">
        <v>1244</v>
      </c>
      <c r="I507" s="165">
        <v>44512</v>
      </c>
      <c r="J507">
        <v>44512</v>
      </c>
      <c r="K507" s="165" t="s">
        <v>1671</v>
      </c>
      <c r="L507">
        <v>1194.6400000000001</v>
      </c>
      <c r="M507">
        <v>44526</v>
      </c>
      <c r="O507"/>
      <c r="P507"/>
      <c r="Q507"/>
      <c r="R507" s="165">
        <v>1194.6400000000001</v>
      </c>
      <c r="S507" s="165"/>
      <c r="T507" t="s">
        <v>1267</v>
      </c>
      <c r="U507" s="165" t="s">
        <v>1267</v>
      </c>
      <c r="V507" s="165" t="s">
        <v>1267</v>
      </c>
      <c r="W507"/>
      <c r="X507"/>
      <c r="AB507"/>
      <c r="AC507"/>
      <c r="AD507"/>
      <c r="AE507"/>
      <c r="AF507"/>
      <c r="AG507"/>
      <c r="AH507"/>
    </row>
    <row r="508" spans="1:34" x14ac:dyDescent="0.25">
      <c r="A508" s="78">
        <v>20210767</v>
      </c>
      <c r="B508" s="165" t="s">
        <v>97</v>
      </c>
      <c r="C508" s="165" t="s">
        <v>1279</v>
      </c>
      <c r="D508" s="165">
        <v>1</v>
      </c>
      <c r="E508" s="165" t="s">
        <v>1250</v>
      </c>
      <c r="F508" s="165" t="s">
        <v>1610</v>
      </c>
      <c r="G508" s="165" t="s">
        <v>1671</v>
      </c>
      <c r="H508" s="165" t="s">
        <v>1244</v>
      </c>
      <c r="I508" s="165">
        <v>44511</v>
      </c>
      <c r="J508">
        <v>44511</v>
      </c>
      <c r="K508" s="165" t="s">
        <v>1671</v>
      </c>
      <c r="L508">
        <v>727.43</v>
      </c>
      <c r="M508">
        <v>44517</v>
      </c>
      <c r="O508"/>
      <c r="P508"/>
      <c r="Q508"/>
      <c r="R508" s="165">
        <v>727.43</v>
      </c>
      <c r="S508" s="165"/>
      <c r="T508" t="s">
        <v>1267</v>
      </c>
      <c r="U508" s="165" t="s">
        <v>1267</v>
      </c>
      <c r="V508" s="165" t="s">
        <v>1267</v>
      </c>
      <c r="W508"/>
      <c r="X508"/>
      <c r="AB508"/>
      <c r="AC508"/>
      <c r="AD508"/>
      <c r="AE508"/>
      <c r="AF508"/>
      <c r="AG508"/>
      <c r="AH508"/>
    </row>
    <row r="509" spans="1:34" x14ac:dyDescent="0.25">
      <c r="A509" s="78">
        <v>20210767</v>
      </c>
      <c r="B509" s="165" t="s">
        <v>1256</v>
      </c>
      <c r="C509" s="165" t="s">
        <v>1257</v>
      </c>
      <c r="D509" s="165">
        <v>2</v>
      </c>
      <c r="E509" s="165" t="s">
        <v>1250</v>
      </c>
      <c r="F509" s="165" t="s">
        <v>1564</v>
      </c>
      <c r="G509" s="165" t="s">
        <v>1671</v>
      </c>
      <c r="H509" s="165" t="s">
        <v>1244</v>
      </c>
      <c r="I509" s="165">
        <v>44505</v>
      </c>
      <c r="J509">
        <v>44505</v>
      </c>
      <c r="K509" s="165" t="s">
        <v>1671</v>
      </c>
      <c r="L509">
        <v>2100</v>
      </c>
      <c r="M509">
        <v>44512</v>
      </c>
      <c r="N509">
        <v>2100</v>
      </c>
      <c r="O509">
        <v>44517</v>
      </c>
      <c r="P509"/>
      <c r="Q509"/>
      <c r="R509" s="165">
        <v>4200</v>
      </c>
      <c r="S509" s="165"/>
      <c r="T509" t="s">
        <v>1267</v>
      </c>
      <c r="U509" s="165" t="s">
        <v>1267</v>
      </c>
      <c r="V509" s="165" t="s">
        <v>1267</v>
      </c>
      <c r="W509"/>
      <c r="X509"/>
      <c r="AB509"/>
      <c r="AC509"/>
      <c r="AD509"/>
      <c r="AE509"/>
      <c r="AF509"/>
      <c r="AG509"/>
      <c r="AH509"/>
    </row>
    <row r="510" spans="1:34" x14ac:dyDescent="0.25">
      <c r="A510" s="78">
        <v>20210737</v>
      </c>
      <c r="B510" s="165" t="s">
        <v>1256</v>
      </c>
      <c r="C510" s="165" t="s">
        <v>1257</v>
      </c>
      <c r="D510" s="165">
        <v>1</v>
      </c>
      <c r="E510" s="165" t="s">
        <v>1250</v>
      </c>
      <c r="F510" s="165" t="s">
        <v>1564</v>
      </c>
      <c r="G510" s="165" t="s">
        <v>1671</v>
      </c>
      <c r="H510" s="165" t="s">
        <v>1244</v>
      </c>
      <c r="I510" s="165">
        <v>44505</v>
      </c>
      <c r="J510">
        <v>44505</v>
      </c>
      <c r="K510" s="165" t="s">
        <v>1671</v>
      </c>
      <c r="L510">
        <v>2700</v>
      </c>
      <c r="M510">
        <v>44505</v>
      </c>
      <c r="O510"/>
      <c r="P510"/>
      <c r="Q510"/>
      <c r="R510" s="165">
        <v>2700</v>
      </c>
      <c r="S510" s="165"/>
      <c r="T510" t="s">
        <v>1267</v>
      </c>
      <c r="U510" s="165" t="s">
        <v>1267</v>
      </c>
      <c r="V510" s="165" t="s">
        <v>1267</v>
      </c>
      <c r="W510"/>
      <c r="X510"/>
      <c r="AB510"/>
      <c r="AC510"/>
      <c r="AD510"/>
      <c r="AE510"/>
      <c r="AF510"/>
      <c r="AG510"/>
      <c r="AH510"/>
    </row>
    <row r="511" spans="1:34" x14ac:dyDescent="0.25">
      <c r="A511" s="78">
        <v>20210737</v>
      </c>
      <c r="B511" s="165" t="s">
        <v>97</v>
      </c>
      <c r="C511" s="165" t="s">
        <v>1274</v>
      </c>
      <c r="D511" s="165">
        <v>1</v>
      </c>
      <c r="E511" s="165" t="s">
        <v>1250</v>
      </c>
      <c r="F511" s="165" t="s">
        <v>1611</v>
      </c>
      <c r="G511" s="165" t="s">
        <v>1671</v>
      </c>
      <c r="H511" s="165" t="s">
        <v>1244</v>
      </c>
      <c r="I511" s="165">
        <v>44505</v>
      </c>
      <c r="J511">
        <v>44505</v>
      </c>
      <c r="K511" s="165" t="s">
        <v>1671</v>
      </c>
      <c r="L511">
        <v>473.8</v>
      </c>
      <c r="M511">
        <v>44505</v>
      </c>
      <c r="O511"/>
      <c r="P511"/>
      <c r="Q511"/>
      <c r="R511" s="165">
        <v>473.8</v>
      </c>
      <c r="S511" s="165"/>
      <c r="T511" t="s">
        <v>1267</v>
      </c>
      <c r="U511" s="165" t="s">
        <v>1267</v>
      </c>
      <c r="V511" s="165" t="s">
        <v>1267</v>
      </c>
      <c r="W511"/>
      <c r="X511"/>
      <c r="AB511"/>
      <c r="AC511"/>
      <c r="AD511"/>
      <c r="AE511"/>
      <c r="AF511"/>
      <c r="AG511"/>
      <c r="AH511"/>
    </row>
    <row r="512" spans="1:34" x14ac:dyDescent="0.25">
      <c r="A512" s="78" t="s">
        <v>1501</v>
      </c>
      <c r="B512" s="165" t="s">
        <v>1292</v>
      </c>
      <c r="C512" s="165" t="s">
        <v>1293</v>
      </c>
      <c r="D512" s="165">
        <v>1</v>
      </c>
      <c r="E512" s="165" t="s">
        <v>1250</v>
      </c>
      <c r="F512" s="165" t="s">
        <v>1612</v>
      </c>
      <c r="G512" s="165" t="s">
        <v>1671</v>
      </c>
      <c r="H512" s="165" t="s">
        <v>1270</v>
      </c>
      <c r="I512" s="165">
        <v>44518</v>
      </c>
      <c r="J512">
        <v>44518</v>
      </c>
      <c r="K512" s="165" t="s">
        <v>1671</v>
      </c>
      <c r="L512">
        <v>37.15</v>
      </c>
      <c r="M512">
        <v>44518</v>
      </c>
      <c r="O512"/>
      <c r="P512"/>
      <c r="Q512"/>
      <c r="R512" s="165">
        <v>37.15</v>
      </c>
      <c r="S512" s="165"/>
      <c r="T512" t="s">
        <v>1267</v>
      </c>
      <c r="U512" s="165" t="s">
        <v>1267</v>
      </c>
      <c r="V512" s="165" t="s">
        <v>1267</v>
      </c>
      <c r="W512"/>
      <c r="X512"/>
      <c r="AB512"/>
      <c r="AC512"/>
      <c r="AD512"/>
      <c r="AE512"/>
      <c r="AF512"/>
      <c r="AG512"/>
      <c r="AH512"/>
    </row>
    <row r="513" spans="1:34" x14ac:dyDescent="0.25">
      <c r="A513" s="78">
        <v>20210740</v>
      </c>
      <c r="B513" s="165" t="s">
        <v>1256</v>
      </c>
      <c r="C513" s="165" t="s">
        <v>1281</v>
      </c>
      <c r="D513" s="165">
        <v>1</v>
      </c>
      <c r="E513" s="165" t="s">
        <v>1250</v>
      </c>
      <c r="F513" s="165" t="s">
        <v>1613</v>
      </c>
      <c r="G513" s="165" t="s">
        <v>1671</v>
      </c>
      <c r="H513" s="165" t="s">
        <v>922</v>
      </c>
      <c r="I513" s="165">
        <v>44501</v>
      </c>
      <c r="J513">
        <v>44501</v>
      </c>
      <c r="K513" s="165" t="s">
        <v>1671</v>
      </c>
      <c r="L513">
        <v>6347</v>
      </c>
      <c r="M513">
        <v>44525</v>
      </c>
      <c r="N513">
        <v>6347</v>
      </c>
      <c r="O513">
        <v>44531</v>
      </c>
      <c r="P513"/>
      <c r="Q513"/>
      <c r="R513" s="165">
        <v>12694</v>
      </c>
      <c r="S513" s="165"/>
      <c r="T513" t="s">
        <v>1267</v>
      </c>
      <c r="U513" s="165" t="s">
        <v>1267</v>
      </c>
      <c r="V513" s="165" t="s">
        <v>1267</v>
      </c>
      <c r="W513"/>
      <c r="X513"/>
      <c r="AB513"/>
      <c r="AC513"/>
      <c r="AD513"/>
      <c r="AE513"/>
      <c r="AF513"/>
      <c r="AG513"/>
      <c r="AH513"/>
    </row>
    <row r="514" spans="1:34" x14ac:dyDescent="0.25">
      <c r="A514" s="78">
        <v>20210804</v>
      </c>
      <c r="B514" s="165" t="s">
        <v>1292</v>
      </c>
      <c r="C514" s="165" t="s">
        <v>1293</v>
      </c>
      <c r="D514" s="165">
        <v>1</v>
      </c>
      <c r="E514" s="165" t="s">
        <v>1250</v>
      </c>
      <c r="F514" s="165" t="s">
        <v>1614</v>
      </c>
      <c r="G514" s="165" t="s">
        <v>1671</v>
      </c>
      <c r="H514" s="165" t="s">
        <v>1031</v>
      </c>
      <c r="I514" s="165">
        <v>44529</v>
      </c>
      <c r="J514">
        <v>44529</v>
      </c>
      <c r="K514" s="165" t="s">
        <v>1671</v>
      </c>
      <c r="L514">
        <v>64.75</v>
      </c>
      <c r="M514">
        <v>44529</v>
      </c>
      <c r="O514"/>
      <c r="P514"/>
      <c r="Q514"/>
      <c r="R514" s="165">
        <v>64.75</v>
      </c>
      <c r="S514" s="165"/>
      <c r="T514" t="s">
        <v>1267</v>
      </c>
      <c r="U514" s="165" t="s">
        <v>1267</v>
      </c>
      <c r="V514" s="165" t="s">
        <v>1267</v>
      </c>
      <c r="W514"/>
      <c r="X514"/>
      <c r="AB514"/>
      <c r="AC514"/>
      <c r="AD514"/>
      <c r="AE514"/>
      <c r="AF514"/>
      <c r="AG514"/>
      <c r="AH514"/>
    </row>
    <row r="515" spans="1:34" x14ac:dyDescent="0.25">
      <c r="A515" s="78">
        <v>20210761</v>
      </c>
      <c r="B515" s="165" t="s">
        <v>1256</v>
      </c>
      <c r="C515" s="165" t="s">
        <v>1257</v>
      </c>
      <c r="D515" s="165">
        <v>10</v>
      </c>
      <c r="E515" s="165" t="s">
        <v>1250</v>
      </c>
      <c r="F515" s="165" t="s">
        <v>1615</v>
      </c>
      <c r="G515" s="165" t="s">
        <v>1671</v>
      </c>
      <c r="H515" s="165" t="s">
        <v>969</v>
      </c>
      <c r="I515" s="165">
        <v>44517</v>
      </c>
      <c r="J515">
        <v>44517</v>
      </c>
      <c r="K515" s="165" t="s">
        <v>1671</v>
      </c>
      <c r="L515">
        <v>7330</v>
      </c>
      <c r="M515">
        <v>44531</v>
      </c>
      <c r="N515">
        <v>7330</v>
      </c>
      <c r="O515">
        <v>44538</v>
      </c>
      <c r="P515"/>
      <c r="Q515"/>
      <c r="R515" s="165">
        <v>14660</v>
      </c>
      <c r="S515" s="165"/>
      <c r="T515" t="s">
        <v>1267</v>
      </c>
      <c r="U515" s="165" t="s">
        <v>1267</v>
      </c>
      <c r="V515" s="165" t="s">
        <v>1267</v>
      </c>
      <c r="W515"/>
      <c r="X515"/>
      <c r="AB515"/>
      <c r="AC515"/>
      <c r="AD515"/>
      <c r="AE515"/>
      <c r="AF515"/>
      <c r="AG515"/>
      <c r="AH515"/>
    </row>
    <row r="516" spans="1:34" x14ac:dyDescent="0.25">
      <c r="A516" s="78">
        <v>20210761</v>
      </c>
      <c r="B516" s="165" t="s">
        <v>1292</v>
      </c>
      <c r="C516" s="165" t="s">
        <v>1293</v>
      </c>
      <c r="D516" s="165">
        <v>1</v>
      </c>
      <c r="E516" s="165" t="s">
        <v>1250</v>
      </c>
      <c r="F516" s="165" t="s">
        <v>1616</v>
      </c>
      <c r="G516" s="165" t="s">
        <v>1671</v>
      </c>
      <c r="H516" s="165" t="s">
        <v>969</v>
      </c>
      <c r="I516" s="165">
        <v>44530</v>
      </c>
      <c r="J516">
        <v>44530</v>
      </c>
      <c r="K516" s="165" t="s">
        <v>1671</v>
      </c>
      <c r="L516">
        <v>2400</v>
      </c>
      <c r="M516">
        <v>44531</v>
      </c>
      <c r="N516">
        <v>2400</v>
      </c>
      <c r="O516">
        <v>44539</v>
      </c>
      <c r="P516"/>
      <c r="Q516"/>
      <c r="R516" s="165">
        <v>4800</v>
      </c>
      <c r="S516" s="165"/>
      <c r="T516" t="s">
        <v>1267</v>
      </c>
      <c r="U516" s="165" t="s">
        <v>1267</v>
      </c>
      <c r="V516" s="165" t="s">
        <v>1267</v>
      </c>
      <c r="W516"/>
      <c r="X516"/>
      <c r="AB516"/>
      <c r="AC516"/>
      <c r="AD516"/>
      <c r="AE516"/>
      <c r="AF516"/>
      <c r="AG516"/>
      <c r="AH516"/>
    </row>
    <row r="517" spans="1:34" x14ac:dyDescent="0.25">
      <c r="A517" s="78">
        <v>20210787</v>
      </c>
      <c r="B517" s="165" t="s">
        <v>1256</v>
      </c>
      <c r="C517" s="165" t="s">
        <v>1257</v>
      </c>
      <c r="D517" s="165">
        <v>3</v>
      </c>
      <c r="E517" s="165" t="s">
        <v>1250</v>
      </c>
      <c r="F517" s="165" t="s">
        <v>1564</v>
      </c>
      <c r="G517" s="165" t="s">
        <v>1671</v>
      </c>
      <c r="H517" s="165" t="s">
        <v>943</v>
      </c>
      <c r="I517" s="165">
        <v>44510</v>
      </c>
      <c r="J517">
        <v>44510</v>
      </c>
      <c r="K517" s="165" t="s">
        <v>1671</v>
      </c>
      <c r="L517">
        <v>2200</v>
      </c>
      <c r="M517">
        <v>44540</v>
      </c>
      <c r="N517">
        <v>2200</v>
      </c>
      <c r="O517">
        <v>44573</v>
      </c>
      <c r="P517">
        <v>2200</v>
      </c>
      <c r="Q517">
        <v>44603</v>
      </c>
      <c r="R517" s="165">
        <v>6600</v>
      </c>
      <c r="S517" s="165"/>
      <c r="T517" t="s">
        <v>1267</v>
      </c>
      <c r="U517" s="165" t="s">
        <v>1266</v>
      </c>
      <c r="V517" s="165" t="s">
        <v>1260</v>
      </c>
      <c r="W517"/>
      <c r="X517"/>
      <c r="AB517"/>
      <c r="AC517"/>
      <c r="AD517"/>
      <c r="AE517"/>
      <c r="AF517"/>
      <c r="AG517"/>
      <c r="AH517"/>
    </row>
    <row r="518" spans="1:34" x14ac:dyDescent="0.25">
      <c r="A518" s="78">
        <v>20210815</v>
      </c>
      <c r="B518" s="165" t="s">
        <v>1292</v>
      </c>
      <c r="C518" s="165" t="s">
        <v>1293</v>
      </c>
      <c r="D518" s="165">
        <v>1</v>
      </c>
      <c r="E518" s="165" t="s">
        <v>1250</v>
      </c>
      <c r="F518" s="165" t="s">
        <v>1617</v>
      </c>
      <c r="G518" s="165" t="s">
        <v>1671</v>
      </c>
      <c r="H518" s="165" t="s">
        <v>969</v>
      </c>
      <c r="I518" s="165">
        <v>44536</v>
      </c>
      <c r="J518">
        <v>44536</v>
      </c>
      <c r="K518" s="165" t="s">
        <v>1671</v>
      </c>
      <c r="L518">
        <v>85.95</v>
      </c>
      <c r="M518">
        <v>44536</v>
      </c>
      <c r="O518"/>
      <c r="P518"/>
      <c r="Q518"/>
      <c r="R518" s="165">
        <v>85.95</v>
      </c>
      <c r="S518" s="165"/>
      <c r="T518" t="s">
        <v>1267</v>
      </c>
      <c r="U518" s="165" t="s">
        <v>1267</v>
      </c>
      <c r="V518" s="165" t="s">
        <v>1267</v>
      </c>
      <c r="W518"/>
      <c r="X518"/>
      <c r="AB518"/>
      <c r="AC518"/>
      <c r="AD518"/>
      <c r="AE518"/>
      <c r="AF518"/>
      <c r="AG518"/>
      <c r="AH518"/>
    </row>
    <row r="519" spans="1:34" x14ac:dyDescent="0.25">
      <c r="A519" s="78">
        <v>20210740</v>
      </c>
      <c r="B519" s="165" t="s">
        <v>1292</v>
      </c>
      <c r="C519" s="165" t="s">
        <v>1293</v>
      </c>
      <c r="D519" s="165">
        <v>1</v>
      </c>
      <c r="E519" s="165" t="s">
        <v>1250</v>
      </c>
      <c r="F519" s="165" t="s">
        <v>1618</v>
      </c>
      <c r="G519" s="165" t="s">
        <v>1671</v>
      </c>
      <c r="H519" s="165" t="s">
        <v>922</v>
      </c>
      <c r="I519" s="165">
        <v>44526</v>
      </c>
      <c r="J519">
        <v>44526</v>
      </c>
      <c r="K519" s="165" t="s">
        <v>1671</v>
      </c>
      <c r="L519">
        <v>680</v>
      </c>
      <c r="M519">
        <v>44545</v>
      </c>
      <c r="O519"/>
      <c r="P519"/>
      <c r="Q519"/>
      <c r="R519" s="165">
        <v>680</v>
      </c>
      <c r="S519" s="165"/>
      <c r="T519" t="s">
        <v>1267</v>
      </c>
      <c r="U519" s="165" t="s">
        <v>1267</v>
      </c>
      <c r="V519" s="165" t="s">
        <v>1267</v>
      </c>
      <c r="W519"/>
      <c r="X519"/>
      <c r="AB519"/>
      <c r="AC519"/>
      <c r="AD519"/>
      <c r="AE519"/>
      <c r="AF519"/>
      <c r="AG519"/>
      <c r="AH519"/>
    </row>
    <row r="520" spans="1:34" x14ac:dyDescent="0.25">
      <c r="A520" s="78">
        <v>20210682</v>
      </c>
      <c r="B520" s="165" t="s">
        <v>1292</v>
      </c>
      <c r="C520" s="165" t="s">
        <v>1293</v>
      </c>
      <c r="D520" s="165">
        <v>1</v>
      </c>
      <c r="E520" s="165" t="s">
        <v>1250</v>
      </c>
      <c r="F520" s="165" t="s">
        <v>1619</v>
      </c>
      <c r="G520" s="165" t="s">
        <v>1671</v>
      </c>
      <c r="H520" s="165" t="s">
        <v>1093</v>
      </c>
      <c r="I520" s="165">
        <v>44526</v>
      </c>
      <c r="J520">
        <v>44526</v>
      </c>
      <c r="K520" s="165" t="s">
        <v>1671</v>
      </c>
      <c r="L520">
        <v>480</v>
      </c>
      <c r="M520">
        <v>44545</v>
      </c>
      <c r="O520"/>
      <c r="P520"/>
      <c r="Q520"/>
      <c r="R520" s="165">
        <v>480</v>
      </c>
      <c r="S520" s="165"/>
      <c r="T520" t="s">
        <v>1267</v>
      </c>
      <c r="U520" s="165" t="s">
        <v>1267</v>
      </c>
      <c r="V520" s="165" t="s">
        <v>1267</v>
      </c>
      <c r="W520"/>
      <c r="X520"/>
      <c r="AB520"/>
      <c r="AC520"/>
      <c r="AD520"/>
      <c r="AE520"/>
      <c r="AF520"/>
      <c r="AG520"/>
      <c r="AH520"/>
    </row>
    <row r="521" spans="1:34" x14ac:dyDescent="0.25">
      <c r="A521" s="78" t="s">
        <v>1501</v>
      </c>
      <c r="B521" s="165" t="s">
        <v>97</v>
      </c>
      <c r="C521" s="165" t="s">
        <v>1302</v>
      </c>
      <c r="D521" s="165">
        <v>1</v>
      </c>
      <c r="E521" s="165" t="s">
        <v>1250</v>
      </c>
      <c r="F521" s="165" t="s">
        <v>1620</v>
      </c>
      <c r="G521" s="165" t="s">
        <v>1671</v>
      </c>
      <c r="H521" s="165" t="s">
        <v>1270</v>
      </c>
      <c r="I521" s="165">
        <v>44512</v>
      </c>
      <c r="J521">
        <v>44512</v>
      </c>
      <c r="K521" s="165" t="s">
        <v>1671</v>
      </c>
      <c r="L521">
        <v>420</v>
      </c>
      <c r="M521">
        <v>44533</v>
      </c>
      <c r="O521"/>
      <c r="P521"/>
      <c r="Q521"/>
      <c r="R521" s="165">
        <v>420</v>
      </c>
      <c r="S521" s="165"/>
      <c r="T521" t="s">
        <v>1267</v>
      </c>
      <c r="U521" s="165" t="s">
        <v>1267</v>
      </c>
      <c r="V521" s="165" t="s">
        <v>1267</v>
      </c>
      <c r="W521"/>
      <c r="X521"/>
      <c r="AB521"/>
      <c r="AC521"/>
      <c r="AD521"/>
      <c r="AE521"/>
      <c r="AF521"/>
      <c r="AG521"/>
      <c r="AH521"/>
    </row>
    <row r="522" spans="1:34" x14ac:dyDescent="0.25">
      <c r="A522" s="78">
        <v>20210740</v>
      </c>
      <c r="B522" s="165" t="s">
        <v>1256</v>
      </c>
      <c r="C522" s="165" t="s">
        <v>1257</v>
      </c>
      <c r="D522" s="165">
        <v>5</v>
      </c>
      <c r="E522" s="165" t="s">
        <v>1250</v>
      </c>
      <c r="F522" s="165" t="s">
        <v>1621</v>
      </c>
      <c r="G522" s="165" t="s">
        <v>1671</v>
      </c>
      <c r="H522" s="165" t="s">
        <v>922</v>
      </c>
      <c r="I522" s="165">
        <v>44511</v>
      </c>
      <c r="J522">
        <v>44511</v>
      </c>
      <c r="K522" s="165" t="s">
        <v>1671</v>
      </c>
      <c r="L522">
        <v>1072.876</v>
      </c>
      <c r="M522">
        <v>44537</v>
      </c>
      <c r="O522"/>
      <c r="P522"/>
      <c r="Q522"/>
      <c r="R522" s="165">
        <v>5364.38</v>
      </c>
      <c r="S522" s="165"/>
      <c r="T522" t="s">
        <v>1267</v>
      </c>
      <c r="U522" s="165" t="s">
        <v>1267</v>
      </c>
      <c r="V522" s="165" t="s">
        <v>1267</v>
      </c>
      <c r="W522"/>
      <c r="X522"/>
      <c r="AB522"/>
      <c r="AC522"/>
      <c r="AD522"/>
      <c r="AE522"/>
      <c r="AF522"/>
      <c r="AG522"/>
      <c r="AH522"/>
    </row>
    <row r="523" spans="1:34" x14ac:dyDescent="0.25">
      <c r="A523" s="78">
        <v>20210816</v>
      </c>
      <c r="B523" s="165" t="s">
        <v>1292</v>
      </c>
      <c r="C523" s="165" t="s">
        <v>1293</v>
      </c>
      <c r="D523" s="165">
        <v>1</v>
      </c>
      <c r="E523" s="165" t="s">
        <v>1250</v>
      </c>
      <c r="F523" s="165" t="s">
        <v>1622</v>
      </c>
      <c r="G523" s="165" t="s">
        <v>1671</v>
      </c>
      <c r="H523" s="165" t="s">
        <v>1209</v>
      </c>
      <c r="I523" s="165">
        <v>44536</v>
      </c>
      <c r="J523">
        <v>44536</v>
      </c>
      <c r="K523" s="165" t="s">
        <v>1671</v>
      </c>
      <c r="L523">
        <v>262.10000000000002</v>
      </c>
      <c r="M523">
        <v>44536</v>
      </c>
      <c r="O523"/>
      <c r="P523"/>
      <c r="Q523"/>
      <c r="R523" s="165">
        <v>262.10000000000002</v>
      </c>
      <c r="S523" s="165"/>
      <c r="T523" t="s">
        <v>1267</v>
      </c>
      <c r="U523" s="165" t="s">
        <v>1267</v>
      </c>
      <c r="V523" s="165" t="s">
        <v>1267</v>
      </c>
      <c r="W523"/>
      <c r="X523"/>
      <c r="AB523"/>
      <c r="AC523"/>
      <c r="AD523"/>
      <c r="AE523"/>
      <c r="AF523"/>
      <c r="AG523"/>
      <c r="AH523"/>
    </row>
    <row r="524" spans="1:34" x14ac:dyDescent="0.25">
      <c r="A524" s="78">
        <v>20210798</v>
      </c>
      <c r="B524" s="165" t="s">
        <v>97</v>
      </c>
      <c r="C524" s="165" t="s">
        <v>1283</v>
      </c>
      <c r="D524" s="165">
        <v>1</v>
      </c>
      <c r="E524" s="165" t="s">
        <v>1250</v>
      </c>
      <c r="F524" s="165" t="s">
        <v>1604</v>
      </c>
      <c r="G524" s="165" t="s">
        <v>1671</v>
      </c>
      <c r="H524" s="165" t="s">
        <v>1043</v>
      </c>
      <c r="I524" s="165">
        <v>44533</v>
      </c>
      <c r="J524">
        <v>44533</v>
      </c>
      <c r="K524" s="165" t="s">
        <v>1671</v>
      </c>
      <c r="L524">
        <v>2354.12</v>
      </c>
      <c r="M524">
        <v>44533</v>
      </c>
      <c r="O524"/>
      <c r="P524"/>
      <c r="Q524"/>
      <c r="R524" s="165">
        <v>2354.12</v>
      </c>
      <c r="S524" s="165"/>
      <c r="T524" t="s">
        <v>1267</v>
      </c>
      <c r="U524" s="165" t="s">
        <v>1267</v>
      </c>
      <c r="V524" s="165" t="s">
        <v>1267</v>
      </c>
      <c r="W524"/>
      <c r="X524"/>
      <c r="AB524"/>
      <c r="AC524"/>
      <c r="AD524"/>
      <c r="AE524"/>
      <c r="AF524"/>
      <c r="AG524"/>
      <c r="AH524"/>
    </row>
    <row r="525" spans="1:34" x14ac:dyDescent="0.25">
      <c r="A525" s="78">
        <v>20210798</v>
      </c>
      <c r="B525" s="165" t="s">
        <v>97</v>
      </c>
      <c r="C525" s="165" t="s">
        <v>1283</v>
      </c>
      <c r="D525" s="165">
        <v>1</v>
      </c>
      <c r="E525" s="165" t="s">
        <v>1250</v>
      </c>
      <c r="F525" s="165" t="s">
        <v>1623</v>
      </c>
      <c r="G525" s="165" t="s">
        <v>1671</v>
      </c>
      <c r="H525" s="165" t="s">
        <v>1043</v>
      </c>
      <c r="I525" s="165">
        <v>44530</v>
      </c>
      <c r="J525">
        <v>44530</v>
      </c>
      <c r="K525" s="165" t="s">
        <v>1671</v>
      </c>
      <c r="L525">
        <v>619.65</v>
      </c>
      <c r="M525">
        <v>44532</v>
      </c>
      <c r="O525"/>
      <c r="P525"/>
      <c r="Q525"/>
      <c r="R525" s="165">
        <v>619.65</v>
      </c>
      <c r="S525" s="165"/>
      <c r="T525" t="s">
        <v>1267</v>
      </c>
      <c r="U525" s="165" t="s">
        <v>1267</v>
      </c>
      <c r="V525" s="165" t="s">
        <v>1267</v>
      </c>
      <c r="W525"/>
      <c r="X525"/>
      <c r="AB525"/>
      <c r="AC525"/>
      <c r="AD525"/>
      <c r="AE525"/>
      <c r="AF525"/>
      <c r="AG525"/>
      <c r="AH525"/>
    </row>
    <row r="526" spans="1:34" x14ac:dyDescent="0.25">
      <c r="A526" s="78">
        <v>20210799</v>
      </c>
      <c r="B526" s="165" t="s">
        <v>1256</v>
      </c>
      <c r="C526" s="165" t="s">
        <v>1257</v>
      </c>
      <c r="D526" s="165">
        <v>5</v>
      </c>
      <c r="E526" s="165" t="s">
        <v>1250</v>
      </c>
      <c r="F526" s="165" t="s">
        <v>1621</v>
      </c>
      <c r="G526" s="165" t="s">
        <v>1671</v>
      </c>
      <c r="H526" s="165" t="s">
        <v>1011</v>
      </c>
      <c r="I526" s="165">
        <v>44537</v>
      </c>
      <c r="J526">
        <v>44537</v>
      </c>
      <c r="K526" s="165" t="s">
        <v>1671</v>
      </c>
      <c r="L526">
        <v>2580</v>
      </c>
      <c r="M526">
        <v>44537</v>
      </c>
      <c r="N526">
        <v>3870</v>
      </c>
      <c r="O526">
        <v>44597</v>
      </c>
      <c r="P526"/>
      <c r="Q526"/>
      <c r="R526" s="165">
        <v>6450</v>
      </c>
      <c r="S526" s="165"/>
      <c r="T526" t="s">
        <v>1267</v>
      </c>
      <c r="U526" s="165" t="s">
        <v>1260</v>
      </c>
      <c r="V526" s="165" t="s">
        <v>1267</v>
      </c>
      <c r="W526"/>
      <c r="X526"/>
      <c r="AB526"/>
      <c r="AC526"/>
      <c r="AD526"/>
      <c r="AE526"/>
      <c r="AF526"/>
      <c r="AG526"/>
      <c r="AH526"/>
    </row>
    <row r="527" spans="1:34" x14ac:dyDescent="0.25">
      <c r="A527" s="78" t="s">
        <v>1501</v>
      </c>
      <c r="B527" s="165" t="s">
        <v>1292</v>
      </c>
      <c r="C527" s="165" t="s">
        <v>1293</v>
      </c>
      <c r="D527" s="165">
        <v>1</v>
      </c>
      <c r="E527" s="165" t="s">
        <v>1250</v>
      </c>
      <c r="F527" s="165" t="s">
        <v>1624</v>
      </c>
      <c r="G527" s="165" t="s">
        <v>1671</v>
      </c>
      <c r="H527" s="165" t="s">
        <v>1270</v>
      </c>
      <c r="I527" s="165">
        <v>44530</v>
      </c>
      <c r="J527">
        <v>44530</v>
      </c>
      <c r="K527" s="165" t="s">
        <v>1671</v>
      </c>
      <c r="L527">
        <v>750</v>
      </c>
      <c r="M527">
        <v>44545</v>
      </c>
      <c r="O527"/>
      <c r="P527"/>
      <c r="Q527"/>
      <c r="R527" s="165">
        <v>750</v>
      </c>
      <c r="S527" s="165"/>
      <c r="T527" t="s">
        <v>1267</v>
      </c>
      <c r="U527" s="165" t="s">
        <v>1267</v>
      </c>
      <c r="V527" s="165" t="s">
        <v>1267</v>
      </c>
      <c r="W527"/>
      <c r="X527"/>
      <c r="AB527"/>
      <c r="AC527"/>
      <c r="AD527"/>
      <c r="AE527"/>
      <c r="AF527"/>
      <c r="AG527"/>
      <c r="AH527"/>
    </row>
    <row r="528" spans="1:34" x14ac:dyDescent="0.25">
      <c r="A528" s="78">
        <v>20210791</v>
      </c>
      <c r="B528" s="165" t="s">
        <v>97</v>
      </c>
      <c r="C528" s="165" t="s">
        <v>1302</v>
      </c>
      <c r="D528" s="165">
        <v>1</v>
      </c>
      <c r="E528" s="165" t="s">
        <v>1250</v>
      </c>
      <c r="F528" s="165" t="s">
        <v>1625</v>
      </c>
      <c r="G528" s="165" t="s">
        <v>1671</v>
      </c>
      <c r="H528" s="165" t="s">
        <v>969</v>
      </c>
      <c r="I528" s="165">
        <v>44517</v>
      </c>
      <c r="J528">
        <v>44517</v>
      </c>
      <c r="K528" s="165" t="s">
        <v>1671</v>
      </c>
      <c r="L528">
        <v>692.07</v>
      </c>
      <c r="M528">
        <v>44531</v>
      </c>
      <c r="O528"/>
      <c r="P528"/>
      <c r="Q528"/>
      <c r="R528" s="165">
        <v>692.07</v>
      </c>
      <c r="S528" s="165"/>
      <c r="T528" t="s">
        <v>1267</v>
      </c>
      <c r="U528" s="165" t="s">
        <v>1267</v>
      </c>
      <c r="V528" s="165" t="s">
        <v>1267</v>
      </c>
      <c r="W528"/>
      <c r="X528"/>
      <c r="AB528"/>
      <c r="AC528"/>
      <c r="AD528"/>
      <c r="AE528"/>
      <c r="AF528"/>
      <c r="AG528"/>
      <c r="AH528"/>
    </row>
    <row r="529" spans="1:34" x14ac:dyDescent="0.25">
      <c r="A529" s="78">
        <v>20210789</v>
      </c>
      <c r="B529" s="165" t="s">
        <v>97</v>
      </c>
      <c r="C529" s="165" t="s">
        <v>1296</v>
      </c>
      <c r="D529" s="165">
        <v>1</v>
      </c>
      <c r="E529" s="165" t="s">
        <v>1250</v>
      </c>
      <c r="F529" s="165" t="s">
        <v>1626</v>
      </c>
      <c r="G529" s="165" t="s">
        <v>1671</v>
      </c>
      <c r="H529" s="165" t="s">
        <v>1244</v>
      </c>
      <c r="I529" s="165">
        <v>44511</v>
      </c>
      <c r="J529">
        <v>44511</v>
      </c>
      <c r="K529" s="165" t="s">
        <v>1671</v>
      </c>
      <c r="L529">
        <v>588</v>
      </c>
      <c r="M529">
        <v>44531</v>
      </c>
      <c r="O529"/>
      <c r="P529"/>
      <c r="Q529"/>
      <c r="R529" s="165">
        <v>588</v>
      </c>
      <c r="S529" s="165"/>
      <c r="T529" t="s">
        <v>1267</v>
      </c>
      <c r="U529" s="165" t="s">
        <v>1267</v>
      </c>
      <c r="V529" s="165" t="s">
        <v>1267</v>
      </c>
      <c r="W529"/>
      <c r="X529"/>
      <c r="AB529"/>
      <c r="AC529"/>
      <c r="AD529"/>
      <c r="AE529"/>
      <c r="AF529"/>
      <c r="AG529"/>
      <c r="AH529"/>
    </row>
    <row r="530" spans="1:34" x14ac:dyDescent="0.25">
      <c r="A530" s="78">
        <v>20210789</v>
      </c>
      <c r="B530" s="165" t="s">
        <v>97</v>
      </c>
      <c r="C530" s="165" t="s">
        <v>1279</v>
      </c>
      <c r="D530" s="165">
        <v>1</v>
      </c>
      <c r="E530" s="165" t="s">
        <v>1250</v>
      </c>
      <c r="F530" s="165" t="s">
        <v>1627</v>
      </c>
      <c r="G530" s="165" t="s">
        <v>1671</v>
      </c>
      <c r="H530" s="165" t="s">
        <v>1244</v>
      </c>
      <c r="I530" s="165">
        <v>44516</v>
      </c>
      <c r="J530">
        <v>44516</v>
      </c>
      <c r="K530" s="165" t="s">
        <v>1671</v>
      </c>
      <c r="L530">
        <v>117.6</v>
      </c>
      <c r="M530">
        <v>44540</v>
      </c>
      <c r="O530"/>
      <c r="P530"/>
      <c r="Q530"/>
      <c r="R530" s="165">
        <v>117.6</v>
      </c>
      <c r="S530" s="165"/>
      <c r="T530" t="s">
        <v>1267</v>
      </c>
      <c r="U530" s="165" t="s">
        <v>1267</v>
      </c>
      <c r="V530" s="165" t="s">
        <v>1267</v>
      </c>
      <c r="W530"/>
      <c r="X530"/>
      <c r="AB530"/>
      <c r="AC530"/>
      <c r="AD530"/>
      <c r="AE530"/>
      <c r="AF530"/>
      <c r="AG530"/>
      <c r="AH530"/>
    </row>
    <row r="531" spans="1:34" x14ac:dyDescent="0.25">
      <c r="A531" s="78">
        <v>20210789</v>
      </c>
      <c r="B531" s="165" t="s">
        <v>97</v>
      </c>
      <c r="C531" s="165" t="s">
        <v>1288</v>
      </c>
      <c r="D531" s="165">
        <v>1</v>
      </c>
      <c r="E531" s="165" t="s">
        <v>1250</v>
      </c>
      <c r="F531" s="165" t="s">
        <v>1628</v>
      </c>
      <c r="G531" s="165" t="s">
        <v>1671</v>
      </c>
      <c r="H531" s="165" t="s">
        <v>1244</v>
      </c>
      <c r="I531" s="165">
        <v>44512</v>
      </c>
      <c r="J531">
        <v>44512</v>
      </c>
      <c r="K531" s="165" t="s">
        <v>1671</v>
      </c>
      <c r="L531">
        <v>3564.5</v>
      </c>
      <c r="M531">
        <v>44540</v>
      </c>
      <c r="O531"/>
      <c r="P531"/>
      <c r="Q531"/>
      <c r="R531" s="165">
        <v>3564.5</v>
      </c>
      <c r="S531" s="165"/>
      <c r="T531" t="s">
        <v>1267</v>
      </c>
      <c r="U531" s="165" t="s">
        <v>1267</v>
      </c>
      <c r="V531" s="165" t="s">
        <v>1267</v>
      </c>
      <c r="W531"/>
      <c r="X531"/>
      <c r="AB531"/>
      <c r="AC531"/>
      <c r="AD531"/>
      <c r="AE531"/>
      <c r="AF531"/>
      <c r="AG531"/>
      <c r="AH531"/>
    </row>
    <row r="532" spans="1:34" x14ac:dyDescent="0.25">
      <c r="A532" s="78">
        <v>20210789</v>
      </c>
      <c r="B532" s="165" t="s">
        <v>97</v>
      </c>
      <c r="C532" s="165" t="s">
        <v>1356</v>
      </c>
      <c r="D532" s="165">
        <v>1</v>
      </c>
      <c r="E532" s="165" t="s">
        <v>1250</v>
      </c>
      <c r="F532" s="165" t="s">
        <v>1629</v>
      </c>
      <c r="G532" s="165" t="s">
        <v>1671</v>
      </c>
      <c r="H532" s="165" t="s">
        <v>1244</v>
      </c>
      <c r="I532" s="165">
        <v>44516</v>
      </c>
      <c r="J532">
        <v>44516</v>
      </c>
      <c r="K532" s="165" t="s">
        <v>1671</v>
      </c>
      <c r="L532">
        <v>418.05</v>
      </c>
      <c r="M532">
        <v>44544</v>
      </c>
      <c r="O532"/>
      <c r="P532"/>
      <c r="Q532"/>
      <c r="R532" s="165">
        <v>418.05</v>
      </c>
      <c r="S532" s="165"/>
      <c r="T532" t="s">
        <v>1267</v>
      </c>
      <c r="U532" s="165" t="s">
        <v>1267</v>
      </c>
      <c r="V532" s="165" t="s">
        <v>1267</v>
      </c>
      <c r="W532"/>
      <c r="X532"/>
      <c r="AB532"/>
      <c r="AC532"/>
      <c r="AD532"/>
      <c r="AE532"/>
      <c r="AF532"/>
      <c r="AG532"/>
      <c r="AH532"/>
    </row>
    <row r="533" spans="1:34" x14ac:dyDescent="0.25">
      <c r="A533" s="78">
        <v>20210789</v>
      </c>
      <c r="B533" s="165" t="s">
        <v>97</v>
      </c>
      <c r="C533" s="165" t="s">
        <v>1272</v>
      </c>
      <c r="D533" s="165">
        <v>2</v>
      </c>
      <c r="E533" s="165" t="s">
        <v>1250</v>
      </c>
      <c r="F533" s="165" t="s">
        <v>1630</v>
      </c>
      <c r="G533" s="165" t="s">
        <v>1671</v>
      </c>
      <c r="H533" s="165" t="s">
        <v>1244</v>
      </c>
      <c r="I533" s="165">
        <v>44516</v>
      </c>
      <c r="J533">
        <v>44516</v>
      </c>
      <c r="K533" s="165" t="s">
        <v>1671</v>
      </c>
      <c r="L533">
        <v>345.71</v>
      </c>
      <c r="M533">
        <v>44544</v>
      </c>
      <c r="O533"/>
      <c r="P533"/>
      <c r="Q533"/>
      <c r="R533" s="165">
        <v>691.42</v>
      </c>
      <c r="S533" s="165"/>
      <c r="T533" t="s">
        <v>1267</v>
      </c>
      <c r="U533" s="165" t="s">
        <v>1267</v>
      </c>
      <c r="V533" s="165" t="s">
        <v>1267</v>
      </c>
      <c r="W533"/>
      <c r="X533"/>
      <c r="AB533"/>
      <c r="AC533"/>
      <c r="AD533"/>
      <c r="AE533"/>
      <c r="AF533"/>
      <c r="AG533"/>
      <c r="AH533"/>
    </row>
    <row r="534" spans="1:34" x14ac:dyDescent="0.25">
      <c r="A534" s="78">
        <v>20210789</v>
      </c>
      <c r="B534" s="165" t="s">
        <v>97</v>
      </c>
      <c r="C534" s="165" t="s">
        <v>1264</v>
      </c>
      <c r="D534" s="165">
        <v>1</v>
      </c>
      <c r="E534" s="165" t="s">
        <v>1250</v>
      </c>
      <c r="F534" s="165" t="s">
        <v>1631</v>
      </c>
      <c r="G534" s="165" t="s">
        <v>1671</v>
      </c>
      <c r="H534" s="165" t="s">
        <v>1244</v>
      </c>
      <c r="I534" s="165">
        <v>44518</v>
      </c>
      <c r="J534">
        <v>44518</v>
      </c>
      <c r="K534" s="165" t="s">
        <v>1671</v>
      </c>
      <c r="L534">
        <v>172.185</v>
      </c>
      <c r="M534">
        <v>44546</v>
      </c>
      <c r="O534"/>
      <c r="P534"/>
      <c r="Q534"/>
      <c r="R534" s="165">
        <v>172.185</v>
      </c>
      <c r="S534" s="165"/>
      <c r="T534" t="s">
        <v>1267</v>
      </c>
      <c r="U534" s="165" t="s">
        <v>1267</v>
      </c>
      <c r="V534" s="165" t="s">
        <v>1267</v>
      </c>
      <c r="W534"/>
      <c r="X534"/>
      <c r="AB534"/>
      <c r="AC534"/>
      <c r="AD534"/>
      <c r="AE534"/>
      <c r="AF534"/>
      <c r="AG534"/>
      <c r="AH534"/>
    </row>
    <row r="535" spans="1:34" x14ac:dyDescent="0.25">
      <c r="A535" s="78">
        <v>20210789</v>
      </c>
      <c r="B535" s="165" t="s">
        <v>97</v>
      </c>
      <c r="C535" s="165" t="s">
        <v>1268</v>
      </c>
      <c r="D535" s="165">
        <v>1</v>
      </c>
      <c r="E535" s="165" t="s">
        <v>1250</v>
      </c>
      <c r="F535" s="165" t="s">
        <v>1632</v>
      </c>
      <c r="G535" s="165" t="s">
        <v>1671</v>
      </c>
      <c r="H535" s="165" t="s">
        <v>1244</v>
      </c>
      <c r="I535" s="165">
        <v>44518</v>
      </c>
      <c r="J535">
        <v>44518</v>
      </c>
      <c r="K535" s="165" t="s">
        <v>1671</v>
      </c>
      <c r="L535">
        <v>172.185</v>
      </c>
      <c r="M535">
        <v>44546</v>
      </c>
      <c r="O535"/>
      <c r="P535"/>
      <c r="Q535"/>
      <c r="R535" s="165">
        <v>172.185</v>
      </c>
      <c r="S535" s="165"/>
      <c r="T535" t="s">
        <v>1267</v>
      </c>
      <c r="U535" s="165" t="s">
        <v>1267</v>
      </c>
      <c r="V535" s="165" t="s">
        <v>1267</v>
      </c>
      <c r="W535"/>
      <c r="X535"/>
      <c r="AB535"/>
      <c r="AC535"/>
      <c r="AD535"/>
      <c r="AE535"/>
      <c r="AF535"/>
      <c r="AG535"/>
      <c r="AH535"/>
    </row>
    <row r="536" spans="1:34" x14ac:dyDescent="0.25">
      <c r="A536" s="78">
        <v>20210789</v>
      </c>
      <c r="B536" s="165" t="s">
        <v>1311</v>
      </c>
      <c r="C536" s="165" t="s">
        <v>1312</v>
      </c>
      <c r="D536" s="165">
        <v>1</v>
      </c>
      <c r="E536" s="165" t="s">
        <v>1250</v>
      </c>
      <c r="F536" s="165" t="s">
        <v>1633</v>
      </c>
      <c r="G536" s="165" t="s">
        <v>1671</v>
      </c>
      <c r="H536" s="165" t="s">
        <v>1244</v>
      </c>
      <c r="I536" s="165">
        <v>44518</v>
      </c>
      <c r="J536">
        <v>44518</v>
      </c>
      <c r="K536" s="165" t="s">
        <v>1671</v>
      </c>
      <c r="L536">
        <v>564.79</v>
      </c>
      <c r="M536">
        <v>44546</v>
      </c>
      <c r="O536"/>
      <c r="P536"/>
      <c r="Q536"/>
      <c r="R536" s="165">
        <v>564.79</v>
      </c>
      <c r="S536" s="165"/>
      <c r="T536" t="s">
        <v>1267</v>
      </c>
      <c r="U536" s="165" t="s">
        <v>1267</v>
      </c>
      <c r="V536" s="165" t="s">
        <v>1267</v>
      </c>
      <c r="W536"/>
      <c r="X536"/>
      <c r="AB536"/>
      <c r="AC536"/>
      <c r="AD536"/>
      <c r="AE536"/>
      <c r="AF536"/>
      <c r="AG536"/>
      <c r="AH536"/>
    </row>
    <row r="537" spans="1:34" x14ac:dyDescent="0.25">
      <c r="A537" s="78">
        <v>20210759</v>
      </c>
      <c r="B537" s="165" t="s">
        <v>97</v>
      </c>
      <c r="C537" s="165" t="s">
        <v>1356</v>
      </c>
      <c r="D537" s="165">
        <v>1</v>
      </c>
      <c r="E537" s="165" t="s">
        <v>1250</v>
      </c>
      <c r="F537" s="165" t="s">
        <v>1634</v>
      </c>
      <c r="G537" s="165" t="s">
        <v>1671</v>
      </c>
      <c r="H537" s="165" t="s">
        <v>1209</v>
      </c>
      <c r="I537" s="165">
        <v>44518</v>
      </c>
      <c r="J537">
        <v>44518</v>
      </c>
      <c r="K537" s="165" t="s">
        <v>1671</v>
      </c>
      <c r="L537">
        <v>3560</v>
      </c>
      <c r="M537">
        <v>44560</v>
      </c>
      <c r="O537"/>
      <c r="P537"/>
      <c r="Q537"/>
      <c r="R537" s="165">
        <v>3560</v>
      </c>
      <c r="S537" s="165"/>
      <c r="T537" t="s">
        <v>1267</v>
      </c>
      <c r="U537" s="165" t="s">
        <v>1267</v>
      </c>
      <c r="V537" s="165" t="s">
        <v>1267</v>
      </c>
      <c r="W537"/>
      <c r="X537"/>
      <c r="AB537"/>
      <c r="AC537"/>
      <c r="AD537"/>
      <c r="AE537"/>
      <c r="AF537"/>
      <c r="AG537"/>
      <c r="AH537"/>
    </row>
    <row r="538" spans="1:34" x14ac:dyDescent="0.25">
      <c r="A538" s="78">
        <v>20210759</v>
      </c>
      <c r="B538" s="165" t="s">
        <v>97</v>
      </c>
      <c r="C538" s="165" t="s">
        <v>1356</v>
      </c>
      <c r="D538" s="165">
        <v>1</v>
      </c>
      <c r="E538" s="165" t="s">
        <v>1250</v>
      </c>
      <c r="F538" s="165" t="s">
        <v>1635</v>
      </c>
      <c r="G538" s="165" t="s">
        <v>1671</v>
      </c>
      <c r="H538" s="165" t="s">
        <v>1209</v>
      </c>
      <c r="I538" s="165">
        <v>44518</v>
      </c>
      <c r="J538">
        <v>44518</v>
      </c>
      <c r="K538" s="165" t="s">
        <v>1671</v>
      </c>
      <c r="L538">
        <v>850</v>
      </c>
      <c r="M538">
        <v>44550</v>
      </c>
      <c r="N538">
        <v>850</v>
      </c>
      <c r="O538">
        <v>44563</v>
      </c>
      <c r="P538"/>
      <c r="Q538"/>
      <c r="R538" s="165">
        <v>1700</v>
      </c>
      <c r="S538" s="165"/>
      <c r="T538" t="s">
        <v>1267</v>
      </c>
      <c r="U538" s="165" t="s">
        <v>1266</v>
      </c>
      <c r="V538" s="165" t="s">
        <v>1267</v>
      </c>
      <c r="W538"/>
      <c r="X538"/>
      <c r="AB538"/>
      <c r="AC538"/>
      <c r="AD538"/>
      <c r="AE538"/>
      <c r="AF538"/>
      <c r="AG538"/>
      <c r="AH538"/>
    </row>
    <row r="539" spans="1:34" x14ac:dyDescent="0.25">
      <c r="A539" s="78">
        <v>20210787</v>
      </c>
      <c r="B539" s="165" t="s">
        <v>97</v>
      </c>
      <c r="C539" s="165" t="s">
        <v>1264</v>
      </c>
      <c r="D539" s="165">
        <v>2</v>
      </c>
      <c r="E539" s="165" t="s">
        <v>1250</v>
      </c>
      <c r="F539" s="165" t="s">
        <v>1636</v>
      </c>
      <c r="G539" s="165" t="s">
        <v>1671</v>
      </c>
      <c r="H539" s="165" t="s">
        <v>943</v>
      </c>
      <c r="I539" s="165">
        <v>44519</v>
      </c>
      <c r="J539">
        <v>44519</v>
      </c>
      <c r="K539" s="165" t="s">
        <v>1671</v>
      </c>
      <c r="L539">
        <v>224.68</v>
      </c>
      <c r="M539">
        <v>44538</v>
      </c>
      <c r="N539">
        <v>224.67</v>
      </c>
      <c r="O539">
        <v>44566</v>
      </c>
      <c r="P539"/>
      <c r="Q539"/>
      <c r="R539" s="165">
        <v>449.35</v>
      </c>
      <c r="S539" s="165"/>
      <c r="T539" t="s">
        <v>1267</v>
      </c>
      <c r="U539" s="165" t="s">
        <v>1266</v>
      </c>
      <c r="V539" s="165" t="s">
        <v>1267</v>
      </c>
      <c r="W539"/>
      <c r="X539"/>
      <c r="AB539"/>
      <c r="AC539"/>
      <c r="AD539"/>
      <c r="AE539"/>
      <c r="AF539"/>
      <c r="AG539"/>
      <c r="AH539"/>
    </row>
    <row r="540" spans="1:34" x14ac:dyDescent="0.25">
      <c r="A540" s="78">
        <v>20210804</v>
      </c>
      <c r="B540" s="165" t="s">
        <v>1292</v>
      </c>
      <c r="C540" s="165" t="s">
        <v>1293</v>
      </c>
      <c r="D540" s="165">
        <v>1</v>
      </c>
      <c r="E540" s="165" t="s">
        <v>1250</v>
      </c>
      <c r="F540" s="165" t="s">
        <v>1637</v>
      </c>
      <c r="G540" s="165" t="s">
        <v>1671</v>
      </c>
      <c r="H540" s="165" t="s">
        <v>1031</v>
      </c>
      <c r="I540" s="165">
        <v>44517</v>
      </c>
      <c r="J540">
        <v>44517</v>
      </c>
      <c r="K540" s="165" t="s">
        <v>1671</v>
      </c>
      <c r="L540">
        <v>30</v>
      </c>
      <c r="M540">
        <v>44531</v>
      </c>
      <c r="O540"/>
      <c r="P540"/>
      <c r="Q540"/>
      <c r="R540" s="165">
        <v>30</v>
      </c>
      <c r="S540" s="165"/>
      <c r="T540" t="s">
        <v>1267</v>
      </c>
      <c r="U540" s="165" t="s">
        <v>1267</v>
      </c>
      <c r="V540" s="165" t="s">
        <v>1267</v>
      </c>
      <c r="W540"/>
      <c r="X540"/>
      <c r="AB540"/>
      <c r="AC540"/>
      <c r="AD540"/>
      <c r="AE540"/>
      <c r="AF540"/>
      <c r="AG540"/>
      <c r="AH540"/>
    </row>
    <row r="541" spans="1:34" x14ac:dyDescent="0.25">
      <c r="A541" s="78">
        <v>20210816</v>
      </c>
      <c r="B541" s="165" t="s">
        <v>1292</v>
      </c>
      <c r="C541" s="165" t="s">
        <v>1293</v>
      </c>
      <c r="D541" s="165">
        <v>1</v>
      </c>
      <c r="E541" s="165" t="s">
        <v>1250</v>
      </c>
      <c r="F541" s="165" t="s">
        <v>1638</v>
      </c>
      <c r="G541" s="165" t="s">
        <v>1671</v>
      </c>
      <c r="H541" s="165" t="s">
        <v>1209</v>
      </c>
      <c r="I541" s="165">
        <v>44531</v>
      </c>
      <c r="J541">
        <v>44531</v>
      </c>
      <c r="K541" s="165" t="s">
        <v>1671</v>
      </c>
      <c r="L541">
        <v>120</v>
      </c>
      <c r="M541">
        <v>44546</v>
      </c>
      <c r="O541"/>
      <c r="P541"/>
      <c r="Q541"/>
      <c r="R541" s="165">
        <v>120</v>
      </c>
      <c r="S541" s="165"/>
      <c r="T541" t="s">
        <v>1267</v>
      </c>
      <c r="U541" s="165" t="s">
        <v>1267</v>
      </c>
      <c r="V541" s="165" t="s">
        <v>1267</v>
      </c>
      <c r="W541"/>
      <c r="X541"/>
      <c r="AB541"/>
      <c r="AC541"/>
      <c r="AD541"/>
      <c r="AE541"/>
      <c r="AF541"/>
      <c r="AG541"/>
      <c r="AH541"/>
    </row>
    <row r="542" spans="1:34" x14ac:dyDescent="0.25">
      <c r="A542" s="78">
        <v>20210818</v>
      </c>
      <c r="B542" s="165" t="s">
        <v>1292</v>
      </c>
      <c r="C542" s="165" t="s">
        <v>1293</v>
      </c>
      <c r="D542" s="165">
        <v>1</v>
      </c>
      <c r="E542" s="165" t="s">
        <v>1250</v>
      </c>
      <c r="F542" s="165" t="s">
        <v>1639</v>
      </c>
      <c r="G542" s="165" t="s">
        <v>1671</v>
      </c>
      <c r="H542" s="165" t="s">
        <v>1020</v>
      </c>
      <c r="I542" s="165">
        <v>44546</v>
      </c>
      <c r="J542">
        <v>44546</v>
      </c>
      <c r="K542" s="165" t="s">
        <v>1671</v>
      </c>
      <c r="L542">
        <v>87.5</v>
      </c>
      <c r="M542">
        <v>44546</v>
      </c>
      <c r="O542"/>
      <c r="P542"/>
      <c r="Q542"/>
      <c r="R542" s="165">
        <v>87.5</v>
      </c>
      <c r="S542" s="165"/>
      <c r="T542" t="s">
        <v>1267</v>
      </c>
      <c r="U542" s="165" t="s">
        <v>1267</v>
      </c>
      <c r="V542" s="165" t="s">
        <v>1267</v>
      </c>
      <c r="W542"/>
      <c r="X542"/>
      <c r="AB542"/>
      <c r="AC542"/>
      <c r="AD542"/>
      <c r="AE542"/>
      <c r="AF542"/>
      <c r="AG542"/>
      <c r="AH542"/>
    </row>
    <row r="543" spans="1:34" x14ac:dyDescent="0.25">
      <c r="A543" s="78" t="s">
        <v>1501</v>
      </c>
      <c r="B543" s="165" t="s">
        <v>1292</v>
      </c>
      <c r="C543" s="165" t="s">
        <v>1293</v>
      </c>
      <c r="D543" s="165">
        <v>1</v>
      </c>
      <c r="E543" s="165" t="s">
        <v>1250</v>
      </c>
      <c r="F543" s="165" t="s">
        <v>1640</v>
      </c>
      <c r="G543" s="165" t="s">
        <v>1671</v>
      </c>
      <c r="H543" s="165" t="s">
        <v>1270</v>
      </c>
      <c r="I543" s="165">
        <v>44546</v>
      </c>
      <c r="J543">
        <v>44546</v>
      </c>
      <c r="K543" s="165" t="s">
        <v>1671</v>
      </c>
      <c r="L543">
        <v>92.59</v>
      </c>
      <c r="M543">
        <v>44546</v>
      </c>
      <c r="O543"/>
      <c r="P543"/>
      <c r="Q543"/>
      <c r="R543" s="165">
        <v>92.59</v>
      </c>
      <c r="S543" s="165"/>
      <c r="T543" t="s">
        <v>1267</v>
      </c>
      <c r="U543" s="165" t="s">
        <v>1267</v>
      </c>
      <c r="V543" s="165" t="s">
        <v>1267</v>
      </c>
      <c r="W543"/>
      <c r="X543"/>
      <c r="AB543"/>
      <c r="AC543"/>
      <c r="AD543"/>
      <c r="AE543"/>
      <c r="AF543"/>
      <c r="AG543"/>
      <c r="AH543"/>
    </row>
    <row r="544" spans="1:34" x14ac:dyDescent="0.25">
      <c r="A544" s="78">
        <v>20210820</v>
      </c>
      <c r="B544" s="165" t="s">
        <v>1261</v>
      </c>
      <c r="C544" s="165" t="s">
        <v>1262</v>
      </c>
      <c r="D544" s="165">
        <v>2</v>
      </c>
      <c r="E544" s="165" t="s">
        <v>1250</v>
      </c>
      <c r="F544" s="165" t="s">
        <v>1450</v>
      </c>
      <c r="G544" s="165" t="s">
        <v>1671</v>
      </c>
      <c r="H544" s="165" t="s">
        <v>922</v>
      </c>
      <c r="I544" s="165">
        <v>44531</v>
      </c>
      <c r="J544">
        <v>44531</v>
      </c>
      <c r="K544" s="165" t="s">
        <v>1671</v>
      </c>
      <c r="L544">
        <v>988.49</v>
      </c>
      <c r="M544">
        <v>44559</v>
      </c>
      <c r="N544">
        <v>988.47</v>
      </c>
      <c r="O544">
        <v>44573</v>
      </c>
      <c r="P544">
        <v>988.47</v>
      </c>
      <c r="Q544">
        <v>44587</v>
      </c>
      <c r="R544" s="165">
        <v>2965.4300000000003</v>
      </c>
      <c r="S544" s="165"/>
      <c r="T544" t="s">
        <v>1267</v>
      </c>
      <c r="U544" s="165" t="s">
        <v>1266</v>
      </c>
      <c r="V544" s="165" t="s">
        <v>1266</v>
      </c>
      <c r="W544"/>
      <c r="X544"/>
      <c r="AB544"/>
      <c r="AC544"/>
      <c r="AD544"/>
      <c r="AE544"/>
      <c r="AF544"/>
      <c r="AG544"/>
      <c r="AH544"/>
    </row>
    <row r="545" spans="1:34" x14ac:dyDescent="0.25">
      <c r="A545" s="78">
        <v>20210787</v>
      </c>
      <c r="B545" s="165" t="s">
        <v>1261</v>
      </c>
      <c r="C545" s="165" t="s">
        <v>1262</v>
      </c>
      <c r="D545" s="165">
        <v>1</v>
      </c>
      <c r="E545" s="165" t="s">
        <v>1250</v>
      </c>
      <c r="F545" s="165" t="s">
        <v>1450</v>
      </c>
      <c r="G545" s="165" t="s">
        <v>1671</v>
      </c>
      <c r="H545" s="165" t="s">
        <v>943</v>
      </c>
      <c r="I545" s="165">
        <v>44510</v>
      </c>
      <c r="J545">
        <v>44510</v>
      </c>
      <c r="K545" s="165" t="s">
        <v>1671</v>
      </c>
      <c r="L545">
        <v>1005.19</v>
      </c>
      <c r="M545">
        <v>44538</v>
      </c>
      <c r="O545"/>
      <c r="P545"/>
      <c r="Q545"/>
      <c r="R545" s="165">
        <v>1005.19</v>
      </c>
      <c r="S545" s="165"/>
      <c r="T545" t="s">
        <v>1267</v>
      </c>
      <c r="U545" s="165" t="s">
        <v>1267</v>
      </c>
      <c r="V545" s="165" t="s">
        <v>1267</v>
      </c>
      <c r="W545"/>
      <c r="X545"/>
      <c r="AB545"/>
      <c r="AC545"/>
      <c r="AD545"/>
      <c r="AE545"/>
      <c r="AF545"/>
      <c r="AG545"/>
      <c r="AH545"/>
    </row>
    <row r="546" spans="1:34" x14ac:dyDescent="0.25">
      <c r="A546" s="78" t="s">
        <v>1501</v>
      </c>
      <c r="B546" s="165" t="s">
        <v>97</v>
      </c>
      <c r="C546" s="165" t="s">
        <v>1272</v>
      </c>
      <c r="D546" s="165">
        <v>1</v>
      </c>
      <c r="E546" s="165" t="s">
        <v>1250</v>
      </c>
      <c r="F546" s="165" t="s">
        <v>1641</v>
      </c>
      <c r="G546" s="165" t="s">
        <v>1671</v>
      </c>
      <c r="H546" s="165" t="s">
        <v>1270</v>
      </c>
      <c r="I546" s="165">
        <v>44511</v>
      </c>
      <c r="J546">
        <v>44511</v>
      </c>
      <c r="K546" s="165" t="s">
        <v>1671</v>
      </c>
      <c r="L546">
        <v>619.79</v>
      </c>
      <c r="M546">
        <v>44540</v>
      </c>
      <c r="O546"/>
      <c r="P546"/>
      <c r="Q546"/>
      <c r="R546" s="165">
        <v>619.79</v>
      </c>
      <c r="S546" s="165"/>
      <c r="T546" t="s">
        <v>1267</v>
      </c>
      <c r="U546" s="165" t="s">
        <v>1267</v>
      </c>
      <c r="V546" s="165" t="s">
        <v>1267</v>
      </c>
      <c r="W546"/>
      <c r="X546"/>
      <c r="AB546"/>
      <c r="AC546"/>
      <c r="AD546"/>
      <c r="AE546"/>
      <c r="AF546"/>
      <c r="AG546"/>
      <c r="AH546"/>
    </row>
    <row r="547" spans="1:34" x14ac:dyDescent="0.25">
      <c r="A547" s="78">
        <v>20220841</v>
      </c>
      <c r="B547" s="165" t="s">
        <v>1292</v>
      </c>
      <c r="C547" s="165" t="s">
        <v>1293</v>
      </c>
      <c r="D547" s="165">
        <v>1</v>
      </c>
      <c r="E547" s="165" t="s">
        <v>1250</v>
      </c>
      <c r="F547" s="165" t="s">
        <v>1642</v>
      </c>
      <c r="G547" s="165" t="s">
        <v>1671</v>
      </c>
      <c r="H547" s="165" t="s">
        <v>937</v>
      </c>
      <c r="I547" s="165">
        <v>44571</v>
      </c>
      <c r="J547">
        <v>44571</v>
      </c>
      <c r="K547" s="165" t="s">
        <v>1671</v>
      </c>
      <c r="L547">
        <v>950</v>
      </c>
      <c r="M547">
        <v>44586</v>
      </c>
      <c r="O547"/>
      <c r="P547"/>
      <c r="Q547"/>
      <c r="R547" s="165">
        <v>950</v>
      </c>
      <c r="S547" s="165"/>
      <c r="T547" t="s">
        <v>1266</v>
      </c>
      <c r="U547" s="165" t="s">
        <v>1267</v>
      </c>
      <c r="V547" s="165" t="s">
        <v>1267</v>
      </c>
      <c r="W547"/>
      <c r="X547"/>
      <c r="AB547"/>
      <c r="AC547"/>
      <c r="AD547"/>
      <c r="AE547"/>
      <c r="AF547"/>
      <c r="AG547"/>
      <c r="AH547"/>
    </row>
    <row r="548" spans="1:34" x14ac:dyDescent="0.25">
      <c r="A548" s="78">
        <v>20220841</v>
      </c>
      <c r="B548" s="165" t="s">
        <v>1261</v>
      </c>
      <c r="C548" s="165" t="s">
        <v>1262</v>
      </c>
      <c r="D548" s="165">
        <v>1</v>
      </c>
      <c r="E548" s="165" t="s">
        <v>1250</v>
      </c>
      <c r="F548" s="165" t="s">
        <v>1450</v>
      </c>
      <c r="G548" s="165" t="s">
        <v>1671</v>
      </c>
      <c r="H548" s="165" t="s">
        <v>937</v>
      </c>
      <c r="I548" s="165">
        <v>44571</v>
      </c>
      <c r="J548">
        <v>44571</v>
      </c>
      <c r="K548" s="165" t="s">
        <v>1671</v>
      </c>
      <c r="L548">
        <v>1234</v>
      </c>
      <c r="M548">
        <v>44586</v>
      </c>
      <c r="O548"/>
      <c r="P548"/>
      <c r="Q548"/>
      <c r="R548" s="165">
        <v>1234</v>
      </c>
      <c r="S548" s="165"/>
      <c r="T548" t="s">
        <v>1266</v>
      </c>
      <c r="U548" s="165" t="s">
        <v>1267</v>
      </c>
      <c r="V548" s="165" t="s">
        <v>1267</v>
      </c>
      <c r="W548"/>
      <c r="X548"/>
      <c r="AB548"/>
      <c r="AC548"/>
      <c r="AD548"/>
      <c r="AE548"/>
      <c r="AF548"/>
      <c r="AG548"/>
      <c r="AH548"/>
    </row>
    <row r="549" spans="1:34" x14ac:dyDescent="0.25">
      <c r="A549" s="78">
        <v>20220841</v>
      </c>
      <c r="B549" s="165" t="s">
        <v>97</v>
      </c>
      <c r="C549" s="165" t="s">
        <v>1712</v>
      </c>
      <c r="D549" s="165">
        <v>1</v>
      </c>
      <c r="E549" s="165" t="s">
        <v>1250</v>
      </c>
      <c r="F549" s="165" t="s">
        <v>1643</v>
      </c>
      <c r="G549" s="165" t="s">
        <v>1671</v>
      </c>
      <c r="H549" s="165" t="s">
        <v>937</v>
      </c>
      <c r="I549" s="165">
        <v>44571</v>
      </c>
      <c r="J549">
        <v>44571</v>
      </c>
      <c r="K549" s="165" t="s">
        <v>1671</v>
      </c>
      <c r="L549">
        <v>406.26</v>
      </c>
      <c r="M549">
        <v>44586</v>
      </c>
      <c r="O549"/>
      <c r="P549"/>
      <c r="Q549"/>
      <c r="R549" s="165">
        <v>406.26</v>
      </c>
      <c r="S549" s="165"/>
      <c r="T549" t="s">
        <v>1266</v>
      </c>
      <c r="U549" s="165" t="s">
        <v>1267</v>
      </c>
      <c r="V549" s="165" t="s">
        <v>1267</v>
      </c>
      <c r="W549"/>
      <c r="X549"/>
      <c r="AB549"/>
      <c r="AC549"/>
      <c r="AD549"/>
      <c r="AE549"/>
      <c r="AF549"/>
      <c r="AG549"/>
      <c r="AH549"/>
    </row>
    <row r="550" spans="1:34" x14ac:dyDescent="0.25">
      <c r="A550" s="78">
        <v>20220841</v>
      </c>
      <c r="B550" s="165" t="s">
        <v>97</v>
      </c>
      <c r="C550" s="165" t="s">
        <v>1712</v>
      </c>
      <c r="D550" s="165">
        <v>1</v>
      </c>
      <c r="E550" s="165" t="s">
        <v>1250</v>
      </c>
      <c r="F550" s="165" t="s">
        <v>1644</v>
      </c>
      <c r="G550" s="165" t="s">
        <v>1671</v>
      </c>
      <c r="H550" s="165" t="s">
        <v>937</v>
      </c>
      <c r="I550" s="165">
        <v>44571</v>
      </c>
      <c r="J550">
        <v>44571</v>
      </c>
      <c r="K550" s="165" t="s">
        <v>1671</v>
      </c>
      <c r="L550">
        <v>99.36</v>
      </c>
      <c r="M550">
        <v>44586</v>
      </c>
      <c r="O550"/>
      <c r="P550"/>
      <c r="Q550"/>
      <c r="R550" s="165">
        <v>99.36</v>
      </c>
      <c r="S550" s="165"/>
      <c r="T550" t="s">
        <v>1266</v>
      </c>
      <c r="U550" s="165" t="s">
        <v>1267</v>
      </c>
      <c r="V550" s="165" t="s">
        <v>1267</v>
      </c>
      <c r="W550"/>
      <c r="X550"/>
      <c r="AB550"/>
      <c r="AC550"/>
      <c r="AD550"/>
      <c r="AE550"/>
      <c r="AF550"/>
      <c r="AG550"/>
      <c r="AH550"/>
    </row>
    <row r="551" spans="1:34" x14ac:dyDescent="0.25">
      <c r="A551" s="78">
        <v>20220841</v>
      </c>
      <c r="B551" s="165" t="s">
        <v>1256</v>
      </c>
      <c r="C551" s="165" t="s">
        <v>1257</v>
      </c>
      <c r="D551" s="165">
        <v>5</v>
      </c>
      <c r="E551" s="165" t="s">
        <v>1250</v>
      </c>
      <c r="F551" s="165" t="s">
        <v>1621</v>
      </c>
      <c r="G551" s="165" t="s">
        <v>1671</v>
      </c>
      <c r="H551" s="165" t="s">
        <v>937</v>
      </c>
      <c r="I551" s="165">
        <v>44571</v>
      </c>
      <c r="J551">
        <v>44571</v>
      </c>
      <c r="K551" s="165" t="s">
        <v>1671</v>
      </c>
      <c r="L551">
        <v>545</v>
      </c>
      <c r="M551">
        <v>44595</v>
      </c>
      <c r="O551"/>
      <c r="P551"/>
      <c r="Q551"/>
      <c r="R551" s="165">
        <v>2725</v>
      </c>
      <c r="S551" s="165"/>
      <c r="T551" t="s">
        <v>1260</v>
      </c>
      <c r="U551" s="165" t="s">
        <v>1267</v>
      </c>
      <c r="V551" s="165" t="s">
        <v>1267</v>
      </c>
      <c r="W551"/>
      <c r="X551"/>
      <c r="AB551"/>
      <c r="AC551"/>
      <c r="AD551"/>
      <c r="AE551"/>
      <c r="AF551"/>
      <c r="AG551"/>
      <c r="AH551"/>
    </row>
    <row r="552" spans="1:34" x14ac:dyDescent="0.25">
      <c r="A552" s="78">
        <v>20220844</v>
      </c>
      <c r="B552" s="165" t="s">
        <v>97</v>
      </c>
      <c r="C552" s="165" t="s">
        <v>1288</v>
      </c>
      <c r="D552" s="165">
        <v>1</v>
      </c>
      <c r="E552" s="165" t="s">
        <v>1250</v>
      </c>
      <c r="F552" s="165" t="s">
        <v>1645</v>
      </c>
      <c r="G552" s="165" t="s">
        <v>1671</v>
      </c>
      <c r="H552" s="165" t="s">
        <v>937</v>
      </c>
      <c r="I552" s="165">
        <v>44574</v>
      </c>
      <c r="J552">
        <v>44574</v>
      </c>
      <c r="K552" s="165" t="s">
        <v>1671</v>
      </c>
      <c r="L552">
        <v>1552.5</v>
      </c>
      <c r="M552">
        <v>44603</v>
      </c>
      <c r="O552"/>
      <c r="P552"/>
      <c r="Q552"/>
      <c r="R552" s="165">
        <v>1552.5</v>
      </c>
      <c r="S552" s="165"/>
      <c r="T552" t="s">
        <v>1260</v>
      </c>
      <c r="U552" s="165" t="s">
        <v>1267</v>
      </c>
      <c r="V552" s="165" t="s">
        <v>1267</v>
      </c>
      <c r="W552"/>
      <c r="X552"/>
      <c r="AB552"/>
      <c r="AC552"/>
      <c r="AD552"/>
      <c r="AE552"/>
      <c r="AF552"/>
      <c r="AG552"/>
      <c r="AH552"/>
    </row>
    <row r="553" spans="1:34" x14ac:dyDescent="0.25">
      <c r="A553" s="78">
        <v>20220840</v>
      </c>
      <c r="B553" s="165" t="s">
        <v>1256</v>
      </c>
      <c r="C553" s="165" t="s">
        <v>1257</v>
      </c>
      <c r="D553" s="165">
        <v>3</v>
      </c>
      <c r="E553" s="165" t="s">
        <v>1250</v>
      </c>
      <c r="F553" s="165" t="s">
        <v>1621</v>
      </c>
      <c r="G553" s="165" t="s">
        <v>1671</v>
      </c>
      <c r="H553" s="165" t="s">
        <v>969</v>
      </c>
      <c r="I553" s="165">
        <v>44567</v>
      </c>
      <c r="J553">
        <v>44567</v>
      </c>
      <c r="K553" s="165" t="s">
        <v>1671</v>
      </c>
      <c r="L553">
        <v>682.48</v>
      </c>
      <c r="M553">
        <v>44595</v>
      </c>
      <c r="O553"/>
      <c r="P553"/>
      <c r="Q553"/>
      <c r="R553" s="165">
        <v>2047.44</v>
      </c>
      <c r="S553" s="165"/>
      <c r="T553" t="s">
        <v>1260</v>
      </c>
      <c r="U553" s="165" t="s">
        <v>1267</v>
      </c>
      <c r="V553" s="165" t="s">
        <v>1267</v>
      </c>
      <c r="W553"/>
      <c r="X553"/>
      <c r="AB553"/>
      <c r="AC553"/>
      <c r="AD553"/>
      <c r="AE553"/>
      <c r="AF553"/>
      <c r="AG553"/>
      <c r="AH553"/>
    </row>
    <row r="554" spans="1:34" x14ac:dyDescent="0.25">
      <c r="A554" s="78">
        <v>20210834</v>
      </c>
      <c r="B554" s="165" t="s">
        <v>1256</v>
      </c>
      <c r="C554" s="165" t="s">
        <v>1257</v>
      </c>
      <c r="D554" s="165">
        <v>6</v>
      </c>
      <c r="E554" s="165" t="s">
        <v>1250</v>
      </c>
      <c r="F554" s="165" t="s">
        <v>1621</v>
      </c>
      <c r="G554" s="165" t="s">
        <v>1671</v>
      </c>
      <c r="H554" s="165" t="s">
        <v>929</v>
      </c>
      <c r="I554" s="165"/>
      <c r="J554">
        <v>44558</v>
      </c>
      <c r="K554" s="165" t="s">
        <v>1671</v>
      </c>
      <c r="L554">
        <v>4094.88</v>
      </c>
      <c r="M554">
        <v>44586</v>
      </c>
      <c r="O554"/>
      <c r="P554"/>
      <c r="Q554"/>
      <c r="R554" s="165">
        <v>4094.88</v>
      </c>
      <c r="S554" s="165"/>
      <c r="T554" t="s">
        <v>1266</v>
      </c>
      <c r="U554" s="165" t="s">
        <v>1267</v>
      </c>
      <c r="V554" s="165" t="s">
        <v>1267</v>
      </c>
      <c r="W554"/>
      <c r="X554"/>
      <c r="AB554"/>
      <c r="AC554"/>
      <c r="AD554"/>
      <c r="AE554"/>
      <c r="AF554"/>
      <c r="AG554"/>
      <c r="AH554"/>
    </row>
    <row r="555" spans="1:34" x14ac:dyDescent="0.25">
      <c r="A555" s="78">
        <v>20220839</v>
      </c>
      <c r="B555" s="165" t="s">
        <v>1292</v>
      </c>
      <c r="C555" s="165" t="s">
        <v>1293</v>
      </c>
      <c r="D555" s="165" t="s">
        <v>1666</v>
      </c>
      <c r="E555" s="165" t="s">
        <v>1667</v>
      </c>
      <c r="F555" s="165" t="s">
        <v>1668</v>
      </c>
      <c r="G555" s="165" t="s">
        <v>1671</v>
      </c>
      <c r="H555" s="165" t="s">
        <v>969</v>
      </c>
      <c r="I555" s="165"/>
      <c r="J555">
        <v>44575</v>
      </c>
      <c r="K555" s="165" t="s">
        <v>1671</v>
      </c>
      <c r="L555">
        <v>465</v>
      </c>
      <c r="M555">
        <v>44593</v>
      </c>
      <c r="O555"/>
      <c r="P555"/>
      <c r="Q555"/>
      <c r="R555" s="165">
        <v>465</v>
      </c>
      <c r="S555" s="165"/>
      <c r="T555" t="s">
        <v>1260</v>
      </c>
      <c r="U555" s="165" t="s">
        <v>1267</v>
      </c>
      <c r="V555" s="165" t="s">
        <v>1267</v>
      </c>
      <c r="W555"/>
      <c r="X555"/>
      <c r="AB555"/>
      <c r="AC555"/>
      <c r="AD555"/>
      <c r="AE555"/>
      <c r="AF555"/>
      <c r="AG555"/>
      <c r="AH555"/>
    </row>
    <row r="556" spans="1:34" x14ac:dyDescent="0.25">
      <c r="A556" s="78">
        <v>20220850</v>
      </c>
      <c r="B556" s="165" t="s">
        <v>1256</v>
      </c>
      <c r="C556" s="165" t="s">
        <v>1257</v>
      </c>
      <c r="D556" s="165" t="s">
        <v>1682</v>
      </c>
      <c r="E556" s="165">
        <v>683.15</v>
      </c>
      <c r="F556" s="165" t="s">
        <v>1621</v>
      </c>
      <c r="G556" s="165" t="s">
        <v>1671</v>
      </c>
      <c r="H556" s="165" t="s">
        <v>929</v>
      </c>
      <c r="I556" s="165"/>
      <c r="J556">
        <v>44585</v>
      </c>
      <c r="K556" s="165" t="s">
        <v>1671</v>
      </c>
      <c r="L556">
        <v>2049.4499999999998</v>
      </c>
      <c r="M556">
        <v>44614</v>
      </c>
      <c r="O556"/>
      <c r="P556"/>
      <c r="Q556"/>
      <c r="R556" s="165">
        <v>2049.4499999999998</v>
      </c>
      <c r="S556" s="165"/>
      <c r="T556" t="s">
        <v>1260</v>
      </c>
      <c r="U556" s="165" t="s">
        <v>1267</v>
      </c>
      <c r="V556" s="165" t="s">
        <v>1267</v>
      </c>
      <c r="W556"/>
      <c r="X556"/>
      <c r="AB556"/>
      <c r="AC556"/>
      <c r="AD556"/>
      <c r="AE556"/>
      <c r="AF556"/>
      <c r="AG556"/>
      <c r="AH556"/>
    </row>
    <row r="557" spans="1:34" x14ac:dyDescent="0.25">
      <c r="A557" s="78">
        <v>20220854</v>
      </c>
      <c r="B557" s="165" t="s">
        <v>1292</v>
      </c>
      <c r="C557" s="165" t="s">
        <v>1293</v>
      </c>
      <c r="D557" s="165" t="s">
        <v>1666</v>
      </c>
      <c r="E557" s="165">
        <v>330.33</v>
      </c>
      <c r="F557" s="165" t="s">
        <v>1713</v>
      </c>
      <c r="G557" s="165" t="s">
        <v>1671</v>
      </c>
      <c r="H557" s="165" t="s">
        <v>945</v>
      </c>
      <c r="I557" s="165"/>
      <c r="J557">
        <v>44589</v>
      </c>
      <c r="K557" s="165" t="s">
        <v>1671</v>
      </c>
      <c r="L557">
        <v>330.33</v>
      </c>
      <c r="M557">
        <v>44589</v>
      </c>
      <c r="O557"/>
      <c r="P557"/>
      <c r="Q557"/>
      <c r="R557" s="165">
        <v>330.33</v>
      </c>
      <c r="S557" s="165"/>
      <c r="T557" t="s">
        <v>1266</v>
      </c>
      <c r="U557" s="165" t="s">
        <v>1267</v>
      </c>
      <c r="V557" s="165" t="s">
        <v>1267</v>
      </c>
      <c r="W557"/>
      <c r="X557"/>
      <c r="AB557"/>
      <c r="AC557"/>
      <c r="AD557"/>
      <c r="AE557"/>
      <c r="AF557"/>
      <c r="AG557"/>
      <c r="AH557"/>
    </row>
    <row r="558" spans="1:34" x14ac:dyDescent="0.25">
      <c r="A558" s="78">
        <v>20210823</v>
      </c>
      <c r="B558" s="165" t="s">
        <v>1292</v>
      </c>
      <c r="C558" s="165" t="s">
        <v>1288</v>
      </c>
      <c r="D558" s="165">
        <v>1</v>
      </c>
      <c r="E558" s="165">
        <v>2220.6</v>
      </c>
      <c r="F558" s="165" t="s">
        <v>1645</v>
      </c>
      <c r="G558" s="165" t="s">
        <v>1671</v>
      </c>
      <c r="H558" s="165" t="s">
        <v>929</v>
      </c>
      <c r="I558" s="165"/>
      <c r="J558" s="78">
        <v>44539</v>
      </c>
      <c r="K558" s="165" t="s">
        <v>1671</v>
      </c>
      <c r="L558" s="78">
        <v>2220.6</v>
      </c>
      <c r="M558" s="78">
        <v>44567</v>
      </c>
      <c r="N558" s="78"/>
      <c r="R558" s="165">
        <v>2220.6</v>
      </c>
      <c r="S558" s="165"/>
      <c r="T558" s="78" t="s">
        <v>1266</v>
      </c>
      <c r="U558" s="165" t="s">
        <v>1267</v>
      </c>
      <c r="V558" s="165" t="s">
        <v>1267</v>
      </c>
      <c r="W558"/>
      <c r="X558"/>
      <c r="Z558" s="78"/>
      <c r="AA558" s="78"/>
      <c r="AG558"/>
      <c r="AH558"/>
    </row>
    <row r="559" spans="1:34" x14ac:dyDescent="0.25">
      <c r="A559" s="78">
        <v>20210820</v>
      </c>
      <c r="B559" s="165" t="s">
        <v>1292</v>
      </c>
      <c r="C559" s="165" t="s">
        <v>1293</v>
      </c>
      <c r="D559" s="165">
        <v>1</v>
      </c>
      <c r="E559" s="165">
        <v>1600</v>
      </c>
      <c r="F559" s="165" t="s">
        <v>1714</v>
      </c>
      <c r="G559" s="165" t="s">
        <v>1671</v>
      </c>
      <c r="H559" s="165" t="s">
        <v>922</v>
      </c>
      <c r="I559" s="165"/>
      <c r="J559" s="78">
        <v>44551</v>
      </c>
      <c r="K559" s="165" t="s">
        <v>1671</v>
      </c>
      <c r="L559" s="78">
        <v>1600</v>
      </c>
      <c r="M559" s="78">
        <v>44566</v>
      </c>
      <c r="N559" s="78"/>
      <c r="R559" s="165">
        <v>1600</v>
      </c>
      <c r="S559" s="165"/>
      <c r="T559" s="78" t="s">
        <v>1266</v>
      </c>
      <c r="U559" s="165" t="s">
        <v>1267</v>
      </c>
      <c r="V559" s="165" t="s">
        <v>1267</v>
      </c>
      <c r="W559"/>
      <c r="X559"/>
      <c r="Z559" s="78"/>
      <c r="AA559" s="78"/>
      <c r="AG559"/>
      <c r="AH559"/>
    </row>
    <row r="560" spans="1:34" x14ac:dyDescent="0.25">
      <c r="A560" s="78">
        <v>20210767</v>
      </c>
      <c r="B560" s="165" t="s">
        <v>97</v>
      </c>
      <c r="C560" s="165" t="s">
        <v>1296</v>
      </c>
      <c r="D560" s="165">
        <v>1</v>
      </c>
      <c r="E560" s="165">
        <v>783.72</v>
      </c>
      <c r="F560" s="165" t="s">
        <v>1715</v>
      </c>
      <c r="G560" s="165" t="s">
        <v>1671</v>
      </c>
      <c r="H560" s="165" t="s">
        <v>1244</v>
      </c>
      <c r="I560" s="165"/>
      <c r="J560" s="78">
        <v>44543</v>
      </c>
      <c r="K560" s="165" t="s">
        <v>1671</v>
      </c>
      <c r="L560" s="78">
        <v>783.72</v>
      </c>
      <c r="M560" s="78">
        <v>44564</v>
      </c>
      <c r="N560" s="78"/>
      <c r="R560" s="165">
        <v>783.72</v>
      </c>
      <c r="S560" s="165"/>
      <c r="T560" s="78" t="s">
        <v>1266</v>
      </c>
      <c r="U560" s="165" t="s">
        <v>1267</v>
      </c>
      <c r="V560" s="165" t="s">
        <v>1267</v>
      </c>
      <c r="W560"/>
      <c r="X560"/>
      <c r="Z560" s="78"/>
      <c r="AA560" s="78"/>
      <c r="AG560"/>
      <c r="AH560"/>
    </row>
    <row r="561" spans="1:34" x14ac:dyDescent="0.25">
      <c r="A561" s="78">
        <v>20220844</v>
      </c>
      <c r="B561" s="165" t="s">
        <v>1292</v>
      </c>
      <c r="C561" s="165" t="s">
        <v>1293</v>
      </c>
      <c r="D561" s="165">
        <v>1</v>
      </c>
      <c r="E561" s="165">
        <v>79.349999999999994</v>
      </c>
      <c r="F561" s="165" t="s">
        <v>1716</v>
      </c>
      <c r="G561" s="165" t="s">
        <v>1671</v>
      </c>
      <c r="H561" s="165" t="s">
        <v>937</v>
      </c>
      <c r="I561" s="165"/>
      <c r="J561" s="78">
        <v>44575</v>
      </c>
      <c r="K561" s="165" t="s">
        <v>1671</v>
      </c>
      <c r="L561" s="78">
        <v>79.349999999999994</v>
      </c>
      <c r="M561" s="78">
        <v>44575</v>
      </c>
      <c r="N561" s="78"/>
      <c r="R561" s="165">
        <v>79.349999999999994</v>
      </c>
      <c r="S561" s="165"/>
      <c r="T561" s="78" t="s">
        <v>1266</v>
      </c>
      <c r="U561" s="165" t="s">
        <v>1267</v>
      </c>
      <c r="V561" s="165" t="s">
        <v>1267</v>
      </c>
      <c r="W561"/>
      <c r="X561"/>
      <c r="Z561" s="78"/>
      <c r="AA561" s="78"/>
      <c r="AG561"/>
      <c r="AH561"/>
    </row>
    <row r="562" spans="1:34" x14ac:dyDescent="0.25">
      <c r="A562" s="78">
        <v>20210750</v>
      </c>
      <c r="B562" s="165" t="s">
        <v>97</v>
      </c>
      <c r="C562" s="165" t="s">
        <v>1356</v>
      </c>
      <c r="D562" s="165">
        <v>1</v>
      </c>
      <c r="E562" s="165">
        <v>1429</v>
      </c>
      <c r="F562" s="165" t="s">
        <v>1717</v>
      </c>
      <c r="G562" s="165" t="s">
        <v>1671</v>
      </c>
      <c r="H562" s="165" t="s">
        <v>1184</v>
      </c>
      <c r="I562" s="165"/>
      <c r="J562" s="78">
        <v>44536</v>
      </c>
      <c r="K562" s="165" t="s">
        <v>1671</v>
      </c>
      <c r="L562" s="78">
        <v>1429</v>
      </c>
      <c r="M562" s="78">
        <v>44564</v>
      </c>
      <c r="N562" s="78"/>
      <c r="R562" s="165">
        <v>1429</v>
      </c>
      <c r="S562" s="165"/>
      <c r="T562" s="78" t="s">
        <v>1266</v>
      </c>
      <c r="U562" s="165" t="s">
        <v>1267</v>
      </c>
      <c r="V562" s="165" t="s">
        <v>1267</v>
      </c>
      <c r="W562"/>
      <c r="X562"/>
      <c r="Z562" s="78"/>
      <c r="AA562" s="78"/>
      <c r="AG562"/>
      <c r="AH562"/>
    </row>
    <row r="563" spans="1:34" x14ac:dyDescent="0.25">
      <c r="W563"/>
      <c r="X563"/>
      <c r="Z563" s="78"/>
      <c r="AA563" s="78"/>
      <c r="AG563"/>
      <c r="AH563"/>
    </row>
    <row r="564" spans="1:34" x14ac:dyDescent="0.25">
      <c r="W564"/>
      <c r="X564"/>
      <c r="Z564" s="78"/>
      <c r="AA564" s="78"/>
      <c r="AG564"/>
      <c r="AH564"/>
    </row>
    <row r="565" spans="1:34" x14ac:dyDescent="0.25">
      <c r="W565"/>
      <c r="X565"/>
      <c r="Z565" s="78"/>
      <c r="AA565" s="78"/>
      <c r="AG565"/>
      <c r="AH565"/>
    </row>
    <row r="566" spans="1:34" x14ac:dyDescent="0.25">
      <c r="W566"/>
      <c r="X566"/>
      <c r="Z566" s="78"/>
      <c r="AA566" s="78"/>
      <c r="AG566"/>
      <c r="AH566"/>
    </row>
    <row r="567" spans="1:34" x14ac:dyDescent="0.25">
      <c r="W567"/>
      <c r="X567"/>
      <c r="Z567" s="78"/>
      <c r="AA567" s="78"/>
      <c r="AG567"/>
      <c r="AH567"/>
    </row>
    <row r="568" spans="1:34" x14ac:dyDescent="0.25">
      <c r="W568"/>
      <c r="X568"/>
      <c r="Z568" s="78"/>
      <c r="AA568" s="78"/>
      <c r="AG568"/>
      <c r="AH568"/>
    </row>
    <row r="569" spans="1:34" x14ac:dyDescent="0.25">
      <c r="W569"/>
      <c r="X569"/>
      <c r="Z569" s="78"/>
      <c r="AA569" s="78"/>
      <c r="AG569"/>
      <c r="AH569"/>
    </row>
    <row r="570" spans="1:34" x14ac:dyDescent="0.25">
      <c r="W570"/>
      <c r="X570"/>
      <c r="Z570" s="78"/>
      <c r="AA570" s="78"/>
      <c r="AG570"/>
      <c r="AH570"/>
    </row>
    <row r="571" spans="1:34" x14ac:dyDescent="0.25">
      <c r="W571"/>
      <c r="X571"/>
      <c r="Z571" s="78"/>
      <c r="AA571" s="78"/>
      <c r="AG571"/>
      <c r="AH571"/>
    </row>
    <row r="572" spans="1:34" x14ac:dyDescent="0.25">
      <c r="W572"/>
      <c r="X572"/>
      <c r="Z572" s="78"/>
      <c r="AA572" s="78"/>
      <c r="AG572"/>
      <c r="AH572"/>
    </row>
    <row r="573" spans="1:34" x14ac:dyDescent="0.25">
      <c r="W573"/>
      <c r="X573"/>
      <c r="Z573" s="78"/>
      <c r="AA573" s="78"/>
      <c r="AG573"/>
      <c r="AH573"/>
    </row>
    <row r="574" spans="1:34" x14ac:dyDescent="0.25">
      <c r="W574"/>
      <c r="X574"/>
      <c r="Z574" s="78"/>
      <c r="AA574" s="78"/>
      <c r="AG574"/>
      <c r="AH574"/>
    </row>
    <row r="575" spans="1:34" x14ac:dyDescent="0.25">
      <c r="W575"/>
      <c r="X575"/>
      <c r="Z575" s="78"/>
      <c r="AA575" s="78"/>
      <c r="AG575"/>
      <c r="AH575"/>
    </row>
    <row r="576" spans="1:34" x14ac:dyDescent="0.25">
      <c r="W576"/>
      <c r="X576"/>
      <c r="Z576" s="78"/>
      <c r="AA576" s="78"/>
      <c r="AG576"/>
      <c r="AH576"/>
    </row>
    <row r="577" spans="23:34" x14ac:dyDescent="0.25">
      <c r="W577"/>
      <c r="X577"/>
      <c r="Z577" s="78"/>
      <c r="AA577" s="78"/>
      <c r="AG577"/>
      <c r="AH577"/>
    </row>
    <row r="578" spans="23:34" x14ac:dyDescent="0.25">
      <c r="W578"/>
      <c r="X578"/>
      <c r="Z578" s="78"/>
      <c r="AA578" s="78"/>
      <c r="AG578"/>
      <c r="AH578"/>
    </row>
    <row r="579" spans="23:34" x14ac:dyDescent="0.25">
      <c r="W579"/>
      <c r="X579"/>
      <c r="Z579" s="78"/>
      <c r="AA579" s="78"/>
      <c r="AG579"/>
      <c r="AH579"/>
    </row>
    <row r="580" spans="23:34" x14ac:dyDescent="0.25">
      <c r="W580"/>
      <c r="X580"/>
      <c r="Z580" s="78"/>
      <c r="AA580" s="78"/>
      <c r="AG580"/>
      <c r="AH580"/>
    </row>
    <row r="581" spans="23:34" x14ac:dyDescent="0.25">
      <c r="W581"/>
      <c r="X581"/>
      <c r="Z581" s="78"/>
      <c r="AA581" s="78"/>
      <c r="AG581"/>
      <c r="AH581"/>
    </row>
    <row r="582" spans="23:34" x14ac:dyDescent="0.25">
      <c r="W582"/>
      <c r="X582"/>
      <c r="Z582" s="78"/>
      <c r="AA582" s="78"/>
      <c r="AG582"/>
      <c r="AH582"/>
    </row>
    <row r="583" spans="23:34" x14ac:dyDescent="0.25">
      <c r="W583"/>
      <c r="X583"/>
      <c r="Z583" s="78"/>
      <c r="AA583" s="78"/>
      <c r="AG583"/>
      <c r="AH583"/>
    </row>
    <row r="584" spans="23:34" x14ac:dyDescent="0.25">
      <c r="W584"/>
      <c r="X584"/>
      <c r="Z584" s="78"/>
      <c r="AA584" s="78"/>
      <c r="AG584"/>
      <c r="AH584"/>
    </row>
    <row r="585" spans="23:34" x14ac:dyDescent="0.25">
      <c r="W585"/>
      <c r="X585"/>
      <c r="Z585" s="78"/>
      <c r="AA585" s="78"/>
      <c r="AG585"/>
      <c r="AH585"/>
    </row>
    <row r="586" spans="23:34" x14ac:dyDescent="0.25">
      <c r="W586"/>
      <c r="X586"/>
      <c r="Z586" s="78"/>
      <c r="AA586" s="78"/>
      <c r="AG586"/>
      <c r="AH586"/>
    </row>
    <row r="587" spans="23:34" x14ac:dyDescent="0.25">
      <c r="W587"/>
      <c r="X587"/>
      <c r="Z587" s="78"/>
      <c r="AA587" s="78"/>
      <c r="AG587"/>
      <c r="AH587"/>
    </row>
    <row r="588" spans="23:34" x14ac:dyDescent="0.25">
      <c r="W588"/>
      <c r="X588"/>
      <c r="Z588" s="78"/>
      <c r="AA588" s="78"/>
      <c r="AG588"/>
      <c r="AH588"/>
    </row>
    <row r="589" spans="23:34" x14ac:dyDescent="0.25">
      <c r="W589"/>
      <c r="X589"/>
      <c r="Z589" s="78"/>
      <c r="AA589" s="78"/>
      <c r="AG589"/>
      <c r="AH589"/>
    </row>
    <row r="590" spans="23:34" x14ac:dyDescent="0.25">
      <c r="W590"/>
      <c r="X590"/>
      <c r="Z590" s="78"/>
      <c r="AA590" s="78"/>
      <c r="AG590"/>
      <c r="AH590"/>
    </row>
    <row r="591" spans="23:34" x14ac:dyDescent="0.25">
      <c r="W591"/>
      <c r="X591"/>
      <c r="Z591" s="78"/>
      <c r="AA591" s="78"/>
      <c r="AG591"/>
      <c r="AH591"/>
    </row>
    <row r="592" spans="23:34" x14ac:dyDescent="0.25">
      <c r="W592"/>
      <c r="X592"/>
      <c r="Z592" s="78"/>
      <c r="AA592" s="78"/>
      <c r="AG592"/>
      <c r="AH592"/>
    </row>
    <row r="593" spans="23:34" x14ac:dyDescent="0.25">
      <c r="W593"/>
      <c r="X593"/>
      <c r="Z593" s="78"/>
      <c r="AA593" s="78"/>
      <c r="AG593"/>
      <c r="AH593"/>
    </row>
    <row r="594" spans="23:34" x14ac:dyDescent="0.25">
      <c r="W594"/>
      <c r="X594"/>
      <c r="Z594" s="78"/>
      <c r="AA594" s="78"/>
      <c r="AG594"/>
      <c r="AH594"/>
    </row>
    <row r="595" spans="23:34" x14ac:dyDescent="0.25">
      <c r="W595"/>
      <c r="X595"/>
      <c r="Z595" s="78"/>
      <c r="AA595" s="78"/>
      <c r="AG595"/>
      <c r="AH595"/>
    </row>
    <row r="596" spans="23:34" x14ac:dyDescent="0.25">
      <c r="W596"/>
      <c r="X596"/>
      <c r="Z596" s="78"/>
      <c r="AA596" s="78"/>
      <c r="AG596"/>
      <c r="AH596"/>
    </row>
    <row r="597" spans="23:34" x14ac:dyDescent="0.25">
      <c r="W597"/>
      <c r="X597"/>
      <c r="Z597" s="78"/>
      <c r="AA597" s="78"/>
      <c r="AG597"/>
      <c r="AH597"/>
    </row>
    <row r="598" spans="23:34" x14ac:dyDescent="0.25">
      <c r="W598"/>
      <c r="X598"/>
      <c r="Z598" s="78"/>
      <c r="AA598" s="78"/>
      <c r="AG598"/>
      <c r="AH598"/>
    </row>
    <row r="599" spans="23:34" x14ac:dyDescent="0.25">
      <c r="W599"/>
      <c r="X599"/>
      <c r="Z599" s="78"/>
      <c r="AA599" s="78"/>
      <c r="AG599"/>
      <c r="AH599"/>
    </row>
    <row r="600" spans="23:34" x14ac:dyDescent="0.25">
      <c r="W600"/>
      <c r="X600"/>
      <c r="Z600" s="78"/>
      <c r="AA600" s="78"/>
      <c r="AG600"/>
      <c r="AH600"/>
    </row>
    <row r="601" spans="23:34" x14ac:dyDescent="0.25">
      <c r="W601"/>
      <c r="X601"/>
      <c r="Z601" s="78"/>
      <c r="AA601" s="78"/>
      <c r="AG601"/>
      <c r="AH601"/>
    </row>
    <row r="602" spans="23:34" x14ac:dyDescent="0.25">
      <c r="W602"/>
      <c r="X602"/>
      <c r="Z602" s="78"/>
      <c r="AA602" s="78"/>
      <c r="AG602"/>
      <c r="AH602"/>
    </row>
    <row r="603" spans="23:34" x14ac:dyDescent="0.25">
      <c r="W603"/>
      <c r="X603"/>
      <c r="Z603" s="78"/>
      <c r="AA603" s="78"/>
      <c r="AG603"/>
      <c r="AH603"/>
    </row>
    <row r="604" spans="23:34" x14ac:dyDescent="0.25">
      <c r="W604"/>
      <c r="X604"/>
      <c r="Z604" s="78"/>
      <c r="AA604" s="78"/>
      <c r="AG604"/>
      <c r="AH604"/>
    </row>
    <row r="605" spans="23:34" x14ac:dyDescent="0.25">
      <c r="W605"/>
      <c r="X605"/>
      <c r="Z605" s="78"/>
      <c r="AA605" s="78"/>
      <c r="AG605"/>
      <c r="AH605"/>
    </row>
    <row r="606" spans="23:34" x14ac:dyDescent="0.25">
      <c r="W606"/>
      <c r="X606"/>
      <c r="Z606" s="78"/>
      <c r="AA606" s="78"/>
      <c r="AG606"/>
      <c r="AH606"/>
    </row>
    <row r="607" spans="23:34" x14ac:dyDescent="0.25">
      <c r="W607"/>
      <c r="X607"/>
      <c r="Z607" s="78"/>
      <c r="AA607" s="78"/>
      <c r="AG607"/>
      <c r="AH607"/>
    </row>
    <row r="608" spans="23:34" x14ac:dyDescent="0.25">
      <c r="W608"/>
      <c r="X608"/>
      <c r="Z608" s="78"/>
      <c r="AA608" s="78"/>
      <c r="AG608"/>
      <c r="AH608"/>
    </row>
    <row r="609" spans="23:34" x14ac:dyDescent="0.25">
      <c r="W609"/>
      <c r="X609"/>
      <c r="Z609" s="78"/>
      <c r="AA609" s="78"/>
      <c r="AG609"/>
      <c r="AH609"/>
    </row>
    <row r="610" spans="23:34" x14ac:dyDescent="0.25">
      <c r="W610"/>
      <c r="X610"/>
      <c r="Z610" s="78"/>
      <c r="AA610" s="78"/>
      <c r="AG610"/>
      <c r="AH610"/>
    </row>
    <row r="611" spans="23:34" x14ac:dyDescent="0.25">
      <c r="W611"/>
      <c r="X611"/>
      <c r="Z611" s="78"/>
      <c r="AA611" s="78"/>
      <c r="AG611"/>
      <c r="AH611"/>
    </row>
    <row r="612" spans="23:34" x14ac:dyDescent="0.25">
      <c r="W612"/>
      <c r="X612"/>
      <c r="Z612" s="78"/>
      <c r="AA612" s="78"/>
      <c r="AG612"/>
      <c r="AH612"/>
    </row>
    <row r="613" spans="23:34" x14ac:dyDescent="0.25">
      <c r="W613"/>
      <c r="X613"/>
      <c r="Z613" s="78"/>
      <c r="AA613" s="78"/>
      <c r="AG613"/>
      <c r="AH613"/>
    </row>
    <row r="614" spans="23:34" x14ac:dyDescent="0.25">
      <c r="W614"/>
      <c r="X614"/>
      <c r="Z614" s="78"/>
      <c r="AA614" s="78"/>
      <c r="AG614"/>
      <c r="AH614"/>
    </row>
    <row r="615" spans="23:34" x14ac:dyDescent="0.25">
      <c r="W615"/>
      <c r="X615"/>
      <c r="Z615" s="78"/>
      <c r="AA615" s="78"/>
      <c r="AG615"/>
      <c r="AH615"/>
    </row>
    <row r="616" spans="23:34" x14ac:dyDescent="0.25">
      <c r="W616"/>
      <c r="X616"/>
      <c r="Z616" s="78"/>
      <c r="AA616" s="78"/>
      <c r="AG616"/>
      <c r="AH616"/>
    </row>
    <row r="617" spans="23:34" x14ac:dyDescent="0.25">
      <c r="W617"/>
      <c r="X617"/>
      <c r="Z617" s="78"/>
      <c r="AA617" s="78"/>
      <c r="AG617"/>
      <c r="AH617"/>
    </row>
    <row r="618" spans="23:34" x14ac:dyDescent="0.25">
      <c r="W618"/>
      <c r="X618"/>
      <c r="Z618" s="78"/>
      <c r="AA618" s="78"/>
      <c r="AG618"/>
      <c r="AH618"/>
    </row>
    <row r="619" spans="23:34" x14ac:dyDescent="0.25">
      <c r="W619"/>
      <c r="X619"/>
      <c r="Z619" s="78"/>
      <c r="AA619" s="78"/>
      <c r="AG619"/>
      <c r="AH619"/>
    </row>
    <row r="620" spans="23:34" x14ac:dyDescent="0.25">
      <c r="W620"/>
      <c r="X620"/>
      <c r="Z620" s="78"/>
      <c r="AA620" s="78"/>
      <c r="AG620"/>
      <c r="AH620"/>
    </row>
    <row r="621" spans="23:34" x14ac:dyDescent="0.25">
      <c r="W621"/>
      <c r="X621"/>
      <c r="Z621" s="78"/>
      <c r="AA621" s="78"/>
      <c r="AG621"/>
      <c r="AH621"/>
    </row>
    <row r="622" spans="23:34" x14ac:dyDescent="0.25">
      <c r="W622"/>
      <c r="X622"/>
      <c r="Z622" s="78"/>
      <c r="AA622" s="78"/>
      <c r="AG622"/>
      <c r="AH622"/>
    </row>
    <row r="623" spans="23:34" x14ac:dyDescent="0.25">
      <c r="W623"/>
      <c r="X623"/>
      <c r="Z623" s="78"/>
      <c r="AA623" s="78"/>
      <c r="AG623"/>
      <c r="AH623"/>
    </row>
    <row r="624" spans="23:34" x14ac:dyDescent="0.25">
      <c r="W624"/>
      <c r="X624"/>
      <c r="Z624" s="78"/>
      <c r="AA624" s="78"/>
      <c r="AG624"/>
      <c r="AH624"/>
    </row>
    <row r="625" spans="23:34" x14ac:dyDescent="0.25">
      <c r="W625"/>
      <c r="X625"/>
      <c r="Z625" s="78"/>
      <c r="AA625" s="78"/>
      <c r="AG625"/>
      <c r="AH625"/>
    </row>
    <row r="626" spans="23:34" x14ac:dyDescent="0.25">
      <c r="W626"/>
      <c r="X626"/>
      <c r="Z626" s="78"/>
      <c r="AA626" s="78"/>
      <c r="AG626"/>
      <c r="AH626"/>
    </row>
    <row r="627" spans="23:34" x14ac:dyDescent="0.25">
      <c r="W627"/>
      <c r="X627"/>
      <c r="Z627" s="78"/>
      <c r="AA627" s="78"/>
      <c r="AG627"/>
      <c r="AH627"/>
    </row>
    <row r="628" spans="23:34" x14ac:dyDescent="0.25">
      <c r="W628"/>
      <c r="X628"/>
      <c r="Z628" s="78"/>
      <c r="AA628" s="78"/>
      <c r="AG628"/>
      <c r="AH628"/>
    </row>
    <row r="629" spans="23:34" x14ac:dyDescent="0.25">
      <c r="W629"/>
      <c r="X629"/>
      <c r="Z629" s="78"/>
      <c r="AA629" s="78"/>
      <c r="AG629"/>
      <c r="AH629"/>
    </row>
    <row r="630" spans="23:34" x14ac:dyDescent="0.25">
      <c r="W630"/>
      <c r="X630"/>
      <c r="Z630" s="78"/>
      <c r="AA630" s="78"/>
      <c r="AG630"/>
      <c r="AH630"/>
    </row>
    <row r="631" spans="23:34" x14ac:dyDescent="0.25">
      <c r="W631"/>
      <c r="X631"/>
      <c r="Z631" s="78"/>
      <c r="AA631" s="78"/>
      <c r="AG631"/>
      <c r="AH631"/>
    </row>
    <row r="632" spans="23:34" x14ac:dyDescent="0.25">
      <c r="W632"/>
      <c r="X632"/>
      <c r="Z632" s="78"/>
      <c r="AA632" s="78"/>
      <c r="AG632"/>
      <c r="AH632"/>
    </row>
    <row r="633" spans="23:34" x14ac:dyDescent="0.25">
      <c r="W633"/>
      <c r="X633"/>
      <c r="Z633" s="78"/>
      <c r="AA633" s="78"/>
      <c r="AG633"/>
      <c r="AH633"/>
    </row>
    <row r="634" spans="23:34" x14ac:dyDescent="0.25">
      <c r="W634"/>
      <c r="X634"/>
      <c r="Z634" s="78"/>
      <c r="AA634" s="78"/>
      <c r="AG634"/>
      <c r="AH634"/>
    </row>
    <row r="635" spans="23:34" x14ac:dyDescent="0.25">
      <c r="W635"/>
      <c r="X635"/>
      <c r="Z635" s="78"/>
      <c r="AA635" s="78"/>
      <c r="AG635"/>
      <c r="AH635"/>
    </row>
    <row r="636" spans="23:34" x14ac:dyDescent="0.25">
      <c r="W636"/>
      <c r="X636"/>
      <c r="Z636" s="78"/>
      <c r="AA636" s="78"/>
      <c r="AG636"/>
      <c r="AH636"/>
    </row>
    <row r="637" spans="23:34" x14ac:dyDescent="0.25">
      <c r="W637"/>
      <c r="X637"/>
      <c r="Z637" s="78"/>
      <c r="AA637" s="78"/>
      <c r="AG637"/>
      <c r="AH637"/>
    </row>
    <row r="638" spans="23:34" x14ac:dyDescent="0.25">
      <c r="W638"/>
      <c r="X638"/>
      <c r="Z638" s="78"/>
      <c r="AA638" s="78"/>
      <c r="AG638"/>
      <c r="AH638"/>
    </row>
    <row r="639" spans="23:34" x14ac:dyDescent="0.25">
      <c r="W639"/>
      <c r="X639"/>
      <c r="Z639" s="78"/>
      <c r="AA639" s="78"/>
      <c r="AG639"/>
      <c r="AH639"/>
    </row>
    <row r="640" spans="23:34" x14ac:dyDescent="0.25">
      <c r="W640"/>
      <c r="X640"/>
      <c r="Z640" s="78"/>
      <c r="AA640" s="78"/>
      <c r="AG640"/>
      <c r="AH640"/>
    </row>
    <row r="641" spans="23:34" x14ac:dyDescent="0.25">
      <c r="W641"/>
      <c r="X641"/>
      <c r="Z641" s="78"/>
      <c r="AA641" s="78"/>
      <c r="AG641"/>
      <c r="AH641"/>
    </row>
    <row r="642" spans="23:34" x14ac:dyDescent="0.25">
      <c r="W642"/>
      <c r="X642"/>
      <c r="Z642" s="78"/>
      <c r="AA642" s="78"/>
      <c r="AG642"/>
      <c r="AH642"/>
    </row>
    <row r="643" spans="23:34" x14ac:dyDescent="0.25">
      <c r="W643"/>
      <c r="X643"/>
      <c r="Z643" s="78"/>
      <c r="AA643" s="78"/>
      <c r="AG643"/>
      <c r="AH643"/>
    </row>
    <row r="644" spans="23:34" x14ac:dyDescent="0.25">
      <c r="W644"/>
      <c r="X644"/>
      <c r="Z644" s="78"/>
      <c r="AA644" s="78"/>
      <c r="AG644"/>
      <c r="AH644"/>
    </row>
    <row r="645" spans="23:34" x14ac:dyDescent="0.25">
      <c r="W645"/>
      <c r="X645"/>
      <c r="Z645" s="78"/>
      <c r="AA645" s="78"/>
      <c r="AG645"/>
      <c r="AH645"/>
    </row>
    <row r="646" spans="23:34" x14ac:dyDescent="0.25">
      <c r="W646"/>
      <c r="X646"/>
      <c r="Z646" s="78"/>
      <c r="AA646" s="78"/>
      <c r="AG646"/>
      <c r="AH646"/>
    </row>
    <row r="647" spans="23:34" x14ac:dyDescent="0.25">
      <c r="W647"/>
      <c r="X647"/>
      <c r="Z647" s="78"/>
      <c r="AA647" s="78"/>
      <c r="AG647"/>
      <c r="AH647"/>
    </row>
    <row r="648" spans="23:34" x14ac:dyDescent="0.25">
      <c r="W648"/>
      <c r="X648"/>
      <c r="Z648" s="78"/>
      <c r="AA648" s="78"/>
      <c r="AG648"/>
      <c r="AH648"/>
    </row>
    <row r="649" spans="23:34" x14ac:dyDescent="0.25">
      <c r="W649"/>
      <c r="X649"/>
      <c r="Z649" s="78"/>
      <c r="AA649" s="78"/>
      <c r="AG649"/>
      <c r="AH649"/>
    </row>
    <row r="650" spans="23:34" x14ac:dyDescent="0.25">
      <c r="W650"/>
      <c r="X650"/>
      <c r="Z650" s="78"/>
      <c r="AA650" s="78"/>
      <c r="AG650"/>
      <c r="AH650"/>
    </row>
    <row r="651" spans="23:34" x14ac:dyDescent="0.25">
      <c r="W651"/>
      <c r="X651"/>
      <c r="Z651" s="78"/>
      <c r="AA651" s="78"/>
      <c r="AG651"/>
      <c r="AH651"/>
    </row>
    <row r="652" spans="23:34" x14ac:dyDescent="0.25">
      <c r="W652"/>
      <c r="X652"/>
      <c r="Z652" s="78"/>
      <c r="AA652" s="78"/>
      <c r="AG652"/>
      <c r="AH652"/>
    </row>
    <row r="653" spans="23:34" x14ac:dyDescent="0.25">
      <c r="W653"/>
      <c r="X653"/>
      <c r="Z653" s="78"/>
      <c r="AA653" s="78"/>
      <c r="AG653"/>
      <c r="AH653"/>
    </row>
    <row r="654" spans="23:34" x14ac:dyDescent="0.25">
      <c r="W654"/>
      <c r="X654"/>
      <c r="Z654" s="78"/>
      <c r="AA654" s="78"/>
      <c r="AG654"/>
      <c r="AH654"/>
    </row>
    <row r="655" spans="23:34" x14ac:dyDescent="0.25">
      <c r="W655"/>
      <c r="X655"/>
      <c r="Z655" s="78"/>
      <c r="AA655" s="78"/>
      <c r="AG655"/>
      <c r="AH655"/>
    </row>
    <row r="656" spans="23:34" x14ac:dyDescent="0.25">
      <c r="W656"/>
      <c r="X656"/>
      <c r="Z656" s="78"/>
      <c r="AA656" s="78"/>
      <c r="AG656"/>
      <c r="AH656"/>
    </row>
    <row r="657" spans="23:34" x14ac:dyDescent="0.25">
      <c r="W657"/>
      <c r="X657"/>
      <c r="Z657" s="78"/>
      <c r="AA657" s="78"/>
      <c r="AG657"/>
      <c r="AH657"/>
    </row>
    <row r="658" spans="23:34" x14ac:dyDescent="0.25">
      <c r="W658"/>
      <c r="X658"/>
      <c r="Z658" s="78"/>
      <c r="AA658" s="78"/>
      <c r="AG658"/>
      <c r="AH658"/>
    </row>
    <row r="659" spans="23:34" x14ac:dyDescent="0.25">
      <c r="W659"/>
      <c r="X659"/>
      <c r="Z659" s="78"/>
      <c r="AA659" s="78"/>
      <c r="AG659"/>
      <c r="AH659"/>
    </row>
    <row r="660" spans="23:34" x14ac:dyDescent="0.25">
      <c r="W660"/>
      <c r="X660"/>
      <c r="Z660" s="78"/>
      <c r="AA660" s="78"/>
      <c r="AG660"/>
      <c r="AH660"/>
    </row>
    <row r="661" spans="23:34" x14ac:dyDescent="0.25">
      <c r="W661"/>
      <c r="X661"/>
      <c r="Z661" s="78"/>
      <c r="AA661" s="78"/>
      <c r="AG661"/>
      <c r="AH661"/>
    </row>
    <row r="662" spans="23:34" x14ac:dyDescent="0.25">
      <c r="W662"/>
      <c r="X662"/>
      <c r="Z662" s="78"/>
      <c r="AA662" s="78"/>
      <c r="AG662"/>
      <c r="AH662"/>
    </row>
    <row r="663" spans="23:34" x14ac:dyDescent="0.25">
      <c r="W663"/>
      <c r="X663"/>
      <c r="Z663" s="78"/>
      <c r="AA663" s="78"/>
      <c r="AG663"/>
      <c r="AH663"/>
    </row>
    <row r="664" spans="23:34" x14ac:dyDescent="0.25">
      <c r="W664"/>
      <c r="X664"/>
      <c r="Z664" s="78"/>
      <c r="AA664" s="78"/>
      <c r="AG664"/>
      <c r="AH664"/>
    </row>
    <row r="665" spans="23:34" x14ac:dyDescent="0.25">
      <c r="W665"/>
      <c r="X665"/>
      <c r="Z665" s="78"/>
      <c r="AA665" s="78"/>
      <c r="AG665"/>
      <c r="AH665"/>
    </row>
    <row r="666" spans="23:34" x14ac:dyDescent="0.25">
      <c r="W666"/>
      <c r="X666"/>
      <c r="Z666" s="78"/>
      <c r="AA666" s="78"/>
      <c r="AG666"/>
      <c r="AH666"/>
    </row>
    <row r="667" spans="23:34" x14ac:dyDescent="0.25">
      <c r="W667"/>
      <c r="X667"/>
      <c r="Z667" s="78"/>
      <c r="AA667" s="78"/>
      <c r="AG667"/>
      <c r="AH667"/>
    </row>
    <row r="668" spans="23:34" x14ac:dyDescent="0.25">
      <c r="W668"/>
      <c r="X668"/>
      <c r="Z668" s="78"/>
      <c r="AA668" s="78"/>
      <c r="AG668"/>
      <c r="AH668"/>
    </row>
    <row r="669" spans="23:34" x14ac:dyDescent="0.25">
      <c r="W669"/>
      <c r="X669"/>
      <c r="Z669" s="78"/>
      <c r="AA669" s="78"/>
      <c r="AG669"/>
      <c r="AH669"/>
    </row>
    <row r="670" spans="23:34" x14ac:dyDescent="0.25">
      <c r="W670"/>
      <c r="X670"/>
      <c r="Z670" s="78"/>
      <c r="AA670" s="78"/>
      <c r="AG670"/>
      <c r="AH670"/>
    </row>
    <row r="671" spans="23:34" x14ac:dyDescent="0.25">
      <c r="W671"/>
      <c r="X671"/>
      <c r="Z671" s="78"/>
      <c r="AA671" s="78"/>
      <c r="AG671"/>
      <c r="AH671"/>
    </row>
    <row r="672" spans="23:34" x14ac:dyDescent="0.25">
      <c r="W672"/>
      <c r="X672"/>
      <c r="Z672" s="78"/>
      <c r="AA672" s="78"/>
      <c r="AG672"/>
      <c r="AH672"/>
    </row>
    <row r="673" spans="23:34" x14ac:dyDescent="0.25">
      <c r="W673"/>
      <c r="X673"/>
      <c r="Z673" s="78"/>
      <c r="AA673" s="78"/>
      <c r="AG673"/>
      <c r="AH673"/>
    </row>
    <row r="674" spans="23:34" x14ac:dyDescent="0.25">
      <c r="W674"/>
      <c r="X674"/>
      <c r="Z674" s="78"/>
      <c r="AA674" s="78"/>
      <c r="AG674"/>
      <c r="AH674"/>
    </row>
    <row r="675" spans="23:34" x14ac:dyDescent="0.25">
      <c r="W675"/>
      <c r="X675"/>
      <c r="Z675" s="78"/>
      <c r="AA675" s="78"/>
      <c r="AG675"/>
      <c r="AH675"/>
    </row>
    <row r="676" spans="23:34" x14ac:dyDescent="0.25">
      <c r="W676"/>
      <c r="X676"/>
      <c r="Z676" s="78"/>
      <c r="AA676" s="78"/>
      <c r="AG676"/>
      <c r="AH676"/>
    </row>
    <row r="677" spans="23:34" x14ac:dyDescent="0.25">
      <c r="W677"/>
      <c r="X677"/>
      <c r="Z677" s="78"/>
      <c r="AA677" s="78"/>
      <c r="AG677"/>
      <c r="AH677"/>
    </row>
    <row r="678" spans="23:34" x14ac:dyDescent="0.25">
      <c r="W678"/>
      <c r="X678"/>
      <c r="Z678" s="78"/>
      <c r="AA678" s="78"/>
      <c r="AG678"/>
      <c r="AH678"/>
    </row>
    <row r="679" spans="23:34" x14ac:dyDescent="0.25">
      <c r="W679"/>
      <c r="X679"/>
      <c r="Z679" s="78"/>
      <c r="AA679" s="78"/>
      <c r="AG679"/>
      <c r="AH679"/>
    </row>
    <row r="680" spans="23:34" x14ac:dyDescent="0.25">
      <c r="W680"/>
      <c r="X680"/>
      <c r="Z680" s="78"/>
      <c r="AA680" s="78"/>
      <c r="AG680"/>
      <c r="AH680"/>
    </row>
    <row r="681" spans="23:34" x14ac:dyDescent="0.25">
      <c r="W681"/>
      <c r="X681"/>
      <c r="Z681" s="78"/>
      <c r="AA681" s="78"/>
      <c r="AG681"/>
      <c r="AH681"/>
    </row>
    <row r="682" spans="23:34" x14ac:dyDescent="0.25">
      <c r="W682"/>
      <c r="X682"/>
      <c r="Z682" s="78"/>
      <c r="AA682" s="78"/>
      <c r="AG682"/>
      <c r="AH682"/>
    </row>
    <row r="683" spans="23:34" x14ac:dyDescent="0.25">
      <c r="W683"/>
      <c r="X683"/>
      <c r="Z683" s="78"/>
      <c r="AA683" s="78"/>
      <c r="AG683"/>
      <c r="AH683"/>
    </row>
    <row r="684" spans="23:34" x14ac:dyDescent="0.25">
      <c r="W684"/>
      <c r="X684"/>
      <c r="Z684" s="78"/>
      <c r="AA684" s="78"/>
      <c r="AG684"/>
      <c r="AH684"/>
    </row>
    <row r="685" spans="23:34" x14ac:dyDescent="0.25">
      <c r="W685"/>
      <c r="X685"/>
      <c r="Z685" s="78"/>
      <c r="AA685" s="78"/>
      <c r="AG685"/>
      <c r="AH685"/>
    </row>
    <row r="686" spans="23:34" x14ac:dyDescent="0.25">
      <c r="W686"/>
      <c r="X686"/>
      <c r="Z686" s="78"/>
      <c r="AA686" s="78"/>
      <c r="AG686"/>
      <c r="AH686"/>
    </row>
    <row r="687" spans="23:34" x14ac:dyDescent="0.25">
      <c r="W687"/>
      <c r="X687"/>
      <c r="Z687" s="78"/>
      <c r="AA687" s="78"/>
      <c r="AG687"/>
      <c r="AH687"/>
    </row>
    <row r="688" spans="23:34" x14ac:dyDescent="0.25">
      <c r="W688"/>
      <c r="X688"/>
      <c r="Z688" s="78"/>
      <c r="AA688" s="78"/>
      <c r="AG688"/>
      <c r="AH688"/>
    </row>
    <row r="689" spans="23:34" x14ac:dyDescent="0.25">
      <c r="W689"/>
      <c r="X689"/>
      <c r="Z689" s="78"/>
      <c r="AA689" s="78"/>
      <c r="AG689"/>
      <c r="AH689"/>
    </row>
    <row r="690" spans="23:34" x14ac:dyDescent="0.25">
      <c r="W690"/>
      <c r="X690"/>
      <c r="Z690" s="78"/>
      <c r="AA690" s="78"/>
      <c r="AG690"/>
      <c r="AH690"/>
    </row>
    <row r="691" spans="23:34" x14ac:dyDescent="0.25">
      <c r="W691"/>
      <c r="X691"/>
      <c r="Z691" s="78"/>
      <c r="AA691" s="78"/>
      <c r="AG691"/>
      <c r="AH691"/>
    </row>
    <row r="692" spans="23:34" x14ac:dyDescent="0.25">
      <c r="W692"/>
      <c r="X692"/>
      <c r="Z692" s="78"/>
      <c r="AA692" s="78"/>
      <c r="AG692"/>
      <c r="AH692"/>
    </row>
    <row r="693" spans="23:34" x14ac:dyDescent="0.25">
      <c r="W693"/>
      <c r="X693"/>
      <c r="Z693" s="78"/>
      <c r="AA693" s="78"/>
      <c r="AG693"/>
      <c r="AH693"/>
    </row>
    <row r="694" spans="23:34" x14ac:dyDescent="0.25">
      <c r="W694"/>
      <c r="X694"/>
      <c r="Z694" s="78"/>
      <c r="AA694" s="78"/>
      <c r="AG694"/>
      <c r="AH694"/>
    </row>
    <row r="695" spans="23:34" x14ac:dyDescent="0.25">
      <c r="W695"/>
      <c r="X695"/>
      <c r="Z695" s="78"/>
      <c r="AA695" s="78"/>
      <c r="AG695"/>
      <c r="AH695"/>
    </row>
    <row r="696" spans="23:34" x14ac:dyDescent="0.25">
      <c r="W696"/>
      <c r="X696"/>
      <c r="Z696" s="78"/>
      <c r="AA696" s="78"/>
      <c r="AG696"/>
      <c r="AH696"/>
    </row>
    <row r="697" spans="23:34" x14ac:dyDescent="0.25">
      <c r="W697"/>
      <c r="X697"/>
      <c r="Z697" s="78"/>
      <c r="AA697" s="78"/>
      <c r="AG697"/>
      <c r="AH697"/>
    </row>
    <row r="698" spans="23:34" x14ac:dyDescent="0.25">
      <c r="W698"/>
      <c r="X698"/>
      <c r="Z698" s="78"/>
      <c r="AA698" s="78"/>
      <c r="AG698"/>
      <c r="AH698"/>
    </row>
    <row r="699" spans="23:34" x14ac:dyDescent="0.25">
      <c r="W699"/>
      <c r="X699"/>
      <c r="Z699" s="78"/>
      <c r="AA699" s="78"/>
      <c r="AG699"/>
      <c r="AH699"/>
    </row>
    <row r="700" spans="23:34" x14ac:dyDescent="0.25">
      <c r="W700"/>
      <c r="X700"/>
      <c r="Z700" s="78"/>
      <c r="AA700" s="78"/>
      <c r="AG700"/>
      <c r="AH700"/>
    </row>
    <row r="701" spans="23:34" x14ac:dyDescent="0.25">
      <c r="W701"/>
      <c r="X701"/>
      <c r="Z701" s="78"/>
      <c r="AA701" s="78"/>
      <c r="AG701"/>
      <c r="AH701"/>
    </row>
    <row r="702" spans="23:34" x14ac:dyDescent="0.25">
      <c r="W702"/>
      <c r="X702"/>
      <c r="Z702" s="78"/>
      <c r="AA702" s="78"/>
      <c r="AG702"/>
      <c r="AH702"/>
    </row>
    <row r="703" spans="23:34" x14ac:dyDescent="0.25">
      <c r="W703"/>
      <c r="X703"/>
      <c r="Z703" s="78"/>
      <c r="AA703" s="78"/>
      <c r="AG703"/>
      <c r="AH703"/>
    </row>
    <row r="704" spans="23:34" x14ac:dyDescent="0.25">
      <c r="W704"/>
      <c r="X704"/>
      <c r="Z704" s="78"/>
      <c r="AA704" s="78"/>
      <c r="AG704"/>
      <c r="AH704"/>
    </row>
    <row r="705" spans="23:34" x14ac:dyDescent="0.25">
      <c r="W705"/>
      <c r="X705"/>
      <c r="Z705" s="78"/>
      <c r="AA705" s="78"/>
      <c r="AG705"/>
      <c r="AH705"/>
    </row>
    <row r="706" spans="23:34" x14ac:dyDescent="0.25">
      <c r="W706"/>
      <c r="X706"/>
      <c r="Z706" s="78"/>
      <c r="AA706" s="78"/>
      <c r="AG706"/>
      <c r="AH706"/>
    </row>
    <row r="707" spans="23:34" x14ac:dyDescent="0.25">
      <c r="W707"/>
      <c r="X707"/>
      <c r="Z707" s="78"/>
      <c r="AA707" s="78"/>
      <c r="AG707"/>
      <c r="AH707"/>
    </row>
    <row r="708" spans="23:34" x14ac:dyDescent="0.25">
      <c r="W708"/>
      <c r="X708"/>
      <c r="Z708" s="78"/>
      <c r="AA708" s="78"/>
      <c r="AG708"/>
      <c r="AH708"/>
    </row>
    <row r="709" spans="23:34" x14ac:dyDescent="0.25">
      <c r="W709"/>
      <c r="X709"/>
      <c r="Z709" s="78"/>
      <c r="AA709" s="78"/>
      <c r="AG709"/>
      <c r="AH709"/>
    </row>
    <row r="710" spans="23:34" x14ac:dyDescent="0.25">
      <c r="W710"/>
      <c r="X710"/>
      <c r="Z710" s="78"/>
      <c r="AA710" s="78"/>
      <c r="AG710"/>
      <c r="AH710"/>
    </row>
    <row r="711" spans="23:34" x14ac:dyDescent="0.25">
      <c r="W711"/>
      <c r="X711"/>
      <c r="Z711" s="78"/>
      <c r="AA711" s="78"/>
      <c r="AG711"/>
      <c r="AH711"/>
    </row>
    <row r="712" spans="23:34" x14ac:dyDescent="0.25">
      <c r="W712"/>
      <c r="X712"/>
      <c r="Z712" s="78"/>
      <c r="AA712" s="78"/>
      <c r="AG712"/>
      <c r="AH712"/>
    </row>
    <row r="713" spans="23:34" x14ac:dyDescent="0.25">
      <c r="W713"/>
      <c r="X713"/>
      <c r="Z713" s="78"/>
      <c r="AA713" s="78"/>
      <c r="AG713"/>
      <c r="AH713"/>
    </row>
    <row r="714" spans="23:34" x14ac:dyDescent="0.25">
      <c r="W714"/>
      <c r="X714"/>
      <c r="Z714" s="78"/>
      <c r="AA714" s="78"/>
      <c r="AG714"/>
      <c r="AH714"/>
    </row>
    <row r="715" spans="23:34" x14ac:dyDescent="0.25">
      <c r="W715"/>
      <c r="X715"/>
      <c r="Z715" s="78"/>
      <c r="AA715" s="78"/>
      <c r="AG715"/>
      <c r="AH715"/>
    </row>
    <row r="716" spans="23:34" x14ac:dyDescent="0.25">
      <c r="W716"/>
      <c r="X716"/>
      <c r="Z716" s="78"/>
      <c r="AA716" s="78"/>
      <c r="AG716"/>
      <c r="AH716"/>
    </row>
    <row r="717" spans="23:34" x14ac:dyDescent="0.25">
      <c r="W717"/>
      <c r="X717"/>
      <c r="Z717" s="78"/>
      <c r="AA717" s="78"/>
      <c r="AG717"/>
      <c r="AH717"/>
    </row>
    <row r="718" spans="23:34" x14ac:dyDescent="0.25">
      <c r="W718"/>
      <c r="X718"/>
      <c r="Z718" s="78"/>
      <c r="AA718" s="78"/>
      <c r="AG718"/>
      <c r="AH718"/>
    </row>
    <row r="719" spans="23:34" x14ac:dyDescent="0.25">
      <c r="W719"/>
      <c r="X719"/>
      <c r="Z719" s="78"/>
      <c r="AA719" s="78"/>
      <c r="AG719"/>
      <c r="AH719"/>
    </row>
    <row r="720" spans="23:34" x14ac:dyDescent="0.25">
      <c r="W720"/>
      <c r="X720"/>
      <c r="Z720" s="78"/>
      <c r="AA720" s="78"/>
      <c r="AG720"/>
      <c r="AH720"/>
    </row>
    <row r="721" spans="23:34" x14ac:dyDescent="0.25">
      <c r="W721"/>
      <c r="X721"/>
      <c r="Z721" s="78"/>
      <c r="AA721" s="78"/>
      <c r="AG721"/>
      <c r="AH721"/>
    </row>
    <row r="722" spans="23:34" x14ac:dyDescent="0.25">
      <c r="W722"/>
      <c r="X722"/>
      <c r="Z722" s="78"/>
      <c r="AA722" s="78"/>
      <c r="AG722"/>
      <c r="AH722"/>
    </row>
    <row r="723" spans="23:34" x14ac:dyDescent="0.25">
      <c r="W723"/>
      <c r="X723"/>
      <c r="Z723" s="78"/>
      <c r="AA723" s="78"/>
      <c r="AG723"/>
      <c r="AH723"/>
    </row>
    <row r="724" spans="23:34" x14ac:dyDescent="0.25">
      <c r="W724"/>
      <c r="X724"/>
      <c r="Z724" s="78"/>
      <c r="AA724" s="78"/>
      <c r="AG724"/>
      <c r="AH724"/>
    </row>
    <row r="725" spans="23:34" x14ac:dyDescent="0.25">
      <c r="W725"/>
      <c r="X725"/>
      <c r="Z725" s="78"/>
      <c r="AA725" s="78"/>
      <c r="AG725"/>
      <c r="AH725"/>
    </row>
    <row r="726" spans="23:34" x14ac:dyDescent="0.25">
      <c r="W726"/>
      <c r="X726"/>
      <c r="Z726" s="78"/>
      <c r="AA726" s="78"/>
      <c r="AG726"/>
      <c r="AH726"/>
    </row>
    <row r="727" spans="23:34" x14ac:dyDescent="0.25">
      <c r="W727"/>
      <c r="X727"/>
      <c r="Z727" s="78"/>
      <c r="AA727" s="78"/>
      <c r="AG727"/>
      <c r="AH727"/>
    </row>
    <row r="728" spans="23:34" x14ac:dyDescent="0.25">
      <c r="W728"/>
      <c r="X728"/>
      <c r="Z728" s="78"/>
      <c r="AA728" s="78"/>
      <c r="AG728"/>
      <c r="AH728"/>
    </row>
    <row r="729" spans="23:34" x14ac:dyDescent="0.25">
      <c r="W729"/>
      <c r="X729"/>
      <c r="Z729" s="78"/>
      <c r="AA729" s="78"/>
      <c r="AG729"/>
      <c r="AH729"/>
    </row>
    <row r="730" spans="23:34" x14ac:dyDescent="0.25">
      <c r="W730"/>
      <c r="X730"/>
      <c r="Z730" s="78"/>
      <c r="AA730" s="78"/>
      <c r="AG730"/>
      <c r="AH730"/>
    </row>
    <row r="731" spans="23:34" x14ac:dyDescent="0.25">
      <c r="W731"/>
      <c r="X731"/>
      <c r="Z731" s="78"/>
      <c r="AA731" s="78"/>
      <c r="AG731"/>
      <c r="AH731"/>
    </row>
    <row r="732" spans="23:34" x14ac:dyDescent="0.25">
      <c r="W732"/>
      <c r="X732"/>
      <c r="Z732" s="78"/>
      <c r="AA732" s="78"/>
      <c r="AG732"/>
      <c r="AH732"/>
    </row>
    <row r="733" spans="23:34" x14ac:dyDescent="0.25">
      <c r="W733"/>
      <c r="X733"/>
      <c r="Z733" s="78"/>
      <c r="AA733" s="78"/>
      <c r="AG733"/>
      <c r="AH733"/>
    </row>
    <row r="734" spans="23:34" x14ac:dyDescent="0.25">
      <c r="W734"/>
      <c r="X734"/>
      <c r="Z734" s="78"/>
      <c r="AA734" s="78"/>
      <c r="AG734"/>
      <c r="AH734"/>
    </row>
    <row r="735" spans="23:34" x14ac:dyDescent="0.25">
      <c r="W735"/>
      <c r="X735"/>
      <c r="Z735" s="78"/>
      <c r="AA735" s="78"/>
      <c r="AG735"/>
      <c r="AH735"/>
    </row>
    <row r="736" spans="23:34" x14ac:dyDescent="0.25">
      <c r="W736"/>
      <c r="X736"/>
      <c r="Z736" s="78"/>
      <c r="AA736" s="78"/>
      <c r="AG736"/>
      <c r="AH736"/>
    </row>
    <row r="737" spans="23:34" x14ac:dyDescent="0.25">
      <c r="W737"/>
      <c r="X737"/>
      <c r="Z737" s="78"/>
      <c r="AA737" s="78"/>
      <c r="AG737"/>
      <c r="AH737"/>
    </row>
    <row r="738" spans="23:34" x14ac:dyDescent="0.25">
      <c r="W738"/>
      <c r="X738"/>
      <c r="Z738" s="78"/>
      <c r="AA738" s="78"/>
      <c r="AG738"/>
      <c r="AH738"/>
    </row>
    <row r="739" spans="23:34" x14ac:dyDescent="0.25">
      <c r="W739"/>
      <c r="X739"/>
      <c r="Z739" s="78"/>
      <c r="AA739" s="78"/>
      <c r="AG739"/>
      <c r="AH739"/>
    </row>
    <row r="740" spans="23:34" x14ac:dyDescent="0.25">
      <c r="W740"/>
      <c r="X740"/>
      <c r="Z740" s="78"/>
      <c r="AA740" s="78"/>
      <c r="AG740"/>
      <c r="AH740"/>
    </row>
    <row r="741" spans="23:34" x14ac:dyDescent="0.25">
      <c r="W741"/>
      <c r="X741"/>
      <c r="Z741" s="78"/>
      <c r="AA741" s="78"/>
      <c r="AG741"/>
      <c r="AH741"/>
    </row>
    <row r="742" spans="23:34" x14ac:dyDescent="0.25">
      <c r="W742"/>
      <c r="X742"/>
      <c r="Z742" s="78"/>
      <c r="AA742" s="78"/>
      <c r="AG742"/>
      <c r="AH742"/>
    </row>
    <row r="743" spans="23:34" x14ac:dyDescent="0.25">
      <c r="W743"/>
      <c r="X743"/>
      <c r="Z743" s="78"/>
      <c r="AA743" s="78"/>
      <c r="AG743"/>
      <c r="AH743"/>
    </row>
    <row r="744" spans="23:34" x14ac:dyDescent="0.25">
      <c r="W744"/>
      <c r="X744"/>
      <c r="Z744" s="78"/>
      <c r="AA744" s="78"/>
      <c r="AG744"/>
      <c r="AH744"/>
    </row>
    <row r="745" spans="23:34" x14ac:dyDescent="0.25">
      <c r="W745"/>
      <c r="X745"/>
      <c r="Z745" s="78"/>
      <c r="AA745" s="78"/>
      <c r="AG745"/>
      <c r="AH745"/>
    </row>
    <row r="746" spans="23:34" x14ac:dyDescent="0.25">
      <c r="W746"/>
      <c r="X746"/>
      <c r="Z746" s="78"/>
      <c r="AA746" s="78"/>
      <c r="AG746"/>
      <c r="AH746"/>
    </row>
    <row r="747" spans="23:34" x14ac:dyDescent="0.25">
      <c r="W747"/>
      <c r="X747"/>
      <c r="Z747" s="78"/>
      <c r="AA747" s="78"/>
      <c r="AG747"/>
      <c r="AH747"/>
    </row>
    <row r="748" spans="23:34" x14ac:dyDescent="0.25">
      <c r="W748"/>
      <c r="X748"/>
      <c r="Z748" s="78"/>
      <c r="AA748" s="78"/>
      <c r="AG748"/>
      <c r="AH748"/>
    </row>
    <row r="749" spans="23:34" x14ac:dyDescent="0.25">
      <c r="W749"/>
      <c r="X749"/>
      <c r="Z749" s="78"/>
      <c r="AA749" s="78"/>
      <c r="AG749"/>
      <c r="AH749"/>
    </row>
    <row r="750" spans="23:34" x14ac:dyDescent="0.25">
      <c r="W750"/>
      <c r="X750"/>
      <c r="Z750" s="78"/>
      <c r="AA750" s="78"/>
      <c r="AG750"/>
      <c r="AH750"/>
    </row>
    <row r="751" spans="23:34" x14ac:dyDescent="0.25">
      <c r="W751"/>
      <c r="X751"/>
      <c r="Z751" s="78"/>
      <c r="AA751" s="78"/>
      <c r="AG751"/>
      <c r="AH751"/>
    </row>
    <row r="752" spans="23:34" x14ac:dyDescent="0.25">
      <c r="W752"/>
      <c r="X752"/>
      <c r="Z752" s="78"/>
      <c r="AA752" s="78"/>
      <c r="AG752"/>
      <c r="AH752"/>
    </row>
    <row r="753" spans="23:34" x14ac:dyDescent="0.25">
      <c r="W753"/>
      <c r="X753"/>
      <c r="Z753" s="78"/>
      <c r="AA753" s="78"/>
      <c r="AG753"/>
      <c r="AH753"/>
    </row>
    <row r="754" spans="23:34" x14ac:dyDescent="0.25">
      <c r="W754"/>
      <c r="X754"/>
      <c r="Z754" s="78"/>
      <c r="AA754" s="78"/>
      <c r="AG754"/>
      <c r="AH754"/>
    </row>
    <row r="755" spans="23:34" x14ac:dyDescent="0.25">
      <c r="W755"/>
      <c r="X755"/>
      <c r="Z755" s="78"/>
      <c r="AA755" s="78"/>
      <c r="AG755"/>
      <c r="AH755"/>
    </row>
    <row r="756" spans="23:34" x14ac:dyDescent="0.25">
      <c r="W756"/>
      <c r="X756"/>
      <c r="Z756" s="78"/>
      <c r="AA756" s="78"/>
      <c r="AG756"/>
      <c r="AH756"/>
    </row>
    <row r="757" spans="23:34" x14ac:dyDescent="0.25">
      <c r="W757"/>
      <c r="X757"/>
      <c r="Z757" s="78"/>
      <c r="AA757" s="78"/>
      <c r="AG757"/>
      <c r="AH757"/>
    </row>
    <row r="758" spans="23:34" x14ac:dyDescent="0.25">
      <c r="W758"/>
      <c r="X758"/>
      <c r="Z758" s="78"/>
      <c r="AA758" s="78"/>
      <c r="AG758"/>
      <c r="AH758"/>
    </row>
    <row r="759" spans="23:34" x14ac:dyDescent="0.25">
      <c r="W759"/>
      <c r="X759"/>
      <c r="Z759" s="78"/>
      <c r="AA759" s="78"/>
      <c r="AG759"/>
      <c r="AH759"/>
    </row>
    <row r="760" spans="23:34" x14ac:dyDescent="0.25">
      <c r="W760"/>
      <c r="X760"/>
      <c r="Z760" s="78"/>
      <c r="AA760" s="78"/>
      <c r="AG760"/>
      <c r="AH760"/>
    </row>
    <row r="761" spans="23:34" x14ac:dyDescent="0.25">
      <c r="W761"/>
      <c r="X761"/>
      <c r="Z761" s="78"/>
      <c r="AA761" s="78"/>
      <c r="AG761"/>
      <c r="AH761"/>
    </row>
    <row r="762" spans="23:34" x14ac:dyDescent="0.25">
      <c r="W762"/>
      <c r="X762"/>
      <c r="Z762" s="78"/>
      <c r="AA762" s="78"/>
      <c r="AG762"/>
      <c r="AH762"/>
    </row>
    <row r="763" spans="23:34" x14ac:dyDescent="0.25">
      <c r="W763"/>
      <c r="X763"/>
      <c r="Z763" s="78"/>
      <c r="AA763" s="78"/>
      <c r="AG763"/>
      <c r="AH763"/>
    </row>
    <row r="764" spans="23:34" x14ac:dyDescent="0.25">
      <c r="W764"/>
      <c r="X764"/>
      <c r="Z764" s="78"/>
      <c r="AA764" s="78"/>
      <c r="AG764"/>
      <c r="AH764"/>
    </row>
    <row r="765" spans="23:34" x14ac:dyDescent="0.25">
      <c r="W765"/>
      <c r="X765"/>
      <c r="Z765" s="78"/>
      <c r="AA765" s="78"/>
      <c r="AG765"/>
      <c r="AH765"/>
    </row>
    <row r="766" spans="23:34" x14ac:dyDescent="0.25">
      <c r="W766"/>
      <c r="X766"/>
      <c r="Z766" s="78"/>
      <c r="AA766" s="78"/>
      <c r="AG766"/>
      <c r="AH766"/>
    </row>
    <row r="767" spans="23:34" x14ac:dyDescent="0.25">
      <c r="W767"/>
      <c r="X767"/>
      <c r="Z767" s="78"/>
      <c r="AA767" s="78"/>
      <c r="AG767"/>
      <c r="AH767"/>
    </row>
    <row r="768" spans="23:34" x14ac:dyDescent="0.25">
      <c r="W768"/>
      <c r="X768"/>
      <c r="Z768" s="78"/>
      <c r="AA768" s="78"/>
      <c r="AG768"/>
      <c r="AH768"/>
    </row>
    <row r="769" spans="23:34" x14ac:dyDescent="0.25">
      <c r="W769"/>
      <c r="X769"/>
      <c r="Z769" s="78"/>
      <c r="AA769" s="78"/>
      <c r="AG769"/>
      <c r="AH769"/>
    </row>
    <row r="770" spans="23:34" x14ac:dyDescent="0.25">
      <c r="W770"/>
      <c r="X770"/>
      <c r="Z770" s="78"/>
      <c r="AA770" s="78"/>
      <c r="AG770"/>
      <c r="AH770"/>
    </row>
    <row r="771" spans="23:34" x14ac:dyDescent="0.25">
      <c r="W771"/>
      <c r="X771"/>
      <c r="Z771" s="78"/>
      <c r="AA771" s="78"/>
      <c r="AG771"/>
      <c r="AH771"/>
    </row>
    <row r="772" spans="23:34" x14ac:dyDescent="0.25">
      <c r="W772"/>
      <c r="X772"/>
      <c r="Z772" s="78"/>
      <c r="AA772" s="78"/>
      <c r="AG772"/>
      <c r="AH772"/>
    </row>
    <row r="773" spans="23:34" x14ac:dyDescent="0.25">
      <c r="W773"/>
      <c r="X773"/>
      <c r="Z773" s="78"/>
      <c r="AA773" s="78"/>
      <c r="AG773"/>
      <c r="AH773"/>
    </row>
    <row r="774" spans="23:34" x14ac:dyDescent="0.25">
      <c r="W774"/>
      <c r="X774"/>
      <c r="Z774" s="78"/>
      <c r="AA774" s="78"/>
      <c r="AG774"/>
      <c r="AH774"/>
    </row>
    <row r="775" spans="23:34" x14ac:dyDescent="0.25">
      <c r="W775"/>
      <c r="X775"/>
      <c r="Z775" s="78"/>
      <c r="AA775" s="78"/>
      <c r="AG775"/>
      <c r="AH775"/>
    </row>
    <row r="776" spans="23:34" x14ac:dyDescent="0.25">
      <c r="W776"/>
      <c r="X776"/>
      <c r="Z776" s="78"/>
      <c r="AA776" s="78"/>
      <c r="AG776"/>
      <c r="AH776"/>
    </row>
    <row r="777" spans="23:34" x14ac:dyDescent="0.25">
      <c r="W777"/>
      <c r="X777"/>
      <c r="Z777" s="78"/>
      <c r="AA777" s="78"/>
      <c r="AG777"/>
      <c r="AH777"/>
    </row>
    <row r="778" spans="23:34" x14ac:dyDescent="0.25">
      <c r="W778"/>
      <c r="X778"/>
      <c r="Z778" s="78"/>
      <c r="AA778" s="78"/>
      <c r="AG778"/>
      <c r="AH778"/>
    </row>
    <row r="779" spans="23:34" x14ac:dyDescent="0.25">
      <c r="W779"/>
      <c r="X779"/>
      <c r="Z779" s="78"/>
      <c r="AA779" s="78"/>
      <c r="AG779"/>
      <c r="AH779"/>
    </row>
    <row r="780" spans="23:34" x14ac:dyDescent="0.25">
      <c r="W780"/>
      <c r="X780"/>
      <c r="Z780" s="78"/>
      <c r="AA780" s="78"/>
      <c r="AG780"/>
      <c r="AH780"/>
    </row>
    <row r="781" spans="23:34" x14ac:dyDescent="0.25">
      <c r="W781"/>
      <c r="X781"/>
      <c r="Z781" s="78"/>
      <c r="AA781" s="78"/>
      <c r="AG781"/>
      <c r="AH781"/>
    </row>
    <row r="782" spans="23:34" x14ac:dyDescent="0.25">
      <c r="W782"/>
      <c r="X782"/>
      <c r="Z782" s="78"/>
      <c r="AA782" s="78"/>
      <c r="AG782"/>
      <c r="AH782"/>
    </row>
    <row r="783" spans="23:34" x14ac:dyDescent="0.25">
      <c r="W783"/>
      <c r="X783"/>
      <c r="Z783" s="78"/>
      <c r="AA783" s="78"/>
      <c r="AG783"/>
      <c r="AH783"/>
    </row>
    <row r="784" spans="23:34" x14ac:dyDescent="0.25">
      <c r="W784"/>
      <c r="X784"/>
      <c r="Z784" s="78"/>
      <c r="AA784" s="78"/>
      <c r="AG784"/>
      <c r="AH784"/>
    </row>
    <row r="785" spans="23:34" x14ac:dyDescent="0.25">
      <c r="W785"/>
      <c r="X785"/>
      <c r="Z785" s="78"/>
      <c r="AA785" s="78"/>
      <c r="AG785"/>
      <c r="AH785"/>
    </row>
    <row r="786" spans="23:34" x14ac:dyDescent="0.25">
      <c r="W786"/>
      <c r="X786"/>
      <c r="Z786" s="78"/>
      <c r="AA786" s="78"/>
      <c r="AG786"/>
      <c r="AH786"/>
    </row>
    <row r="787" spans="23:34" x14ac:dyDescent="0.25">
      <c r="W787"/>
      <c r="X787"/>
      <c r="Z787" s="78"/>
      <c r="AA787" s="78"/>
      <c r="AG787"/>
      <c r="AH787"/>
    </row>
    <row r="788" spans="23:34" x14ac:dyDescent="0.25">
      <c r="W788"/>
      <c r="X788"/>
      <c r="Z788" s="78"/>
      <c r="AA788" s="78"/>
      <c r="AG788"/>
      <c r="AH788"/>
    </row>
    <row r="789" spans="23:34" x14ac:dyDescent="0.25">
      <c r="W789"/>
      <c r="X789"/>
      <c r="Z789" s="78"/>
      <c r="AA789" s="78"/>
      <c r="AG789"/>
      <c r="AH789"/>
    </row>
    <row r="790" spans="23:34" x14ac:dyDescent="0.25">
      <c r="W790"/>
      <c r="X790"/>
      <c r="Z790" s="78"/>
      <c r="AA790" s="78"/>
      <c r="AG790"/>
      <c r="AH790"/>
    </row>
    <row r="791" spans="23:34" x14ac:dyDescent="0.25">
      <c r="W791"/>
      <c r="X791"/>
      <c r="Z791" s="78"/>
      <c r="AA791" s="78"/>
      <c r="AG791"/>
      <c r="AH791"/>
    </row>
    <row r="792" spans="23:34" x14ac:dyDescent="0.25">
      <c r="W792"/>
      <c r="X792"/>
      <c r="Z792" s="78"/>
      <c r="AA792" s="78"/>
      <c r="AG792"/>
      <c r="AH792"/>
    </row>
    <row r="793" spans="23:34" x14ac:dyDescent="0.25">
      <c r="W793"/>
      <c r="X793"/>
      <c r="Z793" s="78"/>
      <c r="AA793" s="78"/>
      <c r="AG793"/>
      <c r="AH793"/>
    </row>
    <row r="794" spans="23:34" x14ac:dyDescent="0.25">
      <c r="W794"/>
      <c r="X794"/>
      <c r="Z794" s="78"/>
      <c r="AA794" s="78"/>
      <c r="AG794"/>
      <c r="AH794"/>
    </row>
    <row r="795" spans="23:34" x14ac:dyDescent="0.25">
      <c r="W795"/>
      <c r="X795"/>
      <c r="Z795" s="78"/>
      <c r="AA795" s="78"/>
      <c r="AG795"/>
      <c r="AH795"/>
    </row>
    <row r="796" spans="23:34" x14ac:dyDescent="0.25">
      <c r="W796"/>
      <c r="X796"/>
      <c r="Z796" s="78"/>
      <c r="AA796" s="78"/>
      <c r="AG796"/>
      <c r="AH796"/>
    </row>
    <row r="797" spans="23:34" x14ac:dyDescent="0.25">
      <c r="W797"/>
      <c r="X797"/>
      <c r="Z797" s="78"/>
      <c r="AA797" s="78"/>
      <c r="AG797"/>
      <c r="AH797"/>
    </row>
    <row r="798" spans="23:34" x14ac:dyDescent="0.25">
      <c r="W798"/>
      <c r="X798"/>
      <c r="Z798" s="78"/>
      <c r="AA798" s="78"/>
      <c r="AG798"/>
      <c r="AH798"/>
    </row>
    <row r="799" spans="23:34" x14ac:dyDescent="0.25">
      <c r="W799"/>
      <c r="X799"/>
      <c r="Z799" s="78"/>
      <c r="AA799" s="78"/>
      <c r="AG799"/>
      <c r="AH799"/>
    </row>
    <row r="800" spans="23:34" x14ac:dyDescent="0.25">
      <c r="W800"/>
      <c r="X800"/>
      <c r="Z800" s="78"/>
      <c r="AA800" s="78"/>
      <c r="AG800"/>
      <c r="AH800"/>
    </row>
    <row r="801" spans="23:34" x14ac:dyDescent="0.25">
      <c r="W801"/>
      <c r="X801"/>
      <c r="Z801" s="78"/>
      <c r="AA801" s="78"/>
      <c r="AG801"/>
      <c r="AH801"/>
    </row>
    <row r="802" spans="23:34" x14ac:dyDescent="0.25">
      <c r="W802"/>
      <c r="X802"/>
      <c r="Z802" s="78"/>
      <c r="AA802" s="78"/>
      <c r="AG802"/>
      <c r="AH802"/>
    </row>
    <row r="803" spans="23:34" x14ac:dyDescent="0.25">
      <c r="W803"/>
      <c r="X803"/>
      <c r="Z803" s="78"/>
      <c r="AA803" s="78"/>
      <c r="AG803"/>
      <c r="AH803"/>
    </row>
    <row r="804" spans="23:34" x14ac:dyDescent="0.25">
      <c r="W804"/>
      <c r="X804"/>
      <c r="Z804" s="78"/>
      <c r="AA804" s="78"/>
      <c r="AG804"/>
      <c r="AH804"/>
    </row>
    <row r="805" spans="23:34" x14ac:dyDescent="0.25">
      <c r="W805"/>
      <c r="X805"/>
      <c r="Z805" s="78"/>
      <c r="AA805" s="78"/>
      <c r="AG805"/>
      <c r="AH805"/>
    </row>
    <row r="806" spans="23:34" x14ac:dyDescent="0.25">
      <c r="W806"/>
      <c r="X806"/>
      <c r="Z806" s="78"/>
      <c r="AA806" s="78"/>
      <c r="AG806"/>
      <c r="AH806"/>
    </row>
    <row r="807" spans="23:34" x14ac:dyDescent="0.25">
      <c r="W807"/>
      <c r="X807"/>
      <c r="Z807" s="78"/>
      <c r="AA807" s="78"/>
      <c r="AG807"/>
      <c r="AH807"/>
    </row>
    <row r="808" spans="23:34" x14ac:dyDescent="0.25">
      <c r="W808"/>
      <c r="X808"/>
      <c r="Z808" s="78"/>
      <c r="AA808" s="78"/>
      <c r="AG808"/>
      <c r="AH808"/>
    </row>
    <row r="809" spans="23:34" x14ac:dyDescent="0.25">
      <c r="W809"/>
      <c r="X809"/>
      <c r="Z809" s="78"/>
      <c r="AA809" s="78"/>
      <c r="AG809"/>
      <c r="AH809"/>
    </row>
    <row r="810" spans="23:34" x14ac:dyDescent="0.25">
      <c r="W810"/>
      <c r="X810"/>
      <c r="Z810" s="78"/>
      <c r="AA810" s="78"/>
      <c r="AG810"/>
      <c r="AH810"/>
    </row>
    <row r="811" spans="23:34" x14ac:dyDescent="0.25">
      <c r="W811"/>
      <c r="X811"/>
      <c r="Z811" s="78"/>
      <c r="AA811" s="78"/>
      <c r="AG811"/>
      <c r="AH811"/>
    </row>
    <row r="812" spans="23:34" x14ac:dyDescent="0.25">
      <c r="W812"/>
      <c r="X812"/>
      <c r="Z812" s="78"/>
      <c r="AA812" s="78"/>
      <c r="AG812"/>
      <c r="AH812"/>
    </row>
    <row r="813" spans="23:34" x14ac:dyDescent="0.25">
      <c r="W813"/>
      <c r="X813"/>
      <c r="Z813" s="78"/>
      <c r="AA813" s="78"/>
      <c r="AG813"/>
      <c r="AH813"/>
    </row>
    <row r="814" spans="23:34" x14ac:dyDescent="0.25">
      <c r="W814"/>
      <c r="X814"/>
      <c r="Z814" s="78"/>
      <c r="AA814" s="78"/>
      <c r="AG814"/>
      <c r="AH814"/>
    </row>
    <row r="815" spans="23:34" x14ac:dyDescent="0.25">
      <c r="W815"/>
      <c r="X815"/>
      <c r="Z815" s="78"/>
      <c r="AA815" s="78"/>
      <c r="AG815"/>
      <c r="AH815"/>
    </row>
    <row r="816" spans="23:34" x14ac:dyDescent="0.25">
      <c r="W816"/>
      <c r="X816"/>
      <c r="Z816" s="78"/>
      <c r="AA816" s="78"/>
      <c r="AG816"/>
      <c r="AH816"/>
    </row>
    <row r="817" spans="23:34" x14ac:dyDescent="0.25">
      <c r="W817"/>
      <c r="X817"/>
      <c r="Z817" s="78"/>
      <c r="AA817" s="78"/>
      <c r="AG817"/>
      <c r="AH817"/>
    </row>
    <row r="818" spans="23:34" x14ac:dyDescent="0.25">
      <c r="W818"/>
      <c r="X818"/>
      <c r="Z818" s="78"/>
      <c r="AA818" s="78"/>
      <c r="AG818"/>
      <c r="AH818"/>
    </row>
    <row r="819" spans="23:34" x14ac:dyDescent="0.25">
      <c r="W819"/>
      <c r="X819"/>
      <c r="Z819" s="78"/>
      <c r="AA819" s="78"/>
      <c r="AG819"/>
      <c r="AH819"/>
    </row>
    <row r="820" spans="23:34" x14ac:dyDescent="0.25">
      <c r="W820"/>
      <c r="X820"/>
      <c r="Z820" s="78"/>
      <c r="AA820" s="78"/>
      <c r="AG820"/>
      <c r="AH820"/>
    </row>
    <row r="821" spans="23:34" x14ac:dyDescent="0.25">
      <c r="W821"/>
      <c r="X821"/>
      <c r="Z821" s="78"/>
      <c r="AA821" s="78"/>
      <c r="AG821"/>
      <c r="AH821"/>
    </row>
    <row r="822" spans="23:34" x14ac:dyDescent="0.25">
      <c r="W822"/>
      <c r="X822"/>
      <c r="Z822" s="78"/>
      <c r="AA822" s="78"/>
      <c r="AG822"/>
      <c r="AH822"/>
    </row>
    <row r="823" spans="23:34" x14ac:dyDescent="0.25">
      <c r="W823"/>
      <c r="X823"/>
      <c r="Z823" s="78"/>
      <c r="AA823" s="78"/>
      <c r="AG823"/>
      <c r="AH823"/>
    </row>
    <row r="824" spans="23:34" x14ac:dyDescent="0.25">
      <c r="W824"/>
      <c r="X824"/>
      <c r="Z824" s="78"/>
      <c r="AA824" s="78"/>
      <c r="AG824"/>
      <c r="AH824"/>
    </row>
    <row r="825" spans="23:34" x14ac:dyDescent="0.25">
      <c r="W825"/>
      <c r="X825"/>
      <c r="Z825" s="78"/>
      <c r="AA825" s="78"/>
      <c r="AG825"/>
      <c r="AH825"/>
    </row>
    <row r="826" spans="23:34" x14ac:dyDescent="0.25">
      <c r="W826"/>
      <c r="X826"/>
      <c r="Z826" s="78"/>
      <c r="AA826" s="78"/>
      <c r="AG826"/>
      <c r="AH826"/>
    </row>
    <row r="827" spans="23:34" x14ac:dyDescent="0.25">
      <c r="W827"/>
      <c r="X827"/>
      <c r="Z827" s="78"/>
      <c r="AA827" s="78"/>
      <c r="AG827"/>
      <c r="AH827"/>
    </row>
    <row r="828" spans="23:34" x14ac:dyDescent="0.25">
      <c r="W828"/>
      <c r="X828"/>
      <c r="Z828" s="78"/>
      <c r="AA828" s="78"/>
      <c r="AG828"/>
      <c r="AH828"/>
    </row>
    <row r="829" spans="23:34" x14ac:dyDescent="0.25">
      <c r="W829"/>
      <c r="X829"/>
      <c r="Z829" s="78"/>
      <c r="AA829" s="78"/>
      <c r="AG829"/>
      <c r="AH829"/>
    </row>
    <row r="830" spans="23:34" x14ac:dyDescent="0.25">
      <c r="W830"/>
      <c r="X830"/>
      <c r="Z830" s="78"/>
      <c r="AA830" s="78"/>
      <c r="AG830"/>
      <c r="AH830"/>
    </row>
    <row r="831" spans="23:34" x14ac:dyDescent="0.25">
      <c r="W831"/>
      <c r="X831"/>
      <c r="Z831" s="78"/>
      <c r="AA831" s="78"/>
      <c r="AG831"/>
      <c r="AH831"/>
    </row>
    <row r="832" spans="23:34" x14ac:dyDescent="0.25">
      <c r="W832"/>
      <c r="X832"/>
      <c r="Z832" s="78"/>
      <c r="AA832" s="78"/>
      <c r="AG832"/>
      <c r="AH832"/>
    </row>
    <row r="833" spans="23:34" x14ac:dyDescent="0.25">
      <c r="W833"/>
      <c r="X833"/>
      <c r="Z833" s="78"/>
      <c r="AA833" s="78"/>
      <c r="AG833"/>
      <c r="AH833"/>
    </row>
    <row r="834" spans="23:34" x14ac:dyDescent="0.25">
      <c r="W834"/>
      <c r="X834"/>
      <c r="Z834" s="78"/>
      <c r="AA834" s="78"/>
      <c r="AG834"/>
      <c r="AH834"/>
    </row>
    <row r="835" spans="23:34" x14ac:dyDescent="0.25">
      <c r="W835"/>
      <c r="X835"/>
      <c r="Z835" s="78"/>
      <c r="AA835" s="78"/>
      <c r="AG835"/>
      <c r="AH835"/>
    </row>
    <row r="836" spans="23:34" x14ac:dyDescent="0.25">
      <c r="W836"/>
      <c r="X836"/>
      <c r="Z836" s="78"/>
      <c r="AA836" s="78"/>
      <c r="AG836"/>
      <c r="AH836"/>
    </row>
    <row r="837" spans="23:34" x14ac:dyDescent="0.25">
      <c r="W837"/>
      <c r="X837"/>
      <c r="Z837" s="78"/>
      <c r="AA837" s="78"/>
      <c r="AG837"/>
      <c r="AH837"/>
    </row>
    <row r="838" spans="23:34" x14ac:dyDescent="0.25">
      <c r="W838"/>
      <c r="X838"/>
      <c r="Z838" s="78"/>
      <c r="AA838" s="78"/>
      <c r="AG838"/>
      <c r="AH838"/>
    </row>
    <row r="839" spans="23:34" x14ac:dyDescent="0.25">
      <c r="W839"/>
      <c r="X839"/>
      <c r="Z839" s="78"/>
      <c r="AA839" s="78"/>
      <c r="AG839"/>
      <c r="AH839"/>
    </row>
    <row r="840" spans="23:34" x14ac:dyDescent="0.25">
      <c r="W840"/>
      <c r="X840"/>
      <c r="Z840" s="78"/>
      <c r="AA840" s="78"/>
      <c r="AG840"/>
      <c r="AH840"/>
    </row>
    <row r="841" spans="23:34" x14ac:dyDescent="0.25">
      <c r="W841"/>
      <c r="X841"/>
      <c r="Z841" s="78"/>
      <c r="AA841" s="78"/>
      <c r="AG841"/>
      <c r="AH841"/>
    </row>
    <row r="842" spans="23:34" x14ac:dyDescent="0.25">
      <c r="W842"/>
      <c r="X842"/>
      <c r="Z842" s="78"/>
      <c r="AA842" s="78"/>
      <c r="AG842"/>
      <c r="AH842"/>
    </row>
    <row r="843" spans="23:34" x14ac:dyDescent="0.25">
      <c r="W843"/>
      <c r="X843"/>
      <c r="Z843" s="78"/>
      <c r="AA843" s="78"/>
      <c r="AG843"/>
      <c r="AH843"/>
    </row>
    <row r="844" spans="23:34" x14ac:dyDescent="0.25">
      <c r="W844"/>
      <c r="X844"/>
      <c r="Z844" s="78"/>
      <c r="AA844" s="78"/>
      <c r="AG844"/>
      <c r="AH844"/>
    </row>
    <row r="845" spans="23:34" x14ac:dyDescent="0.25">
      <c r="W845"/>
      <c r="X845"/>
      <c r="Z845" s="78"/>
      <c r="AA845" s="78"/>
      <c r="AG845"/>
      <c r="AH845"/>
    </row>
    <row r="846" spans="23:34" x14ac:dyDescent="0.25">
      <c r="W846"/>
      <c r="X846"/>
      <c r="Z846" s="78"/>
      <c r="AA846" s="78"/>
      <c r="AG846"/>
      <c r="AH846"/>
    </row>
    <row r="847" spans="23:34" x14ac:dyDescent="0.25">
      <c r="W847"/>
      <c r="X847"/>
      <c r="Z847" s="78"/>
      <c r="AA847" s="78"/>
      <c r="AG847"/>
      <c r="AH847"/>
    </row>
    <row r="848" spans="23:34" x14ac:dyDescent="0.25">
      <c r="W848"/>
      <c r="X848"/>
      <c r="Z848" s="78"/>
      <c r="AA848" s="78"/>
      <c r="AG848"/>
      <c r="AH848"/>
    </row>
    <row r="849" spans="23:34" x14ac:dyDescent="0.25">
      <c r="W849"/>
      <c r="X849"/>
      <c r="Z849" s="78"/>
      <c r="AA849" s="78"/>
      <c r="AG849"/>
      <c r="AH849"/>
    </row>
    <row r="850" spans="23:34" x14ac:dyDescent="0.25">
      <c r="W850"/>
      <c r="X850"/>
      <c r="Z850" s="78"/>
      <c r="AA850" s="78"/>
      <c r="AG850"/>
      <c r="AH850"/>
    </row>
    <row r="851" spans="23:34" x14ac:dyDescent="0.25">
      <c r="W851"/>
      <c r="X851"/>
      <c r="Z851" s="78"/>
      <c r="AA851" s="78"/>
      <c r="AG851"/>
      <c r="AH851"/>
    </row>
    <row r="852" spans="23:34" x14ac:dyDescent="0.25">
      <c r="W852"/>
      <c r="X852"/>
      <c r="Z852" s="78"/>
      <c r="AA852" s="78"/>
      <c r="AG852"/>
      <c r="AH852"/>
    </row>
    <row r="853" spans="23:34" x14ac:dyDescent="0.25">
      <c r="W853"/>
      <c r="X853"/>
      <c r="Z853" s="78"/>
      <c r="AA853" s="78"/>
      <c r="AG853"/>
      <c r="AH853"/>
    </row>
    <row r="854" spans="23:34" x14ac:dyDescent="0.25">
      <c r="W854"/>
      <c r="X854"/>
      <c r="Z854" s="78"/>
      <c r="AA854" s="78"/>
      <c r="AG854"/>
      <c r="AH854"/>
    </row>
    <row r="855" spans="23:34" x14ac:dyDescent="0.25">
      <c r="W855"/>
      <c r="X855"/>
      <c r="Z855" s="78"/>
      <c r="AA855" s="78"/>
      <c r="AG855"/>
      <c r="AH855"/>
    </row>
    <row r="856" spans="23:34" x14ac:dyDescent="0.25">
      <c r="W856"/>
      <c r="X856"/>
      <c r="Z856" s="78"/>
      <c r="AA856" s="78"/>
      <c r="AG856"/>
      <c r="AH856"/>
    </row>
    <row r="857" spans="23:34" x14ac:dyDescent="0.25">
      <c r="W857"/>
      <c r="X857"/>
      <c r="Z857" s="78"/>
      <c r="AA857" s="78"/>
      <c r="AG857"/>
      <c r="AH857"/>
    </row>
    <row r="858" spans="23:34" x14ac:dyDescent="0.25">
      <c r="W858"/>
      <c r="X858"/>
      <c r="Z858" s="78"/>
      <c r="AA858" s="78"/>
      <c r="AG858"/>
      <c r="AH858"/>
    </row>
    <row r="859" spans="23:34" x14ac:dyDescent="0.25">
      <c r="W859"/>
      <c r="X859"/>
      <c r="Z859" s="78"/>
      <c r="AA859" s="78"/>
      <c r="AG859"/>
      <c r="AH859"/>
    </row>
    <row r="860" spans="23:34" x14ac:dyDescent="0.25">
      <c r="W860"/>
      <c r="X860"/>
      <c r="Z860" s="78"/>
      <c r="AA860" s="78"/>
      <c r="AG860"/>
      <c r="AH860"/>
    </row>
    <row r="861" spans="23:34" x14ac:dyDescent="0.25">
      <c r="W861"/>
      <c r="X861"/>
      <c r="Z861" s="78"/>
      <c r="AA861" s="78"/>
      <c r="AG861"/>
      <c r="AH861"/>
    </row>
    <row r="862" spans="23:34" x14ac:dyDescent="0.25">
      <c r="W862"/>
      <c r="X862"/>
      <c r="Z862" s="78"/>
      <c r="AA862" s="78"/>
      <c r="AG862"/>
      <c r="AH862"/>
    </row>
    <row r="863" spans="23:34" x14ac:dyDescent="0.25">
      <c r="W863"/>
      <c r="X863"/>
      <c r="Z863" s="78"/>
      <c r="AA863" s="78"/>
      <c r="AG863"/>
      <c r="AH863"/>
    </row>
    <row r="864" spans="23:34" x14ac:dyDescent="0.25">
      <c r="W864"/>
      <c r="X864"/>
      <c r="Z864" s="78"/>
      <c r="AA864" s="78"/>
      <c r="AG864"/>
      <c r="AH864"/>
    </row>
    <row r="865" spans="23:34" x14ac:dyDescent="0.25">
      <c r="W865"/>
      <c r="X865"/>
      <c r="Z865" s="78"/>
      <c r="AA865" s="78"/>
      <c r="AG865"/>
      <c r="AH865"/>
    </row>
    <row r="866" spans="23:34" x14ac:dyDescent="0.25">
      <c r="W866"/>
      <c r="X866"/>
      <c r="Z866" s="78"/>
      <c r="AA866" s="78"/>
      <c r="AG866"/>
      <c r="AH866"/>
    </row>
    <row r="867" spans="23:34" x14ac:dyDescent="0.25">
      <c r="W867"/>
      <c r="X867"/>
      <c r="Z867" s="78"/>
      <c r="AA867" s="78"/>
      <c r="AG867"/>
      <c r="AH867"/>
    </row>
    <row r="868" spans="23:34" x14ac:dyDescent="0.25">
      <c r="W868"/>
      <c r="X868"/>
      <c r="Z868" s="78"/>
      <c r="AA868" s="78"/>
      <c r="AG868"/>
      <c r="AH868"/>
    </row>
    <row r="869" spans="23:34" x14ac:dyDescent="0.25">
      <c r="W869"/>
      <c r="X869"/>
      <c r="Z869" s="78"/>
      <c r="AA869" s="78"/>
      <c r="AG869"/>
      <c r="AH869"/>
    </row>
    <row r="870" spans="23:34" x14ac:dyDescent="0.25">
      <c r="W870"/>
      <c r="X870"/>
      <c r="Z870" s="78"/>
      <c r="AA870" s="78"/>
      <c r="AG870"/>
      <c r="AH870"/>
    </row>
    <row r="871" spans="23:34" x14ac:dyDescent="0.25">
      <c r="W871"/>
      <c r="X871"/>
      <c r="Z871" s="78"/>
      <c r="AA871" s="78"/>
      <c r="AG871"/>
      <c r="AH871"/>
    </row>
    <row r="872" spans="23:34" x14ac:dyDescent="0.25">
      <c r="W872"/>
      <c r="X872"/>
      <c r="Z872" s="78"/>
      <c r="AA872" s="78"/>
      <c r="AG872"/>
      <c r="AH872"/>
    </row>
    <row r="873" spans="23:34" x14ac:dyDescent="0.25">
      <c r="W873"/>
      <c r="X873"/>
      <c r="Z873" s="78"/>
      <c r="AA873" s="78"/>
      <c r="AG873"/>
      <c r="AH873"/>
    </row>
    <row r="874" spans="23:34" x14ac:dyDescent="0.25">
      <c r="W874"/>
      <c r="X874"/>
      <c r="Z874" s="78"/>
      <c r="AA874" s="78"/>
      <c r="AG874"/>
      <c r="AH874"/>
    </row>
    <row r="875" spans="23:34" x14ac:dyDescent="0.25">
      <c r="W875"/>
      <c r="X875"/>
      <c r="Z875" s="78"/>
      <c r="AA875" s="78"/>
      <c r="AG875"/>
      <c r="AH875"/>
    </row>
    <row r="876" spans="23:34" x14ac:dyDescent="0.25">
      <c r="W876"/>
      <c r="X876"/>
      <c r="Z876" s="78"/>
      <c r="AA876" s="78"/>
      <c r="AG876"/>
      <c r="AH876"/>
    </row>
    <row r="877" spans="23:34" x14ac:dyDescent="0.25">
      <c r="W877"/>
      <c r="X877"/>
      <c r="Z877" s="78"/>
      <c r="AA877" s="78"/>
      <c r="AG877"/>
      <c r="AH877"/>
    </row>
    <row r="878" spans="23:34" x14ac:dyDescent="0.25">
      <c r="W878"/>
      <c r="X878"/>
      <c r="Z878" s="78"/>
      <c r="AA878" s="78"/>
      <c r="AG878"/>
      <c r="AH878"/>
    </row>
    <row r="879" spans="23:34" x14ac:dyDescent="0.25">
      <c r="W879"/>
      <c r="X879"/>
      <c r="Z879" s="78"/>
      <c r="AA879" s="78"/>
      <c r="AG879"/>
      <c r="AH879"/>
    </row>
    <row r="880" spans="23:34" x14ac:dyDescent="0.25">
      <c r="W880"/>
      <c r="X880"/>
      <c r="Z880" s="78"/>
      <c r="AA880" s="78"/>
      <c r="AG880"/>
      <c r="AH880"/>
    </row>
    <row r="881" spans="23:34" x14ac:dyDescent="0.25">
      <c r="W881"/>
      <c r="X881"/>
      <c r="Z881" s="78"/>
      <c r="AA881" s="78"/>
      <c r="AG881"/>
      <c r="AH881"/>
    </row>
    <row r="882" spans="23:34" x14ac:dyDescent="0.25">
      <c r="W882"/>
      <c r="X882"/>
      <c r="Z882" s="78"/>
      <c r="AA882" s="78"/>
      <c r="AG882"/>
      <c r="AH882"/>
    </row>
    <row r="883" spans="23:34" x14ac:dyDescent="0.25">
      <c r="W883"/>
      <c r="X883"/>
      <c r="Z883" s="78"/>
      <c r="AA883" s="78"/>
      <c r="AG883"/>
      <c r="AH883"/>
    </row>
    <row r="884" spans="23:34" x14ac:dyDescent="0.25">
      <c r="W884"/>
      <c r="X884"/>
      <c r="Z884" s="78"/>
      <c r="AA884" s="78"/>
      <c r="AG884"/>
      <c r="AH884"/>
    </row>
    <row r="885" spans="23:34" x14ac:dyDescent="0.25">
      <c r="W885"/>
      <c r="X885"/>
      <c r="Z885" s="78"/>
      <c r="AA885" s="78"/>
      <c r="AG885"/>
      <c r="AH885"/>
    </row>
    <row r="886" spans="23:34" x14ac:dyDescent="0.25">
      <c r="W886"/>
      <c r="X886"/>
      <c r="Z886" s="78"/>
      <c r="AA886" s="78"/>
      <c r="AG886"/>
      <c r="AH886"/>
    </row>
    <row r="887" spans="23:34" x14ac:dyDescent="0.25">
      <c r="W887"/>
      <c r="X887"/>
      <c r="Z887" s="78"/>
      <c r="AA887" s="78"/>
      <c r="AG887"/>
      <c r="AH887"/>
    </row>
    <row r="888" spans="23:34" x14ac:dyDescent="0.25">
      <c r="W888"/>
      <c r="X888"/>
      <c r="Z888" s="78"/>
      <c r="AA888" s="78"/>
      <c r="AG888"/>
      <c r="AH888"/>
    </row>
    <row r="889" spans="23:34" x14ac:dyDescent="0.25">
      <c r="W889"/>
      <c r="X889"/>
      <c r="Z889" s="78"/>
      <c r="AA889" s="78"/>
      <c r="AG889"/>
      <c r="AH889"/>
    </row>
    <row r="890" spans="23:34" x14ac:dyDescent="0.25">
      <c r="W890"/>
      <c r="X890"/>
      <c r="Z890" s="78"/>
      <c r="AA890" s="78"/>
      <c r="AG890"/>
      <c r="AH890"/>
    </row>
    <row r="891" spans="23:34" x14ac:dyDescent="0.25">
      <c r="W891"/>
      <c r="X891"/>
      <c r="Z891" s="78"/>
      <c r="AA891" s="78"/>
      <c r="AG891"/>
      <c r="AH891"/>
    </row>
    <row r="892" spans="23:34" x14ac:dyDescent="0.25">
      <c r="W892"/>
      <c r="X892"/>
      <c r="Z892" s="78"/>
      <c r="AA892" s="78"/>
      <c r="AG892"/>
      <c r="AH892"/>
    </row>
    <row r="893" spans="23:34" x14ac:dyDescent="0.25">
      <c r="W893"/>
      <c r="X893"/>
      <c r="Z893" s="78"/>
      <c r="AA893" s="78"/>
      <c r="AG893"/>
      <c r="AH893"/>
    </row>
    <row r="894" spans="23:34" x14ac:dyDescent="0.25">
      <c r="W894"/>
      <c r="X894"/>
      <c r="Z894" s="78"/>
      <c r="AA894" s="78"/>
      <c r="AG894"/>
      <c r="AH894"/>
    </row>
    <row r="895" spans="23:34" x14ac:dyDescent="0.25">
      <c r="W895"/>
      <c r="X895"/>
      <c r="Z895" s="78"/>
      <c r="AA895" s="78"/>
      <c r="AG895"/>
      <c r="AH895"/>
    </row>
    <row r="896" spans="23:34" x14ac:dyDescent="0.25">
      <c r="W896"/>
      <c r="X896"/>
      <c r="Z896" s="78"/>
      <c r="AA896" s="78"/>
      <c r="AG896"/>
      <c r="AH896"/>
    </row>
    <row r="897" spans="23:34" x14ac:dyDescent="0.25">
      <c r="W897"/>
      <c r="X897"/>
      <c r="Z897" s="78"/>
      <c r="AA897" s="78"/>
      <c r="AG897"/>
      <c r="AH897"/>
    </row>
    <row r="898" spans="23:34" x14ac:dyDescent="0.25">
      <c r="W898"/>
      <c r="X898"/>
      <c r="Z898" s="78"/>
      <c r="AA898" s="78"/>
      <c r="AG898"/>
      <c r="AH898"/>
    </row>
    <row r="899" spans="23:34" x14ac:dyDescent="0.25">
      <c r="W899"/>
      <c r="X899"/>
      <c r="Z899" s="78"/>
      <c r="AA899" s="78"/>
      <c r="AG899"/>
      <c r="AH899"/>
    </row>
    <row r="900" spans="23:34" x14ac:dyDescent="0.25">
      <c r="W900"/>
      <c r="X900"/>
      <c r="Z900" s="78"/>
      <c r="AA900" s="78"/>
      <c r="AG900"/>
      <c r="AH900"/>
    </row>
    <row r="901" spans="23:34" x14ac:dyDescent="0.25">
      <c r="W901"/>
      <c r="X901"/>
      <c r="Z901" s="78"/>
      <c r="AA901" s="78"/>
      <c r="AG901"/>
      <c r="AH901"/>
    </row>
    <row r="902" spans="23:34" x14ac:dyDescent="0.25">
      <c r="W902"/>
      <c r="X902"/>
      <c r="Z902" s="78"/>
      <c r="AA902" s="78"/>
      <c r="AG902"/>
      <c r="AH902"/>
    </row>
    <row r="903" spans="23:34" x14ac:dyDescent="0.25">
      <c r="W903"/>
      <c r="X903"/>
      <c r="Z903" s="78"/>
      <c r="AA903" s="78"/>
      <c r="AG903"/>
      <c r="AH903"/>
    </row>
    <row r="904" spans="23:34" x14ac:dyDescent="0.25">
      <c r="W904"/>
      <c r="X904"/>
      <c r="Z904" s="78"/>
      <c r="AA904" s="78"/>
      <c r="AG904"/>
      <c r="AH904"/>
    </row>
    <row r="905" spans="23:34" x14ac:dyDescent="0.25">
      <c r="W905"/>
      <c r="X905"/>
      <c r="Z905" s="78"/>
      <c r="AA905" s="78"/>
      <c r="AG905"/>
      <c r="AH905"/>
    </row>
    <row r="906" spans="23:34" x14ac:dyDescent="0.25">
      <c r="W906"/>
      <c r="X906"/>
      <c r="Z906" s="78"/>
      <c r="AA906" s="78"/>
      <c r="AG906"/>
      <c r="AH906"/>
    </row>
    <row r="907" spans="23:34" x14ac:dyDescent="0.25">
      <c r="W907"/>
      <c r="X907"/>
      <c r="Z907" s="78"/>
      <c r="AA907" s="78"/>
      <c r="AG907"/>
      <c r="AH907"/>
    </row>
    <row r="908" spans="23:34" x14ac:dyDescent="0.25">
      <c r="W908"/>
      <c r="X908"/>
      <c r="Z908" s="78"/>
      <c r="AA908" s="78"/>
      <c r="AG908"/>
      <c r="AH908"/>
    </row>
    <row r="909" spans="23:34" x14ac:dyDescent="0.25">
      <c r="W909"/>
      <c r="X909"/>
      <c r="Z909" s="78"/>
      <c r="AA909" s="78"/>
      <c r="AG909"/>
      <c r="AH909"/>
    </row>
    <row r="910" spans="23:34" x14ac:dyDescent="0.25">
      <c r="W910"/>
      <c r="X910"/>
      <c r="Z910" s="78"/>
      <c r="AA910" s="78"/>
      <c r="AG910"/>
      <c r="AH910"/>
    </row>
    <row r="911" spans="23:34" x14ac:dyDescent="0.25">
      <c r="W911"/>
      <c r="X911"/>
      <c r="Z911" s="78"/>
      <c r="AA911" s="78"/>
      <c r="AG911"/>
      <c r="AH911"/>
    </row>
    <row r="912" spans="23:34" x14ac:dyDescent="0.25">
      <c r="W912"/>
      <c r="X912"/>
      <c r="Z912" s="78"/>
      <c r="AA912" s="78"/>
      <c r="AG912"/>
      <c r="AH912"/>
    </row>
    <row r="913" spans="23:34" x14ac:dyDescent="0.25">
      <c r="W913"/>
      <c r="X913"/>
      <c r="Z913" s="78"/>
      <c r="AA913" s="78"/>
      <c r="AG913"/>
      <c r="AH913"/>
    </row>
    <row r="914" spans="23:34" x14ac:dyDescent="0.25">
      <c r="W914"/>
      <c r="X914"/>
      <c r="Z914" s="78"/>
      <c r="AA914" s="78"/>
      <c r="AG914"/>
      <c r="AH914"/>
    </row>
    <row r="915" spans="23:34" x14ac:dyDescent="0.25">
      <c r="W915"/>
      <c r="X915"/>
      <c r="Z915" s="78"/>
      <c r="AA915" s="78"/>
      <c r="AG915"/>
      <c r="AH915"/>
    </row>
    <row r="916" spans="23:34" x14ac:dyDescent="0.25">
      <c r="W916"/>
      <c r="X916"/>
      <c r="Z916" s="78"/>
      <c r="AA916" s="78"/>
      <c r="AG916"/>
      <c r="AH916"/>
    </row>
    <row r="917" spans="23:34" x14ac:dyDescent="0.25">
      <c r="W917"/>
      <c r="X917"/>
      <c r="Z917" s="78"/>
      <c r="AA917" s="78"/>
      <c r="AG917"/>
      <c r="AH917"/>
    </row>
    <row r="918" spans="23:34" x14ac:dyDescent="0.25">
      <c r="W918"/>
      <c r="X918"/>
      <c r="Z918" s="78"/>
      <c r="AA918" s="78"/>
      <c r="AG918"/>
      <c r="AH918"/>
    </row>
    <row r="919" spans="23:34" x14ac:dyDescent="0.25">
      <c r="W919"/>
      <c r="X919"/>
      <c r="Z919" s="78"/>
      <c r="AA919" s="78"/>
      <c r="AG919"/>
      <c r="AH919"/>
    </row>
    <row r="920" spans="23:34" x14ac:dyDescent="0.25">
      <c r="W920"/>
      <c r="X920"/>
      <c r="Z920" s="78"/>
      <c r="AA920" s="78"/>
      <c r="AG920"/>
      <c r="AH920"/>
    </row>
    <row r="921" spans="23:34" x14ac:dyDescent="0.25">
      <c r="W921"/>
      <c r="X921"/>
      <c r="Z921" s="78"/>
      <c r="AA921" s="78"/>
      <c r="AG921"/>
      <c r="AH921"/>
    </row>
    <row r="922" spans="23:34" x14ac:dyDescent="0.25">
      <c r="W922"/>
      <c r="X922"/>
      <c r="Z922" s="78"/>
      <c r="AA922" s="78"/>
      <c r="AG922"/>
      <c r="AH922"/>
    </row>
    <row r="923" spans="23:34" x14ac:dyDescent="0.25">
      <c r="W923"/>
      <c r="X923"/>
      <c r="Z923" s="78"/>
      <c r="AA923" s="78"/>
      <c r="AG923"/>
      <c r="AH923"/>
    </row>
    <row r="924" spans="23:34" x14ac:dyDescent="0.25">
      <c r="W924"/>
      <c r="X924"/>
      <c r="Z924" s="78"/>
      <c r="AA924" s="78"/>
      <c r="AG924"/>
      <c r="AH924"/>
    </row>
    <row r="925" spans="23:34" x14ac:dyDescent="0.25">
      <c r="W925"/>
      <c r="X925"/>
      <c r="Z925" s="78"/>
      <c r="AA925" s="78"/>
      <c r="AG925"/>
      <c r="AH925"/>
    </row>
    <row r="926" spans="23:34" x14ac:dyDescent="0.25">
      <c r="W926"/>
      <c r="X926"/>
      <c r="Z926" s="78"/>
      <c r="AA926" s="78"/>
      <c r="AG926"/>
      <c r="AH926"/>
    </row>
    <row r="927" spans="23:34" x14ac:dyDescent="0.25">
      <c r="W927"/>
      <c r="X927"/>
      <c r="Z927" s="78"/>
      <c r="AA927" s="78"/>
      <c r="AG927"/>
      <c r="AH927"/>
    </row>
    <row r="928" spans="23:34" x14ac:dyDescent="0.25">
      <c r="W928"/>
      <c r="X928"/>
      <c r="Z928" s="78"/>
      <c r="AA928" s="78"/>
      <c r="AG928"/>
      <c r="AH928"/>
    </row>
    <row r="929" spans="23:34" x14ac:dyDescent="0.25">
      <c r="W929"/>
      <c r="X929"/>
      <c r="Z929" s="78"/>
      <c r="AA929" s="78"/>
      <c r="AG929"/>
      <c r="AH929"/>
    </row>
    <row r="930" spans="23:34" x14ac:dyDescent="0.25">
      <c r="W930"/>
      <c r="X930"/>
      <c r="Z930" s="78"/>
      <c r="AA930" s="78"/>
      <c r="AG930"/>
      <c r="AH930"/>
    </row>
    <row r="931" spans="23:34" x14ac:dyDescent="0.25">
      <c r="W931"/>
      <c r="X931"/>
      <c r="Z931" s="78"/>
      <c r="AA931" s="78"/>
      <c r="AG931"/>
      <c r="AH931"/>
    </row>
    <row r="932" spans="23:34" x14ac:dyDescent="0.25">
      <c r="W932"/>
      <c r="X932"/>
      <c r="Z932" s="78"/>
      <c r="AA932" s="78"/>
      <c r="AG932"/>
      <c r="AH932"/>
    </row>
    <row r="933" spans="23:34" x14ac:dyDescent="0.25">
      <c r="W933"/>
      <c r="X933"/>
      <c r="Z933" s="78"/>
      <c r="AA933" s="78"/>
      <c r="AG933"/>
      <c r="AH933"/>
    </row>
    <row r="934" spans="23:34" x14ac:dyDescent="0.25">
      <c r="W934"/>
      <c r="X934"/>
      <c r="Z934" s="78"/>
      <c r="AA934" s="78"/>
      <c r="AG934"/>
      <c r="AH934"/>
    </row>
    <row r="935" spans="23:34" x14ac:dyDescent="0.25">
      <c r="W935"/>
      <c r="X935"/>
      <c r="Z935" s="78"/>
      <c r="AA935" s="78"/>
      <c r="AG935"/>
      <c r="AH935"/>
    </row>
    <row r="936" spans="23:34" x14ac:dyDescent="0.25">
      <c r="W936"/>
      <c r="X936"/>
      <c r="Z936" s="78"/>
      <c r="AA936" s="78"/>
      <c r="AG936"/>
      <c r="AH936"/>
    </row>
    <row r="937" spans="23:34" x14ac:dyDescent="0.25">
      <c r="W937"/>
      <c r="X937"/>
      <c r="Z937" s="78"/>
      <c r="AA937" s="78"/>
      <c r="AG937"/>
      <c r="AH937"/>
    </row>
    <row r="938" spans="23:34" x14ac:dyDescent="0.25">
      <c r="W938"/>
      <c r="X938"/>
      <c r="Z938" s="78"/>
      <c r="AA938" s="78"/>
      <c r="AG938"/>
      <c r="AH938"/>
    </row>
    <row r="939" spans="23:34" x14ac:dyDescent="0.25">
      <c r="W939"/>
      <c r="X939"/>
      <c r="Z939" s="78"/>
      <c r="AA939" s="78"/>
      <c r="AG939"/>
      <c r="AH939"/>
    </row>
    <row r="940" spans="23:34" x14ac:dyDescent="0.25">
      <c r="W940"/>
      <c r="X940"/>
      <c r="Z940" s="78"/>
      <c r="AA940" s="78"/>
      <c r="AG940"/>
      <c r="AH940"/>
    </row>
    <row r="941" spans="23:34" x14ac:dyDescent="0.25">
      <c r="W941"/>
      <c r="X941"/>
      <c r="Z941" s="78"/>
      <c r="AA941" s="78"/>
      <c r="AG941"/>
      <c r="AH941"/>
    </row>
    <row r="942" spans="23:34" x14ac:dyDescent="0.25">
      <c r="W942"/>
      <c r="X942"/>
      <c r="Z942" s="78"/>
      <c r="AA942" s="78"/>
      <c r="AG942"/>
      <c r="AH942"/>
    </row>
    <row r="943" spans="23:34" x14ac:dyDescent="0.25">
      <c r="W943"/>
      <c r="X943"/>
      <c r="Z943" s="78"/>
      <c r="AA943" s="78"/>
      <c r="AG943"/>
      <c r="AH943"/>
    </row>
    <row r="944" spans="23:34" x14ac:dyDescent="0.25">
      <c r="W944"/>
      <c r="X944"/>
      <c r="Z944" s="78"/>
      <c r="AA944" s="78"/>
      <c r="AG944"/>
      <c r="AH944"/>
    </row>
    <row r="945" spans="23:34" x14ac:dyDescent="0.25">
      <c r="W945"/>
      <c r="X945"/>
      <c r="Z945" s="78"/>
      <c r="AA945" s="78"/>
      <c r="AG945"/>
      <c r="AH945"/>
    </row>
    <row r="946" spans="23:34" x14ac:dyDescent="0.25">
      <c r="W946"/>
      <c r="X946"/>
      <c r="Z946" s="78"/>
      <c r="AA946" s="78"/>
      <c r="AG946"/>
      <c r="AH946"/>
    </row>
    <row r="947" spans="23:34" x14ac:dyDescent="0.25">
      <c r="W947"/>
      <c r="X947"/>
      <c r="Z947" s="78"/>
      <c r="AA947" s="78"/>
      <c r="AG947"/>
      <c r="AH947"/>
    </row>
    <row r="948" spans="23:34" x14ac:dyDescent="0.25">
      <c r="W948"/>
      <c r="X948"/>
      <c r="Z948" s="78"/>
      <c r="AA948" s="78"/>
      <c r="AG948"/>
      <c r="AH948"/>
    </row>
    <row r="949" spans="23:34" x14ac:dyDescent="0.25">
      <c r="W949"/>
      <c r="X949"/>
      <c r="Z949" s="78"/>
      <c r="AA949" s="78"/>
      <c r="AG949"/>
      <c r="AH949"/>
    </row>
    <row r="950" spans="23:34" x14ac:dyDescent="0.25">
      <c r="W950"/>
      <c r="X950"/>
      <c r="Z950" s="78"/>
      <c r="AA950" s="78"/>
      <c r="AG950"/>
      <c r="AH950"/>
    </row>
    <row r="951" spans="23:34" x14ac:dyDescent="0.25">
      <c r="W951"/>
      <c r="X951"/>
      <c r="Z951" s="78"/>
      <c r="AA951" s="78"/>
      <c r="AG951"/>
      <c r="AH951"/>
    </row>
    <row r="952" spans="23:34" x14ac:dyDescent="0.25">
      <c r="W952"/>
      <c r="X952"/>
      <c r="Z952" s="78"/>
      <c r="AA952" s="78"/>
      <c r="AG952"/>
      <c r="AH952"/>
    </row>
    <row r="953" spans="23:34" x14ac:dyDescent="0.25">
      <c r="W953"/>
      <c r="X953"/>
      <c r="Z953" s="78"/>
      <c r="AA953" s="78"/>
      <c r="AG953"/>
      <c r="AH953"/>
    </row>
    <row r="954" spans="23:34" x14ac:dyDescent="0.25">
      <c r="W954"/>
      <c r="X954"/>
      <c r="Z954" s="78"/>
      <c r="AA954" s="78"/>
      <c r="AG954"/>
      <c r="AH954"/>
    </row>
    <row r="955" spans="23:34" x14ac:dyDescent="0.25">
      <c r="W955"/>
      <c r="X955"/>
      <c r="Z955" s="78"/>
      <c r="AA955" s="78"/>
      <c r="AG955"/>
      <c r="AH955"/>
    </row>
    <row r="956" spans="23:34" x14ac:dyDescent="0.25">
      <c r="W956"/>
      <c r="X956"/>
      <c r="Z956" s="78"/>
      <c r="AA956" s="78"/>
      <c r="AG956"/>
      <c r="AH956"/>
    </row>
    <row r="957" spans="23:34" x14ac:dyDescent="0.25">
      <c r="W957"/>
      <c r="X957"/>
      <c r="Z957" s="78"/>
      <c r="AA957" s="78"/>
      <c r="AG957"/>
      <c r="AH957"/>
    </row>
    <row r="958" spans="23:34" x14ac:dyDescent="0.25">
      <c r="W958"/>
      <c r="X958"/>
      <c r="Z958" s="78"/>
      <c r="AA958" s="78"/>
      <c r="AG958"/>
      <c r="AH958"/>
    </row>
    <row r="959" spans="23:34" x14ac:dyDescent="0.25">
      <c r="W959"/>
      <c r="X959"/>
      <c r="Z959" s="78"/>
      <c r="AA959" s="78"/>
      <c r="AG959"/>
      <c r="AH959"/>
    </row>
    <row r="960" spans="23:34" x14ac:dyDescent="0.25">
      <c r="W960"/>
      <c r="X960"/>
      <c r="Z960" s="78"/>
      <c r="AA960" s="78"/>
      <c r="AG960"/>
      <c r="AH960"/>
    </row>
    <row r="961" spans="23:34" x14ac:dyDescent="0.25">
      <c r="W961"/>
      <c r="X961"/>
      <c r="Z961" s="78"/>
      <c r="AA961" s="78"/>
      <c r="AG961"/>
      <c r="AH961"/>
    </row>
    <row r="962" spans="23:34" x14ac:dyDescent="0.25">
      <c r="W962"/>
      <c r="X962"/>
      <c r="Z962" s="78"/>
      <c r="AA962" s="78"/>
      <c r="AG962"/>
      <c r="AH962"/>
    </row>
    <row r="963" spans="23:34" x14ac:dyDescent="0.25">
      <c r="W963"/>
      <c r="X963"/>
      <c r="Z963" s="78"/>
      <c r="AA963" s="78"/>
      <c r="AG963"/>
      <c r="AH963"/>
    </row>
    <row r="964" spans="23:34" x14ac:dyDescent="0.25">
      <c r="W964"/>
      <c r="X964"/>
      <c r="Z964" s="78"/>
      <c r="AA964" s="78"/>
      <c r="AG964"/>
      <c r="AH964"/>
    </row>
    <row r="965" spans="23:34" x14ac:dyDescent="0.25">
      <c r="W965"/>
      <c r="X965"/>
      <c r="Z965" s="78"/>
      <c r="AA965" s="78"/>
      <c r="AG965"/>
      <c r="AH965"/>
    </row>
    <row r="966" spans="23:34" x14ac:dyDescent="0.25">
      <c r="W966"/>
      <c r="X966"/>
      <c r="Z966" s="78"/>
      <c r="AA966" s="78"/>
      <c r="AG966"/>
      <c r="AH966"/>
    </row>
    <row r="967" spans="23:34" x14ac:dyDescent="0.25">
      <c r="W967"/>
      <c r="X967"/>
      <c r="Z967" s="78"/>
      <c r="AA967" s="78"/>
      <c r="AG967"/>
      <c r="AH967"/>
    </row>
    <row r="968" spans="23:34" x14ac:dyDescent="0.25">
      <c r="W968"/>
      <c r="X968"/>
      <c r="Z968" s="78"/>
      <c r="AA968" s="78"/>
      <c r="AG968"/>
      <c r="AH968"/>
    </row>
    <row r="969" spans="23:34" x14ac:dyDescent="0.25">
      <c r="W969"/>
      <c r="X969"/>
      <c r="Z969" s="78"/>
      <c r="AA969" s="78"/>
      <c r="AG969"/>
      <c r="AH969"/>
    </row>
    <row r="970" spans="23:34" x14ac:dyDescent="0.25">
      <c r="W970"/>
      <c r="X970"/>
      <c r="Z970" s="78"/>
      <c r="AA970" s="78"/>
      <c r="AG970"/>
      <c r="AH970"/>
    </row>
    <row r="971" spans="23:34" x14ac:dyDescent="0.25">
      <c r="W971"/>
      <c r="X971"/>
      <c r="Z971" s="78"/>
      <c r="AA971" s="78"/>
      <c r="AG971"/>
      <c r="AH971"/>
    </row>
    <row r="972" spans="23:34" x14ac:dyDescent="0.25">
      <c r="W972"/>
      <c r="X972"/>
      <c r="Z972" s="78"/>
      <c r="AA972" s="78"/>
      <c r="AG972"/>
      <c r="AH972"/>
    </row>
    <row r="973" spans="23:34" x14ac:dyDescent="0.25">
      <c r="W973"/>
      <c r="X973"/>
      <c r="Z973" s="78"/>
      <c r="AA973" s="78"/>
      <c r="AG973"/>
      <c r="AH973"/>
    </row>
    <row r="974" spans="23:34" x14ac:dyDescent="0.25">
      <c r="W974"/>
      <c r="X974"/>
      <c r="Z974" s="78"/>
      <c r="AA974" s="78"/>
      <c r="AG974"/>
      <c r="AH974"/>
    </row>
    <row r="975" spans="23:34" x14ac:dyDescent="0.25">
      <c r="W975"/>
      <c r="X975"/>
      <c r="Z975" s="78"/>
      <c r="AA975" s="78"/>
      <c r="AG975"/>
      <c r="AH975"/>
    </row>
    <row r="976" spans="23:34" x14ac:dyDescent="0.25">
      <c r="W976"/>
      <c r="X976"/>
      <c r="Z976" s="78"/>
      <c r="AA976" s="78"/>
      <c r="AG976"/>
      <c r="AH976"/>
    </row>
    <row r="977" spans="23:34" x14ac:dyDescent="0.25">
      <c r="W977"/>
      <c r="X977"/>
      <c r="Z977" s="78"/>
      <c r="AA977" s="78"/>
      <c r="AG977"/>
      <c r="AH977"/>
    </row>
    <row r="978" spans="23:34" x14ac:dyDescent="0.25">
      <c r="W978"/>
      <c r="X978"/>
      <c r="Z978" s="78"/>
      <c r="AA978" s="78"/>
      <c r="AG978"/>
      <c r="AH978"/>
    </row>
    <row r="979" spans="23:34" x14ac:dyDescent="0.25">
      <c r="W979"/>
      <c r="X979"/>
      <c r="Z979" s="78"/>
      <c r="AA979" s="78"/>
      <c r="AG979"/>
      <c r="AH979"/>
    </row>
    <row r="980" spans="23:34" x14ac:dyDescent="0.25">
      <c r="W980"/>
      <c r="X980"/>
      <c r="Z980" s="78"/>
      <c r="AA980" s="78"/>
      <c r="AG980"/>
      <c r="AH980"/>
    </row>
    <row r="981" spans="23:34" x14ac:dyDescent="0.25">
      <c r="W981"/>
      <c r="X981"/>
      <c r="Z981" s="78"/>
      <c r="AA981" s="78"/>
      <c r="AG981"/>
      <c r="AH981"/>
    </row>
    <row r="982" spans="23:34" x14ac:dyDescent="0.25">
      <c r="W982"/>
      <c r="X982"/>
      <c r="Z982" s="78"/>
      <c r="AA982" s="78"/>
      <c r="AG982"/>
      <c r="AH982"/>
    </row>
    <row r="983" spans="23:34" x14ac:dyDescent="0.25">
      <c r="W983"/>
      <c r="X983"/>
      <c r="Z983" s="78"/>
      <c r="AA983" s="78"/>
      <c r="AG983"/>
      <c r="AH983"/>
    </row>
    <row r="984" spans="23:34" x14ac:dyDescent="0.25">
      <c r="W984"/>
      <c r="X984"/>
      <c r="Z984" s="78"/>
      <c r="AA984" s="78"/>
      <c r="AG984"/>
      <c r="AH984"/>
    </row>
    <row r="985" spans="23:34" x14ac:dyDescent="0.25">
      <c r="W985"/>
      <c r="X985"/>
      <c r="Z985" s="78"/>
      <c r="AA985" s="78"/>
      <c r="AG985"/>
      <c r="AH985"/>
    </row>
    <row r="986" spans="23:34" x14ac:dyDescent="0.25">
      <c r="W986"/>
      <c r="X986"/>
      <c r="Z986" s="78"/>
      <c r="AA986" s="78"/>
      <c r="AG986"/>
      <c r="AH986"/>
    </row>
    <row r="987" spans="23:34" x14ac:dyDescent="0.25">
      <c r="W987"/>
      <c r="X987"/>
      <c r="Z987" s="78"/>
      <c r="AA987" s="78"/>
      <c r="AG987"/>
      <c r="AH987"/>
    </row>
    <row r="988" spans="23:34" x14ac:dyDescent="0.25">
      <c r="W988"/>
      <c r="X988"/>
      <c r="Z988" s="78"/>
      <c r="AA988" s="78"/>
      <c r="AG988"/>
      <c r="AH988"/>
    </row>
    <row r="989" spans="23:34" x14ac:dyDescent="0.25">
      <c r="W989"/>
      <c r="X989"/>
      <c r="Z989" s="78"/>
      <c r="AA989" s="78"/>
      <c r="AG989"/>
      <c r="AH989"/>
    </row>
    <row r="990" spans="23:34" x14ac:dyDescent="0.25">
      <c r="W990"/>
      <c r="X990"/>
      <c r="Z990" s="78"/>
      <c r="AA990" s="78"/>
      <c r="AG990"/>
      <c r="AH990"/>
    </row>
    <row r="991" spans="23:34" x14ac:dyDescent="0.25">
      <c r="W991"/>
      <c r="X991"/>
      <c r="Z991" s="78"/>
      <c r="AA991" s="78"/>
      <c r="AG991"/>
      <c r="AH991"/>
    </row>
    <row r="992" spans="23:34" x14ac:dyDescent="0.25">
      <c r="W992"/>
      <c r="X992"/>
      <c r="Z992" s="78"/>
      <c r="AA992" s="78"/>
      <c r="AG992"/>
      <c r="AH992"/>
    </row>
    <row r="993" spans="23:34" x14ac:dyDescent="0.25">
      <c r="W993"/>
      <c r="X993"/>
      <c r="Z993" s="78"/>
      <c r="AA993" s="78"/>
      <c r="AG993"/>
      <c r="AH993"/>
    </row>
    <row r="994" spans="23:34" x14ac:dyDescent="0.25">
      <c r="W994"/>
      <c r="X994"/>
      <c r="Z994" s="78"/>
      <c r="AA994" s="78"/>
      <c r="AG994"/>
      <c r="AH994"/>
    </row>
    <row r="995" spans="23:34" x14ac:dyDescent="0.25">
      <c r="W995"/>
      <c r="X995"/>
      <c r="Z995" s="78"/>
      <c r="AA995" s="78"/>
      <c r="AG995"/>
      <c r="AH995"/>
    </row>
    <row r="996" spans="23:34" x14ac:dyDescent="0.25">
      <c r="W996"/>
      <c r="X996"/>
      <c r="Z996" s="78"/>
      <c r="AA996" s="78"/>
      <c r="AG996"/>
      <c r="AH996"/>
    </row>
    <row r="997" spans="23:34" x14ac:dyDescent="0.25">
      <c r="W997"/>
      <c r="X997"/>
      <c r="Z997" s="78"/>
      <c r="AA997" s="78"/>
      <c r="AG997"/>
      <c r="AH997"/>
    </row>
    <row r="998" spans="23:34" x14ac:dyDescent="0.25">
      <c r="W998"/>
      <c r="X998"/>
      <c r="Z998" s="78"/>
      <c r="AA998" s="78"/>
      <c r="AG998"/>
      <c r="AH998"/>
    </row>
    <row r="999" spans="23:34" x14ac:dyDescent="0.25">
      <c r="W999"/>
      <c r="X999"/>
      <c r="Z999" s="78"/>
      <c r="AA999" s="78"/>
      <c r="AG999"/>
      <c r="AH999"/>
    </row>
    <row r="1000" spans="23:34" x14ac:dyDescent="0.25">
      <c r="W1000"/>
      <c r="X1000"/>
      <c r="Z1000" s="78"/>
      <c r="AA1000" s="78"/>
      <c r="AG1000"/>
      <c r="AH1000"/>
    </row>
    <row r="1001" spans="23:34" x14ac:dyDescent="0.25">
      <c r="W1001"/>
      <c r="X1001"/>
      <c r="Z1001" s="78"/>
      <c r="AA1001" s="78"/>
      <c r="AG1001"/>
      <c r="AH1001"/>
    </row>
    <row r="1002" spans="23:34" x14ac:dyDescent="0.25">
      <c r="W1002"/>
      <c r="X1002"/>
      <c r="Z1002" s="78"/>
      <c r="AA1002" s="78"/>
      <c r="AG1002"/>
      <c r="AH1002"/>
    </row>
    <row r="1003" spans="23:34" x14ac:dyDescent="0.25">
      <c r="W1003"/>
      <c r="X1003"/>
      <c r="Z1003" s="78"/>
      <c r="AA1003" s="78"/>
      <c r="AG1003"/>
      <c r="AH1003"/>
    </row>
    <row r="1004" spans="23:34" x14ac:dyDescent="0.25">
      <c r="W1004"/>
      <c r="X1004"/>
      <c r="Z1004" s="78"/>
      <c r="AA1004" s="78"/>
      <c r="AG1004"/>
      <c r="AH1004"/>
    </row>
    <row r="1005" spans="23:34" x14ac:dyDescent="0.25">
      <c r="W1005"/>
      <c r="X1005"/>
      <c r="Z1005" s="78"/>
      <c r="AA1005" s="78"/>
      <c r="AG1005"/>
      <c r="AH1005"/>
    </row>
    <row r="1006" spans="23:34" x14ac:dyDescent="0.25">
      <c r="W1006"/>
      <c r="X1006"/>
      <c r="Z1006" s="78"/>
      <c r="AA1006" s="78"/>
      <c r="AG1006"/>
      <c r="AH1006"/>
    </row>
    <row r="1007" spans="23:34" x14ac:dyDescent="0.25">
      <c r="W1007"/>
      <c r="X1007"/>
      <c r="Z1007" s="78"/>
      <c r="AA1007" s="78"/>
      <c r="AG1007"/>
      <c r="AH1007"/>
    </row>
    <row r="1008" spans="23:34" x14ac:dyDescent="0.25">
      <c r="W1008"/>
      <c r="X1008"/>
      <c r="Z1008" s="78"/>
      <c r="AA1008" s="78"/>
      <c r="AG1008"/>
      <c r="AH1008"/>
    </row>
    <row r="1009" spans="23:34" x14ac:dyDescent="0.25">
      <c r="W1009"/>
      <c r="X1009"/>
      <c r="Z1009" s="78"/>
      <c r="AA1009" s="78"/>
      <c r="AG1009"/>
      <c r="AH1009"/>
    </row>
    <row r="1010" spans="23:34" x14ac:dyDescent="0.25">
      <c r="W1010"/>
      <c r="X1010"/>
      <c r="Z1010" s="78"/>
      <c r="AA1010" s="78"/>
      <c r="AG1010"/>
      <c r="AH1010"/>
    </row>
    <row r="1011" spans="23:34" x14ac:dyDescent="0.25">
      <c r="W1011"/>
      <c r="X1011"/>
      <c r="Z1011" s="78"/>
      <c r="AA1011" s="78"/>
      <c r="AG1011"/>
      <c r="AH1011"/>
    </row>
    <row r="1012" spans="23:34" x14ac:dyDescent="0.25">
      <c r="W1012"/>
      <c r="X1012"/>
      <c r="Z1012" s="78"/>
      <c r="AA1012" s="78"/>
      <c r="AG1012"/>
      <c r="AH1012"/>
    </row>
    <row r="1013" spans="23:34" x14ac:dyDescent="0.25">
      <c r="W1013"/>
      <c r="X1013"/>
      <c r="Z1013" s="78"/>
      <c r="AA1013" s="78"/>
      <c r="AG1013"/>
      <c r="AH1013"/>
    </row>
    <row r="1014" spans="23:34" x14ac:dyDescent="0.25">
      <c r="W1014"/>
      <c r="X1014"/>
      <c r="Z1014" s="78"/>
      <c r="AA1014" s="78"/>
      <c r="AG1014"/>
      <c r="AH1014"/>
    </row>
    <row r="1015" spans="23:34" x14ac:dyDescent="0.25">
      <c r="W1015"/>
      <c r="X1015"/>
      <c r="Z1015" s="78"/>
      <c r="AA1015" s="78"/>
      <c r="AG1015"/>
      <c r="AH1015"/>
    </row>
    <row r="1016" spans="23:34" x14ac:dyDescent="0.25">
      <c r="W1016"/>
      <c r="X1016"/>
      <c r="Z1016" s="78"/>
      <c r="AA1016" s="78"/>
      <c r="AG1016"/>
      <c r="AH1016"/>
    </row>
    <row r="1017" spans="23:34" x14ac:dyDescent="0.25">
      <c r="W1017"/>
      <c r="X1017"/>
      <c r="Z1017" s="78"/>
      <c r="AA1017" s="78"/>
      <c r="AG1017"/>
      <c r="AH1017"/>
    </row>
    <row r="1018" spans="23:34" x14ac:dyDescent="0.25">
      <c r="W1018"/>
      <c r="X1018"/>
      <c r="Z1018" s="78"/>
      <c r="AA1018" s="78"/>
      <c r="AG1018"/>
      <c r="AH1018"/>
    </row>
    <row r="1019" spans="23:34" x14ac:dyDescent="0.25">
      <c r="W1019"/>
      <c r="X1019"/>
      <c r="Z1019" s="78"/>
      <c r="AA1019" s="78"/>
      <c r="AG1019"/>
      <c r="AH1019"/>
    </row>
    <row r="1020" spans="23:34" x14ac:dyDescent="0.25">
      <c r="W1020"/>
      <c r="X1020"/>
      <c r="Z1020" s="78"/>
      <c r="AA1020" s="78"/>
      <c r="AG1020"/>
      <c r="AH1020"/>
    </row>
    <row r="1021" spans="23:34" x14ac:dyDescent="0.25">
      <c r="W1021"/>
      <c r="X1021"/>
      <c r="Z1021" s="78"/>
      <c r="AA1021" s="78"/>
      <c r="AG1021"/>
      <c r="AH1021"/>
    </row>
    <row r="1022" spans="23:34" x14ac:dyDescent="0.25">
      <c r="W1022"/>
      <c r="X1022"/>
      <c r="Z1022" s="78"/>
      <c r="AA1022" s="78"/>
      <c r="AG1022"/>
      <c r="AH1022"/>
    </row>
    <row r="1023" spans="23:34" x14ac:dyDescent="0.25">
      <c r="W1023"/>
      <c r="X1023"/>
      <c r="Z1023" s="78"/>
      <c r="AA1023" s="78"/>
      <c r="AG1023"/>
      <c r="AH1023"/>
    </row>
    <row r="1024" spans="23:34" x14ac:dyDescent="0.25">
      <c r="W1024"/>
      <c r="X1024"/>
      <c r="Z1024" s="78"/>
      <c r="AA1024" s="78"/>
      <c r="AG1024"/>
      <c r="AH1024"/>
    </row>
    <row r="1025" spans="23:34" x14ac:dyDescent="0.25">
      <c r="W1025"/>
      <c r="X1025"/>
      <c r="Z1025" s="78"/>
      <c r="AA1025" s="78"/>
      <c r="AG1025"/>
      <c r="AH1025"/>
    </row>
    <row r="1026" spans="23:34" x14ac:dyDescent="0.25">
      <c r="W1026"/>
      <c r="X1026"/>
      <c r="Z1026" s="78"/>
      <c r="AA1026" s="78"/>
      <c r="AG1026"/>
      <c r="AH1026"/>
    </row>
    <row r="1027" spans="23:34" x14ac:dyDescent="0.25">
      <c r="W1027"/>
      <c r="X1027"/>
      <c r="Z1027" s="78"/>
      <c r="AA1027" s="78"/>
      <c r="AG1027"/>
      <c r="AH1027"/>
    </row>
    <row r="1028" spans="23:34" x14ac:dyDescent="0.25">
      <c r="W1028"/>
      <c r="X1028"/>
      <c r="Z1028" s="78"/>
      <c r="AA1028" s="78"/>
      <c r="AG1028"/>
      <c r="AH1028"/>
    </row>
    <row r="1029" spans="23:34" x14ac:dyDescent="0.25">
      <c r="W1029"/>
      <c r="X1029"/>
      <c r="Z1029" s="78"/>
      <c r="AA1029" s="78"/>
      <c r="AG1029"/>
      <c r="AH1029"/>
    </row>
    <row r="1030" spans="23:34" x14ac:dyDescent="0.25">
      <c r="W1030"/>
      <c r="X1030"/>
      <c r="Z1030" s="78"/>
      <c r="AA1030" s="78"/>
      <c r="AG1030"/>
      <c r="AH1030"/>
    </row>
    <row r="1031" spans="23:34" x14ac:dyDescent="0.25">
      <c r="W1031"/>
      <c r="X1031"/>
      <c r="Z1031" s="78"/>
      <c r="AA1031" s="78"/>
      <c r="AG1031"/>
      <c r="AH1031"/>
    </row>
    <row r="1032" spans="23:34" x14ac:dyDescent="0.25">
      <c r="W1032"/>
      <c r="X1032"/>
      <c r="Z1032" s="78"/>
      <c r="AA1032" s="78"/>
      <c r="AG1032"/>
      <c r="AH1032"/>
    </row>
    <row r="1033" spans="23:34" x14ac:dyDescent="0.25">
      <c r="W1033"/>
      <c r="X1033"/>
      <c r="Z1033" s="78"/>
      <c r="AA1033" s="78"/>
      <c r="AG1033"/>
      <c r="AH1033"/>
    </row>
    <row r="1034" spans="23:34" x14ac:dyDescent="0.25">
      <c r="W1034"/>
      <c r="X1034"/>
      <c r="Z1034" s="78"/>
      <c r="AA1034" s="78"/>
      <c r="AG1034"/>
      <c r="AH1034"/>
    </row>
    <row r="1035" spans="23:34" x14ac:dyDescent="0.25">
      <c r="W1035"/>
      <c r="X1035"/>
      <c r="Z1035" s="78"/>
      <c r="AA1035" s="78"/>
      <c r="AG1035"/>
      <c r="AH1035"/>
    </row>
    <row r="1036" spans="23:34" x14ac:dyDescent="0.25">
      <c r="W1036"/>
      <c r="X1036"/>
      <c r="Z1036" s="78"/>
      <c r="AA1036" s="78"/>
      <c r="AG1036"/>
      <c r="AH1036"/>
    </row>
    <row r="1037" spans="23:34" x14ac:dyDescent="0.25">
      <c r="W1037"/>
      <c r="X1037"/>
      <c r="Z1037" s="78"/>
      <c r="AA1037" s="78"/>
      <c r="AG1037"/>
      <c r="AH1037"/>
    </row>
    <row r="1038" spans="23:34" x14ac:dyDescent="0.25">
      <c r="W1038"/>
      <c r="X1038"/>
      <c r="Z1038" s="78"/>
      <c r="AA1038" s="78"/>
      <c r="AG1038"/>
      <c r="AH1038"/>
    </row>
    <row r="1039" spans="23:34" x14ac:dyDescent="0.25">
      <c r="W1039"/>
      <c r="X1039"/>
      <c r="Z1039" s="78"/>
      <c r="AA1039" s="78"/>
      <c r="AG1039"/>
      <c r="AH1039"/>
    </row>
    <row r="1040" spans="23:34" x14ac:dyDescent="0.25">
      <c r="W1040"/>
      <c r="X1040"/>
      <c r="Z1040" s="78"/>
      <c r="AA1040" s="78"/>
      <c r="AG1040"/>
      <c r="AH1040"/>
    </row>
    <row r="1041" spans="23:34" x14ac:dyDescent="0.25">
      <c r="W1041"/>
      <c r="X1041"/>
      <c r="Z1041" s="78"/>
      <c r="AA1041" s="78"/>
      <c r="AG1041"/>
      <c r="AH1041"/>
    </row>
    <row r="1042" spans="23:34" x14ac:dyDescent="0.25">
      <c r="W1042"/>
      <c r="X1042"/>
      <c r="Z1042" s="78"/>
      <c r="AA1042" s="78"/>
      <c r="AG1042"/>
      <c r="AH1042"/>
    </row>
    <row r="1043" spans="23:34" x14ac:dyDescent="0.25">
      <c r="W1043"/>
      <c r="X1043"/>
      <c r="Z1043" s="78"/>
      <c r="AA1043" s="78"/>
      <c r="AG1043"/>
      <c r="AH1043"/>
    </row>
    <row r="1044" spans="23:34" x14ac:dyDescent="0.25">
      <c r="W1044"/>
      <c r="X1044"/>
      <c r="Z1044" s="78"/>
      <c r="AA1044" s="78"/>
      <c r="AG1044"/>
      <c r="AH1044"/>
    </row>
    <row r="1045" spans="23:34" x14ac:dyDescent="0.25">
      <c r="W1045"/>
      <c r="X1045"/>
      <c r="Z1045" s="78"/>
      <c r="AA1045" s="78"/>
      <c r="AG1045"/>
      <c r="AH1045"/>
    </row>
    <row r="1046" spans="23:34" x14ac:dyDescent="0.25">
      <c r="W1046"/>
      <c r="X1046"/>
      <c r="Z1046" s="78"/>
      <c r="AA1046" s="78"/>
      <c r="AG1046"/>
      <c r="AH1046"/>
    </row>
    <row r="1047" spans="23:34" x14ac:dyDescent="0.25">
      <c r="W1047"/>
      <c r="X1047"/>
      <c r="Z1047" s="78"/>
      <c r="AA1047" s="78"/>
      <c r="AG1047"/>
      <c r="AH1047"/>
    </row>
    <row r="1048" spans="23:34" x14ac:dyDescent="0.25">
      <c r="W1048"/>
      <c r="X1048"/>
      <c r="Z1048" s="78"/>
      <c r="AA1048" s="78"/>
      <c r="AG1048"/>
      <c r="AH1048"/>
    </row>
    <row r="1049" spans="23:34" x14ac:dyDescent="0.25">
      <c r="W1049"/>
      <c r="X1049"/>
      <c r="Z1049" s="78"/>
      <c r="AA1049" s="78"/>
      <c r="AG1049"/>
      <c r="AH1049"/>
    </row>
    <row r="1050" spans="23:34" x14ac:dyDescent="0.25">
      <c r="W1050"/>
      <c r="X1050"/>
      <c r="Z1050" s="78"/>
      <c r="AA1050" s="78"/>
      <c r="AG1050"/>
      <c r="AH1050"/>
    </row>
    <row r="1051" spans="23:34" x14ac:dyDescent="0.25">
      <c r="W1051"/>
      <c r="X1051"/>
      <c r="Z1051" s="78"/>
      <c r="AA1051" s="78"/>
      <c r="AG1051"/>
      <c r="AH1051"/>
    </row>
    <row r="1052" spans="23:34" x14ac:dyDescent="0.25">
      <c r="W1052"/>
      <c r="X1052"/>
      <c r="Z1052" s="78"/>
      <c r="AA1052" s="78"/>
      <c r="AG1052"/>
      <c r="AH1052"/>
    </row>
    <row r="1053" spans="23:34" x14ac:dyDescent="0.25">
      <c r="W1053"/>
      <c r="X1053"/>
      <c r="Z1053" s="78"/>
      <c r="AA1053" s="78"/>
      <c r="AG1053"/>
      <c r="AH1053"/>
    </row>
    <row r="1054" spans="23:34" x14ac:dyDescent="0.25">
      <c r="W1054"/>
      <c r="X1054"/>
      <c r="Z1054" s="78"/>
      <c r="AA1054" s="78"/>
      <c r="AG1054"/>
      <c r="AH1054"/>
    </row>
    <row r="1055" spans="23:34" x14ac:dyDescent="0.25">
      <c r="W1055"/>
      <c r="X1055"/>
      <c r="Z1055" s="78"/>
      <c r="AA1055" s="78"/>
      <c r="AG1055"/>
      <c r="AH1055"/>
    </row>
    <row r="1056" spans="23:34" x14ac:dyDescent="0.25">
      <c r="W1056"/>
      <c r="X1056"/>
      <c r="Z1056" s="78"/>
      <c r="AA1056" s="78"/>
      <c r="AG1056"/>
      <c r="AH1056"/>
    </row>
    <row r="1057" spans="23:34" x14ac:dyDescent="0.25">
      <c r="W1057"/>
      <c r="X1057"/>
      <c r="Z1057" s="78"/>
      <c r="AA1057" s="78"/>
      <c r="AG1057"/>
      <c r="AH1057"/>
    </row>
    <row r="1058" spans="23:34" x14ac:dyDescent="0.25">
      <c r="W1058"/>
      <c r="X1058"/>
      <c r="Z1058" s="78"/>
      <c r="AA1058" s="78"/>
      <c r="AG1058"/>
      <c r="AH1058"/>
    </row>
    <row r="1059" spans="23:34" x14ac:dyDescent="0.25">
      <c r="W1059"/>
      <c r="X1059"/>
      <c r="Z1059" s="78"/>
      <c r="AA1059" s="78"/>
      <c r="AG1059"/>
      <c r="AH1059"/>
    </row>
    <row r="1060" spans="23:34" x14ac:dyDescent="0.25">
      <c r="W1060"/>
      <c r="X1060"/>
      <c r="Z1060" s="78"/>
      <c r="AA1060" s="78"/>
      <c r="AG1060"/>
      <c r="AH1060"/>
    </row>
    <row r="1061" spans="23:34" x14ac:dyDescent="0.25">
      <c r="W1061"/>
      <c r="X1061"/>
      <c r="Z1061" s="78"/>
      <c r="AA1061" s="78"/>
      <c r="AG1061"/>
      <c r="AH1061"/>
    </row>
    <row r="1062" spans="23:34" x14ac:dyDescent="0.25">
      <c r="W1062"/>
      <c r="X1062"/>
      <c r="Z1062" s="78"/>
      <c r="AA1062" s="78"/>
      <c r="AG1062"/>
      <c r="AH1062"/>
    </row>
    <row r="1063" spans="23:34" x14ac:dyDescent="0.25">
      <c r="W1063"/>
      <c r="X1063"/>
      <c r="Z1063" s="78"/>
      <c r="AA1063" s="78"/>
      <c r="AG1063"/>
      <c r="AH1063"/>
    </row>
    <row r="1064" spans="23:34" x14ac:dyDescent="0.25">
      <c r="W1064"/>
      <c r="X1064"/>
      <c r="Z1064" s="78"/>
      <c r="AA1064" s="78"/>
      <c r="AG1064"/>
      <c r="AH1064"/>
    </row>
    <row r="1065" spans="23:34" x14ac:dyDescent="0.25">
      <c r="W1065"/>
      <c r="X1065"/>
      <c r="Z1065" s="78"/>
      <c r="AA1065" s="78"/>
      <c r="AG1065"/>
      <c r="AH1065"/>
    </row>
    <row r="1066" spans="23:34" x14ac:dyDescent="0.25">
      <c r="W1066"/>
      <c r="X1066"/>
      <c r="Z1066" s="78"/>
      <c r="AA1066" s="78"/>
      <c r="AG1066"/>
      <c r="AH1066"/>
    </row>
    <row r="1067" spans="23:34" x14ac:dyDescent="0.25">
      <c r="W1067"/>
      <c r="X1067"/>
      <c r="Z1067" s="78"/>
      <c r="AA1067" s="78"/>
      <c r="AG1067"/>
      <c r="AH1067"/>
    </row>
    <row r="1068" spans="23:34" x14ac:dyDescent="0.25">
      <c r="W1068"/>
      <c r="X1068"/>
      <c r="Z1068" s="78"/>
      <c r="AA1068" s="78"/>
      <c r="AG1068"/>
      <c r="AH1068"/>
    </row>
    <row r="1069" spans="23:34" x14ac:dyDescent="0.25">
      <c r="W1069"/>
      <c r="X1069"/>
      <c r="Z1069" s="78"/>
      <c r="AA1069" s="78"/>
      <c r="AG1069"/>
      <c r="AH1069"/>
    </row>
    <row r="1070" spans="23:34" x14ac:dyDescent="0.25">
      <c r="W1070"/>
      <c r="X1070"/>
      <c r="Z1070" s="78"/>
      <c r="AA1070" s="78"/>
      <c r="AG1070"/>
      <c r="AH1070"/>
    </row>
    <row r="1071" spans="23:34" x14ac:dyDescent="0.25">
      <c r="W1071"/>
      <c r="X1071"/>
      <c r="Z1071" s="78"/>
      <c r="AA1071" s="78"/>
      <c r="AG1071"/>
      <c r="AH1071"/>
    </row>
    <row r="1072" spans="23:34" x14ac:dyDescent="0.25">
      <c r="W1072"/>
      <c r="X1072"/>
      <c r="Z1072" s="78"/>
      <c r="AA1072" s="78"/>
      <c r="AG1072"/>
      <c r="AH1072"/>
    </row>
    <row r="1073" spans="23:34" x14ac:dyDescent="0.25">
      <c r="W1073"/>
      <c r="X1073"/>
      <c r="Z1073" s="78"/>
      <c r="AA1073" s="78"/>
      <c r="AG1073"/>
      <c r="AH1073"/>
    </row>
    <row r="1074" spans="23:34" x14ac:dyDescent="0.25">
      <c r="W1074"/>
      <c r="X1074"/>
      <c r="Z1074" s="78"/>
      <c r="AA1074" s="78"/>
      <c r="AG1074"/>
      <c r="AH1074"/>
    </row>
    <row r="1075" spans="23:34" x14ac:dyDescent="0.25">
      <c r="W1075"/>
      <c r="X1075"/>
      <c r="Z1075" s="78"/>
      <c r="AA1075" s="78"/>
      <c r="AG1075"/>
      <c r="AH1075"/>
    </row>
    <row r="1076" spans="23:34" x14ac:dyDescent="0.25">
      <c r="W1076"/>
      <c r="X1076"/>
      <c r="Z1076" s="78"/>
      <c r="AA1076" s="78"/>
      <c r="AG1076"/>
      <c r="AH1076"/>
    </row>
    <row r="1077" spans="23:34" x14ac:dyDescent="0.25">
      <c r="W1077"/>
      <c r="X1077"/>
      <c r="Z1077" s="78"/>
      <c r="AA1077" s="78"/>
      <c r="AG1077"/>
      <c r="AH1077"/>
    </row>
    <row r="1078" spans="23:34" x14ac:dyDescent="0.25">
      <c r="W1078"/>
      <c r="X1078"/>
      <c r="Z1078" s="78"/>
      <c r="AA1078" s="78"/>
      <c r="AG1078"/>
      <c r="AH1078"/>
    </row>
    <row r="1079" spans="23:34" x14ac:dyDescent="0.25">
      <c r="W1079"/>
      <c r="X1079"/>
      <c r="Z1079" s="78"/>
      <c r="AA1079" s="78"/>
      <c r="AG1079"/>
      <c r="AH1079"/>
    </row>
    <row r="1080" spans="23:34" x14ac:dyDescent="0.25">
      <c r="W1080"/>
      <c r="X1080"/>
      <c r="Z1080" s="78"/>
      <c r="AA1080" s="78"/>
      <c r="AG1080"/>
      <c r="AH1080"/>
    </row>
    <row r="1081" spans="23:34" x14ac:dyDescent="0.25">
      <c r="W1081"/>
      <c r="X1081"/>
      <c r="Z1081" s="78"/>
      <c r="AA1081" s="78"/>
      <c r="AG1081"/>
      <c r="AH1081"/>
    </row>
    <row r="1082" spans="23:34" x14ac:dyDescent="0.25">
      <c r="W1082"/>
      <c r="X1082"/>
      <c r="Z1082" s="78"/>
      <c r="AA1082" s="78"/>
      <c r="AG1082"/>
      <c r="AH1082"/>
    </row>
    <row r="1083" spans="23:34" x14ac:dyDescent="0.25">
      <c r="W1083"/>
      <c r="X1083"/>
      <c r="Z1083" s="78"/>
      <c r="AA1083" s="78"/>
      <c r="AG1083"/>
      <c r="AH1083"/>
    </row>
    <row r="1084" spans="23:34" x14ac:dyDescent="0.25">
      <c r="W1084"/>
      <c r="X1084"/>
      <c r="Z1084" s="78"/>
      <c r="AA1084" s="78"/>
      <c r="AG1084"/>
      <c r="AH1084"/>
    </row>
    <row r="1085" spans="23:34" x14ac:dyDescent="0.25">
      <c r="W1085"/>
      <c r="X1085"/>
      <c r="Z1085" s="78"/>
      <c r="AA1085" s="78"/>
      <c r="AG1085"/>
      <c r="AH1085"/>
    </row>
    <row r="1086" spans="23:34" x14ac:dyDescent="0.25">
      <c r="W1086"/>
      <c r="X1086"/>
      <c r="Z1086" s="78"/>
      <c r="AA1086" s="78"/>
      <c r="AG1086"/>
      <c r="AH1086"/>
    </row>
    <row r="1087" spans="23:34" x14ac:dyDescent="0.25">
      <c r="W1087"/>
      <c r="X1087"/>
      <c r="Z1087" s="78"/>
      <c r="AA1087" s="78"/>
      <c r="AG1087"/>
      <c r="AH1087"/>
    </row>
    <row r="1088" spans="23:34" x14ac:dyDescent="0.25">
      <c r="W1088"/>
      <c r="X1088"/>
      <c r="Z1088" s="78"/>
      <c r="AA1088" s="78"/>
      <c r="AG1088"/>
      <c r="AH1088"/>
    </row>
    <row r="1089" spans="23:34" x14ac:dyDescent="0.25">
      <c r="W1089"/>
      <c r="X1089"/>
      <c r="Z1089" s="78"/>
      <c r="AA1089" s="78"/>
      <c r="AG1089"/>
      <c r="AH1089"/>
    </row>
    <row r="1090" spans="23:34" x14ac:dyDescent="0.25">
      <c r="W1090"/>
      <c r="X1090"/>
      <c r="Z1090" s="78"/>
      <c r="AA1090" s="78"/>
      <c r="AG1090"/>
      <c r="AH1090"/>
    </row>
    <row r="1091" spans="23:34" x14ac:dyDescent="0.25">
      <c r="W1091"/>
      <c r="X1091"/>
      <c r="Z1091" s="78"/>
      <c r="AA1091" s="78"/>
      <c r="AG1091"/>
      <c r="AH1091"/>
    </row>
    <row r="1092" spans="23:34" x14ac:dyDescent="0.25">
      <c r="W1092"/>
      <c r="X1092"/>
      <c r="Z1092" s="78"/>
      <c r="AA1092" s="78"/>
      <c r="AG1092"/>
      <c r="AH1092"/>
    </row>
    <row r="1093" spans="23:34" x14ac:dyDescent="0.25">
      <c r="W1093"/>
      <c r="X1093"/>
      <c r="Z1093" s="78"/>
      <c r="AA1093" s="78"/>
      <c r="AG1093"/>
      <c r="AH1093"/>
    </row>
    <row r="1094" spans="23:34" x14ac:dyDescent="0.25">
      <c r="W1094"/>
      <c r="X1094"/>
      <c r="Z1094" s="78"/>
      <c r="AA1094" s="78"/>
      <c r="AG1094"/>
      <c r="AH1094"/>
    </row>
    <row r="1095" spans="23:34" x14ac:dyDescent="0.25">
      <c r="W1095"/>
      <c r="X1095"/>
      <c r="Z1095" s="78"/>
      <c r="AA1095" s="78"/>
      <c r="AG1095"/>
      <c r="AH1095"/>
    </row>
    <row r="1096" spans="23:34" x14ac:dyDescent="0.25">
      <c r="W1096"/>
      <c r="X1096"/>
      <c r="Z1096" s="78"/>
      <c r="AA1096" s="78"/>
      <c r="AG1096"/>
      <c r="AH1096"/>
    </row>
    <row r="1097" spans="23:34" x14ac:dyDescent="0.25">
      <c r="W1097"/>
      <c r="X1097"/>
      <c r="Z1097" s="78"/>
      <c r="AA1097" s="78"/>
      <c r="AG1097"/>
      <c r="AH1097"/>
    </row>
    <row r="1098" spans="23:34" x14ac:dyDescent="0.25">
      <c r="W1098"/>
      <c r="X1098"/>
      <c r="Z1098" s="78"/>
      <c r="AA1098" s="78"/>
      <c r="AG1098"/>
      <c r="AH1098"/>
    </row>
    <row r="1099" spans="23:34" x14ac:dyDescent="0.25">
      <c r="W1099"/>
      <c r="X1099"/>
      <c r="Z1099" s="78"/>
      <c r="AA1099" s="78"/>
      <c r="AG1099"/>
      <c r="AH1099"/>
    </row>
    <row r="1100" spans="23:34" x14ac:dyDescent="0.25">
      <c r="W1100"/>
      <c r="X1100"/>
      <c r="Z1100" s="78"/>
      <c r="AA1100" s="78"/>
      <c r="AG1100"/>
      <c r="AH1100"/>
    </row>
    <row r="1101" spans="23:34" x14ac:dyDescent="0.25">
      <c r="W1101"/>
      <c r="X1101"/>
      <c r="Z1101" s="78"/>
      <c r="AA1101" s="78"/>
      <c r="AG1101"/>
      <c r="AH1101"/>
    </row>
    <row r="1102" spans="23:34" x14ac:dyDescent="0.25">
      <c r="W1102"/>
      <c r="X1102"/>
      <c r="Z1102" s="78"/>
      <c r="AA1102" s="78"/>
      <c r="AG1102"/>
      <c r="AH1102"/>
    </row>
    <row r="1103" spans="23:34" x14ac:dyDescent="0.25">
      <c r="W1103"/>
      <c r="X1103"/>
      <c r="Z1103" s="78"/>
      <c r="AA1103" s="78"/>
      <c r="AG1103"/>
      <c r="AH1103"/>
    </row>
    <row r="1104" spans="23:34" x14ac:dyDescent="0.25">
      <c r="W1104"/>
      <c r="X1104"/>
      <c r="Z1104" s="78"/>
      <c r="AA1104" s="78"/>
      <c r="AG1104"/>
      <c r="AH1104"/>
    </row>
    <row r="1105" spans="23:34" x14ac:dyDescent="0.25">
      <c r="W1105"/>
      <c r="X1105"/>
      <c r="Z1105" s="78"/>
      <c r="AA1105" s="78"/>
      <c r="AG1105"/>
      <c r="AH1105"/>
    </row>
    <row r="1106" spans="23:34" x14ac:dyDescent="0.25">
      <c r="W1106"/>
      <c r="X1106"/>
      <c r="Z1106" s="78"/>
      <c r="AA1106" s="78"/>
      <c r="AG1106"/>
      <c r="AH1106"/>
    </row>
    <row r="1107" spans="23:34" x14ac:dyDescent="0.25">
      <c r="W1107"/>
      <c r="X1107"/>
      <c r="Z1107" s="78"/>
      <c r="AA1107" s="78"/>
      <c r="AG1107"/>
      <c r="AH1107"/>
    </row>
    <row r="1108" spans="23:34" x14ac:dyDescent="0.25">
      <c r="W1108"/>
      <c r="X1108"/>
      <c r="Z1108" s="78"/>
      <c r="AA1108" s="78"/>
      <c r="AG1108"/>
      <c r="AH1108"/>
    </row>
    <row r="1109" spans="23:34" x14ac:dyDescent="0.25">
      <c r="W1109"/>
      <c r="X1109"/>
      <c r="Z1109" s="78"/>
      <c r="AA1109" s="78"/>
      <c r="AG1109"/>
      <c r="AH1109"/>
    </row>
    <row r="1110" spans="23:34" x14ac:dyDescent="0.25">
      <c r="W1110"/>
      <c r="X1110"/>
      <c r="Z1110" s="78"/>
      <c r="AA1110" s="78"/>
      <c r="AG1110"/>
      <c r="AH1110"/>
    </row>
    <row r="1111" spans="23:34" x14ac:dyDescent="0.25">
      <c r="W1111"/>
      <c r="X1111"/>
      <c r="Z1111" s="78"/>
      <c r="AA1111" s="78"/>
      <c r="AG1111"/>
      <c r="AH1111"/>
    </row>
    <row r="1112" spans="23:34" x14ac:dyDescent="0.25">
      <c r="W1112"/>
      <c r="X1112"/>
      <c r="Z1112" s="78"/>
      <c r="AA1112" s="78"/>
      <c r="AG1112"/>
      <c r="AH1112"/>
    </row>
    <row r="1113" spans="23:34" x14ac:dyDescent="0.25">
      <c r="W1113"/>
      <c r="X1113"/>
      <c r="Z1113" s="78"/>
      <c r="AA1113" s="78"/>
      <c r="AG1113"/>
      <c r="AH1113"/>
    </row>
    <row r="1114" spans="23:34" x14ac:dyDescent="0.25">
      <c r="W1114"/>
      <c r="X1114"/>
      <c r="Z1114" s="78"/>
      <c r="AA1114" s="78"/>
      <c r="AG1114"/>
      <c r="AH1114"/>
    </row>
    <row r="1115" spans="23:34" x14ac:dyDescent="0.25">
      <c r="W1115"/>
      <c r="X1115"/>
      <c r="Z1115" s="78"/>
      <c r="AA1115" s="78"/>
      <c r="AG1115"/>
      <c r="AH1115"/>
    </row>
    <row r="1116" spans="23:34" x14ac:dyDescent="0.25">
      <c r="W1116"/>
      <c r="X1116"/>
      <c r="Z1116" s="78"/>
      <c r="AA1116" s="78"/>
      <c r="AG1116"/>
      <c r="AH1116"/>
    </row>
    <row r="1117" spans="23:34" x14ac:dyDescent="0.25">
      <c r="W1117"/>
      <c r="X1117"/>
      <c r="Z1117" s="78"/>
      <c r="AA1117" s="78"/>
      <c r="AG1117"/>
      <c r="AH1117"/>
    </row>
    <row r="1118" spans="23:34" x14ac:dyDescent="0.25">
      <c r="W1118"/>
      <c r="X1118"/>
      <c r="Z1118" s="78"/>
      <c r="AA1118" s="78"/>
      <c r="AG1118"/>
      <c r="AH1118"/>
    </row>
    <row r="1119" spans="23:34" x14ac:dyDescent="0.25">
      <c r="W1119"/>
      <c r="X1119"/>
      <c r="Z1119" s="78"/>
      <c r="AA1119" s="78"/>
      <c r="AG1119"/>
      <c r="AH1119"/>
    </row>
    <row r="1120" spans="23:34" x14ac:dyDescent="0.25">
      <c r="W1120"/>
      <c r="X1120"/>
      <c r="Z1120" s="78"/>
      <c r="AA1120" s="78"/>
      <c r="AG1120"/>
      <c r="AH1120"/>
    </row>
    <row r="1121" spans="23:34" x14ac:dyDescent="0.25">
      <c r="W1121"/>
      <c r="X1121"/>
      <c r="Z1121" s="78"/>
      <c r="AA1121" s="78"/>
      <c r="AG1121"/>
      <c r="AH1121"/>
    </row>
    <row r="1122" spans="23:34" x14ac:dyDescent="0.25">
      <c r="W1122"/>
      <c r="X1122"/>
      <c r="Z1122" s="78"/>
      <c r="AA1122" s="78"/>
      <c r="AG1122"/>
      <c r="AH1122"/>
    </row>
    <row r="1123" spans="23:34" x14ac:dyDescent="0.25">
      <c r="W1123"/>
      <c r="X1123"/>
      <c r="Z1123" s="78"/>
      <c r="AA1123" s="78"/>
      <c r="AG1123"/>
      <c r="AH1123"/>
    </row>
    <row r="1124" spans="23:34" x14ac:dyDescent="0.25">
      <c r="W1124"/>
      <c r="X1124"/>
      <c r="Z1124" s="78"/>
      <c r="AA1124" s="78"/>
      <c r="AG1124"/>
      <c r="AH1124"/>
    </row>
    <row r="1125" spans="23:34" x14ac:dyDescent="0.25">
      <c r="W1125"/>
      <c r="X1125"/>
      <c r="Z1125" s="78"/>
      <c r="AA1125" s="78"/>
      <c r="AG1125"/>
      <c r="AH1125"/>
    </row>
    <row r="1126" spans="23:34" x14ac:dyDescent="0.25">
      <c r="W1126"/>
      <c r="X1126"/>
      <c r="Z1126" s="78"/>
      <c r="AA1126" s="78"/>
      <c r="AG1126"/>
      <c r="AH1126"/>
    </row>
    <row r="1127" spans="23:34" x14ac:dyDescent="0.25">
      <c r="W1127"/>
      <c r="X1127"/>
      <c r="Z1127" s="78"/>
      <c r="AA1127" s="78"/>
      <c r="AG1127"/>
      <c r="AH1127"/>
    </row>
    <row r="1128" spans="23:34" x14ac:dyDescent="0.25">
      <c r="W1128"/>
      <c r="X1128"/>
      <c r="Z1128" s="78"/>
      <c r="AA1128" s="78"/>
      <c r="AG1128"/>
      <c r="AH1128"/>
    </row>
    <row r="1129" spans="23:34" x14ac:dyDescent="0.25">
      <c r="W1129"/>
      <c r="X1129"/>
      <c r="Z1129" s="78"/>
      <c r="AA1129" s="78"/>
      <c r="AG1129"/>
      <c r="AH1129"/>
    </row>
    <row r="1130" spans="23:34" x14ac:dyDescent="0.25">
      <c r="W1130"/>
      <c r="X1130"/>
      <c r="Z1130" s="78"/>
      <c r="AA1130" s="78"/>
      <c r="AG1130"/>
      <c r="AH1130"/>
    </row>
    <row r="1131" spans="23:34" x14ac:dyDescent="0.25">
      <c r="W1131"/>
      <c r="X1131"/>
      <c r="Z1131" s="78"/>
      <c r="AA1131" s="78"/>
      <c r="AG1131"/>
      <c r="AH1131"/>
    </row>
    <row r="1132" spans="23:34" x14ac:dyDescent="0.25">
      <c r="W1132"/>
      <c r="X1132"/>
      <c r="Z1132" s="78"/>
      <c r="AA1132" s="78"/>
      <c r="AG1132"/>
      <c r="AH1132"/>
    </row>
    <row r="1133" spans="23:34" x14ac:dyDescent="0.25">
      <c r="W1133"/>
      <c r="X1133"/>
      <c r="Z1133" s="78"/>
      <c r="AA1133" s="78"/>
      <c r="AG1133"/>
      <c r="AH1133"/>
    </row>
    <row r="1134" spans="23:34" x14ac:dyDescent="0.25">
      <c r="W1134"/>
      <c r="X1134"/>
      <c r="Z1134" s="78"/>
      <c r="AA1134" s="78"/>
      <c r="AG1134"/>
      <c r="AH1134"/>
    </row>
    <row r="1135" spans="23:34" x14ac:dyDescent="0.25">
      <c r="W1135"/>
      <c r="X1135"/>
      <c r="Z1135" s="78"/>
      <c r="AA1135" s="78"/>
      <c r="AG1135"/>
      <c r="AH1135"/>
    </row>
    <row r="1136" spans="23:34" x14ac:dyDescent="0.25">
      <c r="W1136"/>
      <c r="X1136"/>
      <c r="Z1136" s="78"/>
      <c r="AA1136" s="78"/>
      <c r="AG1136"/>
      <c r="AH1136"/>
    </row>
    <row r="1137" spans="23:34" x14ac:dyDescent="0.25">
      <c r="W1137"/>
      <c r="X1137"/>
      <c r="Z1137" s="78"/>
      <c r="AA1137" s="78"/>
      <c r="AG1137"/>
      <c r="AH1137"/>
    </row>
    <row r="1138" spans="23:34" x14ac:dyDescent="0.25">
      <c r="W1138"/>
      <c r="X1138"/>
      <c r="Z1138" s="78"/>
      <c r="AA1138" s="78"/>
      <c r="AG1138"/>
      <c r="AH1138"/>
    </row>
    <row r="1139" spans="23:34" x14ac:dyDescent="0.25">
      <c r="W1139"/>
      <c r="X1139"/>
      <c r="Z1139" s="78"/>
      <c r="AA1139" s="78"/>
      <c r="AG1139"/>
      <c r="AH1139"/>
    </row>
    <row r="1140" spans="23:34" x14ac:dyDescent="0.25">
      <c r="W1140"/>
      <c r="X1140"/>
      <c r="Z1140" s="78"/>
      <c r="AA1140" s="78"/>
      <c r="AG1140"/>
      <c r="AH1140"/>
    </row>
    <row r="1141" spans="23:34" x14ac:dyDescent="0.25">
      <c r="W1141"/>
      <c r="X1141"/>
      <c r="Z1141" s="78"/>
      <c r="AA1141" s="78"/>
      <c r="AG1141"/>
      <c r="AH1141"/>
    </row>
    <row r="1142" spans="23:34" x14ac:dyDescent="0.25">
      <c r="W1142"/>
      <c r="X1142"/>
      <c r="Z1142" s="78"/>
      <c r="AA1142" s="78"/>
      <c r="AG1142"/>
      <c r="AH1142"/>
    </row>
    <row r="1143" spans="23:34" x14ac:dyDescent="0.25">
      <c r="W1143"/>
      <c r="X1143"/>
      <c r="Z1143" s="78"/>
      <c r="AA1143" s="78"/>
      <c r="AG1143"/>
      <c r="AH1143"/>
    </row>
    <row r="1144" spans="23:34" x14ac:dyDescent="0.25">
      <c r="W1144"/>
      <c r="X1144"/>
      <c r="Z1144" s="78"/>
      <c r="AA1144" s="78"/>
      <c r="AG1144"/>
      <c r="AH1144"/>
    </row>
    <row r="1145" spans="23:34" x14ac:dyDescent="0.25">
      <c r="W1145"/>
      <c r="X1145"/>
      <c r="Z1145" s="78"/>
      <c r="AA1145" s="78"/>
      <c r="AG1145"/>
      <c r="AH1145"/>
    </row>
    <row r="1146" spans="23:34" x14ac:dyDescent="0.25">
      <c r="W1146"/>
      <c r="X1146"/>
      <c r="Z1146" s="78"/>
      <c r="AA1146" s="78"/>
      <c r="AG1146"/>
      <c r="AH1146"/>
    </row>
    <row r="1147" spans="23:34" x14ac:dyDescent="0.25">
      <c r="W1147"/>
      <c r="X1147"/>
      <c r="Z1147" s="78"/>
      <c r="AA1147" s="78"/>
      <c r="AG1147"/>
      <c r="AH1147"/>
    </row>
    <row r="1148" spans="23:34" x14ac:dyDescent="0.25">
      <c r="W1148"/>
      <c r="X1148"/>
      <c r="Z1148" s="78"/>
      <c r="AA1148" s="78"/>
      <c r="AG1148"/>
      <c r="AH1148"/>
    </row>
    <row r="1149" spans="23:34" x14ac:dyDescent="0.25">
      <c r="W1149"/>
      <c r="X1149"/>
      <c r="Z1149" s="78"/>
      <c r="AA1149" s="78"/>
      <c r="AG1149"/>
      <c r="AH1149"/>
    </row>
    <row r="1150" spans="23:34" x14ac:dyDescent="0.25">
      <c r="W1150"/>
      <c r="X1150"/>
      <c r="Z1150" s="78"/>
      <c r="AA1150" s="78"/>
      <c r="AG1150"/>
      <c r="AH1150"/>
    </row>
    <row r="1151" spans="23:34" x14ac:dyDescent="0.25">
      <c r="W1151"/>
      <c r="X1151"/>
      <c r="Z1151" s="78"/>
      <c r="AA1151" s="78"/>
      <c r="AG1151"/>
      <c r="AH1151"/>
    </row>
    <row r="1152" spans="23:34" x14ac:dyDescent="0.25">
      <c r="W1152"/>
      <c r="X1152"/>
      <c r="Z1152" s="78"/>
      <c r="AA1152" s="78"/>
      <c r="AG1152"/>
      <c r="AH1152"/>
    </row>
    <row r="1153" spans="23:34" x14ac:dyDescent="0.25">
      <c r="W1153"/>
      <c r="X1153"/>
      <c r="Z1153" s="78"/>
      <c r="AA1153" s="78"/>
      <c r="AG1153"/>
      <c r="AH1153"/>
    </row>
    <row r="1154" spans="23:34" x14ac:dyDescent="0.25">
      <c r="W1154"/>
      <c r="X1154"/>
      <c r="Z1154" s="78"/>
      <c r="AA1154" s="78"/>
      <c r="AG1154"/>
      <c r="AH1154"/>
    </row>
    <row r="1155" spans="23:34" x14ac:dyDescent="0.25">
      <c r="W1155"/>
      <c r="X1155"/>
      <c r="Z1155" s="78"/>
      <c r="AA1155" s="78"/>
      <c r="AG1155"/>
      <c r="AH1155"/>
    </row>
    <row r="1156" spans="23:34" x14ac:dyDescent="0.25">
      <c r="W1156"/>
      <c r="X1156"/>
      <c r="Z1156" s="78"/>
      <c r="AA1156" s="78"/>
      <c r="AG1156"/>
      <c r="AH1156"/>
    </row>
    <row r="1157" spans="23:34" x14ac:dyDescent="0.25">
      <c r="W1157"/>
      <c r="X1157"/>
      <c r="Z1157" s="78"/>
      <c r="AA1157" s="78"/>
      <c r="AG1157"/>
      <c r="AH1157"/>
    </row>
    <row r="1158" spans="23:34" x14ac:dyDescent="0.25">
      <c r="W1158"/>
      <c r="X1158"/>
      <c r="Z1158" s="78"/>
      <c r="AA1158" s="78"/>
      <c r="AG1158"/>
      <c r="AH1158"/>
    </row>
    <row r="1159" spans="23:34" x14ac:dyDescent="0.25">
      <c r="W1159"/>
      <c r="X1159"/>
      <c r="Z1159" s="78"/>
      <c r="AA1159" s="78"/>
      <c r="AG1159"/>
      <c r="AH1159"/>
    </row>
    <row r="1160" spans="23:34" x14ac:dyDescent="0.25">
      <c r="W1160"/>
      <c r="X1160"/>
      <c r="Z1160" s="78"/>
      <c r="AA1160" s="78"/>
      <c r="AG1160"/>
      <c r="AH1160"/>
    </row>
    <row r="1161" spans="23:34" x14ac:dyDescent="0.25">
      <c r="W1161"/>
      <c r="X1161"/>
      <c r="Z1161" s="78"/>
      <c r="AA1161" s="78"/>
      <c r="AG1161"/>
      <c r="AH1161"/>
    </row>
    <row r="1162" spans="23:34" x14ac:dyDescent="0.25">
      <c r="W1162"/>
      <c r="X1162"/>
      <c r="Z1162" s="78"/>
      <c r="AA1162" s="78"/>
      <c r="AG1162"/>
      <c r="AH1162"/>
    </row>
    <row r="1163" spans="23:34" x14ac:dyDescent="0.25">
      <c r="W1163"/>
      <c r="X1163"/>
      <c r="Z1163" s="78"/>
      <c r="AA1163" s="78"/>
      <c r="AG1163"/>
      <c r="AH1163"/>
    </row>
    <row r="1164" spans="23:34" x14ac:dyDescent="0.25">
      <c r="W1164"/>
      <c r="X1164"/>
      <c r="Z1164" s="78"/>
      <c r="AA1164" s="78"/>
      <c r="AG1164"/>
      <c r="AH1164"/>
    </row>
    <row r="1165" spans="23:34" x14ac:dyDescent="0.25">
      <c r="W1165"/>
      <c r="X1165"/>
      <c r="Z1165" s="78"/>
      <c r="AA1165" s="78"/>
      <c r="AG1165"/>
      <c r="AH1165"/>
    </row>
    <row r="1166" spans="23:34" x14ac:dyDescent="0.25">
      <c r="W1166"/>
      <c r="X1166"/>
      <c r="Z1166" s="78"/>
      <c r="AA1166" s="78"/>
      <c r="AG1166"/>
      <c r="AH1166"/>
    </row>
    <row r="1167" spans="23:34" x14ac:dyDescent="0.25">
      <c r="W1167"/>
      <c r="X1167"/>
      <c r="Z1167" s="78"/>
      <c r="AA1167" s="78"/>
      <c r="AG1167"/>
      <c r="AH1167"/>
    </row>
    <row r="1168" spans="23:34" x14ac:dyDescent="0.25">
      <c r="W1168"/>
      <c r="X1168"/>
      <c r="Z1168" s="78"/>
      <c r="AA1168" s="78"/>
      <c r="AG1168"/>
      <c r="AH1168"/>
    </row>
    <row r="1169" spans="23:34" x14ac:dyDescent="0.25">
      <c r="W1169"/>
      <c r="X1169"/>
      <c r="Z1169" s="78"/>
      <c r="AA1169" s="78"/>
      <c r="AG1169"/>
      <c r="AH1169"/>
    </row>
    <row r="1170" spans="23:34" x14ac:dyDescent="0.25">
      <c r="W1170"/>
      <c r="X1170"/>
      <c r="Z1170" s="78"/>
      <c r="AA1170" s="78"/>
      <c r="AG1170"/>
      <c r="AH1170"/>
    </row>
    <row r="1171" spans="23:34" x14ac:dyDescent="0.25">
      <c r="W1171"/>
      <c r="X1171"/>
      <c r="Z1171" s="78"/>
      <c r="AA1171" s="78"/>
      <c r="AG1171"/>
      <c r="AH1171"/>
    </row>
    <row r="1172" spans="23:34" x14ac:dyDescent="0.25">
      <c r="W1172"/>
      <c r="X1172"/>
      <c r="Z1172" s="78"/>
      <c r="AA1172" s="78"/>
      <c r="AG1172"/>
      <c r="AH1172"/>
    </row>
    <row r="1173" spans="23:34" x14ac:dyDescent="0.25">
      <c r="W1173"/>
      <c r="X1173"/>
      <c r="Z1173" s="78"/>
      <c r="AA1173" s="78"/>
      <c r="AG1173"/>
      <c r="AH1173"/>
    </row>
    <row r="1174" spans="23:34" x14ac:dyDescent="0.25">
      <c r="W1174"/>
      <c r="X1174"/>
      <c r="Z1174" s="78"/>
      <c r="AA1174" s="78"/>
      <c r="AG1174"/>
      <c r="AH1174"/>
    </row>
    <row r="1175" spans="23:34" x14ac:dyDescent="0.25">
      <c r="W1175"/>
      <c r="X1175"/>
      <c r="Z1175" s="78"/>
      <c r="AA1175" s="78"/>
      <c r="AG1175"/>
      <c r="AH1175"/>
    </row>
    <row r="1176" spans="23:34" x14ac:dyDescent="0.25">
      <c r="W1176"/>
      <c r="X1176"/>
      <c r="Z1176" s="78"/>
      <c r="AA1176" s="78"/>
      <c r="AG1176"/>
      <c r="AH1176"/>
    </row>
    <row r="1177" spans="23:34" x14ac:dyDescent="0.25">
      <c r="W1177"/>
      <c r="X1177"/>
      <c r="Z1177" s="78"/>
      <c r="AA1177" s="78"/>
      <c r="AG1177"/>
      <c r="AH1177"/>
    </row>
    <row r="1178" spans="23:34" x14ac:dyDescent="0.25">
      <c r="W1178"/>
      <c r="X1178"/>
      <c r="Z1178" s="78"/>
      <c r="AA1178" s="78"/>
      <c r="AG1178"/>
      <c r="AH1178"/>
    </row>
    <row r="1179" spans="23:34" x14ac:dyDescent="0.25">
      <c r="W1179"/>
      <c r="X1179"/>
      <c r="Z1179" s="78"/>
      <c r="AA1179" s="78"/>
      <c r="AG1179"/>
      <c r="AH1179"/>
    </row>
    <row r="1180" spans="23:34" x14ac:dyDescent="0.25">
      <c r="W1180"/>
      <c r="X1180"/>
      <c r="Z1180" s="78"/>
      <c r="AA1180" s="78"/>
      <c r="AG1180"/>
      <c r="AH1180"/>
    </row>
    <row r="1181" spans="23:34" x14ac:dyDescent="0.25">
      <c r="W1181"/>
      <c r="X1181"/>
      <c r="Z1181" s="78"/>
      <c r="AA1181" s="78"/>
      <c r="AG1181"/>
      <c r="AH1181"/>
    </row>
    <row r="1182" spans="23:34" x14ac:dyDescent="0.25">
      <c r="W1182"/>
      <c r="X1182"/>
      <c r="Z1182" s="78"/>
      <c r="AA1182" s="78"/>
      <c r="AG1182"/>
      <c r="AH1182"/>
    </row>
    <row r="1183" spans="23:34" x14ac:dyDescent="0.25">
      <c r="W1183"/>
      <c r="X1183"/>
      <c r="Z1183" s="78"/>
      <c r="AA1183" s="78"/>
      <c r="AG1183"/>
      <c r="AH1183"/>
    </row>
    <row r="1184" spans="23:34" x14ac:dyDescent="0.25">
      <c r="W1184"/>
      <c r="X1184"/>
      <c r="Z1184" s="78"/>
      <c r="AA1184" s="78"/>
      <c r="AG1184"/>
      <c r="AH1184"/>
    </row>
    <row r="1185" spans="23:34" x14ac:dyDescent="0.25">
      <c r="W1185"/>
      <c r="X1185"/>
      <c r="Z1185" s="78"/>
      <c r="AA1185" s="78"/>
      <c r="AG1185"/>
      <c r="AH1185"/>
    </row>
    <row r="1186" spans="23:34" x14ac:dyDescent="0.25">
      <c r="W1186"/>
      <c r="X1186"/>
      <c r="Z1186" s="78"/>
      <c r="AA1186" s="78"/>
      <c r="AG1186"/>
      <c r="AH1186"/>
    </row>
    <row r="1187" spans="23:34" x14ac:dyDescent="0.25">
      <c r="W1187"/>
      <c r="X1187"/>
      <c r="Z1187" s="78"/>
      <c r="AA1187" s="78"/>
      <c r="AG1187"/>
      <c r="AH1187"/>
    </row>
    <row r="1188" spans="23:34" x14ac:dyDescent="0.25">
      <c r="W1188"/>
      <c r="X1188"/>
      <c r="Z1188" s="78"/>
      <c r="AA1188" s="78"/>
      <c r="AG1188"/>
      <c r="AH1188"/>
    </row>
    <row r="1189" spans="23:34" x14ac:dyDescent="0.25">
      <c r="W1189"/>
      <c r="X1189"/>
      <c r="Z1189" s="78"/>
      <c r="AA1189" s="78"/>
      <c r="AG1189"/>
      <c r="AH1189"/>
    </row>
    <row r="1190" spans="23:34" x14ac:dyDescent="0.25">
      <c r="W1190"/>
      <c r="X1190"/>
      <c r="Z1190" s="78"/>
      <c r="AA1190" s="78"/>
      <c r="AG1190"/>
      <c r="AH1190"/>
    </row>
    <row r="1191" spans="23:34" x14ac:dyDescent="0.25">
      <c r="W1191"/>
      <c r="X1191"/>
      <c r="Z1191" s="78"/>
      <c r="AA1191" s="78"/>
      <c r="AG1191"/>
      <c r="AH1191"/>
    </row>
    <row r="1192" spans="23:34" x14ac:dyDescent="0.25">
      <c r="W1192"/>
      <c r="X1192"/>
      <c r="Z1192" s="78"/>
      <c r="AA1192" s="78"/>
      <c r="AG1192"/>
      <c r="AH1192"/>
    </row>
    <row r="1193" spans="23:34" x14ac:dyDescent="0.25">
      <c r="W1193"/>
      <c r="X1193"/>
      <c r="Z1193" s="78"/>
      <c r="AA1193" s="78"/>
      <c r="AG1193"/>
      <c r="AH1193"/>
    </row>
    <row r="1194" spans="23:34" x14ac:dyDescent="0.25">
      <c r="W1194"/>
      <c r="X1194"/>
      <c r="Z1194" s="78"/>
      <c r="AA1194" s="78"/>
      <c r="AG1194"/>
      <c r="AH1194"/>
    </row>
    <row r="1195" spans="23:34" x14ac:dyDescent="0.25">
      <c r="W1195"/>
      <c r="X1195"/>
      <c r="Z1195" s="78"/>
      <c r="AA1195" s="78"/>
      <c r="AG1195"/>
      <c r="AH1195"/>
    </row>
    <row r="1196" spans="23:34" x14ac:dyDescent="0.25">
      <c r="W1196"/>
      <c r="X1196"/>
      <c r="Z1196" s="78"/>
      <c r="AA1196" s="78"/>
      <c r="AG1196"/>
      <c r="AH1196"/>
    </row>
    <row r="1197" spans="23:34" x14ac:dyDescent="0.25">
      <c r="W1197"/>
      <c r="X1197"/>
      <c r="Z1197" s="78"/>
      <c r="AA1197" s="78"/>
      <c r="AG1197"/>
      <c r="AH1197"/>
    </row>
    <row r="1198" spans="23:34" x14ac:dyDescent="0.25">
      <c r="W1198"/>
      <c r="X1198"/>
      <c r="Z1198" s="78"/>
      <c r="AA1198" s="78"/>
      <c r="AG1198"/>
      <c r="AH1198"/>
    </row>
    <row r="1199" spans="23:34" x14ac:dyDescent="0.25">
      <c r="W1199"/>
      <c r="X1199"/>
      <c r="Z1199" s="78"/>
      <c r="AA1199" s="78"/>
      <c r="AG1199"/>
      <c r="AH1199"/>
    </row>
    <row r="1200" spans="23:34" x14ac:dyDescent="0.25">
      <c r="W1200"/>
      <c r="X1200"/>
      <c r="Z1200" s="78"/>
      <c r="AA1200" s="78"/>
      <c r="AG1200"/>
      <c r="AH1200"/>
    </row>
    <row r="1201" spans="23:34" x14ac:dyDescent="0.25">
      <c r="W1201"/>
      <c r="X1201"/>
      <c r="Z1201" s="78"/>
      <c r="AA1201" s="78"/>
      <c r="AG1201"/>
      <c r="AH1201"/>
    </row>
    <row r="1202" spans="23:34" x14ac:dyDescent="0.25">
      <c r="W1202"/>
      <c r="X1202"/>
      <c r="Z1202" s="78"/>
      <c r="AA1202" s="78"/>
      <c r="AG1202"/>
      <c r="AH1202"/>
    </row>
    <row r="1203" spans="23:34" x14ac:dyDescent="0.25">
      <c r="W1203"/>
      <c r="X1203"/>
      <c r="Z1203" s="78"/>
      <c r="AA1203" s="78"/>
      <c r="AG1203"/>
      <c r="AH1203"/>
    </row>
    <row r="1204" spans="23:34" x14ac:dyDescent="0.25">
      <c r="W1204"/>
      <c r="X1204"/>
      <c r="Z1204" s="78"/>
      <c r="AA1204" s="78"/>
      <c r="AG1204"/>
      <c r="AH1204"/>
    </row>
    <row r="1205" spans="23:34" x14ac:dyDescent="0.25">
      <c r="W1205"/>
      <c r="X1205"/>
      <c r="Z1205" s="78"/>
      <c r="AA1205" s="78"/>
      <c r="AG1205"/>
      <c r="AH1205"/>
    </row>
    <row r="1206" spans="23:34" x14ac:dyDescent="0.25">
      <c r="W1206"/>
      <c r="X1206"/>
      <c r="Z1206" s="78"/>
      <c r="AA1206" s="78"/>
      <c r="AG1206"/>
      <c r="AH1206"/>
    </row>
    <row r="1207" spans="23:34" x14ac:dyDescent="0.25">
      <c r="W1207"/>
      <c r="X1207"/>
      <c r="Z1207" s="78"/>
      <c r="AA1207" s="78"/>
      <c r="AG1207"/>
      <c r="AH1207"/>
    </row>
    <row r="1208" spans="23:34" x14ac:dyDescent="0.25">
      <c r="W1208"/>
      <c r="X1208"/>
      <c r="Z1208" s="78"/>
      <c r="AA1208" s="78"/>
      <c r="AG1208"/>
      <c r="AH1208"/>
    </row>
    <row r="1209" spans="23:34" x14ac:dyDescent="0.25">
      <c r="W1209"/>
      <c r="X1209"/>
      <c r="Z1209" s="78"/>
      <c r="AA1209" s="78"/>
      <c r="AG1209"/>
      <c r="AH1209"/>
    </row>
    <row r="1210" spans="23:34" x14ac:dyDescent="0.25">
      <c r="W1210"/>
      <c r="X1210"/>
      <c r="Z1210" s="78"/>
      <c r="AA1210" s="78"/>
      <c r="AG1210"/>
      <c r="AH1210"/>
    </row>
    <row r="1211" spans="23:34" x14ac:dyDescent="0.25">
      <c r="W1211"/>
      <c r="X1211"/>
      <c r="Z1211" s="78"/>
      <c r="AA1211" s="78"/>
      <c r="AG1211"/>
      <c r="AH1211"/>
    </row>
    <row r="1212" spans="23:34" x14ac:dyDescent="0.25">
      <c r="W1212"/>
      <c r="X1212"/>
      <c r="Z1212" s="78"/>
      <c r="AA1212" s="78"/>
      <c r="AG1212"/>
      <c r="AH1212"/>
    </row>
    <row r="1213" spans="23:34" x14ac:dyDescent="0.25">
      <c r="W1213"/>
      <c r="X1213"/>
      <c r="Z1213" s="78"/>
      <c r="AA1213" s="78"/>
      <c r="AG1213"/>
      <c r="AH1213"/>
    </row>
    <row r="1214" spans="23:34" x14ac:dyDescent="0.25">
      <c r="W1214"/>
      <c r="X1214"/>
      <c r="Z1214" s="78"/>
      <c r="AA1214" s="78"/>
      <c r="AG1214"/>
      <c r="AH1214"/>
    </row>
    <row r="1215" spans="23:34" x14ac:dyDescent="0.25">
      <c r="W1215"/>
      <c r="X1215"/>
      <c r="Z1215" s="78"/>
      <c r="AA1215" s="78"/>
      <c r="AG1215"/>
      <c r="AH1215"/>
    </row>
    <row r="1216" spans="23:34" x14ac:dyDescent="0.25">
      <c r="W1216"/>
      <c r="X1216"/>
      <c r="Z1216" s="78"/>
      <c r="AA1216" s="78"/>
      <c r="AG1216"/>
      <c r="AH1216"/>
    </row>
    <row r="1217" spans="23:34" x14ac:dyDescent="0.25">
      <c r="W1217"/>
      <c r="X1217"/>
      <c r="Z1217" s="78"/>
      <c r="AA1217" s="78"/>
      <c r="AG1217"/>
      <c r="AH1217"/>
    </row>
    <row r="1218" spans="23:34" x14ac:dyDescent="0.25">
      <c r="W1218"/>
      <c r="X1218"/>
      <c r="Z1218" s="78"/>
      <c r="AA1218" s="78"/>
      <c r="AG1218"/>
      <c r="AH1218"/>
    </row>
    <row r="1219" spans="23:34" x14ac:dyDescent="0.25">
      <c r="W1219"/>
      <c r="X1219"/>
      <c r="Z1219" s="78"/>
      <c r="AA1219" s="78"/>
      <c r="AG1219"/>
      <c r="AH1219"/>
    </row>
    <row r="1220" spans="23:34" x14ac:dyDescent="0.25">
      <c r="W1220"/>
      <c r="X1220"/>
      <c r="Z1220" s="78"/>
      <c r="AA1220" s="78"/>
      <c r="AG1220"/>
      <c r="AH1220"/>
    </row>
    <row r="1221" spans="23:34" x14ac:dyDescent="0.25">
      <c r="W1221"/>
      <c r="X1221"/>
      <c r="Z1221" s="78"/>
      <c r="AA1221" s="78"/>
      <c r="AG1221"/>
      <c r="AH1221"/>
    </row>
    <row r="1222" spans="23:34" x14ac:dyDescent="0.25">
      <c r="W1222"/>
      <c r="X1222"/>
      <c r="Z1222" s="78"/>
      <c r="AA1222" s="78"/>
      <c r="AG1222"/>
      <c r="AH1222"/>
    </row>
    <row r="1223" spans="23:34" x14ac:dyDescent="0.25">
      <c r="W1223"/>
      <c r="X1223"/>
      <c r="Z1223" s="78"/>
      <c r="AA1223" s="78"/>
      <c r="AG1223"/>
      <c r="AH1223"/>
    </row>
    <row r="1224" spans="23:34" x14ac:dyDescent="0.25">
      <c r="W1224"/>
      <c r="X1224"/>
      <c r="Z1224" s="78"/>
      <c r="AA1224" s="78"/>
      <c r="AG1224"/>
      <c r="AH1224"/>
    </row>
    <row r="1225" spans="23:34" x14ac:dyDescent="0.25">
      <c r="W1225"/>
      <c r="X1225"/>
      <c r="Z1225" s="78"/>
      <c r="AA1225" s="78"/>
      <c r="AG1225"/>
      <c r="AH1225"/>
    </row>
    <row r="1226" spans="23:34" x14ac:dyDescent="0.25">
      <c r="W1226"/>
      <c r="X1226"/>
      <c r="Z1226" s="78"/>
      <c r="AA1226" s="78"/>
      <c r="AG1226"/>
      <c r="AH1226"/>
    </row>
    <row r="1227" spans="23:34" x14ac:dyDescent="0.25">
      <c r="W1227"/>
      <c r="X1227"/>
      <c r="Z1227" s="78"/>
      <c r="AA1227" s="78"/>
      <c r="AG1227"/>
      <c r="AH1227"/>
    </row>
    <row r="1228" spans="23:34" x14ac:dyDescent="0.25">
      <c r="W1228"/>
      <c r="X1228"/>
      <c r="Z1228" s="78"/>
      <c r="AA1228" s="78"/>
      <c r="AG1228"/>
      <c r="AH1228"/>
    </row>
    <row r="1229" spans="23:34" x14ac:dyDescent="0.25">
      <c r="W1229"/>
      <c r="X1229"/>
      <c r="Z1229" s="78"/>
      <c r="AA1229" s="78"/>
      <c r="AG1229"/>
      <c r="AH1229"/>
    </row>
    <row r="1230" spans="23:34" x14ac:dyDescent="0.25">
      <c r="W1230"/>
      <c r="X1230"/>
      <c r="Z1230" s="78"/>
      <c r="AA1230" s="78"/>
      <c r="AG1230"/>
      <c r="AH1230"/>
    </row>
    <row r="1231" spans="23:34" x14ac:dyDescent="0.25">
      <c r="W1231"/>
      <c r="X1231"/>
      <c r="Z1231" s="78"/>
      <c r="AA1231" s="78"/>
      <c r="AG1231"/>
      <c r="AH1231"/>
    </row>
    <row r="1232" spans="23:34" x14ac:dyDescent="0.25">
      <c r="W1232"/>
      <c r="X1232"/>
      <c r="Z1232" s="78"/>
      <c r="AA1232" s="78"/>
      <c r="AG1232"/>
      <c r="AH1232"/>
    </row>
    <row r="1233" spans="23:34" x14ac:dyDescent="0.25">
      <c r="W1233"/>
      <c r="X1233"/>
      <c r="Z1233" s="78"/>
      <c r="AA1233" s="78"/>
      <c r="AG1233"/>
      <c r="AH1233"/>
    </row>
    <row r="1234" spans="23:34" x14ac:dyDescent="0.25">
      <c r="W1234"/>
      <c r="X1234"/>
      <c r="Z1234" s="78"/>
      <c r="AA1234" s="78"/>
      <c r="AG1234"/>
      <c r="AH1234"/>
    </row>
    <row r="1235" spans="23:34" x14ac:dyDescent="0.25">
      <c r="W1235"/>
      <c r="X1235"/>
      <c r="Z1235" s="78"/>
      <c r="AA1235" s="78"/>
      <c r="AG1235"/>
      <c r="AH1235"/>
    </row>
    <row r="1236" spans="23:34" x14ac:dyDescent="0.25">
      <c r="W1236"/>
      <c r="X1236"/>
      <c r="Z1236" s="78"/>
      <c r="AA1236" s="78"/>
      <c r="AG1236"/>
      <c r="AH1236"/>
    </row>
    <row r="1237" spans="23:34" x14ac:dyDescent="0.25">
      <c r="W1237"/>
      <c r="X1237"/>
      <c r="Z1237" s="78"/>
      <c r="AA1237" s="78"/>
      <c r="AG1237"/>
      <c r="AH1237"/>
    </row>
    <row r="1238" spans="23:34" x14ac:dyDescent="0.25">
      <c r="W1238"/>
      <c r="X1238"/>
      <c r="Z1238" s="78"/>
      <c r="AA1238" s="78"/>
      <c r="AG1238"/>
      <c r="AH1238"/>
    </row>
    <row r="1239" spans="23:34" x14ac:dyDescent="0.25">
      <c r="W1239"/>
      <c r="X1239"/>
      <c r="Z1239" s="78"/>
      <c r="AA1239" s="78"/>
      <c r="AG1239"/>
      <c r="AH1239"/>
    </row>
    <row r="1240" spans="23:34" x14ac:dyDescent="0.25">
      <c r="W1240"/>
      <c r="X1240"/>
      <c r="Z1240" s="78"/>
      <c r="AA1240" s="78"/>
      <c r="AG1240"/>
      <c r="AH1240"/>
    </row>
    <row r="1241" spans="23:34" x14ac:dyDescent="0.25">
      <c r="W1241"/>
      <c r="X1241"/>
      <c r="Z1241" s="78"/>
      <c r="AA1241" s="78"/>
      <c r="AG1241"/>
      <c r="AH1241"/>
    </row>
    <row r="1242" spans="23:34" x14ac:dyDescent="0.25">
      <c r="W1242"/>
      <c r="X1242"/>
      <c r="Z1242" s="78"/>
      <c r="AA1242" s="78"/>
      <c r="AG1242"/>
      <c r="AH1242"/>
    </row>
    <row r="1243" spans="23:34" x14ac:dyDescent="0.25">
      <c r="W1243"/>
      <c r="X1243"/>
      <c r="Z1243" s="78"/>
      <c r="AA1243" s="78"/>
      <c r="AG1243"/>
      <c r="AH1243"/>
    </row>
    <row r="1244" spans="23:34" x14ac:dyDescent="0.25">
      <c r="W1244"/>
      <c r="X1244"/>
      <c r="Z1244" s="78"/>
      <c r="AA1244" s="78"/>
      <c r="AG1244"/>
      <c r="AH1244"/>
    </row>
    <row r="1245" spans="23:34" x14ac:dyDescent="0.25">
      <c r="W1245"/>
      <c r="X1245"/>
      <c r="Z1245" s="78"/>
      <c r="AA1245" s="78"/>
      <c r="AG1245"/>
      <c r="AH1245"/>
    </row>
    <row r="1246" spans="23:34" x14ac:dyDescent="0.25">
      <c r="W1246"/>
      <c r="X1246"/>
      <c r="Z1246" s="78"/>
      <c r="AA1246" s="78"/>
      <c r="AG1246"/>
      <c r="AH1246"/>
    </row>
    <row r="1247" spans="23:34" x14ac:dyDescent="0.25">
      <c r="W1247"/>
      <c r="X1247"/>
      <c r="Z1247" s="78"/>
      <c r="AA1247" s="78"/>
      <c r="AG1247"/>
      <c r="AH1247"/>
    </row>
    <row r="1248" spans="23:34" x14ac:dyDescent="0.25">
      <c r="W1248"/>
      <c r="X1248"/>
      <c r="Z1248" s="78"/>
      <c r="AA1248" s="78"/>
      <c r="AG1248"/>
      <c r="AH1248"/>
    </row>
    <row r="1249" spans="23:34" x14ac:dyDescent="0.25">
      <c r="W1249"/>
      <c r="X1249"/>
      <c r="Z1249" s="78"/>
      <c r="AA1249" s="78"/>
      <c r="AG1249"/>
      <c r="AH1249"/>
    </row>
    <row r="1250" spans="23:34" x14ac:dyDescent="0.25">
      <c r="W1250"/>
      <c r="X1250"/>
      <c r="Z1250" s="78"/>
      <c r="AA1250" s="78"/>
      <c r="AG1250"/>
      <c r="AH1250"/>
    </row>
    <row r="1251" spans="23:34" x14ac:dyDescent="0.25">
      <c r="W1251"/>
      <c r="X1251"/>
      <c r="Z1251" s="78"/>
      <c r="AA1251" s="78"/>
      <c r="AG1251"/>
      <c r="AH1251"/>
    </row>
    <row r="1252" spans="23:34" x14ac:dyDescent="0.25">
      <c r="W1252"/>
      <c r="X1252"/>
      <c r="Z1252" s="78"/>
      <c r="AA1252" s="78"/>
      <c r="AG1252"/>
      <c r="AH1252"/>
    </row>
    <row r="1253" spans="23:34" x14ac:dyDescent="0.25">
      <c r="W1253"/>
      <c r="X1253"/>
      <c r="Z1253" s="78"/>
      <c r="AA1253" s="78"/>
      <c r="AG1253"/>
      <c r="AH1253"/>
    </row>
    <row r="1254" spans="23:34" x14ac:dyDescent="0.25">
      <c r="W1254"/>
      <c r="X1254"/>
      <c r="Z1254" s="78"/>
      <c r="AA1254" s="78"/>
      <c r="AG1254"/>
      <c r="AH1254"/>
    </row>
    <row r="1255" spans="23:34" x14ac:dyDescent="0.25">
      <c r="W1255"/>
      <c r="X1255"/>
      <c r="Z1255" s="78"/>
      <c r="AA1255" s="78"/>
      <c r="AG1255"/>
      <c r="AH1255"/>
    </row>
    <row r="1256" spans="23:34" x14ac:dyDescent="0.25">
      <c r="W1256"/>
      <c r="X1256"/>
      <c r="Z1256" s="78"/>
      <c r="AA1256" s="78"/>
      <c r="AG1256"/>
      <c r="AH1256"/>
    </row>
    <row r="1257" spans="23:34" x14ac:dyDescent="0.25">
      <c r="W1257"/>
      <c r="X1257"/>
      <c r="Z1257" s="78"/>
      <c r="AA1257" s="78"/>
      <c r="AG1257"/>
      <c r="AH1257"/>
    </row>
    <row r="1258" spans="23:34" x14ac:dyDescent="0.25">
      <c r="W1258"/>
      <c r="X1258"/>
      <c r="Z1258" s="78"/>
      <c r="AA1258" s="78"/>
      <c r="AG1258"/>
      <c r="AH1258"/>
    </row>
    <row r="1259" spans="23:34" x14ac:dyDescent="0.25">
      <c r="W1259"/>
      <c r="X1259"/>
      <c r="Z1259" s="78"/>
      <c r="AA1259" s="78"/>
      <c r="AG1259"/>
      <c r="AH1259"/>
    </row>
    <row r="1260" spans="23:34" x14ac:dyDescent="0.25">
      <c r="W1260"/>
      <c r="X1260"/>
      <c r="Z1260" s="78"/>
      <c r="AA1260" s="78"/>
      <c r="AG1260"/>
      <c r="AH1260"/>
    </row>
    <row r="1261" spans="23:34" x14ac:dyDescent="0.25">
      <c r="W1261"/>
      <c r="X1261"/>
      <c r="Z1261" s="78"/>
      <c r="AA1261" s="78"/>
      <c r="AG1261"/>
      <c r="AH1261"/>
    </row>
    <row r="1262" spans="23:34" x14ac:dyDescent="0.25">
      <c r="W1262"/>
      <c r="X1262"/>
      <c r="Z1262" s="78"/>
      <c r="AA1262" s="78"/>
      <c r="AG1262"/>
      <c r="AH1262"/>
    </row>
    <row r="1263" spans="23:34" x14ac:dyDescent="0.25">
      <c r="W1263"/>
      <c r="X1263"/>
      <c r="Z1263" s="78"/>
      <c r="AA1263" s="78"/>
      <c r="AG1263"/>
      <c r="AH1263"/>
    </row>
    <row r="1264" spans="23:34" x14ac:dyDescent="0.25">
      <c r="W1264"/>
      <c r="X1264"/>
      <c r="Z1264" s="78"/>
      <c r="AA1264" s="78"/>
      <c r="AG1264"/>
      <c r="AH1264"/>
    </row>
    <row r="1265" spans="23:34" x14ac:dyDescent="0.25">
      <c r="W1265"/>
      <c r="X1265"/>
      <c r="Z1265" s="78"/>
      <c r="AA1265" s="78"/>
      <c r="AG1265"/>
      <c r="AH1265"/>
    </row>
    <row r="1266" spans="23:34" x14ac:dyDescent="0.25">
      <c r="W1266"/>
      <c r="X1266"/>
      <c r="Z1266" s="78"/>
      <c r="AA1266" s="78"/>
      <c r="AG1266"/>
      <c r="AH1266"/>
    </row>
    <row r="1267" spans="23:34" x14ac:dyDescent="0.25">
      <c r="W1267"/>
      <c r="X1267"/>
      <c r="Z1267" s="78"/>
      <c r="AA1267" s="78"/>
      <c r="AG1267"/>
      <c r="AH1267"/>
    </row>
    <row r="1268" spans="23:34" x14ac:dyDescent="0.25">
      <c r="W1268"/>
      <c r="X1268"/>
      <c r="Z1268" s="78"/>
      <c r="AA1268" s="78"/>
      <c r="AG1268"/>
      <c r="AH1268"/>
    </row>
    <row r="1269" spans="23:34" x14ac:dyDescent="0.25">
      <c r="W1269"/>
      <c r="X1269"/>
      <c r="Z1269" s="78"/>
      <c r="AA1269" s="78"/>
      <c r="AG1269"/>
      <c r="AH1269"/>
    </row>
    <row r="1270" spans="23:34" x14ac:dyDescent="0.25">
      <c r="W1270"/>
      <c r="X1270"/>
      <c r="Z1270" s="78"/>
      <c r="AA1270" s="78"/>
      <c r="AG1270"/>
      <c r="AH1270"/>
    </row>
    <row r="1271" spans="23:34" x14ac:dyDescent="0.25">
      <c r="W1271"/>
      <c r="X1271"/>
      <c r="Z1271" s="78"/>
      <c r="AA1271" s="78"/>
      <c r="AG1271"/>
      <c r="AH1271"/>
    </row>
    <row r="1272" spans="23:34" x14ac:dyDescent="0.25">
      <c r="W1272"/>
      <c r="X1272"/>
      <c r="Z1272" s="78"/>
      <c r="AA1272" s="78"/>
      <c r="AG1272"/>
      <c r="AH1272"/>
    </row>
    <row r="1273" spans="23:34" x14ac:dyDescent="0.25">
      <c r="W1273"/>
      <c r="X1273"/>
      <c r="Z1273" s="78"/>
      <c r="AA1273" s="78"/>
      <c r="AG1273"/>
      <c r="AH1273"/>
    </row>
    <row r="1274" spans="23:34" x14ac:dyDescent="0.25">
      <c r="W1274"/>
      <c r="X1274"/>
      <c r="Z1274" s="78"/>
      <c r="AA1274" s="78"/>
      <c r="AG1274"/>
      <c r="AH1274"/>
    </row>
    <row r="1275" spans="23:34" x14ac:dyDescent="0.25">
      <c r="W1275"/>
      <c r="X1275"/>
      <c r="Z1275" s="78"/>
      <c r="AA1275" s="78"/>
      <c r="AG1275"/>
      <c r="AH1275"/>
    </row>
    <row r="1276" spans="23:34" x14ac:dyDescent="0.25">
      <c r="W1276"/>
      <c r="X1276"/>
      <c r="Z1276" s="78"/>
      <c r="AA1276" s="78"/>
      <c r="AG1276"/>
      <c r="AH1276"/>
    </row>
    <row r="1277" spans="23:34" x14ac:dyDescent="0.25">
      <c r="W1277"/>
      <c r="X1277"/>
      <c r="Z1277" s="78"/>
      <c r="AA1277" s="78"/>
      <c r="AG1277"/>
      <c r="AH1277"/>
    </row>
    <row r="1278" spans="23:34" x14ac:dyDescent="0.25">
      <c r="W1278"/>
      <c r="X1278"/>
      <c r="Z1278" s="78"/>
      <c r="AA1278" s="78"/>
      <c r="AG1278"/>
      <c r="AH1278"/>
    </row>
    <row r="1279" spans="23:34" x14ac:dyDescent="0.25">
      <c r="W1279"/>
      <c r="X1279"/>
      <c r="Z1279" s="78"/>
      <c r="AA1279" s="78"/>
      <c r="AG1279"/>
      <c r="AH1279"/>
    </row>
    <row r="1280" spans="23:34" x14ac:dyDescent="0.25">
      <c r="W1280"/>
      <c r="X1280"/>
      <c r="Z1280" s="78"/>
      <c r="AA1280" s="78"/>
      <c r="AG1280"/>
      <c r="AH1280"/>
    </row>
    <row r="1281" spans="23:34" x14ac:dyDescent="0.25">
      <c r="W1281"/>
      <c r="X1281"/>
      <c r="Z1281" s="78"/>
      <c r="AA1281" s="78"/>
      <c r="AG1281"/>
      <c r="AH1281"/>
    </row>
    <row r="1282" spans="23:34" x14ac:dyDescent="0.25">
      <c r="W1282"/>
      <c r="X1282"/>
      <c r="Z1282" s="78"/>
      <c r="AA1282" s="78"/>
      <c r="AG1282"/>
      <c r="AH1282"/>
    </row>
    <row r="1283" spans="23:34" x14ac:dyDescent="0.25">
      <c r="W1283"/>
      <c r="X1283"/>
      <c r="Z1283" s="78"/>
      <c r="AA1283" s="78"/>
      <c r="AG1283"/>
      <c r="AH1283"/>
    </row>
    <row r="1284" spans="23:34" x14ac:dyDescent="0.25">
      <c r="W1284"/>
      <c r="X1284"/>
      <c r="Z1284" s="78"/>
      <c r="AA1284" s="78"/>
      <c r="AG1284"/>
      <c r="AH1284"/>
    </row>
    <row r="1285" spans="23:34" x14ac:dyDescent="0.25">
      <c r="W1285"/>
      <c r="X1285"/>
      <c r="Z1285" s="78"/>
      <c r="AA1285" s="78"/>
      <c r="AG1285"/>
      <c r="AH1285"/>
    </row>
    <row r="1286" spans="23:34" x14ac:dyDescent="0.25">
      <c r="W1286"/>
      <c r="X1286"/>
      <c r="Z1286" s="78"/>
      <c r="AA1286" s="78"/>
      <c r="AG1286"/>
      <c r="AH1286"/>
    </row>
    <row r="1287" spans="23:34" x14ac:dyDescent="0.25">
      <c r="W1287"/>
      <c r="X1287"/>
      <c r="Z1287" s="78"/>
      <c r="AA1287" s="78"/>
      <c r="AG1287"/>
      <c r="AH1287"/>
    </row>
    <row r="1288" spans="23:34" x14ac:dyDescent="0.25">
      <c r="W1288"/>
      <c r="X1288"/>
      <c r="Z1288" s="78"/>
      <c r="AA1288" s="78"/>
      <c r="AG1288"/>
      <c r="AH1288"/>
    </row>
    <row r="1289" spans="23:34" x14ac:dyDescent="0.25">
      <c r="W1289"/>
      <c r="X1289"/>
      <c r="Z1289" s="78"/>
      <c r="AA1289" s="78"/>
      <c r="AG1289"/>
      <c r="AH1289"/>
    </row>
    <row r="1290" spans="23:34" x14ac:dyDescent="0.25">
      <c r="W1290"/>
      <c r="X1290"/>
      <c r="Z1290" s="78"/>
      <c r="AA1290" s="78"/>
      <c r="AG1290"/>
      <c r="AH1290"/>
    </row>
    <row r="1291" spans="23:34" x14ac:dyDescent="0.25">
      <c r="W1291"/>
      <c r="X1291"/>
      <c r="Z1291" s="78"/>
      <c r="AA1291" s="78"/>
      <c r="AG1291"/>
      <c r="AH1291"/>
    </row>
    <row r="1292" spans="23:34" x14ac:dyDescent="0.25">
      <c r="W1292"/>
      <c r="X1292"/>
      <c r="Z1292" s="78"/>
      <c r="AA1292" s="78"/>
      <c r="AG1292"/>
      <c r="AH1292"/>
    </row>
    <row r="1293" spans="23:34" x14ac:dyDescent="0.25">
      <c r="W1293"/>
      <c r="X1293"/>
      <c r="Z1293" s="78"/>
      <c r="AA1293" s="78"/>
      <c r="AG1293"/>
      <c r="AH1293"/>
    </row>
    <row r="1294" spans="23:34" x14ac:dyDescent="0.25">
      <c r="W1294"/>
      <c r="X1294"/>
      <c r="Z1294" s="78"/>
      <c r="AA1294" s="78"/>
      <c r="AG1294"/>
      <c r="AH1294"/>
    </row>
    <row r="1295" spans="23:34" x14ac:dyDescent="0.25">
      <c r="W1295"/>
      <c r="X1295"/>
      <c r="Z1295" s="78"/>
      <c r="AA1295" s="78"/>
      <c r="AG1295"/>
      <c r="AH1295"/>
    </row>
    <row r="1296" spans="23:34" x14ac:dyDescent="0.25">
      <c r="W1296"/>
      <c r="X1296"/>
      <c r="Z1296" s="78"/>
      <c r="AA1296" s="78"/>
      <c r="AG1296"/>
      <c r="AH1296"/>
    </row>
    <row r="1297" spans="23:34" x14ac:dyDescent="0.25">
      <c r="W1297"/>
      <c r="X1297"/>
      <c r="Z1297" s="78"/>
      <c r="AA1297" s="78"/>
      <c r="AG1297"/>
      <c r="AH1297"/>
    </row>
    <row r="1298" spans="23:34" x14ac:dyDescent="0.25">
      <c r="W1298"/>
      <c r="X1298"/>
      <c r="Z1298" s="78"/>
      <c r="AA1298" s="78"/>
      <c r="AG1298"/>
      <c r="AH1298"/>
    </row>
    <row r="1299" spans="23:34" x14ac:dyDescent="0.25">
      <c r="W1299"/>
      <c r="X1299"/>
      <c r="Z1299" s="78"/>
      <c r="AA1299" s="78"/>
      <c r="AG1299"/>
      <c r="AH1299"/>
    </row>
    <row r="1300" spans="23:34" x14ac:dyDescent="0.25">
      <c r="W1300"/>
      <c r="X1300"/>
      <c r="Z1300" s="78"/>
      <c r="AA1300" s="78"/>
      <c r="AG1300"/>
      <c r="AH1300"/>
    </row>
    <row r="1301" spans="23:34" x14ac:dyDescent="0.25">
      <c r="W1301"/>
      <c r="X1301"/>
      <c r="Z1301" s="78"/>
      <c r="AA1301" s="78"/>
      <c r="AG1301"/>
      <c r="AH1301"/>
    </row>
    <row r="1302" spans="23:34" x14ac:dyDescent="0.25">
      <c r="W1302"/>
      <c r="X1302"/>
      <c r="Z1302" s="78"/>
      <c r="AA1302" s="78"/>
      <c r="AG1302"/>
      <c r="AH1302"/>
    </row>
    <row r="1303" spans="23:34" x14ac:dyDescent="0.25">
      <c r="W1303"/>
      <c r="X1303"/>
      <c r="Z1303" s="78"/>
      <c r="AA1303" s="78"/>
      <c r="AG1303"/>
      <c r="AH1303"/>
    </row>
    <row r="1304" spans="23:34" x14ac:dyDescent="0.25">
      <c r="W1304"/>
      <c r="X1304"/>
      <c r="Z1304" s="78"/>
      <c r="AA1304" s="78"/>
      <c r="AG1304"/>
      <c r="AH1304"/>
    </row>
    <row r="1305" spans="23:34" x14ac:dyDescent="0.25">
      <c r="W1305"/>
      <c r="X1305"/>
      <c r="Z1305" s="78"/>
      <c r="AA1305" s="78"/>
      <c r="AG1305"/>
      <c r="AH1305"/>
    </row>
    <row r="1306" spans="23:34" x14ac:dyDescent="0.25">
      <c r="W1306"/>
      <c r="X1306"/>
      <c r="Z1306" s="78"/>
      <c r="AA1306" s="78"/>
      <c r="AG1306"/>
      <c r="AH1306"/>
    </row>
    <row r="1307" spans="23:34" x14ac:dyDescent="0.25">
      <c r="W1307"/>
      <c r="X1307"/>
      <c r="Z1307" s="78"/>
      <c r="AA1307" s="78"/>
      <c r="AG1307"/>
      <c r="AH1307"/>
    </row>
    <row r="1308" spans="23:34" x14ac:dyDescent="0.25">
      <c r="W1308"/>
      <c r="X1308"/>
      <c r="Z1308" s="78"/>
      <c r="AA1308" s="78"/>
      <c r="AG1308"/>
      <c r="AH1308"/>
    </row>
    <row r="1309" spans="23:34" x14ac:dyDescent="0.25">
      <c r="W1309"/>
      <c r="X1309"/>
      <c r="Z1309" s="78"/>
      <c r="AA1309" s="78"/>
      <c r="AG1309"/>
      <c r="AH1309"/>
    </row>
    <row r="1310" spans="23:34" x14ac:dyDescent="0.25">
      <c r="W1310"/>
      <c r="X1310"/>
      <c r="Z1310" s="78"/>
      <c r="AA1310" s="78"/>
      <c r="AG1310"/>
      <c r="AH1310"/>
    </row>
    <row r="1311" spans="23:34" x14ac:dyDescent="0.25">
      <c r="W1311"/>
      <c r="X1311"/>
      <c r="Z1311" s="78"/>
      <c r="AA1311" s="78"/>
      <c r="AG1311"/>
      <c r="AH1311"/>
    </row>
    <row r="1312" spans="23:34" x14ac:dyDescent="0.25">
      <c r="W1312"/>
      <c r="X1312"/>
      <c r="Z1312" s="78"/>
      <c r="AA1312" s="78"/>
      <c r="AG1312"/>
      <c r="AH1312"/>
    </row>
    <row r="1313" spans="23:34" x14ac:dyDescent="0.25">
      <c r="W1313"/>
      <c r="X1313"/>
      <c r="Z1313" s="78"/>
      <c r="AA1313" s="78"/>
      <c r="AG1313"/>
      <c r="AH1313"/>
    </row>
    <row r="1314" spans="23:34" x14ac:dyDescent="0.25">
      <c r="W1314"/>
      <c r="X1314"/>
      <c r="Z1314" s="78"/>
      <c r="AA1314" s="78"/>
      <c r="AG1314"/>
      <c r="AH1314"/>
    </row>
    <row r="1315" spans="23:34" x14ac:dyDescent="0.25">
      <c r="W1315"/>
      <c r="X1315"/>
      <c r="Z1315" s="78"/>
      <c r="AA1315" s="78"/>
      <c r="AG1315"/>
      <c r="AH1315"/>
    </row>
    <row r="1316" spans="23:34" x14ac:dyDescent="0.25">
      <c r="W1316"/>
      <c r="X1316"/>
      <c r="Z1316" s="78"/>
      <c r="AA1316" s="78"/>
      <c r="AG1316"/>
      <c r="AH1316"/>
    </row>
    <row r="1317" spans="23:34" x14ac:dyDescent="0.25">
      <c r="W1317"/>
      <c r="X1317"/>
      <c r="Z1317" s="78"/>
      <c r="AA1317" s="78"/>
      <c r="AG1317"/>
      <c r="AH1317"/>
    </row>
    <row r="1318" spans="23:34" x14ac:dyDescent="0.25">
      <c r="W1318"/>
      <c r="X1318"/>
      <c r="Z1318" s="78"/>
      <c r="AA1318" s="78"/>
      <c r="AG1318"/>
      <c r="AH1318"/>
    </row>
    <row r="1319" spans="23:34" x14ac:dyDescent="0.25">
      <c r="W1319"/>
      <c r="X1319"/>
      <c r="Z1319" s="78"/>
      <c r="AA1319" s="78"/>
      <c r="AG1319"/>
      <c r="AH1319"/>
    </row>
    <row r="1320" spans="23:34" x14ac:dyDescent="0.25">
      <c r="W1320"/>
      <c r="X1320"/>
      <c r="Z1320" s="78"/>
      <c r="AA1320" s="78"/>
      <c r="AG1320"/>
      <c r="AH1320"/>
    </row>
    <row r="1321" spans="23:34" x14ac:dyDescent="0.25">
      <c r="W1321"/>
      <c r="X1321"/>
      <c r="Z1321" s="78"/>
      <c r="AA1321" s="78"/>
      <c r="AG1321"/>
      <c r="AH1321"/>
    </row>
    <row r="1322" spans="23:34" x14ac:dyDescent="0.25">
      <c r="W1322"/>
      <c r="X1322"/>
      <c r="Z1322" s="78"/>
      <c r="AA1322" s="78"/>
      <c r="AG1322"/>
      <c r="AH1322"/>
    </row>
    <row r="1323" spans="23:34" x14ac:dyDescent="0.25">
      <c r="W1323"/>
      <c r="X1323"/>
      <c r="Z1323" s="78"/>
      <c r="AA1323" s="78"/>
      <c r="AG1323"/>
      <c r="AH1323"/>
    </row>
    <row r="1324" spans="23:34" x14ac:dyDescent="0.25">
      <c r="W1324"/>
      <c r="X1324"/>
      <c r="Z1324" s="78"/>
      <c r="AA1324" s="78"/>
      <c r="AG1324"/>
      <c r="AH1324"/>
    </row>
    <row r="1325" spans="23:34" x14ac:dyDescent="0.25">
      <c r="W1325"/>
      <c r="X1325"/>
      <c r="Z1325" s="78"/>
      <c r="AA1325" s="78"/>
      <c r="AG1325"/>
      <c r="AH1325"/>
    </row>
    <row r="1326" spans="23:34" x14ac:dyDescent="0.25">
      <c r="W1326"/>
      <c r="X1326"/>
      <c r="Z1326" s="78"/>
      <c r="AA1326" s="78"/>
      <c r="AG1326"/>
      <c r="AH1326"/>
    </row>
    <row r="1327" spans="23:34" x14ac:dyDescent="0.25">
      <c r="W1327"/>
      <c r="X1327"/>
      <c r="Z1327" s="78"/>
      <c r="AA1327" s="78"/>
      <c r="AG1327"/>
      <c r="AH1327"/>
    </row>
    <row r="1328" spans="23:34" x14ac:dyDescent="0.25">
      <c r="W1328"/>
      <c r="X1328"/>
      <c r="Z1328" s="78"/>
      <c r="AA1328" s="78"/>
      <c r="AG1328"/>
      <c r="AH1328"/>
    </row>
    <row r="1329" spans="23:34" x14ac:dyDescent="0.25">
      <c r="W1329"/>
      <c r="X1329"/>
      <c r="Z1329" s="78"/>
      <c r="AA1329" s="78"/>
      <c r="AG1329"/>
      <c r="AH1329"/>
    </row>
    <row r="1330" spans="23:34" x14ac:dyDescent="0.25">
      <c r="W1330"/>
      <c r="X1330"/>
      <c r="Z1330" s="78"/>
      <c r="AA1330" s="78"/>
      <c r="AG1330"/>
      <c r="AH1330"/>
    </row>
    <row r="1331" spans="23:34" x14ac:dyDescent="0.25">
      <c r="W1331"/>
      <c r="X1331"/>
      <c r="Z1331" s="78"/>
      <c r="AA1331" s="78"/>
      <c r="AG1331"/>
      <c r="AH1331"/>
    </row>
    <row r="1332" spans="23:34" x14ac:dyDescent="0.25">
      <c r="W1332"/>
      <c r="X1332"/>
      <c r="Z1332" s="78"/>
      <c r="AA1332" s="78"/>
      <c r="AG1332"/>
      <c r="AH1332"/>
    </row>
    <row r="1333" spans="23:34" x14ac:dyDescent="0.25">
      <c r="W1333"/>
      <c r="X1333"/>
      <c r="Z1333" s="78"/>
      <c r="AA1333" s="78"/>
      <c r="AG1333"/>
      <c r="AH1333"/>
    </row>
    <row r="1334" spans="23:34" x14ac:dyDescent="0.25">
      <c r="W1334"/>
      <c r="X1334"/>
      <c r="Z1334" s="78"/>
      <c r="AA1334" s="78"/>
      <c r="AG1334"/>
      <c r="AH1334"/>
    </row>
    <row r="1335" spans="23:34" x14ac:dyDescent="0.25">
      <c r="W1335"/>
      <c r="X1335"/>
      <c r="Z1335" s="78"/>
      <c r="AA1335" s="78"/>
      <c r="AG1335"/>
      <c r="AH1335"/>
    </row>
    <row r="1336" spans="23:34" x14ac:dyDescent="0.25">
      <c r="W1336"/>
      <c r="X1336"/>
      <c r="Z1336" s="78"/>
      <c r="AA1336" s="78"/>
      <c r="AG1336"/>
      <c r="AH1336"/>
    </row>
    <row r="1337" spans="23:34" x14ac:dyDescent="0.25">
      <c r="W1337"/>
      <c r="X1337"/>
      <c r="Z1337" s="78"/>
      <c r="AA1337" s="78"/>
      <c r="AG1337"/>
      <c r="AH1337"/>
    </row>
    <row r="1338" spans="23:34" x14ac:dyDescent="0.25">
      <c r="W1338"/>
      <c r="X1338"/>
      <c r="Z1338" s="78"/>
      <c r="AA1338" s="78"/>
      <c r="AG1338"/>
      <c r="AH1338"/>
    </row>
    <row r="1339" spans="23:34" x14ac:dyDescent="0.25">
      <c r="W1339"/>
      <c r="X1339"/>
      <c r="Z1339" s="78"/>
      <c r="AA1339" s="78"/>
      <c r="AG1339"/>
      <c r="AH1339"/>
    </row>
    <row r="1340" spans="23:34" x14ac:dyDescent="0.25">
      <c r="W1340"/>
      <c r="X1340"/>
      <c r="Z1340" s="78"/>
      <c r="AA1340" s="78"/>
      <c r="AG1340"/>
      <c r="AH1340"/>
    </row>
    <row r="1341" spans="23:34" x14ac:dyDescent="0.25">
      <c r="W1341"/>
      <c r="X1341"/>
      <c r="Z1341" s="78"/>
      <c r="AA1341" s="78"/>
      <c r="AG1341"/>
      <c r="AH1341"/>
    </row>
    <row r="1342" spans="23:34" x14ac:dyDescent="0.25">
      <c r="W1342"/>
      <c r="X1342"/>
      <c r="Z1342" s="78"/>
      <c r="AA1342" s="78"/>
      <c r="AG1342"/>
      <c r="AH1342"/>
    </row>
    <row r="1343" spans="23:34" x14ac:dyDescent="0.25">
      <c r="W1343"/>
      <c r="X1343"/>
      <c r="Z1343" s="78"/>
      <c r="AA1343" s="78"/>
      <c r="AG1343"/>
      <c r="AH1343"/>
    </row>
    <row r="1344" spans="23:34" x14ac:dyDescent="0.25">
      <c r="W1344"/>
      <c r="X1344"/>
      <c r="Z1344" s="78"/>
      <c r="AA1344" s="78"/>
      <c r="AG1344"/>
      <c r="AH1344"/>
    </row>
    <row r="1345" spans="23:34" x14ac:dyDescent="0.25">
      <c r="W1345"/>
      <c r="X1345"/>
      <c r="Z1345" s="78"/>
      <c r="AA1345" s="78"/>
      <c r="AG1345"/>
      <c r="AH1345"/>
    </row>
    <row r="1346" spans="23:34" x14ac:dyDescent="0.25">
      <c r="W1346"/>
      <c r="X1346"/>
      <c r="Z1346" s="78"/>
      <c r="AA1346" s="78"/>
      <c r="AG1346"/>
      <c r="AH1346"/>
    </row>
    <row r="1347" spans="23:34" x14ac:dyDescent="0.25">
      <c r="W1347"/>
      <c r="X1347"/>
      <c r="Z1347" s="78"/>
      <c r="AA1347" s="78"/>
      <c r="AG1347"/>
      <c r="AH1347"/>
    </row>
    <row r="1348" spans="23:34" x14ac:dyDescent="0.25">
      <c r="W1348"/>
      <c r="X1348"/>
      <c r="Z1348" s="78"/>
      <c r="AA1348" s="78"/>
      <c r="AG1348"/>
      <c r="AH1348"/>
    </row>
    <row r="1349" spans="23:34" x14ac:dyDescent="0.25">
      <c r="W1349"/>
      <c r="X1349"/>
      <c r="Z1349" s="78"/>
      <c r="AA1349" s="78"/>
      <c r="AG1349"/>
      <c r="AH1349"/>
    </row>
    <row r="1350" spans="23:34" x14ac:dyDescent="0.25">
      <c r="W1350"/>
      <c r="X1350"/>
      <c r="Z1350" s="78"/>
      <c r="AA1350" s="78"/>
      <c r="AG1350"/>
      <c r="AH1350"/>
    </row>
    <row r="1351" spans="23:34" x14ac:dyDescent="0.25">
      <c r="W1351"/>
      <c r="X1351"/>
      <c r="Z1351" s="78"/>
      <c r="AA1351" s="78"/>
      <c r="AG1351"/>
      <c r="AH1351"/>
    </row>
    <row r="1352" spans="23:34" x14ac:dyDescent="0.25">
      <c r="W1352"/>
      <c r="X1352"/>
      <c r="Z1352" s="78"/>
      <c r="AA1352" s="78"/>
      <c r="AG1352"/>
      <c r="AH1352"/>
    </row>
    <row r="1353" spans="23:34" x14ac:dyDescent="0.25">
      <c r="W1353"/>
      <c r="X1353"/>
      <c r="Z1353" s="78"/>
      <c r="AA1353" s="78"/>
      <c r="AG1353"/>
      <c r="AH1353"/>
    </row>
    <row r="1354" spans="23:34" x14ac:dyDescent="0.25">
      <c r="W1354"/>
      <c r="X1354"/>
      <c r="Z1354" s="78"/>
      <c r="AA1354" s="78"/>
      <c r="AG1354"/>
      <c r="AH1354"/>
    </row>
    <row r="1355" spans="23:34" x14ac:dyDescent="0.25">
      <c r="W1355"/>
      <c r="X1355"/>
      <c r="Z1355" s="78"/>
      <c r="AA1355" s="78"/>
      <c r="AG1355"/>
      <c r="AH1355"/>
    </row>
    <row r="1356" spans="23:34" x14ac:dyDescent="0.25">
      <c r="W1356"/>
      <c r="X1356"/>
      <c r="Z1356" s="78"/>
      <c r="AA1356" s="78"/>
      <c r="AG1356"/>
      <c r="AH1356"/>
    </row>
    <row r="1357" spans="23:34" x14ac:dyDescent="0.25">
      <c r="W1357"/>
      <c r="X1357"/>
      <c r="Z1357" s="78"/>
      <c r="AA1357" s="78"/>
      <c r="AG1357"/>
      <c r="AH1357"/>
    </row>
    <row r="1358" spans="23:34" x14ac:dyDescent="0.25">
      <c r="W1358"/>
      <c r="X1358"/>
      <c r="Z1358" s="78"/>
      <c r="AA1358" s="78"/>
      <c r="AG1358"/>
      <c r="AH1358"/>
    </row>
    <row r="1359" spans="23:34" x14ac:dyDescent="0.25">
      <c r="W1359"/>
      <c r="X1359"/>
      <c r="Z1359" s="78"/>
      <c r="AA1359" s="78"/>
      <c r="AG1359"/>
      <c r="AH1359"/>
    </row>
    <row r="1360" spans="23:34" x14ac:dyDescent="0.25">
      <c r="W1360"/>
      <c r="X1360"/>
      <c r="Z1360" s="78"/>
      <c r="AA1360" s="78"/>
      <c r="AG1360"/>
      <c r="AH1360"/>
    </row>
    <row r="1361" spans="23:34" x14ac:dyDescent="0.25">
      <c r="W1361"/>
      <c r="X1361"/>
      <c r="Z1361" s="78"/>
      <c r="AA1361" s="78"/>
      <c r="AG1361"/>
      <c r="AH1361"/>
    </row>
    <row r="1362" spans="23:34" x14ac:dyDescent="0.25">
      <c r="W1362"/>
      <c r="X1362"/>
      <c r="Z1362" s="78"/>
      <c r="AA1362" s="78"/>
      <c r="AG1362"/>
      <c r="AH1362"/>
    </row>
    <row r="1363" spans="23:34" x14ac:dyDescent="0.25">
      <c r="W1363"/>
      <c r="X1363"/>
      <c r="Z1363" s="78"/>
      <c r="AA1363" s="78"/>
      <c r="AG1363"/>
      <c r="AH1363"/>
    </row>
    <row r="1364" spans="23:34" x14ac:dyDescent="0.25">
      <c r="W1364"/>
      <c r="X1364"/>
      <c r="Z1364" s="78"/>
      <c r="AA1364" s="78"/>
      <c r="AG1364"/>
      <c r="AH1364"/>
    </row>
    <row r="1365" spans="23:34" x14ac:dyDescent="0.25">
      <c r="W1365"/>
      <c r="X1365"/>
      <c r="Z1365" s="78"/>
      <c r="AA1365" s="78"/>
      <c r="AG1365"/>
      <c r="AH1365"/>
    </row>
    <row r="1366" spans="23:34" x14ac:dyDescent="0.25">
      <c r="W1366"/>
      <c r="X1366"/>
      <c r="Z1366" s="78"/>
      <c r="AA1366" s="78"/>
      <c r="AG1366"/>
      <c r="AH1366"/>
    </row>
    <row r="1367" spans="23:34" x14ac:dyDescent="0.25">
      <c r="W1367"/>
      <c r="X1367"/>
      <c r="Z1367" s="78"/>
      <c r="AA1367" s="78"/>
      <c r="AG1367"/>
      <c r="AH1367"/>
    </row>
    <row r="1368" spans="23:34" x14ac:dyDescent="0.25">
      <c r="W1368"/>
      <c r="X1368"/>
      <c r="Z1368" s="78"/>
      <c r="AA1368" s="78"/>
      <c r="AG1368"/>
      <c r="AH1368"/>
    </row>
    <row r="1369" spans="23:34" x14ac:dyDescent="0.25">
      <c r="W1369"/>
      <c r="X1369"/>
      <c r="Z1369" s="78"/>
      <c r="AA1369" s="78"/>
      <c r="AG1369"/>
      <c r="AH1369"/>
    </row>
    <row r="1370" spans="23:34" x14ac:dyDescent="0.25">
      <c r="W1370"/>
      <c r="X1370"/>
      <c r="Z1370" s="78"/>
      <c r="AA1370" s="78"/>
      <c r="AG1370"/>
      <c r="AH1370"/>
    </row>
    <row r="1371" spans="23:34" x14ac:dyDescent="0.25">
      <c r="W1371"/>
      <c r="X1371"/>
      <c r="Z1371" s="78"/>
      <c r="AA1371" s="78"/>
      <c r="AG1371"/>
      <c r="AH1371"/>
    </row>
    <row r="1372" spans="23:34" x14ac:dyDescent="0.25">
      <c r="W1372"/>
      <c r="X1372"/>
      <c r="Z1372" s="78"/>
      <c r="AA1372" s="78"/>
      <c r="AG1372"/>
      <c r="AH1372"/>
    </row>
    <row r="1373" spans="23:34" x14ac:dyDescent="0.25">
      <c r="W1373"/>
      <c r="X1373"/>
      <c r="Z1373" s="78"/>
      <c r="AA1373" s="78"/>
      <c r="AG1373"/>
      <c r="AH1373"/>
    </row>
    <row r="1374" spans="23:34" x14ac:dyDescent="0.25">
      <c r="W1374"/>
      <c r="X1374"/>
      <c r="Z1374" s="78"/>
      <c r="AA1374" s="78"/>
      <c r="AG1374"/>
      <c r="AH1374"/>
    </row>
    <row r="1375" spans="23:34" x14ac:dyDescent="0.25">
      <c r="W1375"/>
      <c r="X1375"/>
      <c r="Z1375" s="78"/>
      <c r="AA1375" s="78"/>
      <c r="AG1375"/>
      <c r="AH1375"/>
    </row>
    <row r="1376" spans="23:34" x14ac:dyDescent="0.25">
      <c r="W1376"/>
      <c r="X1376"/>
      <c r="Z1376" s="78"/>
      <c r="AA1376" s="78"/>
      <c r="AG1376"/>
      <c r="AH1376"/>
    </row>
    <row r="1377" spans="23:34" x14ac:dyDescent="0.25">
      <c r="W1377"/>
      <c r="X1377"/>
      <c r="Z1377" s="78"/>
      <c r="AA1377" s="78"/>
      <c r="AG1377"/>
      <c r="AH1377"/>
    </row>
    <row r="1378" spans="23:34" x14ac:dyDescent="0.25">
      <c r="W1378"/>
      <c r="X1378"/>
      <c r="Z1378" s="78"/>
      <c r="AA1378" s="78"/>
      <c r="AG1378"/>
      <c r="AH1378"/>
    </row>
    <row r="1379" spans="23:34" x14ac:dyDescent="0.25">
      <c r="W1379"/>
      <c r="X1379"/>
      <c r="Z1379" s="78"/>
      <c r="AA1379" s="78"/>
      <c r="AG1379"/>
      <c r="AH1379"/>
    </row>
    <row r="1380" spans="23:34" x14ac:dyDescent="0.25">
      <c r="W1380"/>
      <c r="X1380"/>
      <c r="Z1380" s="78"/>
      <c r="AA1380" s="78"/>
      <c r="AG1380"/>
      <c r="AH1380"/>
    </row>
    <row r="1381" spans="23:34" x14ac:dyDescent="0.25">
      <c r="W1381"/>
      <c r="X1381"/>
      <c r="Z1381" s="78"/>
      <c r="AA1381" s="78"/>
      <c r="AG1381"/>
      <c r="AH1381"/>
    </row>
    <row r="1382" spans="23:34" x14ac:dyDescent="0.25">
      <c r="W1382"/>
      <c r="X1382"/>
      <c r="Z1382" s="78"/>
      <c r="AA1382" s="78"/>
      <c r="AG1382"/>
      <c r="AH1382"/>
    </row>
    <row r="1383" spans="23:34" x14ac:dyDescent="0.25">
      <c r="W1383"/>
      <c r="X1383"/>
      <c r="Z1383" s="78"/>
      <c r="AA1383" s="78"/>
      <c r="AG1383"/>
      <c r="AH1383"/>
    </row>
    <row r="1384" spans="23:34" x14ac:dyDescent="0.25">
      <c r="W1384"/>
      <c r="X1384"/>
      <c r="Z1384" s="78"/>
      <c r="AA1384" s="78"/>
      <c r="AG1384"/>
      <c r="AH1384"/>
    </row>
    <row r="1385" spans="23:34" x14ac:dyDescent="0.25">
      <c r="W1385"/>
      <c r="X1385"/>
      <c r="Z1385" s="78"/>
      <c r="AA1385" s="78"/>
      <c r="AG1385"/>
      <c r="AH1385"/>
    </row>
    <row r="1386" spans="23:34" x14ac:dyDescent="0.25">
      <c r="W1386"/>
      <c r="X1386"/>
      <c r="Z1386" s="78"/>
      <c r="AA1386" s="78"/>
      <c r="AG1386"/>
      <c r="AH1386"/>
    </row>
    <row r="1387" spans="23:34" x14ac:dyDescent="0.25">
      <c r="W1387"/>
      <c r="X1387"/>
      <c r="Z1387" s="78"/>
      <c r="AA1387" s="78"/>
      <c r="AG1387"/>
      <c r="AH1387"/>
    </row>
    <row r="1388" spans="23:34" x14ac:dyDescent="0.25">
      <c r="W1388"/>
      <c r="X1388"/>
      <c r="Z1388" s="78"/>
      <c r="AA1388" s="78"/>
      <c r="AG1388"/>
      <c r="AH1388"/>
    </row>
    <row r="1389" spans="23:34" x14ac:dyDescent="0.25">
      <c r="W1389"/>
      <c r="X1389"/>
      <c r="Z1389" s="78"/>
      <c r="AA1389" s="78"/>
      <c r="AG1389"/>
      <c r="AH1389"/>
    </row>
    <row r="1390" spans="23:34" x14ac:dyDescent="0.25">
      <c r="W1390"/>
      <c r="X1390"/>
      <c r="Z1390" s="78"/>
      <c r="AA1390" s="78"/>
      <c r="AG1390"/>
      <c r="AH1390"/>
    </row>
    <row r="1391" spans="23:34" x14ac:dyDescent="0.25">
      <c r="W1391"/>
      <c r="X1391"/>
      <c r="Z1391" s="78"/>
      <c r="AA1391" s="78"/>
      <c r="AG1391"/>
      <c r="AH1391"/>
    </row>
    <row r="1392" spans="23:34" x14ac:dyDescent="0.25">
      <c r="W1392"/>
      <c r="X1392"/>
      <c r="Z1392" s="78"/>
      <c r="AA1392" s="78"/>
      <c r="AG1392"/>
      <c r="AH1392"/>
    </row>
    <row r="1393" spans="23:34" x14ac:dyDescent="0.25">
      <c r="W1393"/>
      <c r="X1393"/>
      <c r="Z1393" s="78"/>
      <c r="AA1393" s="78"/>
      <c r="AG1393"/>
      <c r="AH1393"/>
    </row>
    <row r="1394" spans="23:34" x14ac:dyDescent="0.25">
      <c r="W1394"/>
      <c r="X1394"/>
      <c r="Z1394" s="78"/>
      <c r="AA1394" s="78"/>
      <c r="AG1394"/>
      <c r="AH1394"/>
    </row>
    <row r="1395" spans="23:34" x14ac:dyDescent="0.25">
      <c r="W1395"/>
      <c r="X1395"/>
      <c r="Z1395" s="78"/>
      <c r="AA1395" s="78"/>
      <c r="AG1395"/>
      <c r="AH1395"/>
    </row>
    <row r="1396" spans="23:34" x14ac:dyDescent="0.25">
      <c r="W1396"/>
      <c r="X1396"/>
      <c r="Z1396" s="78"/>
      <c r="AA1396" s="78"/>
      <c r="AG1396"/>
      <c r="AH1396"/>
    </row>
    <row r="1397" spans="23:34" x14ac:dyDescent="0.25">
      <c r="W1397"/>
      <c r="X1397"/>
      <c r="Z1397" s="78"/>
      <c r="AA1397" s="78"/>
      <c r="AG1397"/>
      <c r="AH1397"/>
    </row>
    <row r="1398" spans="23:34" x14ac:dyDescent="0.25">
      <c r="W1398"/>
      <c r="X1398"/>
      <c r="Z1398" s="78"/>
      <c r="AA1398" s="78"/>
      <c r="AG1398"/>
      <c r="AH1398"/>
    </row>
    <row r="1399" spans="23:34" x14ac:dyDescent="0.25">
      <c r="W1399"/>
      <c r="X1399"/>
      <c r="Z1399" s="78"/>
      <c r="AA1399" s="78"/>
      <c r="AG1399"/>
      <c r="AH1399"/>
    </row>
    <row r="1400" spans="23:34" x14ac:dyDescent="0.25">
      <c r="W1400"/>
      <c r="X1400"/>
      <c r="Z1400" s="78"/>
      <c r="AA1400" s="78"/>
      <c r="AG1400"/>
      <c r="AH1400"/>
    </row>
    <row r="1401" spans="23:34" x14ac:dyDescent="0.25">
      <c r="W1401"/>
      <c r="X1401"/>
      <c r="Z1401" s="78"/>
      <c r="AA1401" s="78"/>
      <c r="AG1401"/>
      <c r="AH1401"/>
    </row>
    <row r="1402" spans="23:34" x14ac:dyDescent="0.25">
      <c r="W1402"/>
      <c r="X1402"/>
      <c r="Z1402" s="78"/>
      <c r="AA1402" s="78"/>
      <c r="AG1402"/>
      <c r="AH1402"/>
    </row>
    <row r="1403" spans="23:34" x14ac:dyDescent="0.25">
      <c r="W1403"/>
      <c r="X1403"/>
      <c r="Z1403" s="78"/>
      <c r="AA1403" s="78"/>
      <c r="AG1403"/>
      <c r="AH1403"/>
    </row>
    <row r="1404" spans="23:34" x14ac:dyDescent="0.25">
      <c r="W1404"/>
      <c r="X1404"/>
      <c r="Z1404" s="78"/>
      <c r="AA1404" s="78"/>
      <c r="AG1404"/>
      <c r="AH1404"/>
    </row>
    <row r="1405" spans="23:34" x14ac:dyDescent="0.25">
      <c r="W1405"/>
      <c r="X1405"/>
      <c r="Z1405" s="78"/>
      <c r="AA1405" s="78"/>
      <c r="AG1405"/>
      <c r="AH1405"/>
    </row>
    <row r="1406" spans="23:34" x14ac:dyDescent="0.25">
      <c r="W1406"/>
      <c r="X1406"/>
      <c r="Z1406" s="78"/>
      <c r="AA1406" s="78"/>
      <c r="AG1406"/>
      <c r="AH1406"/>
    </row>
    <row r="1407" spans="23:34" x14ac:dyDescent="0.25">
      <c r="W1407"/>
      <c r="X1407"/>
      <c r="Z1407" s="78"/>
      <c r="AA1407" s="78"/>
      <c r="AG1407"/>
      <c r="AH1407"/>
    </row>
    <row r="1408" spans="23:34" x14ac:dyDescent="0.25">
      <c r="W1408"/>
      <c r="X1408"/>
      <c r="Z1408" s="78"/>
      <c r="AA1408" s="78"/>
      <c r="AG1408"/>
      <c r="AH1408"/>
    </row>
    <row r="1409" spans="23:34" x14ac:dyDescent="0.25">
      <c r="W1409"/>
      <c r="X1409"/>
      <c r="Z1409" s="78"/>
      <c r="AA1409" s="78"/>
      <c r="AG1409"/>
      <c r="AH1409"/>
    </row>
    <row r="1410" spans="23:34" x14ac:dyDescent="0.25">
      <c r="W1410"/>
      <c r="X1410"/>
      <c r="Z1410" s="78"/>
      <c r="AA1410" s="78"/>
      <c r="AG1410"/>
      <c r="AH1410"/>
    </row>
    <row r="1411" spans="23:34" x14ac:dyDescent="0.25">
      <c r="W1411"/>
      <c r="X1411"/>
      <c r="Z1411" s="78"/>
      <c r="AA1411" s="78"/>
      <c r="AG1411"/>
      <c r="AH1411"/>
    </row>
    <row r="1412" spans="23:34" x14ac:dyDescent="0.25">
      <c r="W1412"/>
      <c r="X1412"/>
      <c r="Z1412" s="78"/>
      <c r="AA1412" s="78"/>
      <c r="AG1412"/>
      <c r="AH1412"/>
    </row>
    <row r="1413" spans="23:34" x14ac:dyDescent="0.25">
      <c r="W1413"/>
      <c r="X1413"/>
      <c r="Z1413" s="78"/>
      <c r="AA1413" s="78"/>
      <c r="AG1413"/>
      <c r="AH1413"/>
    </row>
    <row r="1414" spans="23:34" x14ac:dyDescent="0.25">
      <c r="W1414"/>
      <c r="X1414"/>
      <c r="Z1414" s="78"/>
      <c r="AA1414" s="78"/>
      <c r="AG1414"/>
      <c r="AH1414"/>
    </row>
    <row r="1415" spans="23:34" x14ac:dyDescent="0.25">
      <c r="W1415"/>
      <c r="X1415"/>
      <c r="Z1415" s="78"/>
      <c r="AA1415" s="78"/>
      <c r="AG1415"/>
      <c r="AH1415"/>
    </row>
    <row r="1416" spans="23:34" x14ac:dyDescent="0.25">
      <c r="W1416"/>
      <c r="X1416"/>
      <c r="Z1416" s="78"/>
      <c r="AA1416" s="78"/>
      <c r="AG1416"/>
      <c r="AH1416"/>
    </row>
    <row r="1417" spans="23:34" x14ac:dyDescent="0.25">
      <c r="W1417"/>
      <c r="X1417"/>
      <c r="Z1417" s="78"/>
      <c r="AA1417" s="78"/>
      <c r="AG1417"/>
      <c r="AH1417"/>
    </row>
    <row r="1418" spans="23:34" x14ac:dyDescent="0.25">
      <c r="W1418"/>
      <c r="X1418"/>
      <c r="Z1418" s="78"/>
      <c r="AA1418" s="78"/>
      <c r="AG1418"/>
      <c r="AH1418"/>
    </row>
    <row r="1419" spans="23:34" x14ac:dyDescent="0.25">
      <c r="W1419"/>
      <c r="X1419"/>
      <c r="Z1419" s="78"/>
      <c r="AA1419" s="78"/>
      <c r="AG1419"/>
      <c r="AH1419"/>
    </row>
    <row r="1420" spans="23:34" x14ac:dyDescent="0.25">
      <c r="W1420"/>
      <c r="X1420"/>
      <c r="Z1420" s="78"/>
      <c r="AA1420" s="78"/>
      <c r="AG1420"/>
      <c r="AH1420"/>
    </row>
    <row r="1421" spans="23:34" x14ac:dyDescent="0.25">
      <c r="W1421"/>
      <c r="X1421"/>
      <c r="Z1421" s="78"/>
      <c r="AA1421" s="78"/>
      <c r="AG1421"/>
      <c r="AH1421"/>
    </row>
    <row r="1422" spans="23:34" x14ac:dyDescent="0.25">
      <c r="W1422"/>
      <c r="X1422"/>
      <c r="Z1422" s="78"/>
      <c r="AA1422" s="78"/>
      <c r="AG1422"/>
      <c r="AH1422"/>
    </row>
    <row r="1423" spans="23:34" x14ac:dyDescent="0.25">
      <c r="W1423"/>
      <c r="X1423"/>
      <c r="Z1423" s="78"/>
      <c r="AA1423" s="78"/>
      <c r="AG1423"/>
      <c r="AH1423"/>
    </row>
    <row r="1424" spans="23:34" x14ac:dyDescent="0.25">
      <c r="W1424"/>
      <c r="X1424"/>
      <c r="Z1424" s="78"/>
      <c r="AA1424" s="78"/>
      <c r="AG1424"/>
      <c r="AH1424"/>
    </row>
    <row r="1425" spans="23:34" x14ac:dyDescent="0.25">
      <c r="W1425"/>
      <c r="X1425"/>
      <c r="Z1425" s="78"/>
      <c r="AA1425" s="78"/>
      <c r="AG1425"/>
      <c r="AH1425"/>
    </row>
    <row r="1426" spans="23:34" x14ac:dyDescent="0.25">
      <c r="W1426"/>
      <c r="X1426"/>
      <c r="Z1426" s="78"/>
      <c r="AA1426" s="78"/>
      <c r="AG1426"/>
      <c r="AH1426"/>
    </row>
    <row r="1427" spans="23:34" x14ac:dyDescent="0.25">
      <c r="W1427"/>
      <c r="X1427"/>
      <c r="Z1427" s="78"/>
      <c r="AA1427" s="78"/>
      <c r="AG1427"/>
      <c r="AH1427"/>
    </row>
    <row r="1428" spans="23:34" x14ac:dyDescent="0.25">
      <c r="W1428"/>
      <c r="X1428"/>
      <c r="Z1428" s="78"/>
      <c r="AA1428" s="78"/>
      <c r="AG1428"/>
      <c r="AH1428"/>
    </row>
    <row r="1429" spans="23:34" x14ac:dyDescent="0.25">
      <c r="W1429"/>
      <c r="X1429"/>
      <c r="Z1429" s="78"/>
      <c r="AA1429" s="78"/>
      <c r="AG1429"/>
      <c r="AH1429"/>
    </row>
    <row r="1430" spans="23:34" x14ac:dyDescent="0.25">
      <c r="W1430"/>
      <c r="X1430"/>
      <c r="Z1430" s="78"/>
      <c r="AA1430" s="78"/>
      <c r="AG1430"/>
      <c r="AH1430"/>
    </row>
    <row r="1431" spans="23:34" x14ac:dyDescent="0.25">
      <c r="W1431"/>
      <c r="X1431"/>
      <c r="Z1431" s="78"/>
      <c r="AA1431" s="78"/>
      <c r="AG1431"/>
      <c r="AH1431"/>
    </row>
    <row r="1432" spans="23:34" x14ac:dyDescent="0.25">
      <c r="W1432"/>
      <c r="X1432"/>
      <c r="Z1432" s="78"/>
      <c r="AA1432" s="78"/>
      <c r="AG1432"/>
      <c r="AH1432"/>
    </row>
    <row r="1433" spans="23:34" x14ac:dyDescent="0.25">
      <c r="W1433"/>
      <c r="X1433"/>
      <c r="Z1433" s="78"/>
      <c r="AA1433" s="78"/>
      <c r="AG1433"/>
      <c r="AH1433"/>
    </row>
    <row r="1434" spans="23:34" x14ac:dyDescent="0.25">
      <c r="W1434"/>
      <c r="X1434"/>
      <c r="Z1434" s="78"/>
      <c r="AA1434" s="78"/>
      <c r="AG1434"/>
      <c r="AH1434"/>
    </row>
    <row r="1435" spans="23:34" x14ac:dyDescent="0.25">
      <c r="W1435"/>
      <c r="X1435"/>
      <c r="Z1435" s="78"/>
      <c r="AA1435" s="78"/>
      <c r="AG1435"/>
      <c r="AH1435"/>
    </row>
    <row r="1436" spans="23:34" x14ac:dyDescent="0.25">
      <c r="W1436"/>
      <c r="X1436"/>
      <c r="Z1436" s="78"/>
      <c r="AA1436" s="78"/>
      <c r="AG1436"/>
      <c r="AH1436"/>
    </row>
    <row r="1437" spans="23:34" x14ac:dyDescent="0.25">
      <c r="W1437"/>
      <c r="X1437"/>
      <c r="Z1437" s="78"/>
      <c r="AA1437" s="78"/>
      <c r="AG1437"/>
      <c r="AH1437"/>
    </row>
    <row r="1438" spans="23:34" x14ac:dyDescent="0.25">
      <c r="W1438"/>
      <c r="X1438"/>
      <c r="Z1438" s="78"/>
      <c r="AA1438" s="78"/>
      <c r="AG1438"/>
      <c r="AH1438"/>
    </row>
    <row r="1439" spans="23:34" x14ac:dyDescent="0.25">
      <c r="W1439"/>
      <c r="X1439"/>
      <c r="Z1439" s="78"/>
      <c r="AA1439" s="78"/>
      <c r="AG1439"/>
      <c r="AH1439"/>
    </row>
    <row r="1440" spans="23:34" x14ac:dyDescent="0.25">
      <c r="W1440"/>
      <c r="X1440"/>
      <c r="Z1440" s="78"/>
      <c r="AA1440" s="78"/>
      <c r="AG1440"/>
      <c r="AH1440"/>
    </row>
    <row r="1441" spans="23:34" x14ac:dyDescent="0.25">
      <c r="W1441"/>
      <c r="X1441"/>
      <c r="Z1441" s="78"/>
      <c r="AA1441" s="78"/>
      <c r="AG1441"/>
      <c r="AH1441"/>
    </row>
    <row r="1442" spans="23:34" x14ac:dyDescent="0.25">
      <c r="W1442"/>
      <c r="X1442"/>
      <c r="Z1442" s="78"/>
      <c r="AA1442" s="78"/>
      <c r="AG1442"/>
      <c r="AH1442"/>
    </row>
    <row r="1443" spans="23:34" x14ac:dyDescent="0.25">
      <c r="W1443"/>
      <c r="X1443"/>
      <c r="Z1443" s="78"/>
      <c r="AA1443" s="78"/>
      <c r="AG1443"/>
      <c r="AH1443"/>
    </row>
    <row r="1444" spans="23:34" x14ac:dyDescent="0.25">
      <c r="W1444"/>
      <c r="X1444"/>
      <c r="Z1444" s="78"/>
      <c r="AA1444" s="78"/>
      <c r="AG1444"/>
      <c r="AH1444"/>
    </row>
    <row r="1445" spans="23:34" x14ac:dyDescent="0.25">
      <c r="W1445"/>
      <c r="X1445"/>
      <c r="Z1445" s="78"/>
      <c r="AA1445" s="78"/>
      <c r="AG1445"/>
      <c r="AH1445"/>
    </row>
    <row r="1446" spans="23:34" x14ac:dyDescent="0.25">
      <c r="W1446"/>
      <c r="X1446"/>
      <c r="Z1446" s="78"/>
      <c r="AA1446" s="78"/>
      <c r="AG1446"/>
      <c r="AH1446"/>
    </row>
    <row r="1447" spans="23:34" x14ac:dyDescent="0.25">
      <c r="W1447"/>
      <c r="X1447"/>
      <c r="Z1447" s="78"/>
      <c r="AA1447" s="78"/>
      <c r="AG1447"/>
      <c r="AH1447"/>
    </row>
    <row r="1448" spans="23:34" x14ac:dyDescent="0.25">
      <c r="W1448"/>
      <c r="X1448"/>
      <c r="Z1448" s="78"/>
      <c r="AA1448" s="78"/>
      <c r="AG1448"/>
      <c r="AH1448"/>
    </row>
    <row r="1449" spans="23:34" x14ac:dyDescent="0.25">
      <c r="W1449"/>
      <c r="X1449"/>
      <c r="Z1449" s="78"/>
      <c r="AA1449" s="78"/>
      <c r="AG1449"/>
      <c r="AH1449"/>
    </row>
    <row r="1450" spans="23:34" x14ac:dyDescent="0.25">
      <c r="W1450"/>
      <c r="X1450"/>
      <c r="Z1450" s="78"/>
      <c r="AA1450" s="78"/>
      <c r="AG1450"/>
      <c r="AH1450"/>
    </row>
    <row r="1451" spans="23:34" x14ac:dyDescent="0.25">
      <c r="W1451"/>
      <c r="X1451"/>
      <c r="Z1451" s="78"/>
      <c r="AA1451" s="78"/>
      <c r="AG1451"/>
      <c r="AH1451"/>
    </row>
    <row r="1452" spans="23:34" x14ac:dyDescent="0.25">
      <c r="W1452"/>
      <c r="X1452"/>
      <c r="Z1452" s="78"/>
      <c r="AA1452" s="78"/>
      <c r="AG1452"/>
      <c r="AH1452"/>
    </row>
    <row r="1453" spans="23:34" x14ac:dyDescent="0.25">
      <c r="W1453"/>
      <c r="X1453"/>
      <c r="Z1453" s="78"/>
      <c r="AA1453" s="78"/>
      <c r="AG1453"/>
      <c r="AH1453"/>
    </row>
    <row r="1454" spans="23:34" x14ac:dyDescent="0.25">
      <c r="W1454"/>
      <c r="X1454"/>
      <c r="Z1454" s="78"/>
      <c r="AA1454" s="78"/>
      <c r="AG1454"/>
      <c r="AH1454"/>
    </row>
    <row r="1455" spans="23:34" x14ac:dyDescent="0.25">
      <c r="W1455"/>
      <c r="X1455"/>
      <c r="Z1455" s="78"/>
      <c r="AA1455" s="78"/>
      <c r="AG1455"/>
      <c r="AH1455"/>
    </row>
    <row r="1456" spans="23:34" x14ac:dyDescent="0.25">
      <c r="W1456"/>
      <c r="X1456"/>
      <c r="Z1456" s="78"/>
      <c r="AA1456" s="78"/>
      <c r="AG1456"/>
      <c r="AH1456"/>
    </row>
    <row r="1457" spans="23:34" x14ac:dyDescent="0.25">
      <c r="W1457"/>
      <c r="X1457"/>
      <c r="Z1457" s="78"/>
      <c r="AA1457" s="78"/>
      <c r="AG1457"/>
      <c r="AH1457"/>
    </row>
    <row r="1458" spans="23:34" x14ac:dyDescent="0.25">
      <c r="W1458"/>
      <c r="X1458"/>
      <c r="Z1458" s="78"/>
      <c r="AA1458" s="78"/>
      <c r="AG1458"/>
      <c r="AH1458"/>
    </row>
    <row r="1459" spans="23:34" x14ac:dyDescent="0.25">
      <c r="W1459"/>
      <c r="X1459"/>
      <c r="Z1459" s="78"/>
      <c r="AA1459" s="78"/>
      <c r="AG1459"/>
      <c r="AH1459"/>
    </row>
    <row r="1460" spans="23:34" x14ac:dyDescent="0.25">
      <c r="W1460"/>
      <c r="X1460"/>
      <c r="Z1460" s="78"/>
      <c r="AA1460" s="78"/>
      <c r="AG1460"/>
      <c r="AH1460"/>
    </row>
    <row r="1461" spans="23:34" x14ac:dyDescent="0.25">
      <c r="W1461"/>
      <c r="X1461"/>
      <c r="Z1461" s="78"/>
      <c r="AA1461" s="78"/>
      <c r="AG1461"/>
      <c r="AH1461"/>
    </row>
    <row r="1462" spans="23:34" x14ac:dyDescent="0.25">
      <c r="W1462"/>
      <c r="X1462"/>
      <c r="Z1462" s="78"/>
      <c r="AA1462" s="78"/>
      <c r="AG1462"/>
      <c r="AH1462"/>
    </row>
    <row r="1463" spans="23:34" x14ac:dyDescent="0.25">
      <c r="W1463"/>
      <c r="X1463"/>
      <c r="Z1463" s="78"/>
      <c r="AA1463" s="78"/>
      <c r="AG1463"/>
      <c r="AH1463"/>
    </row>
    <row r="1464" spans="23:34" x14ac:dyDescent="0.25">
      <c r="W1464"/>
      <c r="X1464"/>
      <c r="Z1464" s="78"/>
      <c r="AA1464" s="78"/>
      <c r="AG1464"/>
      <c r="AH1464"/>
    </row>
    <row r="1465" spans="23:34" x14ac:dyDescent="0.25">
      <c r="W1465"/>
      <c r="X1465"/>
      <c r="Z1465" s="78"/>
      <c r="AA1465" s="78"/>
      <c r="AG1465"/>
      <c r="AH1465"/>
    </row>
    <row r="1466" spans="23:34" x14ac:dyDescent="0.25">
      <c r="W1466"/>
      <c r="X1466"/>
      <c r="Z1466" s="78"/>
      <c r="AA1466" s="78"/>
      <c r="AG1466"/>
      <c r="AH1466"/>
    </row>
    <row r="1467" spans="23:34" x14ac:dyDescent="0.25">
      <c r="W1467"/>
      <c r="X1467"/>
      <c r="Z1467" s="78"/>
      <c r="AA1467" s="78"/>
      <c r="AG1467"/>
      <c r="AH1467"/>
    </row>
    <row r="1468" spans="23:34" x14ac:dyDescent="0.25">
      <c r="W1468"/>
      <c r="X1468"/>
      <c r="Z1468" s="78"/>
      <c r="AA1468" s="78"/>
      <c r="AG1468"/>
      <c r="AH1468"/>
    </row>
    <row r="1469" spans="23:34" x14ac:dyDescent="0.25">
      <c r="W1469"/>
      <c r="X1469"/>
      <c r="Z1469" s="78"/>
      <c r="AA1469" s="78"/>
      <c r="AG1469"/>
      <c r="AH1469"/>
    </row>
    <row r="1470" spans="23:34" x14ac:dyDescent="0.25">
      <c r="W1470"/>
      <c r="X1470"/>
      <c r="Z1470" s="78"/>
      <c r="AA1470" s="78"/>
      <c r="AG1470"/>
      <c r="AH1470"/>
    </row>
    <row r="1471" spans="23:34" x14ac:dyDescent="0.25">
      <c r="W1471"/>
      <c r="X1471"/>
      <c r="Z1471" s="78"/>
      <c r="AA1471" s="78"/>
      <c r="AG1471"/>
      <c r="AH1471"/>
    </row>
    <row r="1472" spans="23:34" x14ac:dyDescent="0.25">
      <c r="W1472"/>
      <c r="X1472"/>
      <c r="Z1472" s="78"/>
      <c r="AA1472" s="78"/>
      <c r="AG1472"/>
      <c r="AH1472"/>
    </row>
    <row r="1473" spans="23:34" x14ac:dyDescent="0.25">
      <c r="W1473"/>
      <c r="X1473"/>
      <c r="Z1473" s="78"/>
      <c r="AA1473" s="78"/>
      <c r="AG1473"/>
      <c r="AH1473"/>
    </row>
    <row r="1474" spans="23:34" x14ac:dyDescent="0.25">
      <c r="W1474"/>
      <c r="X1474"/>
      <c r="Z1474" s="78"/>
      <c r="AA1474" s="78"/>
      <c r="AG1474"/>
      <c r="AH1474"/>
    </row>
    <row r="1475" spans="23:34" x14ac:dyDescent="0.25">
      <c r="W1475"/>
      <c r="X1475"/>
      <c r="Z1475" s="78"/>
      <c r="AA1475" s="78"/>
      <c r="AG1475"/>
      <c r="AH1475"/>
    </row>
    <row r="1476" spans="23:34" x14ac:dyDescent="0.25">
      <c r="W1476"/>
      <c r="X1476"/>
      <c r="Z1476" s="78"/>
      <c r="AA1476" s="78"/>
      <c r="AG1476"/>
      <c r="AH1476"/>
    </row>
    <row r="1477" spans="23:34" x14ac:dyDescent="0.25">
      <c r="W1477"/>
      <c r="X1477"/>
      <c r="Z1477" s="78"/>
      <c r="AA1477" s="78"/>
      <c r="AG1477"/>
      <c r="AH1477"/>
    </row>
    <row r="1478" spans="23:34" x14ac:dyDescent="0.25">
      <c r="W1478"/>
      <c r="X1478"/>
      <c r="Z1478" s="78"/>
      <c r="AA1478" s="78"/>
      <c r="AG1478"/>
      <c r="AH1478"/>
    </row>
    <row r="1479" spans="23:34" x14ac:dyDescent="0.25">
      <c r="W1479"/>
      <c r="X1479"/>
      <c r="Z1479" s="78"/>
      <c r="AA1479" s="78"/>
      <c r="AG1479"/>
      <c r="AH1479"/>
    </row>
    <row r="1480" spans="23:34" x14ac:dyDescent="0.25">
      <c r="W1480"/>
      <c r="X1480"/>
      <c r="Z1480" s="78"/>
      <c r="AA1480" s="78"/>
      <c r="AG1480"/>
      <c r="AH1480"/>
    </row>
    <row r="1481" spans="23:34" x14ac:dyDescent="0.25">
      <c r="W1481"/>
      <c r="X1481"/>
      <c r="Z1481" s="78"/>
      <c r="AA1481" s="78"/>
      <c r="AG1481"/>
      <c r="AH1481"/>
    </row>
    <row r="1482" spans="23:34" x14ac:dyDescent="0.25">
      <c r="W1482"/>
      <c r="X1482"/>
      <c r="Z1482" s="78"/>
      <c r="AA1482" s="78"/>
      <c r="AG1482"/>
      <c r="AH1482"/>
    </row>
    <row r="1483" spans="23:34" x14ac:dyDescent="0.25">
      <c r="W1483"/>
      <c r="X1483"/>
      <c r="Z1483" s="78"/>
      <c r="AA1483" s="78"/>
      <c r="AG1483"/>
      <c r="AH1483"/>
    </row>
    <row r="1484" spans="23:34" x14ac:dyDescent="0.25">
      <c r="W1484"/>
      <c r="X1484"/>
      <c r="Z1484" s="78"/>
      <c r="AA1484" s="78"/>
      <c r="AG1484"/>
      <c r="AH1484"/>
    </row>
    <row r="1485" spans="23:34" x14ac:dyDescent="0.25">
      <c r="W1485"/>
      <c r="X1485"/>
      <c r="Z1485" s="78"/>
      <c r="AA1485" s="78"/>
      <c r="AG1485"/>
      <c r="AH1485"/>
    </row>
    <row r="1486" spans="23:34" x14ac:dyDescent="0.25">
      <c r="W1486"/>
      <c r="X1486"/>
      <c r="Z1486" s="78"/>
      <c r="AA1486" s="78"/>
      <c r="AG1486"/>
      <c r="AH1486"/>
    </row>
    <row r="1487" spans="23:34" x14ac:dyDescent="0.25">
      <c r="W1487"/>
      <c r="X1487"/>
      <c r="Z1487" s="78"/>
      <c r="AA1487" s="78"/>
      <c r="AG1487"/>
      <c r="AH1487"/>
    </row>
    <row r="1488" spans="23:34" x14ac:dyDescent="0.25">
      <c r="W1488"/>
      <c r="X1488"/>
      <c r="Z1488" s="78"/>
      <c r="AA1488" s="78"/>
      <c r="AG1488"/>
      <c r="AH1488"/>
    </row>
    <row r="1489" spans="23:34" x14ac:dyDescent="0.25">
      <c r="W1489"/>
      <c r="X1489"/>
      <c r="Z1489" s="78"/>
      <c r="AA1489" s="78"/>
      <c r="AG1489"/>
      <c r="AH1489"/>
    </row>
    <row r="1490" spans="23:34" x14ac:dyDescent="0.25">
      <c r="W1490"/>
      <c r="X1490"/>
      <c r="Z1490" s="78"/>
      <c r="AA1490" s="78"/>
      <c r="AG1490"/>
      <c r="AH1490"/>
    </row>
    <row r="1491" spans="23:34" x14ac:dyDescent="0.25">
      <c r="W1491"/>
      <c r="X1491"/>
      <c r="Z1491" s="78"/>
      <c r="AA1491" s="78"/>
      <c r="AG1491"/>
      <c r="AH1491"/>
    </row>
    <row r="1492" spans="23:34" x14ac:dyDescent="0.25">
      <c r="W1492"/>
      <c r="X1492"/>
      <c r="Z1492" s="78"/>
      <c r="AA1492" s="78"/>
      <c r="AG1492"/>
      <c r="AH1492"/>
    </row>
    <row r="1493" spans="23:34" x14ac:dyDescent="0.25">
      <c r="W1493"/>
      <c r="X1493"/>
      <c r="Z1493" s="78"/>
      <c r="AA1493" s="78"/>
      <c r="AG1493"/>
      <c r="AH1493"/>
    </row>
    <row r="1494" spans="23:34" x14ac:dyDescent="0.25">
      <c r="W1494"/>
      <c r="X1494"/>
      <c r="Z1494" s="78"/>
      <c r="AA1494" s="78"/>
      <c r="AG1494"/>
      <c r="AH1494"/>
    </row>
    <row r="1495" spans="23:34" x14ac:dyDescent="0.25">
      <c r="W1495"/>
      <c r="X1495"/>
      <c r="Z1495" s="78"/>
      <c r="AA1495" s="78"/>
      <c r="AG1495"/>
      <c r="AH1495"/>
    </row>
    <row r="1496" spans="23:34" x14ac:dyDescent="0.25">
      <c r="W1496"/>
      <c r="X1496"/>
      <c r="Z1496" s="78"/>
      <c r="AA1496" s="78"/>
      <c r="AG1496"/>
      <c r="AH1496"/>
    </row>
    <row r="1497" spans="23:34" x14ac:dyDescent="0.25">
      <c r="W1497"/>
      <c r="X1497"/>
      <c r="Z1497" s="78"/>
      <c r="AA1497" s="78"/>
      <c r="AG1497"/>
      <c r="AH1497"/>
    </row>
    <row r="1498" spans="23:34" x14ac:dyDescent="0.25">
      <c r="W1498"/>
      <c r="X1498"/>
      <c r="Z1498" s="78"/>
      <c r="AA1498" s="78"/>
      <c r="AG1498"/>
      <c r="AH1498"/>
    </row>
    <row r="1499" spans="23:34" x14ac:dyDescent="0.25">
      <c r="W1499"/>
      <c r="X1499"/>
      <c r="Z1499" s="78"/>
      <c r="AA1499" s="78"/>
      <c r="AG1499"/>
      <c r="AH1499"/>
    </row>
    <row r="1500" spans="23:34" x14ac:dyDescent="0.25">
      <c r="W1500"/>
      <c r="X1500"/>
      <c r="Z1500" s="78"/>
      <c r="AA1500" s="78"/>
      <c r="AG1500"/>
      <c r="AH1500"/>
    </row>
    <row r="1501" spans="23:34" x14ac:dyDescent="0.25">
      <c r="W1501"/>
      <c r="X1501"/>
      <c r="Z1501" s="78"/>
      <c r="AA1501" s="78"/>
      <c r="AG1501"/>
      <c r="AH1501"/>
    </row>
    <row r="1502" spans="23:34" x14ac:dyDescent="0.25">
      <c r="W1502"/>
      <c r="X1502"/>
      <c r="Z1502" s="78"/>
      <c r="AA1502" s="78"/>
      <c r="AG1502"/>
      <c r="AH1502"/>
    </row>
    <row r="1503" spans="23:34" x14ac:dyDescent="0.25">
      <c r="W1503"/>
      <c r="X1503"/>
      <c r="Z1503" s="78"/>
      <c r="AA1503" s="78"/>
      <c r="AG1503"/>
      <c r="AH1503"/>
    </row>
    <row r="1504" spans="23:34" x14ac:dyDescent="0.25">
      <c r="W1504"/>
      <c r="X1504"/>
      <c r="Z1504" s="78"/>
      <c r="AA1504" s="78"/>
      <c r="AG1504"/>
      <c r="AH1504"/>
    </row>
    <row r="1505" spans="23:34" x14ac:dyDescent="0.25">
      <c r="W1505"/>
      <c r="X1505"/>
      <c r="Z1505" s="78"/>
      <c r="AA1505" s="78"/>
      <c r="AG1505"/>
      <c r="AH1505"/>
    </row>
    <row r="1506" spans="23:34" x14ac:dyDescent="0.25">
      <c r="W1506"/>
      <c r="X1506"/>
      <c r="Z1506" s="78"/>
      <c r="AA1506" s="78"/>
      <c r="AG1506"/>
      <c r="AH1506"/>
    </row>
    <row r="1507" spans="23:34" x14ac:dyDescent="0.25">
      <c r="W1507"/>
      <c r="X1507"/>
      <c r="Z1507" s="78"/>
      <c r="AA1507" s="78"/>
      <c r="AG1507"/>
      <c r="AH1507"/>
    </row>
    <row r="1508" spans="23:34" x14ac:dyDescent="0.25">
      <c r="W1508"/>
      <c r="X1508"/>
      <c r="Z1508" s="78"/>
      <c r="AA1508" s="78"/>
      <c r="AG1508"/>
      <c r="AH1508"/>
    </row>
    <row r="1509" spans="23:34" x14ac:dyDescent="0.25">
      <c r="W1509"/>
      <c r="X1509"/>
      <c r="Z1509" s="78"/>
      <c r="AA1509" s="78"/>
      <c r="AG1509"/>
      <c r="AH1509"/>
    </row>
    <row r="1510" spans="23:34" x14ac:dyDescent="0.25">
      <c r="W1510"/>
      <c r="X1510"/>
      <c r="Z1510" s="78"/>
      <c r="AA1510" s="78"/>
      <c r="AG1510"/>
      <c r="AH1510"/>
    </row>
    <row r="1511" spans="23:34" x14ac:dyDescent="0.25">
      <c r="W1511"/>
      <c r="X1511"/>
      <c r="Z1511" s="78"/>
      <c r="AA1511" s="78"/>
      <c r="AG1511"/>
      <c r="AH1511"/>
    </row>
    <row r="1512" spans="23:34" x14ac:dyDescent="0.25">
      <c r="W1512"/>
      <c r="X1512"/>
      <c r="Z1512" s="78"/>
      <c r="AA1512" s="78"/>
      <c r="AG1512"/>
      <c r="AH1512"/>
    </row>
    <row r="1513" spans="23:34" x14ac:dyDescent="0.25">
      <c r="W1513"/>
      <c r="X1513"/>
      <c r="Z1513" s="78"/>
      <c r="AA1513" s="78"/>
      <c r="AG1513"/>
      <c r="AH1513"/>
    </row>
    <row r="1514" spans="23:34" x14ac:dyDescent="0.25">
      <c r="W1514"/>
      <c r="X1514"/>
      <c r="Z1514" s="78"/>
      <c r="AA1514" s="78"/>
      <c r="AG1514"/>
      <c r="AH1514"/>
    </row>
    <row r="1515" spans="23:34" x14ac:dyDescent="0.25">
      <c r="W1515"/>
      <c r="X1515"/>
      <c r="Z1515" s="78"/>
      <c r="AA1515" s="78"/>
      <c r="AG1515"/>
      <c r="AH1515"/>
    </row>
    <row r="1516" spans="23:34" x14ac:dyDescent="0.25">
      <c r="W1516"/>
      <c r="X1516"/>
      <c r="Z1516" s="78"/>
      <c r="AA1516" s="78"/>
      <c r="AG1516"/>
      <c r="AH1516"/>
    </row>
    <row r="1517" spans="23:34" x14ac:dyDescent="0.25">
      <c r="W1517"/>
      <c r="X1517"/>
      <c r="Z1517" s="78"/>
      <c r="AA1517" s="78"/>
      <c r="AG1517"/>
      <c r="AH1517"/>
    </row>
    <row r="1518" spans="23:34" x14ac:dyDescent="0.25">
      <c r="W1518"/>
      <c r="X1518"/>
      <c r="Z1518" s="78"/>
      <c r="AA1518" s="78"/>
      <c r="AG1518"/>
      <c r="AH1518"/>
    </row>
    <row r="1519" spans="23:34" x14ac:dyDescent="0.25">
      <c r="W1519"/>
      <c r="X1519"/>
      <c r="Z1519" s="78"/>
      <c r="AA1519" s="78"/>
      <c r="AG1519"/>
      <c r="AH1519"/>
    </row>
    <row r="1520" spans="23:34" x14ac:dyDescent="0.25">
      <c r="W1520"/>
      <c r="X1520"/>
      <c r="Z1520" s="78"/>
      <c r="AA1520" s="78"/>
      <c r="AG1520"/>
      <c r="AH1520"/>
    </row>
    <row r="1521" spans="23:34" x14ac:dyDescent="0.25">
      <c r="W1521"/>
      <c r="X1521"/>
      <c r="Z1521" s="78"/>
      <c r="AA1521" s="78"/>
      <c r="AG1521"/>
      <c r="AH1521"/>
    </row>
    <row r="1522" spans="23:34" x14ac:dyDescent="0.25">
      <c r="W1522"/>
      <c r="X1522"/>
      <c r="Z1522" s="78"/>
      <c r="AA1522" s="78"/>
      <c r="AG1522"/>
      <c r="AH1522"/>
    </row>
    <row r="1523" spans="23:34" x14ac:dyDescent="0.25">
      <c r="W1523"/>
      <c r="X1523"/>
      <c r="Z1523" s="78"/>
      <c r="AA1523" s="78"/>
      <c r="AG1523"/>
      <c r="AH1523"/>
    </row>
    <row r="1524" spans="23:34" x14ac:dyDescent="0.25">
      <c r="W1524"/>
      <c r="X1524"/>
      <c r="Z1524" s="78"/>
      <c r="AA1524" s="78"/>
      <c r="AG1524"/>
      <c r="AH1524"/>
    </row>
    <row r="1525" spans="23:34" x14ac:dyDescent="0.25">
      <c r="W1525"/>
      <c r="X1525"/>
      <c r="Z1525" s="78"/>
      <c r="AA1525" s="78"/>
      <c r="AG1525"/>
      <c r="AH1525"/>
    </row>
    <row r="1526" spans="23:34" x14ac:dyDescent="0.25">
      <c r="W1526"/>
      <c r="X1526"/>
      <c r="Z1526" s="78"/>
      <c r="AA1526" s="78"/>
      <c r="AG1526"/>
      <c r="AH1526"/>
    </row>
    <row r="1527" spans="23:34" x14ac:dyDescent="0.25">
      <c r="W1527"/>
      <c r="X1527"/>
      <c r="Z1527" s="78"/>
      <c r="AA1527" s="78"/>
      <c r="AG1527"/>
      <c r="AH1527"/>
    </row>
    <row r="1528" spans="23:34" x14ac:dyDescent="0.25">
      <c r="W1528"/>
      <c r="X1528"/>
      <c r="Z1528" s="78"/>
      <c r="AA1528" s="78"/>
      <c r="AG1528"/>
      <c r="AH1528"/>
    </row>
    <row r="1529" spans="23:34" x14ac:dyDescent="0.25">
      <c r="W1529"/>
      <c r="X1529"/>
      <c r="Z1529" s="78"/>
      <c r="AA1529" s="78"/>
      <c r="AG1529"/>
      <c r="AH1529"/>
    </row>
    <row r="1530" spans="23:34" x14ac:dyDescent="0.25">
      <c r="W1530"/>
      <c r="X1530"/>
      <c r="Z1530" s="78"/>
      <c r="AA1530" s="78"/>
      <c r="AG1530"/>
      <c r="AH1530"/>
    </row>
    <row r="1531" spans="23:34" x14ac:dyDescent="0.25">
      <c r="W1531"/>
      <c r="X1531"/>
      <c r="Z1531" s="78"/>
      <c r="AA1531" s="78"/>
      <c r="AG1531"/>
      <c r="AH1531"/>
    </row>
    <row r="1532" spans="23:34" x14ac:dyDescent="0.25">
      <c r="W1532"/>
      <c r="X1532"/>
      <c r="Z1532" s="78"/>
      <c r="AA1532" s="78"/>
      <c r="AG1532"/>
      <c r="AH1532"/>
    </row>
    <row r="1533" spans="23:34" x14ac:dyDescent="0.25">
      <c r="W1533"/>
      <c r="X1533"/>
      <c r="Z1533" s="78"/>
      <c r="AA1533" s="78"/>
      <c r="AG1533"/>
      <c r="AH1533"/>
    </row>
    <row r="1534" spans="23:34" x14ac:dyDescent="0.25">
      <c r="W1534"/>
      <c r="X1534"/>
      <c r="Z1534" s="78"/>
      <c r="AA1534" s="78"/>
      <c r="AG1534"/>
      <c r="AH1534"/>
    </row>
    <row r="1535" spans="23:34" x14ac:dyDescent="0.25">
      <c r="W1535"/>
      <c r="X1535"/>
      <c r="Z1535" s="78"/>
      <c r="AA1535" s="78"/>
      <c r="AG1535"/>
      <c r="AH1535"/>
    </row>
    <row r="1536" spans="23:34" x14ac:dyDescent="0.25">
      <c r="W1536"/>
      <c r="X1536"/>
      <c r="Z1536" s="78"/>
      <c r="AA1536" s="78"/>
      <c r="AG1536"/>
      <c r="AH1536"/>
    </row>
    <row r="1537" spans="23:34" x14ac:dyDescent="0.25">
      <c r="W1537"/>
      <c r="X1537"/>
      <c r="Z1537" s="78"/>
      <c r="AA1537" s="78"/>
      <c r="AG1537"/>
      <c r="AH1537"/>
    </row>
    <row r="1538" spans="23:34" x14ac:dyDescent="0.25">
      <c r="W1538"/>
      <c r="X1538"/>
      <c r="Z1538" s="78"/>
      <c r="AA1538" s="78"/>
      <c r="AG1538"/>
      <c r="AH1538"/>
    </row>
    <row r="1539" spans="23:34" x14ac:dyDescent="0.25">
      <c r="W1539"/>
      <c r="X1539"/>
      <c r="Z1539" s="78"/>
      <c r="AA1539" s="78"/>
      <c r="AG1539"/>
      <c r="AH1539"/>
    </row>
    <row r="1540" spans="23:34" x14ac:dyDescent="0.25">
      <c r="W1540"/>
      <c r="X1540"/>
      <c r="Z1540" s="78"/>
      <c r="AA1540" s="78"/>
      <c r="AG1540"/>
      <c r="AH1540"/>
    </row>
    <row r="1541" spans="23:34" x14ac:dyDescent="0.25">
      <c r="W1541"/>
      <c r="X1541"/>
      <c r="Z1541" s="78"/>
      <c r="AA1541" s="78"/>
      <c r="AG1541"/>
      <c r="AH1541"/>
    </row>
    <row r="1542" spans="23:34" x14ac:dyDescent="0.25">
      <c r="W1542"/>
      <c r="X1542"/>
      <c r="Z1542" s="78"/>
      <c r="AA1542" s="78"/>
      <c r="AG1542"/>
      <c r="AH1542"/>
    </row>
    <row r="1543" spans="23:34" x14ac:dyDescent="0.25">
      <c r="W1543"/>
      <c r="X1543"/>
      <c r="Z1543" s="78"/>
      <c r="AA1543" s="78"/>
      <c r="AG1543"/>
      <c r="AH1543"/>
    </row>
    <row r="1544" spans="23:34" x14ac:dyDescent="0.25">
      <c r="W1544"/>
      <c r="X1544"/>
      <c r="Z1544" s="78"/>
      <c r="AA1544" s="78"/>
      <c r="AG1544"/>
      <c r="AH1544"/>
    </row>
    <row r="1545" spans="23:34" x14ac:dyDescent="0.25">
      <c r="W1545"/>
      <c r="X1545"/>
      <c r="Z1545" s="78"/>
      <c r="AA1545" s="78"/>
      <c r="AG1545"/>
      <c r="AH1545"/>
    </row>
    <row r="1546" spans="23:34" x14ac:dyDescent="0.25">
      <c r="W1546"/>
      <c r="X1546"/>
      <c r="Z1546" s="78"/>
      <c r="AA1546" s="78"/>
      <c r="AG1546"/>
      <c r="AH1546"/>
    </row>
    <row r="1547" spans="23:34" x14ac:dyDescent="0.25">
      <c r="W1547"/>
      <c r="X1547"/>
      <c r="Z1547" s="78"/>
      <c r="AA1547" s="78"/>
      <c r="AG1547"/>
      <c r="AH1547"/>
    </row>
    <row r="1548" spans="23:34" x14ac:dyDescent="0.25">
      <c r="W1548"/>
      <c r="X1548"/>
      <c r="Z1548" s="78"/>
      <c r="AA1548" s="78"/>
      <c r="AG1548"/>
      <c r="AH1548"/>
    </row>
    <row r="1549" spans="23:34" x14ac:dyDescent="0.25">
      <c r="W1549"/>
      <c r="X1549"/>
      <c r="Z1549" s="78"/>
      <c r="AA1549" s="78"/>
      <c r="AG1549"/>
      <c r="AH1549"/>
    </row>
    <row r="1550" spans="23:34" x14ac:dyDescent="0.25">
      <c r="W1550"/>
      <c r="X1550"/>
      <c r="Z1550" s="78"/>
      <c r="AA1550" s="78"/>
      <c r="AG1550"/>
      <c r="AH1550"/>
    </row>
    <row r="1551" spans="23:34" x14ac:dyDescent="0.25">
      <c r="W1551"/>
      <c r="X1551"/>
      <c r="Z1551" s="78"/>
      <c r="AA1551" s="78"/>
      <c r="AG1551"/>
      <c r="AH1551"/>
    </row>
    <row r="1552" spans="23:34" x14ac:dyDescent="0.25">
      <c r="W1552"/>
      <c r="X1552"/>
      <c r="Z1552" s="78"/>
      <c r="AA1552" s="78"/>
      <c r="AG1552"/>
      <c r="AH1552"/>
    </row>
    <row r="1553" spans="23:34" x14ac:dyDescent="0.25">
      <c r="W1553"/>
      <c r="X1553"/>
      <c r="Z1553" s="78"/>
      <c r="AA1553" s="78"/>
      <c r="AG1553"/>
      <c r="AH1553"/>
    </row>
    <row r="1554" spans="23:34" x14ac:dyDescent="0.25">
      <c r="W1554"/>
      <c r="X1554"/>
      <c r="Z1554" s="78"/>
      <c r="AA1554" s="78"/>
      <c r="AG1554"/>
      <c r="AH1554"/>
    </row>
    <row r="1555" spans="23:34" x14ac:dyDescent="0.25">
      <c r="W1555"/>
      <c r="X1555"/>
      <c r="Z1555" s="78"/>
      <c r="AA1555" s="78"/>
      <c r="AG1555"/>
      <c r="AH1555"/>
    </row>
    <row r="1556" spans="23:34" x14ac:dyDescent="0.25">
      <c r="W1556"/>
      <c r="X1556"/>
      <c r="Z1556" s="78"/>
      <c r="AA1556" s="78"/>
      <c r="AG1556"/>
      <c r="AH1556"/>
    </row>
    <row r="1557" spans="23:34" x14ac:dyDescent="0.25">
      <c r="W1557"/>
      <c r="X1557"/>
      <c r="Z1557" s="78"/>
      <c r="AA1557" s="78"/>
      <c r="AG1557"/>
      <c r="AH1557"/>
    </row>
    <row r="1558" spans="23:34" x14ac:dyDescent="0.25">
      <c r="W1558"/>
      <c r="X1558"/>
      <c r="Z1558" s="78"/>
      <c r="AA1558" s="78"/>
      <c r="AG1558"/>
      <c r="AH1558"/>
    </row>
    <row r="1559" spans="23:34" x14ac:dyDescent="0.25">
      <c r="W1559"/>
      <c r="X1559"/>
      <c r="Z1559" s="78"/>
      <c r="AA1559" s="78"/>
      <c r="AG1559"/>
      <c r="AH1559"/>
    </row>
    <row r="1560" spans="23:34" x14ac:dyDescent="0.25">
      <c r="W1560"/>
      <c r="X1560"/>
      <c r="Z1560" s="78"/>
      <c r="AA1560" s="78"/>
      <c r="AG1560"/>
      <c r="AH1560"/>
    </row>
    <row r="1561" spans="23:34" x14ac:dyDescent="0.25">
      <c r="W1561"/>
      <c r="X1561"/>
      <c r="Z1561" s="78"/>
      <c r="AA1561" s="78"/>
      <c r="AG1561"/>
      <c r="AH1561"/>
    </row>
    <row r="1562" spans="23:34" x14ac:dyDescent="0.25">
      <c r="W1562"/>
      <c r="X1562"/>
      <c r="Z1562" s="78"/>
      <c r="AA1562" s="78"/>
      <c r="AG1562"/>
      <c r="AH1562"/>
    </row>
    <row r="1563" spans="23:34" x14ac:dyDescent="0.25">
      <c r="W1563"/>
      <c r="X1563"/>
      <c r="Z1563" s="78"/>
      <c r="AA1563" s="78"/>
      <c r="AG1563"/>
      <c r="AH1563"/>
    </row>
    <row r="1564" spans="23:34" x14ac:dyDescent="0.25">
      <c r="W1564"/>
      <c r="X1564"/>
      <c r="Z1564" s="78"/>
      <c r="AA1564" s="78"/>
      <c r="AG1564"/>
      <c r="AH1564"/>
    </row>
    <row r="1565" spans="23:34" x14ac:dyDescent="0.25">
      <c r="W1565"/>
      <c r="X1565"/>
      <c r="Z1565" s="78"/>
      <c r="AA1565" s="78"/>
      <c r="AG1565"/>
      <c r="AH1565"/>
    </row>
    <row r="1566" spans="23:34" x14ac:dyDescent="0.25">
      <c r="W1566"/>
      <c r="X1566"/>
      <c r="Z1566" s="78"/>
      <c r="AA1566" s="78"/>
      <c r="AG1566"/>
      <c r="AH1566"/>
    </row>
    <row r="1567" spans="23:34" x14ac:dyDescent="0.25">
      <c r="W1567"/>
      <c r="X1567"/>
      <c r="Z1567" s="78"/>
      <c r="AA1567" s="78"/>
      <c r="AG1567"/>
      <c r="AH1567"/>
    </row>
    <row r="1568" spans="23:34" x14ac:dyDescent="0.25">
      <c r="W1568"/>
      <c r="X1568"/>
      <c r="Z1568" s="78"/>
      <c r="AA1568" s="78"/>
      <c r="AG1568"/>
      <c r="AH1568"/>
    </row>
    <row r="1569" spans="23:34" x14ac:dyDescent="0.25">
      <c r="W1569"/>
      <c r="X1569"/>
      <c r="Z1569" s="78"/>
      <c r="AA1569" s="78"/>
      <c r="AG1569"/>
      <c r="AH1569"/>
    </row>
    <row r="1570" spans="23:34" x14ac:dyDescent="0.25">
      <c r="W1570"/>
      <c r="X1570"/>
      <c r="Z1570" s="78"/>
      <c r="AA1570" s="78"/>
      <c r="AG1570"/>
      <c r="AH1570"/>
    </row>
    <row r="1571" spans="23:34" x14ac:dyDescent="0.25">
      <c r="W1571"/>
      <c r="X1571"/>
      <c r="Z1571" s="78"/>
      <c r="AA1571" s="78"/>
      <c r="AG1571"/>
      <c r="AH1571"/>
    </row>
    <row r="1572" spans="23:34" x14ac:dyDescent="0.25">
      <c r="W1572"/>
      <c r="X1572"/>
      <c r="Z1572" s="78"/>
      <c r="AA1572" s="78"/>
      <c r="AG1572"/>
      <c r="AH1572"/>
    </row>
    <row r="1573" spans="23:34" x14ac:dyDescent="0.25">
      <c r="W1573"/>
      <c r="X1573"/>
      <c r="Z1573" s="78"/>
      <c r="AA1573" s="78"/>
      <c r="AG1573"/>
      <c r="AH1573"/>
    </row>
    <row r="1574" spans="23:34" x14ac:dyDescent="0.25">
      <c r="W1574"/>
      <c r="X1574"/>
      <c r="Z1574" s="78"/>
      <c r="AA1574" s="78"/>
      <c r="AG1574"/>
      <c r="AH1574"/>
    </row>
    <row r="1575" spans="23:34" x14ac:dyDescent="0.25">
      <c r="W1575"/>
      <c r="X1575"/>
      <c r="Z1575" s="78"/>
      <c r="AA1575" s="78"/>
      <c r="AG1575"/>
      <c r="AH1575"/>
    </row>
    <row r="1576" spans="23:34" x14ac:dyDescent="0.25">
      <c r="W1576"/>
      <c r="X1576"/>
      <c r="Z1576" s="78"/>
      <c r="AA1576" s="78"/>
      <c r="AG1576"/>
      <c r="AH1576"/>
    </row>
    <row r="1577" spans="23:34" x14ac:dyDescent="0.25">
      <c r="W1577"/>
      <c r="X1577"/>
      <c r="Z1577" s="78"/>
      <c r="AA1577" s="78"/>
      <c r="AG1577"/>
      <c r="AH1577"/>
    </row>
    <row r="1578" spans="23:34" x14ac:dyDescent="0.25">
      <c r="W1578"/>
      <c r="X1578"/>
      <c r="Z1578" s="78"/>
      <c r="AA1578" s="78"/>
      <c r="AG1578"/>
      <c r="AH1578"/>
    </row>
    <row r="1579" spans="23:34" x14ac:dyDescent="0.25">
      <c r="W1579"/>
      <c r="X1579"/>
      <c r="Z1579" s="78"/>
      <c r="AA1579" s="78"/>
      <c r="AG1579"/>
      <c r="AH1579"/>
    </row>
    <row r="1580" spans="23:34" x14ac:dyDescent="0.25">
      <c r="W1580"/>
      <c r="X1580"/>
      <c r="Z1580" s="78"/>
      <c r="AA1580" s="78"/>
      <c r="AG1580"/>
      <c r="AH1580"/>
    </row>
    <row r="1581" spans="23:34" x14ac:dyDescent="0.25">
      <c r="W1581"/>
      <c r="X1581"/>
      <c r="Z1581" s="78"/>
      <c r="AA1581" s="78"/>
      <c r="AG1581"/>
      <c r="AH1581"/>
    </row>
    <row r="1582" spans="23:34" x14ac:dyDescent="0.25">
      <c r="W1582"/>
      <c r="X1582"/>
      <c r="Z1582" s="78"/>
      <c r="AA1582" s="78"/>
      <c r="AG1582"/>
      <c r="AH1582"/>
    </row>
    <row r="1583" spans="23:34" x14ac:dyDescent="0.25">
      <c r="W1583"/>
      <c r="X1583"/>
      <c r="Z1583" s="78"/>
      <c r="AA1583" s="78"/>
      <c r="AG1583"/>
      <c r="AH1583"/>
    </row>
    <row r="1584" spans="23:34" x14ac:dyDescent="0.25">
      <c r="W1584"/>
      <c r="X1584"/>
      <c r="Z1584" s="78"/>
      <c r="AA1584" s="78"/>
      <c r="AG1584"/>
      <c r="AH1584"/>
    </row>
    <row r="1585" spans="23:34" x14ac:dyDescent="0.25">
      <c r="W1585"/>
      <c r="X1585"/>
      <c r="Z1585" s="78"/>
      <c r="AA1585" s="78"/>
      <c r="AG1585"/>
      <c r="AH1585"/>
    </row>
    <row r="1586" spans="23:34" x14ac:dyDescent="0.25">
      <c r="W1586"/>
      <c r="X1586"/>
      <c r="Z1586" s="78"/>
      <c r="AA1586" s="78"/>
      <c r="AG1586"/>
      <c r="AH1586"/>
    </row>
    <row r="1587" spans="23:34" x14ac:dyDescent="0.25">
      <c r="W1587"/>
      <c r="X1587"/>
      <c r="Z1587" s="78"/>
      <c r="AA1587" s="78"/>
      <c r="AG1587"/>
      <c r="AH1587"/>
    </row>
    <row r="1588" spans="23:34" x14ac:dyDescent="0.25">
      <c r="W1588"/>
      <c r="X1588"/>
      <c r="Z1588" s="78"/>
      <c r="AA1588" s="78"/>
      <c r="AG1588"/>
      <c r="AH1588"/>
    </row>
    <row r="1589" spans="23:34" x14ac:dyDescent="0.25">
      <c r="W1589"/>
      <c r="X1589"/>
      <c r="Z1589" s="78"/>
      <c r="AA1589" s="78"/>
      <c r="AG1589"/>
      <c r="AH1589"/>
    </row>
    <row r="1590" spans="23:34" x14ac:dyDescent="0.25">
      <c r="W1590"/>
      <c r="X1590"/>
      <c r="Z1590" s="78"/>
      <c r="AA1590" s="78"/>
      <c r="AG1590"/>
      <c r="AH1590"/>
    </row>
    <row r="1591" spans="23:34" x14ac:dyDescent="0.25">
      <c r="W1591"/>
      <c r="X1591"/>
      <c r="Z1591" s="78"/>
      <c r="AA1591" s="78"/>
      <c r="AG1591"/>
      <c r="AH1591"/>
    </row>
    <row r="1592" spans="23:34" x14ac:dyDescent="0.25">
      <c r="W1592"/>
      <c r="X1592"/>
      <c r="Z1592" s="78"/>
      <c r="AA1592" s="78"/>
      <c r="AG1592"/>
      <c r="AH1592"/>
    </row>
    <row r="1593" spans="23:34" x14ac:dyDescent="0.25">
      <c r="W1593"/>
      <c r="X1593"/>
      <c r="Z1593" s="78"/>
      <c r="AA1593" s="78"/>
      <c r="AG1593"/>
      <c r="AH1593"/>
    </row>
    <row r="1594" spans="23:34" x14ac:dyDescent="0.25">
      <c r="W1594"/>
      <c r="X1594"/>
      <c r="Z1594" s="78"/>
      <c r="AA1594" s="78"/>
      <c r="AG1594"/>
      <c r="AH1594"/>
    </row>
    <row r="1595" spans="23:34" x14ac:dyDescent="0.25">
      <c r="W1595"/>
      <c r="X1595"/>
      <c r="Z1595" s="78"/>
      <c r="AA1595" s="78"/>
      <c r="AG1595"/>
      <c r="AH1595"/>
    </row>
    <row r="1596" spans="23:34" x14ac:dyDescent="0.25">
      <c r="W1596"/>
      <c r="X1596"/>
      <c r="Z1596" s="78"/>
      <c r="AA1596" s="78"/>
      <c r="AG1596"/>
      <c r="AH1596"/>
    </row>
    <row r="1597" spans="23:34" x14ac:dyDescent="0.25">
      <c r="W1597"/>
      <c r="X1597"/>
      <c r="Z1597" s="78"/>
      <c r="AA1597" s="78"/>
      <c r="AG1597"/>
      <c r="AH1597"/>
    </row>
    <row r="1598" spans="23:34" x14ac:dyDescent="0.25">
      <c r="W1598"/>
      <c r="X1598"/>
      <c r="Z1598" s="78"/>
      <c r="AA1598" s="78"/>
      <c r="AG1598"/>
      <c r="AH1598"/>
    </row>
    <row r="1599" spans="23:34" x14ac:dyDescent="0.25">
      <c r="W1599"/>
      <c r="X1599"/>
      <c r="Z1599" s="78"/>
      <c r="AA1599" s="78"/>
      <c r="AG1599"/>
      <c r="AH1599"/>
    </row>
    <row r="1600" spans="23:34" x14ac:dyDescent="0.25">
      <c r="W1600"/>
      <c r="X1600"/>
      <c r="Z1600" s="78"/>
      <c r="AA1600" s="78"/>
      <c r="AG1600"/>
      <c r="AH1600"/>
    </row>
    <row r="1601" spans="23:34" x14ac:dyDescent="0.25">
      <c r="W1601"/>
      <c r="X1601"/>
      <c r="Z1601" s="78"/>
      <c r="AA1601" s="78"/>
      <c r="AG1601"/>
      <c r="AH1601"/>
    </row>
    <row r="1602" spans="23:34" x14ac:dyDescent="0.25">
      <c r="W1602"/>
      <c r="X1602"/>
      <c r="Z1602" s="78"/>
      <c r="AA1602" s="78"/>
      <c r="AG1602"/>
      <c r="AH1602"/>
    </row>
    <row r="1603" spans="23:34" x14ac:dyDescent="0.25">
      <c r="W1603"/>
      <c r="X1603"/>
      <c r="Z1603" s="78"/>
      <c r="AA1603" s="78"/>
      <c r="AG1603"/>
      <c r="AH1603"/>
    </row>
    <row r="1604" spans="23:34" x14ac:dyDescent="0.25">
      <c r="W1604"/>
      <c r="X1604"/>
      <c r="Z1604" s="78"/>
      <c r="AA1604" s="78"/>
      <c r="AG1604"/>
      <c r="AH1604"/>
    </row>
    <row r="1605" spans="23:34" x14ac:dyDescent="0.25">
      <c r="W1605"/>
      <c r="X1605"/>
      <c r="Z1605" s="78"/>
      <c r="AA1605" s="78"/>
      <c r="AG1605"/>
      <c r="AH1605"/>
    </row>
    <row r="1606" spans="23:34" x14ac:dyDescent="0.25">
      <c r="W1606"/>
      <c r="X1606"/>
      <c r="Z1606" s="78"/>
      <c r="AA1606" s="78"/>
      <c r="AG1606"/>
      <c r="AH1606"/>
    </row>
    <row r="1607" spans="23:34" x14ac:dyDescent="0.25">
      <c r="W1607"/>
      <c r="X1607"/>
      <c r="Z1607" s="78"/>
      <c r="AA1607" s="78"/>
      <c r="AG1607"/>
      <c r="AH1607"/>
    </row>
    <row r="1608" spans="23:34" x14ac:dyDescent="0.25">
      <c r="W1608"/>
      <c r="X1608"/>
      <c r="Z1608" s="78"/>
      <c r="AA1608" s="78"/>
      <c r="AG1608"/>
      <c r="AH1608"/>
    </row>
    <row r="1609" spans="23:34" x14ac:dyDescent="0.25">
      <c r="W1609"/>
      <c r="X1609"/>
      <c r="Z1609" s="78"/>
      <c r="AA1609" s="78"/>
      <c r="AG1609"/>
      <c r="AH1609"/>
    </row>
    <row r="1610" spans="23:34" x14ac:dyDescent="0.25">
      <c r="W1610"/>
      <c r="X1610"/>
      <c r="Z1610" s="78"/>
      <c r="AA1610" s="78"/>
      <c r="AG1610"/>
      <c r="AH1610"/>
    </row>
    <row r="1611" spans="23:34" x14ac:dyDescent="0.25">
      <c r="W1611"/>
      <c r="X1611"/>
      <c r="Z1611" s="78"/>
      <c r="AA1611" s="78"/>
      <c r="AG1611"/>
      <c r="AH1611"/>
    </row>
    <row r="1612" spans="23:34" x14ac:dyDescent="0.25">
      <c r="W1612"/>
      <c r="X1612"/>
      <c r="Z1612" s="78"/>
      <c r="AA1612" s="78"/>
      <c r="AG1612"/>
      <c r="AH1612"/>
    </row>
    <row r="1613" spans="23:34" x14ac:dyDescent="0.25">
      <c r="W1613"/>
      <c r="X1613"/>
      <c r="Z1613" s="78"/>
      <c r="AA1613" s="78"/>
      <c r="AG1613"/>
      <c r="AH1613"/>
    </row>
    <row r="1614" spans="23:34" x14ac:dyDescent="0.25">
      <c r="W1614"/>
      <c r="X1614"/>
      <c r="Z1614" s="78"/>
      <c r="AA1614" s="78"/>
      <c r="AG1614"/>
      <c r="AH1614"/>
    </row>
    <row r="1615" spans="23:34" x14ac:dyDescent="0.25">
      <c r="W1615"/>
      <c r="X1615"/>
      <c r="Z1615" s="78"/>
      <c r="AA1615" s="78"/>
      <c r="AG1615"/>
      <c r="AH1615"/>
    </row>
    <row r="1616" spans="23:34" x14ac:dyDescent="0.25">
      <c r="W1616"/>
      <c r="X1616"/>
      <c r="Z1616" s="78"/>
      <c r="AA1616" s="78"/>
      <c r="AG1616"/>
      <c r="AH1616"/>
    </row>
    <row r="1617" spans="23:34" x14ac:dyDescent="0.25">
      <c r="W1617"/>
      <c r="X1617"/>
      <c r="Z1617" s="78"/>
      <c r="AA1617" s="78"/>
      <c r="AG1617"/>
      <c r="AH1617"/>
    </row>
    <row r="1618" spans="23:34" x14ac:dyDescent="0.25">
      <c r="W1618"/>
      <c r="X1618"/>
      <c r="Z1618" s="78"/>
      <c r="AA1618" s="78"/>
      <c r="AG1618"/>
      <c r="AH1618"/>
    </row>
    <row r="1619" spans="23:34" x14ac:dyDescent="0.25">
      <c r="W1619"/>
      <c r="X1619"/>
      <c r="Z1619" s="78"/>
      <c r="AA1619" s="78"/>
      <c r="AG1619"/>
      <c r="AH1619"/>
    </row>
    <row r="1620" spans="23:34" x14ac:dyDescent="0.25">
      <c r="W1620"/>
      <c r="X1620"/>
      <c r="Z1620" s="78"/>
      <c r="AA1620" s="78"/>
      <c r="AG1620"/>
      <c r="AH1620"/>
    </row>
    <row r="1621" spans="23:34" x14ac:dyDescent="0.25">
      <c r="W1621"/>
      <c r="X1621"/>
      <c r="Z1621" s="78"/>
      <c r="AA1621" s="78"/>
      <c r="AG1621"/>
      <c r="AH1621"/>
    </row>
    <row r="1622" spans="23:34" x14ac:dyDescent="0.25">
      <c r="W1622"/>
      <c r="X1622"/>
      <c r="Z1622" s="78"/>
      <c r="AA1622" s="78"/>
      <c r="AG1622"/>
      <c r="AH1622"/>
    </row>
    <row r="1623" spans="23:34" x14ac:dyDescent="0.25">
      <c r="W1623"/>
      <c r="X1623"/>
      <c r="Z1623" s="78"/>
      <c r="AA1623" s="78"/>
      <c r="AG1623"/>
      <c r="AH1623"/>
    </row>
    <row r="1624" spans="23:34" x14ac:dyDescent="0.25">
      <c r="W1624"/>
      <c r="X1624"/>
      <c r="Z1624" s="78"/>
      <c r="AA1624" s="78"/>
      <c r="AG1624"/>
      <c r="AH1624"/>
    </row>
    <row r="1625" spans="23:34" x14ac:dyDescent="0.25">
      <c r="W1625"/>
      <c r="X1625"/>
      <c r="Z1625" s="78"/>
      <c r="AA1625" s="78"/>
      <c r="AG1625"/>
      <c r="AH1625"/>
    </row>
    <row r="1626" spans="23:34" x14ac:dyDescent="0.25">
      <c r="W1626"/>
      <c r="X1626"/>
      <c r="Z1626" s="78"/>
      <c r="AA1626" s="78"/>
      <c r="AG1626"/>
      <c r="AH1626"/>
    </row>
    <row r="1627" spans="23:34" x14ac:dyDescent="0.25">
      <c r="W1627"/>
      <c r="X1627"/>
      <c r="Z1627" s="78"/>
      <c r="AA1627" s="78"/>
      <c r="AG1627"/>
      <c r="AH1627"/>
    </row>
    <row r="1628" spans="23:34" x14ac:dyDescent="0.25">
      <c r="W1628"/>
      <c r="X1628"/>
      <c r="Z1628" s="78"/>
      <c r="AA1628" s="78"/>
      <c r="AG1628"/>
      <c r="AH1628"/>
    </row>
    <row r="1629" spans="23:34" x14ac:dyDescent="0.25">
      <c r="W1629"/>
      <c r="X1629"/>
      <c r="Z1629" s="78"/>
      <c r="AA1629" s="78"/>
      <c r="AG1629"/>
      <c r="AH1629"/>
    </row>
    <row r="1630" spans="23:34" x14ac:dyDescent="0.25">
      <c r="W1630"/>
      <c r="X1630"/>
      <c r="Z1630" s="78"/>
      <c r="AA1630" s="78"/>
      <c r="AG1630"/>
      <c r="AH1630"/>
    </row>
    <row r="1631" spans="23:34" x14ac:dyDescent="0.25">
      <c r="W1631"/>
      <c r="X1631"/>
      <c r="Z1631" s="78"/>
      <c r="AA1631" s="78"/>
      <c r="AG1631"/>
      <c r="AH1631"/>
    </row>
    <row r="1632" spans="23:34" x14ac:dyDescent="0.25">
      <c r="W1632"/>
      <c r="X1632"/>
      <c r="Z1632" s="78"/>
      <c r="AA1632" s="78"/>
      <c r="AG1632"/>
      <c r="AH1632"/>
    </row>
    <row r="1633" spans="23:34" x14ac:dyDescent="0.25">
      <c r="W1633"/>
      <c r="X1633"/>
      <c r="Z1633" s="78"/>
      <c r="AA1633" s="78"/>
      <c r="AG1633"/>
      <c r="AH1633"/>
    </row>
    <row r="1634" spans="23:34" x14ac:dyDescent="0.25">
      <c r="W1634"/>
      <c r="X1634"/>
      <c r="Z1634" s="78"/>
      <c r="AA1634" s="78"/>
      <c r="AG1634"/>
      <c r="AH1634"/>
    </row>
    <row r="1635" spans="23:34" x14ac:dyDescent="0.25">
      <c r="W1635"/>
      <c r="X1635"/>
      <c r="Z1635" s="78"/>
      <c r="AA1635" s="78"/>
      <c r="AG1635"/>
      <c r="AH1635"/>
    </row>
    <row r="1636" spans="23:34" x14ac:dyDescent="0.25">
      <c r="W1636"/>
      <c r="X1636"/>
      <c r="Z1636" s="78"/>
      <c r="AA1636" s="78"/>
      <c r="AG1636"/>
      <c r="AH1636"/>
    </row>
    <row r="1637" spans="23:34" x14ac:dyDescent="0.25">
      <c r="W1637"/>
      <c r="X1637"/>
      <c r="Z1637" s="78"/>
      <c r="AA1637" s="78"/>
      <c r="AG1637"/>
      <c r="AH1637"/>
    </row>
    <row r="1638" spans="23:34" x14ac:dyDescent="0.25">
      <c r="W1638"/>
      <c r="X1638"/>
      <c r="Z1638" s="78"/>
      <c r="AA1638" s="78"/>
      <c r="AG1638"/>
      <c r="AH1638"/>
    </row>
    <row r="1639" spans="23:34" x14ac:dyDescent="0.25">
      <c r="W1639"/>
      <c r="X1639"/>
      <c r="Z1639" s="78"/>
      <c r="AA1639" s="78"/>
      <c r="AG1639"/>
      <c r="AH1639"/>
    </row>
    <row r="1640" spans="23:34" x14ac:dyDescent="0.25">
      <c r="W1640"/>
      <c r="X1640"/>
      <c r="Z1640" s="78"/>
      <c r="AA1640" s="78"/>
      <c r="AG1640"/>
      <c r="AH1640"/>
    </row>
    <row r="1641" spans="23:34" x14ac:dyDescent="0.25">
      <c r="W1641"/>
      <c r="X1641"/>
      <c r="Z1641" s="78"/>
      <c r="AA1641" s="78"/>
      <c r="AG1641"/>
      <c r="AH1641"/>
    </row>
    <row r="1642" spans="23:34" x14ac:dyDescent="0.25">
      <c r="W1642"/>
      <c r="X1642"/>
      <c r="Z1642" s="78"/>
      <c r="AA1642" s="78"/>
      <c r="AG1642"/>
      <c r="AH1642"/>
    </row>
    <row r="1643" spans="23:34" x14ac:dyDescent="0.25">
      <c r="W1643"/>
      <c r="X1643"/>
      <c r="Z1643" s="78"/>
      <c r="AA1643" s="78"/>
      <c r="AG1643"/>
      <c r="AH1643"/>
    </row>
    <row r="1644" spans="23:34" x14ac:dyDescent="0.25">
      <c r="W1644"/>
      <c r="X1644"/>
      <c r="Z1644" s="78"/>
      <c r="AA1644" s="78"/>
      <c r="AG1644"/>
      <c r="AH1644"/>
    </row>
    <row r="1645" spans="23:34" x14ac:dyDescent="0.25">
      <c r="W1645"/>
      <c r="X1645"/>
      <c r="Z1645" s="78"/>
      <c r="AA1645" s="78"/>
      <c r="AG1645"/>
      <c r="AH1645"/>
    </row>
    <row r="1646" spans="23:34" x14ac:dyDescent="0.25">
      <c r="W1646"/>
      <c r="X1646"/>
      <c r="Z1646" s="78"/>
      <c r="AA1646" s="78"/>
      <c r="AG1646"/>
      <c r="AH1646"/>
    </row>
    <row r="1647" spans="23:34" x14ac:dyDescent="0.25">
      <c r="W1647"/>
      <c r="X1647"/>
      <c r="Z1647" s="78"/>
      <c r="AA1647" s="78"/>
      <c r="AG1647"/>
      <c r="AH1647"/>
    </row>
    <row r="1648" spans="23:34" x14ac:dyDescent="0.25">
      <c r="W1648"/>
      <c r="X1648"/>
      <c r="Z1648" s="78"/>
      <c r="AA1648" s="78"/>
      <c r="AG1648"/>
      <c r="AH1648"/>
    </row>
    <row r="1649" spans="23:34" x14ac:dyDescent="0.25">
      <c r="W1649"/>
      <c r="X1649"/>
      <c r="Z1649" s="78"/>
      <c r="AA1649" s="78"/>
      <c r="AG1649"/>
      <c r="AH1649"/>
    </row>
    <row r="1650" spans="23:34" x14ac:dyDescent="0.25">
      <c r="W1650"/>
      <c r="X1650"/>
      <c r="Z1650" s="78"/>
      <c r="AA1650" s="78"/>
      <c r="AG1650"/>
      <c r="AH1650"/>
    </row>
    <row r="1651" spans="23:34" x14ac:dyDescent="0.25">
      <c r="W1651"/>
      <c r="X1651"/>
      <c r="Z1651" s="78"/>
      <c r="AA1651" s="78"/>
      <c r="AG1651"/>
      <c r="AH1651"/>
    </row>
    <row r="1652" spans="23:34" x14ac:dyDescent="0.25">
      <c r="W1652"/>
      <c r="X1652"/>
      <c r="Z1652" s="78"/>
      <c r="AA1652" s="78"/>
      <c r="AG1652"/>
      <c r="AH1652"/>
    </row>
    <row r="1653" spans="23:34" x14ac:dyDescent="0.25">
      <c r="W1653"/>
      <c r="X1653"/>
      <c r="Z1653" s="78"/>
      <c r="AA1653" s="78"/>
      <c r="AG1653"/>
      <c r="AH1653"/>
    </row>
    <row r="1654" spans="23:34" x14ac:dyDescent="0.25">
      <c r="W1654"/>
      <c r="X1654"/>
      <c r="Z1654" s="78"/>
      <c r="AA1654" s="78"/>
      <c r="AG1654"/>
      <c r="AH1654"/>
    </row>
    <row r="1655" spans="23:34" x14ac:dyDescent="0.25">
      <c r="W1655"/>
      <c r="X1655"/>
      <c r="Z1655" s="78"/>
      <c r="AA1655" s="78"/>
      <c r="AG1655"/>
      <c r="AH1655"/>
    </row>
    <row r="1656" spans="23:34" x14ac:dyDescent="0.25">
      <c r="W1656"/>
      <c r="X1656"/>
      <c r="Z1656" s="78"/>
      <c r="AA1656" s="78"/>
      <c r="AG1656"/>
      <c r="AH1656"/>
    </row>
    <row r="1657" spans="23:34" x14ac:dyDescent="0.25">
      <c r="W1657"/>
      <c r="X1657"/>
      <c r="Z1657" s="78"/>
      <c r="AA1657" s="78"/>
      <c r="AG1657"/>
      <c r="AH1657"/>
    </row>
    <row r="1658" spans="23:34" x14ac:dyDescent="0.25">
      <c r="W1658"/>
      <c r="X1658"/>
      <c r="Z1658" s="78"/>
      <c r="AA1658" s="78"/>
      <c r="AG1658"/>
      <c r="AH1658"/>
    </row>
    <row r="1659" spans="23:34" x14ac:dyDescent="0.25">
      <c r="W1659"/>
      <c r="X1659"/>
      <c r="Z1659" s="78"/>
      <c r="AA1659" s="78"/>
      <c r="AG1659"/>
      <c r="AH1659"/>
    </row>
    <row r="1660" spans="23:34" x14ac:dyDescent="0.25">
      <c r="W1660"/>
      <c r="X1660"/>
      <c r="Z1660" s="78"/>
      <c r="AA1660" s="78"/>
      <c r="AG1660"/>
      <c r="AH1660"/>
    </row>
    <row r="1661" spans="23:34" x14ac:dyDescent="0.25">
      <c r="W1661"/>
      <c r="X1661"/>
      <c r="Z1661" s="78"/>
      <c r="AA1661" s="78"/>
      <c r="AG1661"/>
      <c r="AH1661"/>
    </row>
    <row r="1662" spans="23:34" x14ac:dyDescent="0.25">
      <c r="W1662"/>
      <c r="X1662"/>
      <c r="Z1662" s="78"/>
      <c r="AA1662" s="78"/>
      <c r="AG1662"/>
      <c r="AH1662"/>
    </row>
    <row r="1663" spans="23:34" x14ac:dyDescent="0.25">
      <c r="W1663"/>
      <c r="X1663"/>
      <c r="Z1663" s="78"/>
      <c r="AA1663" s="78"/>
      <c r="AG1663"/>
      <c r="AH1663"/>
    </row>
    <row r="1664" spans="23:34" x14ac:dyDescent="0.25">
      <c r="W1664"/>
      <c r="X1664"/>
      <c r="Z1664" s="78"/>
      <c r="AA1664" s="78"/>
      <c r="AG1664"/>
      <c r="AH1664"/>
    </row>
    <row r="1665" spans="23:34" x14ac:dyDescent="0.25">
      <c r="W1665"/>
      <c r="X1665"/>
      <c r="Z1665" s="78"/>
      <c r="AA1665" s="78"/>
      <c r="AG1665"/>
      <c r="AH1665"/>
    </row>
    <row r="1666" spans="23:34" x14ac:dyDescent="0.25">
      <c r="W1666"/>
      <c r="X1666"/>
      <c r="Z1666" s="78"/>
      <c r="AA1666" s="78"/>
      <c r="AG1666"/>
      <c r="AH1666"/>
    </row>
    <row r="1667" spans="23:34" x14ac:dyDescent="0.25">
      <c r="W1667"/>
      <c r="X1667"/>
      <c r="Z1667" s="78"/>
      <c r="AA1667" s="78"/>
      <c r="AG1667"/>
      <c r="AH1667"/>
    </row>
    <row r="1668" spans="23:34" x14ac:dyDescent="0.25">
      <c r="W1668"/>
      <c r="X1668"/>
      <c r="Z1668" s="78"/>
      <c r="AA1668" s="78"/>
      <c r="AG1668"/>
      <c r="AH1668"/>
    </row>
    <row r="1669" spans="23:34" x14ac:dyDescent="0.25">
      <c r="W1669"/>
      <c r="X1669"/>
      <c r="Z1669" s="78"/>
      <c r="AA1669" s="78"/>
      <c r="AG1669"/>
      <c r="AH1669"/>
    </row>
    <row r="1670" spans="23:34" x14ac:dyDescent="0.25">
      <c r="W1670"/>
      <c r="X1670"/>
      <c r="Z1670" s="78"/>
      <c r="AA1670" s="78"/>
      <c r="AG1670"/>
      <c r="AH1670"/>
    </row>
    <row r="1671" spans="23:34" x14ac:dyDescent="0.25">
      <c r="W1671"/>
      <c r="X1671"/>
      <c r="Z1671" s="78"/>
      <c r="AA1671" s="78"/>
      <c r="AG1671"/>
      <c r="AH1671"/>
    </row>
    <row r="1672" spans="23:34" x14ac:dyDescent="0.25">
      <c r="W1672"/>
      <c r="X1672"/>
      <c r="Z1672" s="78"/>
      <c r="AA1672" s="78"/>
      <c r="AG1672"/>
      <c r="AH1672"/>
    </row>
    <row r="1673" spans="23:34" x14ac:dyDescent="0.25">
      <c r="W1673"/>
      <c r="X1673"/>
      <c r="Z1673" s="78"/>
      <c r="AA1673" s="78"/>
      <c r="AG1673"/>
      <c r="AH1673"/>
    </row>
    <row r="1674" spans="23:34" x14ac:dyDescent="0.25">
      <c r="W1674"/>
      <c r="X1674"/>
      <c r="Z1674" s="78"/>
      <c r="AA1674" s="78"/>
      <c r="AG1674"/>
      <c r="AH1674"/>
    </row>
    <row r="1675" spans="23:34" x14ac:dyDescent="0.25">
      <c r="W1675"/>
      <c r="X1675"/>
      <c r="Z1675" s="78"/>
      <c r="AA1675" s="78"/>
      <c r="AG1675"/>
      <c r="AH1675"/>
    </row>
    <row r="1676" spans="23:34" x14ac:dyDescent="0.25">
      <c r="W1676"/>
      <c r="X1676"/>
      <c r="Z1676" s="78"/>
      <c r="AA1676" s="78"/>
      <c r="AG1676"/>
      <c r="AH1676"/>
    </row>
    <row r="1677" spans="23:34" x14ac:dyDescent="0.25">
      <c r="W1677"/>
      <c r="X1677"/>
      <c r="Z1677" s="78"/>
      <c r="AA1677" s="78"/>
      <c r="AG1677"/>
      <c r="AH1677"/>
    </row>
    <row r="1678" spans="23:34" x14ac:dyDescent="0.25">
      <c r="W1678"/>
      <c r="X1678"/>
      <c r="Z1678" s="78"/>
      <c r="AA1678" s="78"/>
      <c r="AG1678"/>
      <c r="AH1678"/>
    </row>
    <row r="1679" spans="23:34" x14ac:dyDescent="0.25">
      <c r="W1679"/>
      <c r="X1679"/>
      <c r="Z1679" s="78"/>
      <c r="AA1679" s="78"/>
      <c r="AG1679"/>
      <c r="AH1679"/>
    </row>
    <row r="1680" spans="23:34" x14ac:dyDescent="0.25">
      <c r="W1680"/>
      <c r="X1680"/>
      <c r="Z1680" s="78"/>
      <c r="AA1680" s="78"/>
      <c r="AG1680"/>
      <c r="AH1680"/>
    </row>
    <row r="1681" spans="23:34" x14ac:dyDescent="0.25">
      <c r="W1681"/>
      <c r="X1681"/>
      <c r="Z1681" s="78"/>
      <c r="AA1681" s="78"/>
      <c r="AG1681"/>
      <c r="AH1681"/>
    </row>
    <row r="1682" spans="23:34" x14ac:dyDescent="0.25">
      <c r="W1682"/>
      <c r="X1682"/>
      <c r="Z1682" s="78"/>
      <c r="AA1682" s="78"/>
      <c r="AG1682"/>
      <c r="AH1682"/>
    </row>
    <row r="1683" spans="23:34" x14ac:dyDescent="0.25">
      <c r="W1683"/>
      <c r="X1683"/>
      <c r="Z1683" s="78"/>
      <c r="AA1683" s="78"/>
      <c r="AG1683"/>
      <c r="AH1683"/>
    </row>
    <row r="1684" spans="23:34" x14ac:dyDescent="0.25">
      <c r="W1684"/>
      <c r="X1684"/>
      <c r="Z1684" s="78"/>
      <c r="AA1684" s="78"/>
      <c r="AG1684"/>
      <c r="AH1684"/>
    </row>
    <row r="1685" spans="23:34" x14ac:dyDescent="0.25">
      <c r="W1685"/>
      <c r="X1685"/>
      <c r="Z1685" s="78"/>
      <c r="AA1685" s="78"/>
      <c r="AG1685"/>
      <c r="AH1685"/>
    </row>
    <row r="1686" spans="23:34" x14ac:dyDescent="0.25">
      <c r="W1686"/>
      <c r="X1686"/>
      <c r="Z1686" s="78"/>
      <c r="AA1686" s="78"/>
      <c r="AG1686"/>
      <c r="AH1686"/>
    </row>
    <row r="1687" spans="23:34" x14ac:dyDescent="0.25">
      <c r="W1687"/>
      <c r="X1687"/>
      <c r="Z1687" s="78"/>
      <c r="AA1687" s="78"/>
      <c r="AG1687"/>
      <c r="AH1687"/>
    </row>
    <row r="1688" spans="23:34" x14ac:dyDescent="0.25">
      <c r="W1688"/>
      <c r="X1688"/>
      <c r="Z1688" s="78"/>
      <c r="AA1688" s="78"/>
      <c r="AG1688"/>
      <c r="AH1688"/>
    </row>
    <row r="1689" spans="23:34" x14ac:dyDescent="0.25">
      <c r="W1689"/>
      <c r="X1689"/>
      <c r="Z1689" s="78"/>
      <c r="AA1689" s="78"/>
      <c r="AG1689"/>
      <c r="AH1689"/>
    </row>
    <row r="1690" spans="23:34" x14ac:dyDescent="0.25">
      <c r="W1690"/>
      <c r="X1690"/>
      <c r="Z1690" s="78"/>
      <c r="AA1690" s="78"/>
      <c r="AG1690"/>
      <c r="AH1690"/>
    </row>
    <row r="1691" spans="23:34" x14ac:dyDescent="0.25">
      <c r="W1691"/>
      <c r="X1691"/>
      <c r="Z1691" s="78"/>
      <c r="AA1691" s="78"/>
      <c r="AG1691"/>
      <c r="AH1691"/>
    </row>
    <row r="1692" spans="23:34" x14ac:dyDescent="0.25">
      <c r="W1692"/>
      <c r="X1692"/>
      <c r="Z1692" s="78"/>
      <c r="AA1692" s="78"/>
      <c r="AG1692"/>
      <c r="AH1692"/>
    </row>
    <row r="1693" spans="23:34" x14ac:dyDescent="0.25">
      <c r="W1693"/>
      <c r="X1693"/>
      <c r="Z1693" s="78"/>
      <c r="AA1693" s="78"/>
      <c r="AG1693"/>
      <c r="AH1693"/>
    </row>
    <row r="1694" spans="23:34" x14ac:dyDescent="0.25">
      <c r="W1694"/>
      <c r="X1694"/>
      <c r="Z1694" s="78"/>
      <c r="AA1694" s="78"/>
      <c r="AG1694"/>
      <c r="AH1694"/>
    </row>
    <row r="1695" spans="23:34" x14ac:dyDescent="0.25">
      <c r="W1695"/>
      <c r="X1695"/>
      <c r="Z1695" s="78"/>
      <c r="AA1695" s="78"/>
      <c r="AG1695"/>
      <c r="AH1695"/>
    </row>
    <row r="1696" spans="23:34" x14ac:dyDescent="0.25">
      <c r="W1696"/>
      <c r="X1696"/>
      <c r="Z1696" s="78"/>
      <c r="AA1696" s="78"/>
      <c r="AG1696"/>
      <c r="AH1696"/>
    </row>
    <row r="1697" spans="23:34" x14ac:dyDescent="0.25">
      <c r="W1697"/>
      <c r="X1697"/>
      <c r="Z1697" s="78"/>
      <c r="AA1697" s="78"/>
      <c r="AG1697"/>
      <c r="AH1697"/>
    </row>
    <row r="1698" spans="23:34" x14ac:dyDescent="0.25">
      <c r="W1698"/>
      <c r="X1698"/>
      <c r="Z1698" s="78"/>
      <c r="AA1698" s="78"/>
      <c r="AG1698"/>
      <c r="AH1698"/>
    </row>
    <row r="1699" spans="23:34" x14ac:dyDescent="0.25">
      <c r="W1699"/>
      <c r="X1699"/>
      <c r="Z1699" s="78"/>
      <c r="AA1699" s="78"/>
      <c r="AG1699"/>
      <c r="AH1699"/>
    </row>
    <row r="1700" spans="23:34" x14ac:dyDescent="0.25">
      <c r="W1700"/>
      <c r="X1700"/>
      <c r="Z1700" s="78"/>
      <c r="AA1700" s="78"/>
      <c r="AG1700"/>
      <c r="AH1700"/>
    </row>
    <row r="1701" spans="23:34" x14ac:dyDescent="0.25">
      <c r="W1701"/>
      <c r="X1701"/>
      <c r="Z1701" s="78"/>
      <c r="AA1701" s="78"/>
      <c r="AG1701"/>
      <c r="AH1701"/>
    </row>
    <row r="1702" spans="23:34" x14ac:dyDescent="0.25">
      <c r="W1702"/>
      <c r="X1702"/>
      <c r="Z1702" s="78"/>
      <c r="AA1702" s="78"/>
      <c r="AG1702"/>
      <c r="AH1702"/>
    </row>
    <row r="1703" spans="23:34" x14ac:dyDescent="0.25">
      <c r="W1703"/>
      <c r="X1703"/>
      <c r="Z1703" s="78"/>
      <c r="AA1703" s="78"/>
      <c r="AG1703"/>
      <c r="AH1703"/>
    </row>
    <row r="1704" spans="23:34" x14ac:dyDescent="0.25">
      <c r="W1704"/>
      <c r="X1704"/>
      <c r="Z1704" s="78"/>
      <c r="AA1704" s="78"/>
      <c r="AG1704"/>
      <c r="AH1704"/>
    </row>
    <row r="1705" spans="23:34" x14ac:dyDescent="0.25">
      <c r="W1705"/>
      <c r="X1705"/>
      <c r="Z1705" s="78"/>
      <c r="AA1705" s="78"/>
      <c r="AG1705"/>
      <c r="AH1705"/>
    </row>
    <row r="1706" spans="23:34" x14ac:dyDescent="0.25">
      <c r="W1706"/>
      <c r="X1706"/>
      <c r="Z1706" s="78"/>
      <c r="AA1706" s="78"/>
      <c r="AG1706"/>
      <c r="AH1706"/>
    </row>
    <row r="1707" spans="23:34" x14ac:dyDescent="0.25">
      <c r="W1707"/>
      <c r="X1707"/>
      <c r="Z1707" s="78"/>
      <c r="AA1707" s="78"/>
      <c r="AG1707"/>
      <c r="AH1707"/>
    </row>
    <row r="1708" spans="23:34" x14ac:dyDescent="0.25">
      <c r="W1708"/>
      <c r="X1708"/>
      <c r="Z1708" s="78"/>
      <c r="AA1708" s="78"/>
      <c r="AG1708"/>
      <c r="AH1708"/>
    </row>
    <row r="1709" spans="23:34" x14ac:dyDescent="0.25">
      <c r="W1709"/>
      <c r="X1709"/>
      <c r="Z1709" s="78"/>
      <c r="AA1709" s="78"/>
      <c r="AG1709"/>
      <c r="AH1709"/>
    </row>
    <row r="1710" spans="23:34" x14ac:dyDescent="0.25">
      <c r="W1710"/>
      <c r="X1710"/>
      <c r="Z1710" s="78"/>
      <c r="AA1710" s="78"/>
      <c r="AG1710"/>
      <c r="AH1710"/>
    </row>
    <row r="1711" spans="23:34" x14ac:dyDescent="0.25">
      <c r="W1711"/>
      <c r="X1711"/>
      <c r="Z1711" s="78"/>
      <c r="AA1711" s="78"/>
      <c r="AG1711"/>
      <c r="AH1711"/>
    </row>
    <row r="1712" spans="23:34" x14ac:dyDescent="0.25">
      <c r="W1712"/>
      <c r="X1712"/>
      <c r="Z1712" s="78"/>
      <c r="AA1712" s="78"/>
      <c r="AG1712"/>
      <c r="AH1712"/>
    </row>
    <row r="1713" spans="23:34" x14ac:dyDescent="0.25">
      <c r="W1713"/>
      <c r="X1713"/>
      <c r="Z1713" s="78"/>
      <c r="AA1713" s="78"/>
      <c r="AG1713"/>
      <c r="AH1713"/>
    </row>
    <row r="1714" spans="23:34" x14ac:dyDescent="0.25">
      <c r="W1714"/>
      <c r="X1714"/>
      <c r="Z1714" s="78"/>
      <c r="AA1714" s="78"/>
      <c r="AG1714"/>
      <c r="AH1714"/>
    </row>
    <row r="1715" spans="23:34" x14ac:dyDescent="0.25">
      <c r="W1715"/>
      <c r="X1715"/>
      <c r="Z1715" s="78"/>
      <c r="AA1715" s="78"/>
      <c r="AG1715"/>
      <c r="AH1715"/>
    </row>
    <row r="1716" spans="23:34" x14ac:dyDescent="0.25">
      <c r="W1716"/>
      <c r="X1716"/>
      <c r="Z1716" s="78"/>
      <c r="AA1716" s="78"/>
      <c r="AG1716"/>
      <c r="AH1716"/>
    </row>
    <row r="1717" spans="23:34" x14ac:dyDescent="0.25">
      <c r="W1717"/>
      <c r="X1717"/>
      <c r="Z1717" s="78"/>
      <c r="AA1717" s="78"/>
      <c r="AG1717"/>
      <c r="AH1717"/>
    </row>
    <row r="1718" spans="23:34" x14ac:dyDescent="0.25">
      <c r="W1718"/>
      <c r="X1718"/>
      <c r="Z1718" s="78"/>
      <c r="AA1718" s="78"/>
      <c r="AG1718"/>
      <c r="AH1718"/>
    </row>
    <row r="1719" spans="23:34" x14ac:dyDescent="0.25">
      <c r="W1719"/>
      <c r="X1719"/>
      <c r="Z1719" s="78"/>
      <c r="AA1719" s="78"/>
      <c r="AG1719"/>
      <c r="AH1719"/>
    </row>
    <row r="1720" spans="23:34" x14ac:dyDescent="0.25">
      <c r="W1720"/>
      <c r="X1720"/>
      <c r="Z1720" s="78"/>
      <c r="AA1720" s="78"/>
      <c r="AG1720"/>
      <c r="AH1720"/>
    </row>
    <row r="1721" spans="23:34" x14ac:dyDescent="0.25">
      <c r="W1721"/>
      <c r="X1721"/>
      <c r="Z1721" s="78"/>
      <c r="AA1721" s="78"/>
      <c r="AG1721"/>
      <c r="AH1721"/>
    </row>
    <row r="1722" spans="23:34" x14ac:dyDescent="0.25">
      <c r="W1722"/>
      <c r="X1722"/>
      <c r="Z1722" s="78"/>
      <c r="AA1722" s="78"/>
      <c r="AG1722"/>
      <c r="AH1722"/>
    </row>
    <row r="1723" spans="23:34" x14ac:dyDescent="0.25">
      <c r="W1723"/>
      <c r="X1723"/>
      <c r="Z1723" s="78"/>
      <c r="AA1723" s="78"/>
      <c r="AG1723"/>
      <c r="AH1723"/>
    </row>
    <row r="1724" spans="23:34" x14ac:dyDescent="0.25">
      <c r="W1724"/>
      <c r="X1724"/>
      <c r="Z1724" s="78"/>
      <c r="AA1724" s="78"/>
      <c r="AG1724"/>
      <c r="AH1724"/>
    </row>
    <row r="1725" spans="23:34" x14ac:dyDescent="0.25">
      <c r="W1725"/>
      <c r="X1725"/>
      <c r="Z1725" s="78"/>
      <c r="AA1725" s="78"/>
      <c r="AG1725"/>
      <c r="AH1725"/>
    </row>
    <row r="1726" spans="23:34" x14ac:dyDescent="0.25">
      <c r="W1726"/>
      <c r="X1726"/>
      <c r="Z1726" s="78"/>
      <c r="AA1726" s="78"/>
      <c r="AG1726"/>
      <c r="AH1726"/>
    </row>
    <row r="1727" spans="23:34" x14ac:dyDescent="0.25">
      <c r="W1727"/>
      <c r="X1727"/>
      <c r="Z1727" s="78"/>
      <c r="AA1727" s="78"/>
      <c r="AG1727"/>
      <c r="AH1727"/>
    </row>
    <row r="1728" spans="23:34" x14ac:dyDescent="0.25">
      <c r="W1728"/>
      <c r="X1728"/>
      <c r="Z1728" s="78"/>
      <c r="AA1728" s="78"/>
      <c r="AG1728"/>
      <c r="AH1728"/>
    </row>
    <row r="1729" spans="23:34" x14ac:dyDescent="0.25">
      <c r="W1729"/>
      <c r="X1729"/>
      <c r="Z1729" s="78"/>
      <c r="AA1729" s="78"/>
      <c r="AG1729"/>
      <c r="AH1729"/>
    </row>
    <row r="1730" spans="23:34" x14ac:dyDescent="0.25">
      <c r="W1730"/>
      <c r="X1730"/>
      <c r="Z1730" s="78"/>
      <c r="AA1730" s="78"/>
      <c r="AG1730"/>
      <c r="AH1730"/>
    </row>
    <row r="1731" spans="23:34" x14ac:dyDescent="0.25">
      <c r="W1731"/>
      <c r="X1731"/>
      <c r="Z1731" s="78"/>
      <c r="AA1731" s="78"/>
      <c r="AG1731"/>
      <c r="AH1731"/>
    </row>
    <row r="1732" spans="23:34" x14ac:dyDescent="0.25">
      <c r="W1732"/>
      <c r="X1732"/>
      <c r="Z1732" s="78"/>
      <c r="AA1732" s="78"/>
      <c r="AG1732"/>
      <c r="AH1732"/>
    </row>
    <row r="1733" spans="23:34" x14ac:dyDescent="0.25">
      <c r="W1733"/>
      <c r="X1733"/>
      <c r="Z1733" s="78"/>
      <c r="AA1733" s="78"/>
      <c r="AG1733"/>
      <c r="AH1733"/>
    </row>
    <row r="1734" spans="23:34" x14ac:dyDescent="0.25">
      <c r="W1734"/>
      <c r="X1734"/>
      <c r="Z1734" s="78"/>
      <c r="AA1734" s="78"/>
      <c r="AG1734"/>
      <c r="AH1734"/>
    </row>
    <row r="1735" spans="23:34" x14ac:dyDescent="0.25">
      <c r="W1735"/>
      <c r="X1735"/>
      <c r="Z1735" s="78"/>
      <c r="AA1735" s="78"/>
      <c r="AG1735"/>
      <c r="AH1735"/>
    </row>
    <row r="1736" spans="23:34" x14ac:dyDescent="0.25">
      <c r="W1736"/>
      <c r="X1736"/>
      <c r="Z1736" s="78"/>
      <c r="AA1736" s="78"/>
      <c r="AG1736"/>
      <c r="AH1736"/>
    </row>
    <row r="1737" spans="23:34" x14ac:dyDescent="0.25">
      <c r="W1737"/>
      <c r="X1737"/>
      <c r="Z1737" s="78"/>
      <c r="AA1737" s="78"/>
      <c r="AG1737"/>
      <c r="AH1737"/>
    </row>
    <row r="1738" spans="23:34" x14ac:dyDescent="0.25">
      <c r="W1738"/>
      <c r="X1738"/>
      <c r="Z1738" s="78"/>
      <c r="AA1738" s="78"/>
      <c r="AG1738"/>
      <c r="AH1738"/>
    </row>
    <row r="1739" spans="23:34" x14ac:dyDescent="0.25">
      <c r="W1739"/>
      <c r="X1739"/>
      <c r="Z1739" s="78"/>
      <c r="AA1739" s="78"/>
      <c r="AG1739"/>
      <c r="AH1739"/>
    </row>
    <row r="1740" spans="23:34" x14ac:dyDescent="0.25">
      <c r="W1740"/>
      <c r="X1740"/>
      <c r="Z1740" s="78"/>
      <c r="AA1740" s="78"/>
      <c r="AG1740"/>
      <c r="AH1740"/>
    </row>
    <row r="1741" spans="23:34" x14ac:dyDescent="0.25">
      <c r="W1741"/>
      <c r="X1741"/>
      <c r="Z1741" s="78"/>
      <c r="AA1741" s="78"/>
      <c r="AG1741"/>
      <c r="AH1741"/>
    </row>
    <row r="1742" spans="23:34" x14ac:dyDescent="0.25">
      <c r="W1742"/>
      <c r="X1742"/>
      <c r="Z1742" s="78"/>
      <c r="AA1742" s="78"/>
      <c r="AG1742"/>
      <c r="AH1742"/>
    </row>
    <row r="1743" spans="23:34" x14ac:dyDescent="0.25">
      <c r="W1743"/>
      <c r="X1743"/>
      <c r="Z1743" s="78"/>
      <c r="AA1743" s="78"/>
      <c r="AG1743"/>
      <c r="AH1743"/>
    </row>
    <row r="1744" spans="23:34" x14ac:dyDescent="0.25">
      <c r="W1744"/>
      <c r="X1744"/>
      <c r="Z1744" s="78"/>
      <c r="AA1744" s="78"/>
      <c r="AG1744"/>
      <c r="AH1744"/>
    </row>
    <row r="1745" spans="23:34" x14ac:dyDescent="0.25">
      <c r="W1745"/>
      <c r="X1745"/>
      <c r="Z1745" s="78"/>
      <c r="AA1745" s="78"/>
      <c r="AG1745"/>
      <c r="AH1745"/>
    </row>
    <row r="1746" spans="23:34" x14ac:dyDescent="0.25">
      <c r="W1746"/>
      <c r="X1746"/>
      <c r="Z1746" s="78"/>
      <c r="AA1746" s="78"/>
      <c r="AG1746"/>
      <c r="AH1746"/>
    </row>
    <row r="1747" spans="23:34" x14ac:dyDescent="0.25">
      <c r="W1747"/>
      <c r="X1747"/>
      <c r="Z1747" s="78"/>
      <c r="AA1747" s="78"/>
      <c r="AG1747"/>
      <c r="AH1747"/>
    </row>
    <row r="1748" spans="23:34" x14ac:dyDescent="0.25">
      <c r="W1748"/>
      <c r="X1748"/>
      <c r="Z1748" s="78"/>
      <c r="AA1748" s="78"/>
      <c r="AG1748"/>
      <c r="AH1748"/>
    </row>
    <row r="1749" spans="23:34" x14ac:dyDescent="0.25">
      <c r="W1749"/>
      <c r="X1749"/>
      <c r="Z1749" s="78"/>
      <c r="AA1749" s="78"/>
      <c r="AG1749"/>
      <c r="AH1749"/>
    </row>
    <row r="1750" spans="23:34" x14ac:dyDescent="0.25">
      <c r="W1750"/>
      <c r="X1750"/>
      <c r="Z1750" s="78"/>
      <c r="AA1750" s="78"/>
      <c r="AG1750"/>
      <c r="AH1750"/>
    </row>
    <row r="1751" spans="23:34" x14ac:dyDescent="0.25">
      <c r="W1751"/>
      <c r="X1751"/>
      <c r="Z1751" s="78"/>
      <c r="AA1751" s="78"/>
      <c r="AG1751"/>
      <c r="AH1751"/>
    </row>
    <row r="1752" spans="23:34" x14ac:dyDescent="0.25">
      <c r="W1752"/>
      <c r="X1752"/>
      <c r="Z1752" s="78"/>
      <c r="AA1752" s="78"/>
      <c r="AG1752"/>
      <c r="AH1752"/>
    </row>
    <row r="1753" spans="23:34" x14ac:dyDescent="0.25">
      <c r="W1753"/>
      <c r="X1753"/>
      <c r="Z1753" s="78"/>
      <c r="AA1753" s="78"/>
      <c r="AG1753"/>
      <c r="AH1753"/>
    </row>
    <row r="1754" spans="23:34" x14ac:dyDescent="0.25">
      <c r="W1754"/>
      <c r="X1754"/>
      <c r="Z1754" s="78"/>
      <c r="AA1754" s="78"/>
      <c r="AG1754"/>
      <c r="AH1754"/>
    </row>
    <row r="1755" spans="23:34" x14ac:dyDescent="0.25">
      <c r="W1755"/>
      <c r="X1755"/>
      <c r="Z1755" s="78"/>
      <c r="AA1755" s="78"/>
      <c r="AG1755"/>
      <c r="AH1755"/>
    </row>
    <row r="1756" spans="23:34" x14ac:dyDescent="0.25">
      <c r="W1756"/>
      <c r="X1756"/>
      <c r="Z1756" s="78"/>
      <c r="AA1756" s="78"/>
      <c r="AG1756"/>
      <c r="AH1756"/>
    </row>
    <row r="1757" spans="23:34" x14ac:dyDescent="0.25">
      <c r="W1757"/>
      <c r="X1757"/>
      <c r="Z1757" s="78"/>
      <c r="AA1757" s="78"/>
      <c r="AG1757"/>
      <c r="AH1757"/>
    </row>
    <row r="1758" spans="23:34" x14ac:dyDescent="0.25">
      <c r="W1758"/>
      <c r="X1758"/>
      <c r="Z1758" s="78"/>
      <c r="AA1758" s="78"/>
      <c r="AG1758"/>
      <c r="AH1758"/>
    </row>
    <row r="1759" spans="23:34" x14ac:dyDescent="0.25">
      <c r="W1759"/>
      <c r="X1759"/>
      <c r="Z1759" s="78"/>
      <c r="AA1759" s="78"/>
      <c r="AG1759"/>
      <c r="AH1759"/>
    </row>
    <row r="1760" spans="23:34" x14ac:dyDescent="0.25">
      <c r="W1760"/>
      <c r="X1760"/>
      <c r="Z1760" s="78"/>
      <c r="AA1760" s="78"/>
      <c r="AG1760"/>
      <c r="AH1760"/>
    </row>
    <row r="1761" spans="23:34" x14ac:dyDescent="0.25">
      <c r="W1761"/>
      <c r="X1761"/>
      <c r="Z1761" s="78"/>
      <c r="AA1761" s="78"/>
      <c r="AG1761"/>
      <c r="AH1761"/>
    </row>
    <row r="1762" spans="23:34" x14ac:dyDescent="0.25">
      <c r="W1762"/>
      <c r="X1762"/>
      <c r="Z1762" s="78"/>
      <c r="AA1762" s="78"/>
      <c r="AG1762"/>
      <c r="AH1762"/>
    </row>
    <row r="1763" spans="23:34" x14ac:dyDescent="0.25">
      <c r="W1763"/>
      <c r="X1763"/>
      <c r="Z1763" s="78"/>
      <c r="AA1763" s="78"/>
      <c r="AG1763"/>
      <c r="AH1763"/>
    </row>
    <row r="1764" spans="23:34" x14ac:dyDescent="0.25">
      <c r="W1764"/>
      <c r="X1764"/>
      <c r="Z1764" s="78"/>
      <c r="AA1764" s="78"/>
      <c r="AG1764"/>
      <c r="AH1764"/>
    </row>
    <row r="1765" spans="23:34" x14ac:dyDescent="0.25">
      <c r="W1765"/>
      <c r="X1765"/>
      <c r="Z1765" s="78"/>
      <c r="AA1765" s="78"/>
      <c r="AG1765"/>
      <c r="AH1765"/>
    </row>
    <row r="1766" spans="23:34" x14ac:dyDescent="0.25">
      <c r="W1766"/>
      <c r="X1766"/>
      <c r="Z1766" s="78"/>
      <c r="AA1766" s="78"/>
      <c r="AG1766"/>
      <c r="AH1766"/>
    </row>
    <row r="1767" spans="23:34" x14ac:dyDescent="0.25">
      <c r="W1767"/>
      <c r="X1767"/>
      <c r="Z1767" s="78"/>
      <c r="AA1767" s="78"/>
      <c r="AG1767"/>
      <c r="AH1767"/>
    </row>
    <row r="1768" spans="23:34" x14ac:dyDescent="0.25">
      <c r="W1768"/>
      <c r="X1768"/>
      <c r="Z1768" s="78"/>
      <c r="AA1768" s="78"/>
      <c r="AG1768"/>
      <c r="AH1768"/>
    </row>
    <row r="1769" spans="23:34" x14ac:dyDescent="0.25">
      <c r="W1769"/>
      <c r="X1769"/>
      <c r="Z1769" s="78"/>
      <c r="AA1769" s="78"/>
      <c r="AG1769"/>
      <c r="AH1769"/>
    </row>
    <row r="1770" spans="23:34" x14ac:dyDescent="0.25">
      <c r="W1770"/>
      <c r="X1770"/>
      <c r="Z1770" s="78"/>
      <c r="AA1770" s="78"/>
      <c r="AG1770"/>
      <c r="AH1770"/>
    </row>
    <row r="1771" spans="23:34" x14ac:dyDescent="0.25">
      <c r="W1771"/>
      <c r="X1771"/>
      <c r="Z1771" s="78"/>
      <c r="AA1771" s="78"/>
      <c r="AG1771"/>
      <c r="AH1771"/>
    </row>
    <row r="1772" spans="23:34" x14ac:dyDescent="0.25">
      <c r="W1772"/>
      <c r="X1772"/>
      <c r="Z1772" s="78"/>
      <c r="AA1772" s="78"/>
      <c r="AG1772"/>
      <c r="AH1772"/>
    </row>
    <row r="1773" spans="23:34" x14ac:dyDescent="0.25">
      <c r="W1773"/>
      <c r="X1773"/>
      <c r="Z1773" s="78"/>
      <c r="AA1773" s="78"/>
      <c r="AG1773"/>
      <c r="AH1773"/>
    </row>
    <row r="1774" spans="23:34" x14ac:dyDescent="0.25">
      <c r="W1774"/>
      <c r="X1774"/>
      <c r="Z1774" s="78"/>
      <c r="AA1774" s="78"/>
      <c r="AG1774"/>
      <c r="AH1774"/>
    </row>
    <row r="1775" spans="23:34" x14ac:dyDescent="0.25">
      <c r="W1775"/>
      <c r="X1775"/>
      <c r="Z1775" s="78"/>
      <c r="AA1775" s="78"/>
      <c r="AG1775"/>
      <c r="AH1775"/>
    </row>
    <row r="1776" spans="23:34" x14ac:dyDescent="0.25">
      <c r="W1776"/>
      <c r="X1776"/>
      <c r="Z1776" s="78"/>
      <c r="AA1776" s="78"/>
      <c r="AG1776"/>
      <c r="AH1776"/>
    </row>
    <row r="1777" spans="23:34" x14ac:dyDescent="0.25">
      <c r="W1777"/>
      <c r="X1777"/>
      <c r="Z1777" s="78"/>
      <c r="AA1777" s="78"/>
      <c r="AG1777"/>
      <c r="AH1777"/>
    </row>
    <row r="1778" spans="23:34" x14ac:dyDescent="0.25">
      <c r="W1778"/>
      <c r="X1778"/>
      <c r="Z1778" s="78"/>
      <c r="AA1778" s="78"/>
      <c r="AG1778"/>
      <c r="AH1778"/>
    </row>
    <row r="1779" spans="23:34" x14ac:dyDescent="0.25">
      <c r="W1779"/>
      <c r="X1779"/>
      <c r="Z1779" s="78"/>
      <c r="AA1779" s="78"/>
      <c r="AG1779"/>
      <c r="AH1779"/>
    </row>
    <row r="1780" spans="23:34" x14ac:dyDescent="0.25">
      <c r="W1780"/>
      <c r="X1780"/>
      <c r="Z1780" s="78"/>
      <c r="AA1780" s="78"/>
      <c r="AG1780"/>
      <c r="AH1780"/>
    </row>
    <row r="1781" spans="23:34" x14ac:dyDescent="0.25">
      <c r="W1781"/>
      <c r="X1781"/>
      <c r="Z1781" s="78"/>
      <c r="AA1781" s="78"/>
      <c r="AG1781"/>
      <c r="AH1781"/>
    </row>
    <row r="1782" spans="23:34" x14ac:dyDescent="0.25">
      <c r="W1782"/>
      <c r="X1782"/>
      <c r="Z1782" s="78"/>
      <c r="AA1782" s="78"/>
      <c r="AG1782"/>
      <c r="AH1782"/>
    </row>
    <row r="1783" spans="23:34" x14ac:dyDescent="0.25">
      <c r="W1783"/>
      <c r="X1783"/>
      <c r="Z1783" s="78"/>
      <c r="AA1783" s="78"/>
      <c r="AG1783"/>
      <c r="AH1783"/>
    </row>
    <row r="1784" spans="23:34" x14ac:dyDescent="0.25">
      <c r="W1784"/>
      <c r="X1784"/>
      <c r="Z1784" s="78"/>
      <c r="AA1784" s="78"/>
      <c r="AG1784"/>
      <c r="AH1784"/>
    </row>
    <row r="1785" spans="23:34" x14ac:dyDescent="0.25">
      <c r="W1785"/>
      <c r="X1785"/>
      <c r="Z1785" s="78"/>
      <c r="AA1785" s="78"/>
      <c r="AG1785"/>
      <c r="AH1785"/>
    </row>
    <row r="1786" spans="23:34" x14ac:dyDescent="0.25">
      <c r="W1786"/>
      <c r="X1786"/>
      <c r="Z1786" s="78"/>
      <c r="AA1786" s="78"/>
      <c r="AG1786"/>
      <c r="AH1786"/>
    </row>
    <row r="1787" spans="23:34" x14ac:dyDescent="0.25">
      <c r="W1787"/>
      <c r="X1787"/>
      <c r="Z1787" s="78"/>
      <c r="AA1787" s="78"/>
      <c r="AG1787"/>
      <c r="AH1787"/>
    </row>
    <row r="1788" spans="23:34" x14ac:dyDescent="0.25">
      <c r="W1788"/>
      <c r="X1788"/>
      <c r="Z1788" s="78"/>
      <c r="AA1788" s="78"/>
      <c r="AG1788"/>
      <c r="AH1788"/>
    </row>
    <row r="1789" spans="23:34" x14ac:dyDescent="0.25">
      <c r="W1789"/>
      <c r="X1789"/>
      <c r="Z1789" s="78"/>
      <c r="AA1789" s="78"/>
      <c r="AG1789"/>
      <c r="AH1789"/>
    </row>
    <row r="1790" spans="23:34" x14ac:dyDescent="0.25">
      <c r="W1790"/>
      <c r="X1790"/>
      <c r="Z1790" s="78"/>
      <c r="AA1790" s="78"/>
      <c r="AG1790"/>
      <c r="AH1790"/>
    </row>
    <row r="1791" spans="23:34" x14ac:dyDescent="0.25">
      <c r="W1791"/>
      <c r="X1791"/>
      <c r="Z1791" s="78"/>
      <c r="AA1791" s="78"/>
      <c r="AG1791"/>
      <c r="AH1791"/>
    </row>
    <row r="1792" spans="23:34" x14ac:dyDescent="0.25">
      <c r="W1792"/>
      <c r="X1792"/>
      <c r="Z1792" s="78"/>
      <c r="AA1792" s="78"/>
      <c r="AG1792"/>
      <c r="AH1792"/>
    </row>
    <row r="1793" spans="23:34" x14ac:dyDescent="0.25">
      <c r="W1793"/>
      <c r="X1793"/>
      <c r="Z1793" s="78"/>
      <c r="AA1793" s="78"/>
      <c r="AG1793"/>
      <c r="AH1793"/>
    </row>
    <row r="1794" spans="23:34" x14ac:dyDescent="0.25">
      <c r="W1794"/>
      <c r="X1794"/>
      <c r="Z1794" s="78"/>
      <c r="AA1794" s="78"/>
      <c r="AG1794"/>
      <c r="AH1794"/>
    </row>
    <row r="1795" spans="23:34" x14ac:dyDescent="0.25">
      <c r="W1795"/>
      <c r="X1795"/>
      <c r="Z1795" s="78"/>
      <c r="AA1795" s="78"/>
      <c r="AG1795"/>
      <c r="AH1795"/>
    </row>
    <row r="1796" spans="23:34" x14ac:dyDescent="0.25">
      <c r="W1796"/>
      <c r="X1796"/>
      <c r="Z1796" s="78"/>
      <c r="AA1796" s="78"/>
      <c r="AG1796"/>
      <c r="AH1796"/>
    </row>
    <row r="1797" spans="23:34" x14ac:dyDescent="0.25">
      <c r="W1797"/>
      <c r="X1797"/>
      <c r="Z1797" s="78"/>
      <c r="AA1797" s="78"/>
      <c r="AG1797"/>
      <c r="AH1797"/>
    </row>
    <row r="1798" spans="23:34" x14ac:dyDescent="0.25">
      <c r="W1798"/>
      <c r="X1798"/>
      <c r="Z1798" s="78"/>
      <c r="AA1798" s="78"/>
      <c r="AG1798"/>
      <c r="AH1798"/>
    </row>
    <row r="1799" spans="23:34" x14ac:dyDescent="0.25">
      <c r="W1799"/>
      <c r="X1799"/>
      <c r="Z1799" s="78"/>
      <c r="AA1799" s="78"/>
      <c r="AG1799"/>
      <c r="AH1799"/>
    </row>
    <row r="1800" spans="23:34" x14ac:dyDescent="0.25">
      <c r="W1800"/>
      <c r="X1800"/>
      <c r="Z1800" s="78"/>
      <c r="AA1800" s="78"/>
      <c r="AG1800"/>
      <c r="AH1800"/>
    </row>
    <row r="1801" spans="23:34" x14ac:dyDescent="0.25">
      <c r="W1801"/>
      <c r="X1801"/>
      <c r="Z1801" s="78"/>
      <c r="AA1801" s="78"/>
      <c r="AG1801"/>
      <c r="AH1801"/>
    </row>
    <row r="1802" spans="23:34" x14ac:dyDescent="0.25">
      <c r="W1802"/>
      <c r="X1802"/>
      <c r="Z1802" s="78"/>
      <c r="AA1802" s="78"/>
      <c r="AG1802"/>
      <c r="AH1802"/>
    </row>
    <row r="1803" spans="23:34" x14ac:dyDescent="0.25">
      <c r="W1803"/>
      <c r="X1803"/>
      <c r="Z1803" s="78"/>
      <c r="AA1803" s="78"/>
      <c r="AG1803"/>
      <c r="AH1803"/>
    </row>
    <row r="1804" spans="23:34" x14ac:dyDescent="0.25">
      <c r="W1804"/>
      <c r="X1804"/>
      <c r="Z1804" s="78"/>
      <c r="AA1804" s="78"/>
      <c r="AG1804"/>
      <c r="AH1804"/>
    </row>
    <row r="1805" spans="23:34" x14ac:dyDescent="0.25">
      <c r="W1805"/>
      <c r="X1805"/>
      <c r="Z1805" s="78"/>
      <c r="AA1805" s="78"/>
      <c r="AG1805"/>
      <c r="AH1805"/>
    </row>
    <row r="1806" spans="23:34" x14ac:dyDescent="0.25">
      <c r="W1806"/>
      <c r="X1806"/>
      <c r="Z1806" s="78"/>
      <c r="AA1806" s="78"/>
      <c r="AG1806"/>
      <c r="AH1806"/>
    </row>
    <row r="1807" spans="23:34" x14ac:dyDescent="0.25">
      <c r="W1807"/>
      <c r="X1807"/>
      <c r="Z1807" s="78"/>
      <c r="AA1807" s="78"/>
      <c r="AG1807"/>
      <c r="AH1807"/>
    </row>
    <row r="1808" spans="23:34" x14ac:dyDescent="0.25">
      <c r="W1808"/>
      <c r="X1808"/>
      <c r="Z1808" s="78"/>
      <c r="AA1808" s="78"/>
      <c r="AG1808"/>
      <c r="AH1808"/>
    </row>
    <row r="1809" spans="23:34" x14ac:dyDescent="0.25">
      <c r="W1809"/>
      <c r="X1809"/>
      <c r="Z1809" s="78"/>
      <c r="AA1809" s="78"/>
      <c r="AG1809"/>
      <c r="AH1809"/>
    </row>
    <row r="1810" spans="23:34" x14ac:dyDescent="0.25">
      <c r="W1810"/>
      <c r="X1810"/>
      <c r="Z1810" s="78"/>
      <c r="AA1810" s="78"/>
      <c r="AG1810"/>
      <c r="AH1810"/>
    </row>
    <row r="1811" spans="23:34" x14ac:dyDescent="0.25">
      <c r="W1811"/>
      <c r="X1811"/>
      <c r="Z1811" s="78"/>
      <c r="AA1811" s="78"/>
      <c r="AG1811"/>
      <c r="AH1811"/>
    </row>
    <row r="1812" spans="23:34" x14ac:dyDescent="0.25">
      <c r="W1812"/>
      <c r="X1812"/>
      <c r="Z1812" s="78"/>
      <c r="AA1812" s="78"/>
      <c r="AG1812"/>
      <c r="AH1812"/>
    </row>
    <row r="1813" spans="23:34" x14ac:dyDescent="0.25">
      <c r="W1813"/>
      <c r="X1813"/>
      <c r="Z1813" s="78"/>
      <c r="AA1813" s="78"/>
      <c r="AG1813"/>
      <c r="AH1813"/>
    </row>
    <row r="1814" spans="23:34" x14ac:dyDescent="0.25">
      <c r="W1814"/>
      <c r="X1814"/>
      <c r="Z1814" s="78"/>
      <c r="AA1814" s="78"/>
      <c r="AG1814"/>
      <c r="AH1814"/>
    </row>
    <row r="1815" spans="23:34" x14ac:dyDescent="0.25">
      <c r="W1815"/>
      <c r="X1815"/>
      <c r="Z1815" s="78"/>
      <c r="AA1815" s="78"/>
      <c r="AG1815"/>
      <c r="AH1815"/>
    </row>
    <row r="1816" spans="23:34" x14ac:dyDescent="0.25">
      <c r="W1816"/>
      <c r="X1816"/>
      <c r="Z1816" s="78"/>
      <c r="AA1816" s="78"/>
      <c r="AG1816"/>
      <c r="AH1816"/>
    </row>
    <row r="1817" spans="23:34" x14ac:dyDescent="0.25">
      <c r="W1817"/>
      <c r="X1817"/>
      <c r="Z1817" s="78"/>
      <c r="AA1817" s="78"/>
      <c r="AG1817"/>
      <c r="AH1817"/>
    </row>
    <row r="1818" spans="23:34" x14ac:dyDescent="0.25">
      <c r="W1818"/>
      <c r="X1818"/>
      <c r="Z1818" s="78"/>
      <c r="AA1818" s="78"/>
      <c r="AG1818"/>
      <c r="AH1818"/>
    </row>
    <row r="1819" spans="23:34" x14ac:dyDescent="0.25">
      <c r="W1819"/>
      <c r="X1819"/>
      <c r="Z1819" s="78"/>
      <c r="AA1819" s="78"/>
      <c r="AG1819"/>
      <c r="AH1819"/>
    </row>
    <row r="1820" spans="23:34" x14ac:dyDescent="0.25">
      <c r="W1820"/>
      <c r="X1820"/>
      <c r="Z1820" s="78"/>
      <c r="AA1820" s="78"/>
      <c r="AG1820"/>
      <c r="AH1820"/>
    </row>
    <row r="1821" spans="23:34" x14ac:dyDescent="0.25">
      <c r="W1821"/>
      <c r="X1821"/>
      <c r="Z1821" s="78"/>
      <c r="AA1821" s="78"/>
      <c r="AG1821"/>
      <c r="AH1821"/>
    </row>
    <row r="1822" spans="23:34" x14ac:dyDescent="0.25">
      <c r="W1822"/>
      <c r="X1822"/>
      <c r="Z1822" s="78"/>
      <c r="AA1822" s="78"/>
      <c r="AG1822"/>
      <c r="AH1822"/>
    </row>
    <row r="1823" spans="23:34" x14ac:dyDescent="0.25">
      <c r="W1823"/>
      <c r="X1823"/>
      <c r="Z1823" s="78"/>
      <c r="AA1823" s="78"/>
      <c r="AG1823"/>
      <c r="AH1823"/>
    </row>
    <row r="1824" spans="23:34" x14ac:dyDescent="0.25">
      <c r="W1824"/>
      <c r="X1824"/>
      <c r="Z1824" s="78"/>
      <c r="AA1824" s="78"/>
      <c r="AG1824"/>
      <c r="AH1824"/>
    </row>
    <row r="1825" spans="23:34" x14ac:dyDescent="0.25">
      <c r="W1825"/>
      <c r="X1825"/>
      <c r="Z1825" s="78"/>
      <c r="AA1825" s="78"/>
      <c r="AG1825"/>
      <c r="AH1825"/>
    </row>
    <row r="1826" spans="23:34" x14ac:dyDescent="0.25">
      <c r="W1826"/>
      <c r="X1826"/>
      <c r="Z1826" s="78"/>
      <c r="AA1826" s="78"/>
      <c r="AG1826"/>
      <c r="AH1826"/>
    </row>
    <row r="1827" spans="23:34" x14ac:dyDescent="0.25">
      <c r="W1827"/>
      <c r="X1827"/>
      <c r="Z1827" s="78"/>
      <c r="AA1827" s="78"/>
      <c r="AG1827"/>
      <c r="AH1827"/>
    </row>
    <row r="1828" spans="23:34" x14ac:dyDescent="0.25">
      <c r="W1828"/>
      <c r="X1828"/>
      <c r="Z1828" s="78"/>
      <c r="AA1828" s="78"/>
      <c r="AG1828"/>
      <c r="AH1828"/>
    </row>
    <row r="1829" spans="23:34" x14ac:dyDescent="0.25">
      <c r="W1829"/>
      <c r="X1829"/>
      <c r="Z1829" s="78"/>
      <c r="AA1829" s="78"/>
      <c r="AG1829"/>
      <c r="AH1829"/>
    </row>
    <row r="1830" spans="23:34" x14ac:dyDescent="0.25">
      <c r="W1830"/>
      <c r="X1830"/>
      <c r="Z1830" s="78"/>
      <c r="AA1830" s="78"/>
      <c r="AG1830"/>
      <c r="AH1830"/>
    </row>
    <row r="1831" spans="23:34" x14ac:dyDescent="0.25">
      <c r="W1831"/>
      <c r="X1831"/>
      <c r="Z1831" s="78"/>
      <c r="AA1831" s="78"/>
      <c r="AG1831"/>
      <c r="AH1831"/>
    </row>
    <row r="1832" spans="23:34" x14ac:dyDescent="0.25">
      <c r="W1832"/>
      <c r="X1832"/>
      <c r="Z1832" s="78"/>
      <c r="AA1832" s="78"/>
      <c r="AG1832"/>
      <c r="AH1832"/>
    </row>
    <row r="1833" spans="23:34" x14ac:dyDescent="0.25">
      <c r="W1833"/>
      <c r="X1833"/>
      <c r="Z1833" s="78"/>
      <c r="AA1833" s="78"/>
      <c r="AG1833"/>
      <c r="AH1833"/>
    </row>
    <row r="1834" spans="23:34" x14ac:dyDescent="0.25">
      <c r="W1834"/>
      <c r="X1834"/>
      <c r="Z1834" s="78"/>
      <c r="AA1834" s="78"/>
      <c r="AG1834"/>
      <c r="AH1834"/>
    </row>
    <row r="1835" spans="23:34" x14ac:dyDescent="0.25">
      <c r="W1835"/>
      <c r="X1835"/>
      <c r="Z1835" s="78"/>
      <c r="AA1835" s="78"/>
      <c r="AG1835"/>
      <c r="AH1835"/>
    </row>
    <row r="1836" spans="23:34" x14ac:dyDescent="0.25">
      <c r="W1836"/>
      <c r="X1836"/>
      <c r="Z1836" s="78"/>
      <c r="AA1836" s="78"/>
      <c r="AG1836"/>
      <c r="AH1836"/>
    </row>
    <row r="1837" spans="23:34" x14ac:dyDescent="0.25">
      <c r="W1837"/>
      <c r="X1837"/>
      <c r="Z1837" s="78"/>
      <c r="AA1837" s="78"/>
      <c r="AG1837"/>
      <c r="AH1837"/>
    </row>
    <row r="1838" spans="23:34" x14ac:dyDescent="0.25">
      <c r="W1838"/>
      <c r="X1838"/>
      <c r="Z1838" s="78"/>
      <c r="AA1838" s="78"/>
      <c r="AG1838"/>
      <c r="AH1838"/>
    </row>
    <row r="1839" spans="23:34" x14ac:dyDescent="0.25">
      <c r="W1839"/>
      <c r="X1839"/>
      <c r="Z1839" s="78"/>
      <c r="AA1839" s="78"/>
      <c r="AG1839"/>
      <c r="AH1839"/>
    </row>
    <row r="1840" spans="23:34" x14ac:dyDescent="0.25">
      <c r="W1840"/>
      <c r="X1840"/>
      <c r="Z1840" s="78"/>
      <c r="AA1840" s="78"/>
      <c r="AG1840"/>
      <c r="AH1840"/>
    </row>
    <row r="1841" spans="23:34" x14ac:dyDescent="0.25">
      <c r="W1841"/>
      <c r="X1841"/>
      <c r="Z1841" s="78"/>
      <c r="AA1841" s="78"/>
      <c r="AG1841"/>
      <c r="AH1841"/>
    </row>
    <row r="1842" spans="23:34" x14ac:dyDescent="0.25">
      <c r="W1842"/>
      <c r="X1842"/>
      <c r="Z1842" s="78"/>
      <c r="AA1842" s="78"/>
      <c r="AG1842"/>
      <c r="AH1842"/>
    </row>
    <row r="1843" spans="23:34" x14ac:dyDescent="0.25">
      <c r="W1843"/>
      <c r="X1843"/>
      <c r="Z1843" s="78"/>
      <c r="AA1843" s="78"/>
      <c r="AG1843"/>
      <c r="AH1843"/>
    </row>
    <row r="1844" spans="23:34" x14ac:dyDescent="0.25">
      <c r="W1844"/>
      <c r="X1844"/>
      <c r="Z1844" s="78"/>
      <c r="AA1844" s="78"/>
      <c r="AG1844"/>
      <c r="AH1844"/>
    </row>
    <row r="1845" spans="23:34" x14ac:dyDescent="0.25">
      <c r="W1845"/>
      <c r="X1845"/>
      <c r="Z1845" s="78"/>
      <c r="AA1845" s="78"/>
      <c r="AG1845"/>
      <c r="AH1845"/>
    </row>
    <row r="1846" spans="23:34" x14ac:dyDescent="0.25">
      <c r="W1846"/>
      <c r="X1846"/>
      <c r="Z1846" s="78"/>
      <c r="AA1846" s="78"/>
      <c r="AG1846"/>
      <c r="AH1846"/>
    </row>
    <row r="1847" spans="23:34" x14ac:dyDescent="0.25">
      <c r="W1847"/>
      <c r="X1847"/>
      <c r="Z1847" s="78"/>
      <c r="AA1847" s="78"/>
      <c r="AG1847"/>
      <c r="AH1847"/>
    </row>
    <row r="1848" spans="23:34" x14ac:dyDescent="0.25">
      <c r="W1848"/>
      <c r="X1848"/>
      <c r="Z1848" s="78"/>
      <c r="AA1848" s="78"/>
      <c r="AG1848"/>
      <c r="AH1848"/>
    </row>
    <row r="1849" spans="23:34" x14ac:dyDescent="0.25">
      <c r="W1849"/>
      <c r="X1849"/>
      <c r="Z1849" s="78"/>
      <c r="AA1849" s="78"/>
      <c r="AG1849"/>
      <c r="AH1849"/>
    </row>
    <row r="1850" spans="23:34" x14ac:dyDescent="0.25">
      <c r="W1850"/>
      <c r="X1850"/>
      <c r="Z1850" s="78"/>
      <c r="AA1850" s="78"/>
      <c r="AG1850"/>
      <c r="AH1850"/>
    </row>
    <row r="1851" spans="23:34" x14ac:dyDescent="0.25">
      <c r="W1851"/>
      <c r="X1851"/>
      <c r="Z1851" s="78"/>
      <c r="AA1851" s="78"/>
      <c r="AG1851"/>
      <c r="AH1851"/>
    </row>
    <row r="1852" spans="23:34" x14ac:dyDescent="0.25">
      <c r="W1852"/>
      <c r="X1852"/>
      <c r="Z1852" s="78"/>
      <c r="AA1852" s="78"/>
      <c r="AG1852"/>
      <c r="AH1852"/>
    </row>
    <row r="1853" spans="23:34" x14ac:dyDescent="0.25">
      <c r="W1853"/>
      <c r="X1853"/>
      <c r="Z1853" s="78"/>
      <c r="AA1853" s="78"/>
      <c r="AG1853"/>
      <c r="AH1853"/>
    </row>
    <row r="1854" spans="23:34" x14ac:dyDescent="0.25">
      <c r="W1854"/>
      <c r="X1854"/>
      <c r="Z1854" s="78"/>
      <c r="AA1854" s="78"/>
      <c r="AG1854"/>
      <c r="AH1854"/>
    </row>
    <row r="1855" spans="23:34" x14ac:dyDescent="0.25">
      <c r="W1855"/>
      <c r="X1855"/>
      <c r="Z1855" s="78"/>
      <c r="AA1855" s="78"/>
      <c r="AG1855"/>
      <c r="AH1855"/>
    </row>
    <row r="1856" spans="23:34" x14ac:dyDescent="0.25">
      <c r="W1856"/>
      <c r="X1856"/>
      <c r="Z1856" s="78"/>
      <c r="AA1856" s="78"/>
      <c r="AG1856"/>
      <c r="AH1856"/>
    </row>
    <row r="1857" spans="23:34" x14ac:dyDescent="0.25">
      <c r="W1857"/>
      <c r="X1857"/>
      <c r="Z1857" s="78"/>
      <c r="AA1857" s="78"/>
      <c r="AG1857"/>
      <c r="AH1857"/>
    </row>
    <row r="1858" spans="23:34" x14ac:dyDescent="0.25">
      <c r="W1858"/>
      <c r="X1858"/>
      <c r="Z1858" s="78"/>
      <c r="AA1858" s="78"/>
      <c r="AG1858"/>
      <c r="AH1858"/>
    </row>
    <row r="1859" spans="23:34" x14ac:dyDescent="0.25">
      <c r="W1859"/>
      <c r="X1859"/>
      <c r="Z1859" s="78"/>
      <c r="AA1859" s="78"/>
      <c r="AG1859"/>
      <c r="AH1859"/>
    </row>
    <row r="1860" spans="23:34" x14ac:dyDescent="0.25">
      <c r="W1860"/>
      <c r="X1860"/>
      <c r="Z1860" s="78"/>
      <c r="AA1860" s="78"/>
      <c r="AG1860"/>
      <c r="AH1860"/>
    </row>
    <row r="1861" spans="23:34" x14ac:dyDescent="0.25">
      <c r="W1861"/>
      <c r="X1861"/>
      <c r="Z1861" s="78"/>
      <c r="AA1861" s="78"/>
      <c r="AG1861"/>
      <c r="AH1861"/>
    </row>
    <row r="1862" spans="23:34" x14ac:dyDescent="0.25">
      <c r="W1862"/>
      <c r="X1862"/>
      <c r="Z1862" s="78"/>
      <c r="AA1862" s="78"/>
      <c r="AG1862"/>
      <c r="AH1862"/>
    </row>
    <row r="1863" spans="23:34" x14ac:dyDescent="0.25">
      <c r="W1863"/>
      <c r="X1863"/>
      <c r="Z1863" s="78"/>
      <c r="AA1863" s="78"/>
      <c r="AG1863"/>
      <c r="AH1863"/>
    </row>
    <row r="1864" spans="23:34" x14ac:dyDescent="0.25">
      <c r="W1864"/>
      <c r="X1864"/>
      <c r="Z1864" s="78"/>
      <c r="AA1864" s="78"/>
      <c r="AG1864"/>
      <c r="AH1864"/>
    </row>
    <row r="1865" spans="23:34" x14ac:dyDescent="0.25">
      <c r="W1865"/>
      <c r="X1865"/>
      <c r="Z1865" s="78"/>
      <c r="AA1865" s="78"/>
      <c r="AG1865"/>
      <c r="AH1865"/>
    </row>
    <row r="1866" spans="23:34" x14ac:dyDescent="0.25">
      <c r="W1866"/>
      <c r="X1866"/>
      <c r="Z1866" s="78"/>
      <c r="AA1866" s="78"/>
      <c r="AG1866"/>
      <c r="AH1866"/>
    </row>
    <row r="1867" spans="23:34" x14ac:dyDescent="0.25">
      <c r="W1867"/>
      <c r="X1867"/>
      <c r="Z1867" s="78"/>
      <c r="AA1867" s="78"/>
      <c r="AG1867"/>
      <c r="AH1867"/>
    </row>
    <row r="1868" spans="23:34" x14ac:dyDescent="0.25">
      <c r="W1868"/>
      <c r="X1868"/>
      <c r="Z1868" s="78"/>
      <c r="AA1868" s="78"/>
      <c r="AG1868"/>
      <c r="AH1868"/>
    </row>
    <row r="1869" spans="23:34" x14ac:dyDescent="0.25">
      <c r="W1869"/>
      <c r="X1869"/>
      <c r="Z1869" s="78"/>
      <c r="AA1869" s="78"/>
      <c r="AG1869"/>
      <c r="AH1869"/>
    </row>
    <row r="1870" spans="23:34" x14ac:dyDescent="0.25">
      <c r="W1870"/>
      <c r="X1870"/>
      <c r="Z1870" s="78"/>
      <c r="AA1870" s="78"/>
      <c r="AG1870"/>
      <c r="AH1870"/>
    </row>
    <row r="1871" spans="23:34" x14ac:dyDescent="0.25">
      <c r="W1871"/>
      <c r="X1871"/>
      <c r="Z1871" s="78"/>
      <c r="AA1871" s="78"/>
      <c r="AG1871"/>
      <c r="AH1871"/>
    </row>
    <row r="1872" spans="23:34" x14ac:dyDescent="0.25">
      <c r="W1872"/>
      <c r="X1872"/>
      <c r="Z1872" s="78"/>
      <c r="AA1872" s="78"/>
      <c r="AG1872"/>
      <c r="AH1872"/>
    </row>
    <row r="1873" spans="23:34" x14ac:dyDescent="0.25">
      <c r="W1873"/>
      <c r="X1873"/>
      <c r="Z1873" s="78"/>
      <c r="AA1873" s="78"/>
      <c r="AG1873"/>
      <c r="AH1873"/>
    </row>
    <row r="1874" spans="23:34" x14ac:dyDescent="0.25">
      <c r="W1874"/>
      <c r="X1874"/>
      <c r="Z1874" s="78"/>
      <c r="AA1874" s="78"/>
      <c r="AG1874"/>
      <c r="AH1874"/>
    </row>
    <row r="1875" spans="23:34" x14ac:dyDescent="0.25">
      <c r="W1875"/>
      <c r="X1875"/>
      <c r="Z1875" s="78"/>
      <c r="AA1875" s="78"/>
      <c r="AG1875"/>
      <c r="AH1875"/>
    </row>
    <row r="1876" spans="23:34" x14ac:dyDescent="0.25">
      <c r="W1876"/>
      <c r="X1876"/>
      <c r="Z1876" s="78"/>
      <c r="AA1876" s="78"/>
      <c r="AG1876"/>
      <c r="AH1876"/>
    </row>
    <row r="1877" spans="23:34" x14ac:dyDescent="0.25">
      <c r="W1877"/>
      <c r="X1877"/>
      <c r="Z1877" s="78"/>
      <c r="AA1877" s="78"/>
      <c r="AG1877"/>
      <c r="AH1877"/>
    </row>
    <row r="1878" spans="23:34" x14ac:dyDescent="0.25">
      <c r="W1878"/>
      <c r="X1878"/>
      <c r="Z1878" s="78"/>
      <c r="AA1878" s="78"/>
      <c r="AG1878"/>
      <c r="AH1878"/>
    </row>
    <row r="1879" spans="23:34" x14ac:dyDescent="0.25">
      <c r="W1879"/>
      <c r="X1879"/>
      <c r="Z1879" s="78"/>
      <c r="AA1879" s="78"/>
      <c r="AG1879"/>
      <c r="AH1879"/>
    </row>
    <row r="1880" spans="23:34" x14ac:dyDescent="0.25">
      <c r="W1880"/>
      <c r="X1880"/>
      <c r="Z1880" s="78"/>
      <c r="AA1880" s="78"/>
      <c r="AG1880"/>
      <c r="AH1880"/>
    </row>
    <row r="1881" spans="23:34" x14ac:dyDescent="0.25">
      <c r="W1881"/>
      <c r="X1881"/>
      <c r="Z1881" s="78"/>
      <c r="AA1881" s="78"/>
      <c r="AG1881"/>
      <c r="AH1881"/>
    </row>
    <row r="1882" spans="23:34" x14ac:dyDescent="0.25">
      <c r="W1882"/>
      <c r="X1882"/>
      <c r="Z1882" s="78"/>
      <c r="AA1882" s="78"/>
      <c r="AG1882"/>
      <c r="AH1882"/>
    </row>
    <row r="1883" spans="23:34" x14ac:dyDescent="0.25">
      <c r="W1883"/>
      <c r="X1883"/>
      <c r="Z1883" s="78"/>
      <c r="AA1883" s="78"/>
      <c r="AG1883"/>
      <c r="AH1883"/>
    </row>
    <row r="1884" spans="23:34" x14ac:dyDescent="0.25">
      <c r="W1884"/>
      <c r="X1884"/>
      <c r="Z1884" s="78"/>
      <c r="AA1884" s="78"/>
      <c r="AG1884"/>
      <c r="AH1884"/>
    </row>
    <row r="1885" spans="23:34" x14ac:dyDescent="0.25">
      <c r="W1885"/>
      <c r="X1885"/>
      <c r="Z1885" s="78"/>
      <c r="AA1885" s="78"/>
      <c r="AG1885"/>
      <c r="AH1885"/>
    </row>
    <row r="1886" spans="23:34" x14ac:dyDescent="0.25">
      <c r="W1886"/>
      <c r="X1886"/>
      <c r="Z1886" s="78"/>
      <c r="AA1886" s="78"/>
      <c r="AG1886"/>
      <c r="AH1886"/>
    </row>
    <row r="1887" spans="23:34" x14ac:dyDescent="0.25">
      <c r="W1887"/>
      <c r="X1887"/>
      <c r="Z1887" s="78"/>
      <c r="AA1887" s="78"/>
      <c r="AG1887"/>
      <c r="AH1887"/>
    </row>
    <row r="1888" spans="23:34" x14ac:dyDescent="0.25">
      <c r="W1888"/>
      <c r="X1888"/>
      <c r="Z1888" s="78"/>
      <c r="AA1888" s="78"/>
      <c r="AG1888"/>
      <c r="AH1888"/>
    </row>
    <row r="1889" spans="23:34" x14ac:dyDescent="0.25">
      <c r="W1889"/>
      <c r="X1889"/>
      <c r="Z1889" s="78"/>
      <c r="AA1889" s="78"/>
      <c r="AG1889"/>
      <c r="AH1889"/>
    </row>
    <row r="1890" spans="23:34" x14ac:dyDescent="0.25">
      <c r="W1890"/>
      <c r="X1890"/>
      <c r="Z1890" s="78"/>
      <c r="AA1890" s="78"/>
      <c r="AG1890"/>
      <c r="AH1890"/>
    </row>
    <row r="1891" spans="23:34" x14ac:dyDescent="0.25">
      <c r="W1891"/>
      <c r="X1891"/>
      <c r="Z1891" s="78"/>
      <c r="AA1891" s="78"/>
      <c r="AG1891"/>
      <c r="AH1891"/>
    </row>
    <row r="1892" spans="23:34" x14ac:dyDescent="0.25">
      <c r="W1892"/>
      <c r="X1892"/>
      <c r="Z1892" s="78"/>
      <c r="AA1892" s="78"/>
      <c r="AG1892"/>
      <c r="AH1892"/>
    </row>
    <row r="1893" spans="23:34" x14ac:dyDescent="0.25">
      <c r="W1893"/>
      <c r="X1893"/>
      <c r="Z1893" s="78"/>
      <c r="AA1893" s="78"/>
      <c r="AG1893"/>
      <c r="AH1893"/>
    </row>
    <row r="1894" spans="23:34" x14ac:dyDescent="0.25">
      <c r="W1894"/>
      <c r="X1894"/>
      <c r="Z1894" s="78"/>
      <c r="AA1894" s="78"/>
      <c r="AG1894"/>
      <c r="AH1894"/>
    </row>
    <row r="1895" spans="23:34" x14ac:dyDescent="0.25">
      <c r="W1895"/>
      <c r="X1895"/>
      <c r="Z1895" s="78"/>
      <c r="AA1895" s="78"/>
      <c r="AG1895"/>
      <c r="AH1895"/>
    </row>
    <row r="1896" spans="23:34" x14ac:dyDescent="0.25">
      <c r="W1896"/>
      <c r="X1896"/>
      <c r="Z1896" s="78"/>
      <c r="AA1896" s="78"/>
      <c r="AG1896"/>
      <c r="AH1896"/>
    </row>
    <row r="1897" spans="23:34" x14ac:dyDescent="0.25">
      <c r="W1897"/>
      <c r="X1897"/>
      <c r="Z1897" s="78"/>
      <c r="AA1897" s="78"/>
      <c r="AG1897"/>
      <c r="AH1897"/>
    </row>
    <row r="1898" spans="23:34" x14ac:dyDescent="0.25">
      <c r="W1898"/>
      <c r="X1898"/>
      <c r="Z1898" s="78"/>
      <c r="AA1898" s="78"/>
      <c r="AG1898"/>
      <c r="AH1898"/>
    </row>
    <row r="1899" spans="23:34" x14ac:dyDescent="0.25">
      <c r="W1899"/>
      <c r="X1899"/>
      <c r="Z1899" s="78"/>
      <c r="AA1899" s="78"/>
      <c r="AG1899"/>
      <c r="AH1899"/>
    </row>
    <row r="1900" spans="23:34" x14ac:dyDescent="0.25">
      <c r="W1900"/>
      <c r="X1900"/>
      <c r="Z1900" s="78"/>
      <c r="AA1900" s="78"/>
      <c r="AG1900"/>
      <c r="AH1900"/>
    </row>
    <row r="1901" spans="23:34" x14ac:dyDescent="0.25">
      <c r="W1901"/>
      <c r="X1901"/>
      <c r="Z1901" s="78"/>
      <c r="AA1901" s="78"/>
      <c r="AG1901"/>
      <c r="AH1901"/>
    </row>
    <row r="1902" spans="23:34" x14ac:dyDescent="0.25">
      <c r="W1902"/>
      <c r="X1902"/>
      <c r="Z1902" s="78"/>
      <c r="AA1902" s="78"/>
      <c r="AG1902"/>
      <c r="AH1902"/>
    </row>
    <row r="1903" spans="23:34" x14ac:dyDescent="0.25">
      <c r="W1903"/>
      <c r="X1903"/>
      <c r="Z1903" s="78"/>
      <c r="AA1903" s="78"/>
      <c r="AG1903"/>
      <c r="AH1903"/>
    </row>
    <row r="1904" spans="23:34" x14ac:dyDescent="0.25">
      <c r="W1904"/>
      <c r="X1904"/>
      <c r="Z1904" s="78"/>
      <c r="AA1904" s="78"/>
      <c r="AG1904"/>
      <c r="AH1904"/>
    </row>
    <row r="1905" spans="23:34" x14ac:dyDescent="0.25">
      <c r="W1905"/>
      <c r="X1905"/>
      <c r="Z1905" s="78"/>
      <c r="AA1905" s="78"/>
      <c r="AG1905"/>
      <c r="AH1905"/>
    </row>
    <row r="1906" spans="23:34" x14ac:dyDescent="0.25">
      <c r="W1906"/>
      <c r="X1906"/>
      <c r="Z1906" s="78"/>
      <c r="AA1906" s="78"/>
      <c r="AG1906"/>
      <c r="AH1906"/>
    </row>
    <row r="1907" spans="23:34" x14ac:dyDescent="0.25">
      <c r="W1907"/>
      <c r="X1907"/>
      <c r="Z1907" s="78"/>
      <c r="AA1907" s="78"/>
      <c r="AG1907"/>
      <c r="AH1907"/>
    </row>
    <row r="1908" spans="23:34" x14ac:dyDescent="0.25">
      <c r="W1908"/>
      <c r="X1908"/>
      <c r="Z1908" s="78"/>
      <c r="AA1908" s="78"/>
      <c r="AG1908"/>
      <c r="AH1908"/>
    </row>
    <row r="1909" spans="23:34" x14ac:dyDescent="0.25">
      <c r="W1909"/>
      <c r="X1909"/>
      <c r="Z1909" s="78"/>
      <c r="AA1909" s="78"/>
      <c r="AG1909"/>
      <c r="AH1909"/>
    </row>
    <row r="1910" spans="23:34" x14ac:dyDescent="0.25">
      <c r="W1910"/>
      <c r="X1910"/>
      <c r="Z1910" s="78"/>
      <c r="AA1910" s="78"/>
      <c r="AG1910"/>
      <c r="AH1910"/>
    </row>
    <row r="1911" spans="23:34" x14ac:dyDescent="0.25">
      <c r="W1911"/>
      <c r="X1911"/>
      <c r="Z1911" s="78"/>
      <c r="AA1911" s="78"/>
      <c r="AG1911"/>
      <c r="AH1911"/>
    </row>
    <row r="1912" spans="23:34" x14ac:dyDescent="0.25">
      <c r="W1912"/>
      <c r="X1912"/>
      <c r="Z1912" s="78"/>
      <c r="AA1912" s="78"/>
      <c r="AG1912"/>
      <c r="AH1912"/>
    </row>
    <row r="1913" spans="23:34" x14ac:dyDescent="0.25">
      <c r="W1913"/>
      <c r="X1913"/>
      <c r="Z1913" s="78"/>
      <c r="AA1913" s="78"/>
      <c r="AG1913"/>
      <c r="AH1913"/>
    </row>
    <row r="1914" spans="23:34" x14ac:dyDescent="0.25">
      <c r="W1914"/>
      <c r="X1914"/>
      <c r="Z1914" s="78"/>
      <c r="AA1914" s="78"/>
      <c r="AG1914"/>
      <c r="AH1914"/>
    </row>
    <row r="1915" spans="23:34" x14ac:dyDescent="0.25">
      <c r="W1915"/>
      <c r="X1915"/>
      <c r="Z1915" s="78"/>
      <c r="AA1915" s="78"/>
      <c r="AG1915"/>
      <c r="AH1915"/>
    </row>
    <row r="1916" spans="23:34" x14ac:dyDescent="0.25">
      <c r="W1916"/>
      <c r="X1916"/>
      <c r="Z1916" s="78"/>
      <c r="AA1916" s="78"/>
      <c r="AG1916"/>
      <c r="AH1916"/>
    </row>
    <row r="1917" spans="23:34" x14ac:dyDescent="0.25">
      <c r="W1917"/>
      <c r="X1917"/>
      <c r="Z1917" s="78"/>
      <c r="AA1917" s="78"/>
      <c r="AG1917"/>
      <c r="AH1917"/>
    </row>
    <row r="1918" spans="23:34" x14ac:dyDescent="0.25">
      <c r="W1918"/>
      <c r="X1918"/>
      <c r="Z1918" s="78"/>
      <c r="AA1918" s="78"/>
      <c r="AG1918"/>
      <c r="AH1918"/>
    </row>
    <row r="1919" spans="23:34" x14ac:dyDescent="0.25">
      <c r="W1919"/>
      <c r="X1919"/>
      <c r="Z1919" s="78"/>
      <c r="AA1919" s="78"/>
      <c r="AG1919"/>
      <c r="AH1919"/>
    </row>
    <row r="1920" spans="23:34" x14ac:dyDescent="0.25">
      <c r="W1920"/>
      <c r="X1920"/>
      <c r="Z1920" s="78"/>
      <c r="AA1920" s="78"/>
      <c r="AG1920"/>
      <c r="AH1920"/>
    </row>
    <row r="1921" spans="23:34" x14ac:dyDescent="0.25">
      <c r="W1921"/>
      <c r="X1921"/>
      <c r="Z1921" s="78"/>
      <c r="AA1921" s="78"/>
      <c r="AG1921"/>
      <c r="AH1921"/>
    </row>
    <row r="1922" spans="23:34" x14ac:dyDescent="0.25">
      <c r="W1922"/>
      <c r="X1922"/>
      <c r="Z1922" s="78"/>
      <c r="AA1922" s="78"/>
      <c r="AG1922"/>
      <c r="AH1922"/>
    </row>
    <row r="1923" spans="23:34" x14ac:dyDescent="0.25">
      <c r="W1923"/>
      <c r="X1923"/>
      <c r="Z1923" s="78"/>
      <c r="AA1923" s="78"/>
      <c r="AG1923"/>
      <c r="AH1923"/>
    </row>
    <row r="1924" spans="23:34" x14ac:dyDescent="0.25">
      <c r="W1924"/>
      <c r="X1924"/>
      <c r="Z1924" s="78"/>
      <c r="AA1924" s="78"/>
      <c r="AG1924"/>
      <c r="AH1924"/>
    </row>
    <row r="1925" spans="23:34" x14ac:dyDescent="0.25">
      <c r="W1925"/>
      <c r="X1925"/>
      <c r="Z1925" s="78"/>
      <c r="AA1925" s="78"/>
      <c r="AG1925"/>
      <c r="AH1925"/>
    </row>
    <row r="1926" spans="23:34" x14ac:dyDescent="0.25">
      <c r="W1926"/>
      <c r="X1926"/>
      <c r="Z1926" s="78"/>
      <c r="AA1926" s="78"/>
      <c r="AG1926"/>
      <c r="AH1926"/>
    </row>
    <row r="1927" spans="23:34" x14ac:dyDescent="0.25">
      <c r="W1927"/>
      <c r="X1927"/>
      <c r="Z1927" s="78"/>
      <c r="AA1927" s="78"/>
      <c r="AG1927"/>
      <c r="AH1927"/>
    </row>
    <row r="1928" spans="23:34" x14ac:dyDescent="0.25">
      <c r="W1928"/>
      <c r="X1928"/>
      <c r="Z1928" s="78"/>
      <c r="AA1928" s="78"/>
      <c r="AG1928"/>
      <c r="AH1928"/>
    </row>
    <row r="1929" spans="23:34" x14ac:dyDescent="0.25">
      <c r="W1929"/>
      <c r="X1929"/>
      <c r="Z1929" s="78"/>
      <c r="AA1929" s="78"/>
      <c r="AG1929"/>
      <c r="AH1929"/>
    </row>
    <row r="1930" spans="23:34" x14ac:dyDescent="0.25">
      <c r="W1930"/>
      <c r="X1930"/>
      <c r="Z1930" s="78"/>
      <c r="AA1930" s="78"/>
      <c r="AG1930"/>
      <c r="AH1930"/>
    </row>
    <row r="1931" spans="23:34" x14ac:dyDescent="0.25">
      <c r="W1931"/>
      <c r="X1931"/>
      <c r="Z1931" s="78"/>
      <c r="AA1931" s="78"/>
      <c r="AG1931"/>
      <c r="AH1931"/>
    </row>
    <row r="1932" spans="23:34" x14ac:dyDescent="0.25">
      <c r="W1932"/>
      <c r="X1932"/>
      <c r="Z1932" s="78"/>
      <c r="AA1932" s="78"/>
      <c r="AG1932"/>
      <c r="AH1932"/>
    </row>
    <row r="1933" spans="23:34" x14ac:dyDescent="0.25">
      <c r="W1933"/>
      <c r="X1933"/>
      <c r="Z1933" s="78"/>
      <c r="AA1933" s="78"/>
      <c r="AG1933"/>
      <c r="AH1933"/>
    </row>
    <row r="1934" spans="23:34" x14ac:dyDescent="0.25">
      <c r="W1934"/>
      <c r="X1934"/>
      <c r="Z1934" s="78"/>
      <c r="AA1934" s="78"/>
      <c r="AG1934"/>
      <c r="AH1934"/>
    </row>
    <row r="1935" spans="23:34" x14ac:dyDescent="0.25">
      <c r="W1935"/>
      <c r="X1935"/>
      <c r="Z1935" s="78"/>
      <c r="AA1935" s="78"/>
      <c r="AG1935"/>
      <c r="AH1935"/>
    </row>
    <row r="1936" spans="23:34" x14ac:dyDescent="0.25">
      <c r="W1936"/>
      <c r="X1936"/>
      <c r="Z1936" s="78"/>
      <c r="AA1936" s="78"/>
      <c r="AG1936"/>
      <c r="AH1936"/>
    </row>
    <row r="1937" spans="23:34" x14ac:dyDescent="0.25">
      <c r="W1937"/>
      <c r="X1937"/>
      <c r="Z1937" s="78"/>
      <c r="AA1937" s="78"/>
      <c r="AG1937"/>
      <c r="AH1937"/>
    </row>
    <row r="1938" spans="23:34" x14ac:dyDescent="0.25">
      <c r="W1938"/>
      <c r="X1938"/>
      <c r="Z1938" s="78"/>
      <c r="AA1938" s="78"/>
      <c r="AG1938"/>
      <c r="AH1938"/>
    </row>
    <row r="1939" spans="23:34" x14ac:dyDescent="0.25">
      <c r="W1939"/>
      <c r="X1939"/>
      <c r="Z1939" s="78"/>
      <c r="AA1939" s="78"/>
      <c r="AG1939"/>
      <c r="AH1939"/>
    </row>
    <row r="1940" spans="23:34" x14ac:dyDescent="0.25">
      <c r="W1940"/>
      <c r="X1940"/>
      <c r="Z1940" s="78"/>
      <c r="AA1940" s="78"/>
      <c r="AG1940"/>
      <c r="AH1940"/>
    </row>
    <row r="1941" spans="23:34" x14ac:dyDescent="0.25">
      <c r="W1941"/>
      <c r="X1941"/>
      <c r="Z1941" s="78"/>
      <c r="AA1941" s="78"/>
      <c r="AG1941"/>
      <c r="AH1941"/>
    </row>
    <row r="1942" spans="23:34" x14ac:dyDescent="0.25">
      <c r="W1942"/>
      <c r="X1942"/>
      <c r="Z1942" s="78"/>
      <c r="AA1942" s="78"/>
      <c r="AG1942"/>
      <c r="AH1942"/>
    </row>
    <row r="1943" spans="23:34" x14ac:dyDescent="0.25">
      <c r="W1943"/>
      <c r="X1943"/>
      <c r="Z1943" s="78"/>
      <c r="AA1943" s="78"/>
      <c r="AG1943"/>
      <c r="AH1943"/>
    </row>
    <row r="1944" spans="23:34" x14ac:dyDescent="0.25">
      <c r="W1944"/>
      <c r="X1944"/>
      <c r="Z1944" s="78"/>
      <c r="AA1944" s="78"/>
      <c r="AG1944"/>
      <c r="AH1944"/>
    </row>
    <row r="1945" spans="23:34" x14ac:dyDescent="0.25">
      <c r="W1945"/>
      <c r="X1945"/>
      <c r="Z1945" s="78"/>
      <c r="AA1945" s="78"/>
      <c r="AG1945"/>
      <c r="AH1945"/>
    </row>
    <row r="1946" spans="23:34" x14ac:dyDescent="0.25">
      <c r="W1946"/>
      <c r="X1946"/>
      <c r="Z1946" s="78"/>
      <c r="AA1946" s="78"/>
      <c r="AG1946"/>
      <c r="AH1946"/>
    </row>
    <row r="1947" spans="23:34" x14ac:dyDescent="0.25">
      <c r="W1947"/>
      <c r="X1947"/>
      <c r="Z1947" s="78"/>
      <c r="AA1947" s="78"/>
      <c r="AG1947"/>
      <c r="AH1947"/>
    </row>
    <row r="1948" spans="23:34" x14ac:dyDescent="0.25">
      <c r="W1948"/>
      <c r="X1948"/>
      <c r="Z1948" s="78"/>
      <c r="AA1948" s="78"/>
      <c r="AG1948"/>
      <c r="AH1948"/>
    </row>
    <row r="1949" spans="23:34" x14ac:dyDescent="0.25">
      <c r="W1949"/>
      <c r="X1949"/>
      <c r="Z1949" s="78"/>
      <c r="AA1949" s="78"/>
      <c r="AG1949"/>
      <c r="AH1949"/>
    </row>
    <row r="1950" spans="23:34" x14ac:dyDescent="0.25">
      <c r="W1950"/>
      <c r="X1950"/>
      <c r="Z1950" s="78"/>
      <c r="AA1950" s="78"/>
      <c r="AG1950"/>
      <c r="AH1950"/>
    </row>
    <row r="1951" spans="23:34" x14ac:dyDescent="0.25">
      <c r="W1951"/>
      <c r="X1951"/>
      <c r="Z1951" s="78"/>
      <c r="AA1951" s="78"/>
      <c r="AG1951"/>
      <c r="AH1951"/>
    </row>
    <row r="1952" spans="23:34" x14ac:dyDescent="0.25">
      <c r="W1952"/>
      <c r="X1952"/>
      <c r="Z1952" s="78"/>
      <c r="AA1952" s="78"/>
      <c r="AG1952"/>
      <c r="AH1952"/>
    </row>
    <row r="1953" spans="23:34" x14ac:dyDescent="0.25">
      <c r="W1953"/>
      <c r="X1953"/>
      <c r="Z1953" s="78"/>
      <c r="AA1953" s="78"/>
      <c r="AG1953"/>
      <c r="AH1953"/>
    </row>
    <row r="1954" spans="23:34" x14ac:dyDescent="0.25">
      <c r="W1954"/>
      <c r="X1954"/>
      <c r="Z1954" s="78"/>
      <c r="AA1954" s="78"/>
      <c r="AG1954"/>
      <c r="AH1954"/>
    </row>
    <row r="1955" spans="23:34" x14ac:dyDescent="0.25">
      <c r="W1955"/>
      <c r="X1955"/>
      <c r="Z1955" s="78"/>
      <c r="AA1955" s="78"/>
      <c r="AG1955"/>
      <c r="AH1955"/>
    </row>
    <row r="1956" spans="23:34" x14ac:dyDescent="0.25">
      <c r="W1956"/>
      <c r="X1956"/>
      <c r="Z1956" s="78"/>
      <c r="AA1956" s="78"/>
      <c r="AG1956"/>
      <c r="AH1956"/>
    </row>
    <row r="1957" spans="23:34" x14ac:dyDescent="0.25">
      <c r="W1957"/>
      <c r="X1957"/>
      <c r="Z1957" s="78"/>
      <c r="AA1957" s="78"/>
      <c r="AG1957"/>
      <c r="AH1957"/>
    </row>
    <row r="1958" spans="23:34" x14ac:dyDescent="0.25">
      <c r="W1958"/>
      <c r="X1958"/>
      <c r="Z1958" s="78"/>
      <c r="AA1958" s="78"/>
      <c r="AG1958"/>
      <c r="AH1958"/>
    </row>
    <row r="1959" spans="23:34" x14ac:dyDescent="0.25">
      <c r="W1959"/>
      <c r="X1959"/>
      <c r="Z1959" s="78"/>
      <c r="AA1959" s="78"/>
      <c r="AG1959"/>
      <c r="AH1959"/>
    </row>
    <row r="1960" spans="23:34" x14ac:dyDescent="0.25">
      <c r="W1960"/>
      <c r="X1960"/>
      <c r="Z1960" s="78"/>
      <c r="AA1960" s="78"/>
      <c r="AG1960"/>
      <c r="AH1960"/>
    </row>
    <row r="1961" spans="23:34" x14ac:dyDescent="0.25">
      <c r="W1961"/>
      <c r="X1961"/>
      <c r="Z1961" s="78"/>
      <c r="AA1961" s="78"/>
      <c r="AG1961"/>
      <c r="AH1961"/>
    </row>
    <row r="1962" spans="23:34" x14ac:dyDescent="0.25">
      <c r="W1962"/>
      <c r="X1962"/>
      <c r="Z1962" s="78"/>
      <c r="AA1962" s="78"/>
      <c r="AG1962"/>
      <c r="AH1962"/>
    </row>
    <row r="1963" spans="23:34" x14ac:dyDescent="0.25">
      <c r="W1963"/>
      <c r="X1963"/>
      <c r="Z1963" s="78"/>
      <c r="AA1963" s="78"/>
      <c r="AG1963"/>
      <c r="AH1963"/>
    </row>
    <row r="1964" spans="23:34" x14ac:dyDescent="0.25">
      <c r="W1964"/>
      <c r="X1964"/>
      <c r="Z1964" s="78"/>
      <c r="AA1964" s="78"/>
      <c r="AG1964"/>
      <c r="AH1964"/>
    </row>
    <row r="1965" spans="23:34" x14ac:dyDescent="0.25">
      <c r="W1965"/>
      <c r="X1965"/>
      <c r="Z1965" s="78"/>
      <c r="AA1965" s="78"/>
      <c r="AG1965"/>
      <c r="AH1965"/>
    </row>
    <row r="1966" spans="23:34" x14ac:dyDescent="0.25">
      <c r="W1966"/>
      <c r="X1966"/>
      <c r="Z1966" s="78"/>
      <c r="AA1966" s="78"/>
      <c r="AG1966"/>
      <c r="AH1966"/>
    </row>
    <row r="1967" spans="23:34" x14ac:dyDescent="0.25">
      <c r="W1967"/>
      <c r="X1967"/>
      <c r="Z1967" s="78"/>
      <c r="AA1967" s="78"/>
      <c r="AG1967"/>
      <c r="AH1967"/>
    </row>
    <row r="1968" spans="23:34" x14ac:dyDescent="0.25">
      <c r="W1968"/>
      <c r="X1968"/>
      <c r="Z1968" s="78"/>
      <c r="AA1968" s="78"/>
      <c r="AG1968"/>
      <c r="AH1968"/>
    </row>
    <row r="1969" spans="23:34" x14ac:dyDescent="0.25">
      <c r="W1969"/>
      <c r="X1969"/>
      <c r="Z1969" s="78"/>
      <c r="AA1969" s="78"/>
      <c r="AG1969"/>
      <c r="AH1969"/>
    </row>
    <row r="1970" spans="23:34" x14ac:dyDescent="0.25">
      <c r="W1970"/>
      <c r="X1970"/>
      <c r="Z1970" s="78"/>
      <c r="AA1970" s="78"/>
      <c r="AG1970"/>
      <c r="AH1970"/>
    </row>
    <row r="1971" spans="23:34" x14ac:dyDescent="0.25">
      <c r="W1971"/>
      <c r="X1971"/>
      <c r="Z1971" s="78"/>
      <c r="AA1971" s="78"/>
      <c r="AG1971"/>
      <c r="AH1971"/>
    </row>
    <row r="1972" spans="23:34" x14ac:dyDescent="0.25">
      <c r="W1972"/>
      <c r="X1972"/>
      <c r="Z1972" s="78"/>
      <c r="AA1972" s="78"/>
      <c r="AG1972"/>
      <c r="AH1972"/>
    </row>
    <row r="1973" spans="23:34" x14ac:dyDescent="0.25">
      <c r="W1973"/>
      <c r="X1973"/>
      <c r="Z1973" s="78"/>
      <c r="AA1973" s="78"/>
      <c r="AG1973"/>
      <c r="AH1973"/>
    </row>
    <row r="1974" spans="23:34" x14ac:dyDescent="0.25">
      <c r="W1974"/>
      <c r="X1974"/>
      <c r="Z1974" s="78"/>
      <c r="AA1974" s="78"/>
      <c r="AG1974"/>
      <c r="AH1974"/>
    </row>
    <row r="1975" spans="23:34" x14ac:dyDescent="0.25">
      <c r="W1975"/>
      <c r="X1975"/>
      <c r="Z1975" s="78"/>
      <c r="AA1975" s="78"/>
      <c r="AG1975"/>
      <c r="AH1975"/>
    </row>
    <row r="1976" spans="23:34" x14ac:dyDescent="0.25">
      <c r="W1976"/>
      <c r="X1976"/>
      <c r="Z1976" s="78"/>
      <c r="AA1976" s="78"/>
      <c r="AG1976"/>
      <c r="AH1976"/>
    </row>
    <row r="1977" spans="23:34" x14ac:dyDescent="0.25">
      <c r="W1977"/>
      <c r="X1977"/>
      <c r="Z1977" s="78"/>
      <c r="AA1977" s="78"/>
      <c r="AG1977"/>
      <c r="AH1977"/>
    </row>
    <row r="1978" spans="23:34" x14ac:dyDescent="0.25">
      <c r="W1978"/>
      <c r="X1978"/>
      <c r="Z1978" s="78"/>
      <c r="AA1978" s="78"/>
      <c r="AG1978"/>
      <c r="AH1978"/>
    </row>
    <row r="1979" spans="23:34" x14ac:dyDescent="0.25">
      <c r="W1979"/>
      <c r="X1979"/>
      <c r="Z1979" s="78"/>
      <c r="AA1979" s="78"/>
      <c r="AG1979"/>
      <c r="AH1979"/>
    </row>
    <row r="1980" spans="23:34" x14ac:dyDescent="0.25">
      <c r="W1980"/>
      <c r="X1980"/>
      <c r="Z1980" s="78"/>
      <c r="AA1980" s="78"/>
      <c r="AG1980"/>
      <c r="AH1980"/>
    </row>
    <row r="1981" spans="23:34" x14ac:dyDescent="0.25">
      <c r="W1981"/>
      <c r="X1981"/>
      <c r="Z1981" s="78"/>
      <c r="AA1981" s="78"/>
      <c r="AG1981"/>
      <c r="AH1981"/>
    </row>
    <row r="1982" spans="23:34" x14ac:dyDescent="0.25">
      <c r="W1982"/>
      <c r="X1982"/>
      <c r="Z1982" s="78"/>
      <c r="AA1982" s="78"/>
      <c r="AG1982"/>
      <c r="AH1982"/>
    </row>
    <row r="1983" spans="23:34" x14ac:dyDescent="0.25">
      <c r="W1983"/>
      <c r="X1983"/>
      <c r="Z1983" s="78"/>
      <c r="AA1983" s="78"/>
      <c r="AG1983"/>
      <c r="AH1983"/>
    </row>
    <row r="1984" spans="23:34" x14ac:dyDescent="0.25">
      <c r="W1984"/>
      <c r="X1984"/>
      <c r="Z1984" s="78"/>
      <c r="AA1984" s="78"/>
      <c r="AG1984"/>
      <c r="AH1984"/>
    </row>
    <row r="1985" spans="23:34" x14ac:dyDescent="0.25">
      <c r="W1985"/>
      <c r="X1985"/>
      <c r="Z1985" s="78"/>
      <c r="AA1985" s="78"/>
      <c r="AG1985"/>
      <c r="AH1985"/>
    </row>
    <row r="1986" spans="23:34" x14ac:dyDescent="0.25">
      <c r="W1986"/>
      <c r="X1986"/>
      <c r="Z1986" s="78"/>
      <c r="AA1986" s="78"/>
      <c r="AG1986"/>
      <c r="AH1986"/>
    </row>
    <row r="1987" spans="23:34" x14ac:dyDescent="0.25">
      <c r="W1987"/>
      <c r="X1987"/>
      <c r="Z1987" s="78"/>
      <c r="AA1987" s="78"/>
      <c r="AG1987"/>
      <c r="AH1987"/>
    </row>
    <row r="1988" spans="23:34" x14ac:dyDescent="0.25">
      <c r="W1988"/>
      <c r="X1988"/>
      <c r="Z1988" s="78"/>
      <c r="AA1988" s="78"/>
      <c r="AG1988"/>
      <c r="AH1988"/>
    </row>
    <row r="1989" spans="23:34" x14ac:dyDescent="0.25">
      <c r="W1989"/>
      <c r="X1989"/>
      <c r="Z1989" s="78"/>
      <c r="AA1989" s="78"/>
      <c r="AG1989"/>
      <c r="AH1989"/>
    </row>
    <row r="1990" spans="23:34" x14ac:dyDescent="0.25">
      <c r="W1990"/>
      <c r="X1990"/>
      <c r="Z1990" s="78"/>
      <c r="AA1990" s="78"/>
      <c r="AG1990"/>
      <c r="AH1990"/>
    </row>
    <row r="1991" spans="23:34" x14ac:dyDescent="0.25">
      <c r="W1991"/>
      <c r="X1991"/>
      <c r="Z1991" s="78"/>
      <c r="AA1991" s="78"/>
      <c r="AG1991"/>
      <c r="AH1991"/>
    </row>
    <row r="1992" spans="23:34" x14ac:dyDescent="0.25">
      <c r="W1992"/>
      <c r="X1992"/>
      <c r="Z1992" s="78"/>
      <c r="AA1992" s="78"/>
      <c r="AG1992"/>
      <c r="AH1992"/>
    </row>
    <row r="1993" spans="23:34" x14ac:dyDescent="0.25">
      <c r="W1993"/>
      <c r="X1993"/>
      <c r="Z1993" s="78"/>
      <c r="AA1993" s="78"/>
      <c r="AG1993"/>
      <c r="AH1993"/>
    </row>
    <row r="1994" spans="23:34" x14ac:dyDescent="0.25">
      <c r="W1994"/>
      <c r="X1994"/>
      <c r="Z1994" s="78"/>
      <c r="AA1994" s="78"/>
      <c r="AG1994"/>
      <c r="AH1994"/>
    </row>
    <row r="1995" spans="23:34" x14ac:dyDescent="0.25">
      <c r="W1995"/>
      <c r="X1995"/>
      <c r="Z1995" s="78"/>
      <c r="AA1995" s="78"/>
      <c r="AG1995"/>
      <c r="AH1995"/>
    </row>
    <row r="1996" spans="23:34" x14ac:dyDescent="0.25">
      <c r="W1996"/>
      <c r="X1996"/>
      <c r="Z1996" s="78"/>
      <c r="AA1996" s="78"/>
      <c r="AG1996"/>
      <c r="AH1996"/>
    </row>
    <row r="1997" spans="23:34" x14ac:dyDescent="0.25">
      <c r="W1997"/>
      <c r="X1997"/>
      <c r="Z1997" s="78"/>
      <c r="AA1997" s="78"/>
      <c r="AG1997"/>
      <c r="AH1997"/>
    </row>
    <row r="1998" spans="23:34" x14ac:dyDescent="0.25">
      <c r="W1998"/>
      <c r="X1998"/>
      <c r="Z1998" s="78"/>
      <c r="AA1998" s="78"/>
      <c r="AG1998"/>
      <c r="AH1998"/>
    </row>
    <row r="1999" spans="23:34" x14ac:dyDescent="0.25">
      <c r="W1999"/>
      <c r="X1999"/>
      <c r="Z1999" s="78"/>
      <c r="AA1999" s="78"/>
      <c r="AG1999"/>
      <c r="AH1999"/>
    </row>
    <row r="2000" spans="23:34" x14ac:dyDescent="0.25">
      <c r="W2000"/>
      <c r="X2000"/>
      <c r="Z2000" s="78"/>
      <c r="AA2000" s="78"/>
      <c r="AG2000"/>
      <c r="AH2000"/>
    </row>
    <row r="2001" spans="23:34" x14ac:dyDescent="0.25">
      <c r="W2001"/>
      <c r="X2001"/>
      <c r="Z2001" s="78"/>
      <c r="AA2001" s="78"/>
      <c r="AG2001"/>
      <c r="AH2001"/>
    </row>
    <row r="2002" spans="23:34" x14ac:dyDescent="0.25">
      <c r="W2002"/>
      <c r="X2002"/>
      <c r="Z2002" s="78"/>
      <c r="AA2002" s="78"/>
      <c r="AG2002"/>
      <c r="AH2002"/>
    </row>
    <row r="2003" spans="23:34" x14ac:dyDescent="0.25">
      <c r="W2003"/>
      <c r="X2003"/>
      <c r="Z2003" s="78"/>
      <c r="AA2003" s="78"/>
      <c r="AG2003"/>
      <c r="AH2003"/>
    </row>
    <row r="2004" spans="23:34" x14ac:dyDescent="0.25">
      <c r="W2004"/>
      <c r="X2004"/>
      <c r="Z2004" s="78"/>
      <c r="AA2004" s="78"/>
      <c r="AG2004"/>
      <c r="AH2004"/>
    </row>
    <row r="2005" spans="23:34" x14ac:dyDescent="0.25">
      <c r="W2005"/>
      <c r="X2005"/>
      <c r="Z2005" s="78"/>
      <c r="AA2005" s="78"/>
      <c r="AG2005"/>
      <c r="AH2005"/>
    </row>
    <row r="2006" spans="23:34" x14ac:dyDescent="0.25">
      <c r="W2006"/>
      <c r="X2006"/>
      <c r="Z2006" s="78"/>
      <c r="AA2006" s="78"/>
      <c r="AG2006"/>
      <c r="AH2006"/>
    </row>
    <row r="2007" spans="23:34" x14ac:dyDescent="0.25">
      <c r="W2007"/>
      <c r="X2007"/>
      <c r="Z2007" s="78"/>
      <c r="AA2007" s="78"/>
      <c r="AG2007"/>
      <c r="AH2007"/>
    </row>
    <row r="2008" spans="23:34" x14ac:dyDescent="0.25">
      <c r="W2008"/>
      <c r="X2008"/>
      <c r="Z2008" s="78"/>
      <c r="AA2008" s="78"/>
      <c r="AG2008"/>
      <c r="AH2008"/>
    </row>
    <row r="2009" spans="23:34" x14ac:dyDescent="0.25">
      <c r="W2009"/>
      <c r="X2009"/>
      <c r="Z2009" s="78"/>
      <c r="AA2009" s="78"/>
      <c r="AG2009"/>
      <c r="AH2009"/>
    </row>
    <row r="2010" spans="23:34" x14ac:dyDescent="0.25">
      <c r="W2010"/>
      <c r="X2010"/>
      <c r="Z2010" s="78"/>
      <c r="AA2010" s="78"/>
      <c r="AG2010"/>
      <c r="AH2010"/>
    </row>
    <row r="2011" spans="23:34" x14ac:dyDescent="0.25">
      <c r="W2011"/>
      <c r="X2011"/>
      <c r="Z2011" s="78"/>
      <c r="AA2011" s="78"/>
      <c r="AG2011"/>
      <c r="AH2011"/>
    </row>
    <row r="2012" spans="23:34" x14ac:dyDescent="0.25">
      <c r="W2012"/>
      <c r="X2012"/>
      <c r="Z2012" s="78"/>
      <c r="AA2012" s="78"/>
      <c r="AG2012"/>
      <c r="AH2012"/>
    </row>
    <row r="2013" spans="23:34" x14ac:dyDescent="0.25">
      <c r="W2013"/>
      <c r="X2013"/>
      <c r="Z2013" s="78"/>
      <c r="AA2013" s="78"/>
      <c r="AG2013"/>
      <c r="AH2013"/>
    </row>
    <row r="2014" spans="23:34" x14ac:dyDescent="0.25">
      <c r="W2014"/>
      <c r="X2014"/>
      <c r="Z2014" s="78"/>
      <c r="AA2014" s="78"/>
      <c r="AG2014"/>
      <c r="AH2014"/>
    </row>
    <row r="2015" spans="23:34" x14ac:dyDescent="0.25">
      <c r="W2015"/>
      <c r="X2015"/>
      <c r="Z2015" s="78"/>
      <c r="AA2015" s="78"/>
      <c r="AG2015"/>
      <c r="AH2015"/>
    </row>
    <row r="2016" spans="23:34" x14ac:dyDescent="0.25">
      <c r="W2016"/>
      <c r="X2016"/>
      <c r="Z2016" s="78"/>
      <c r="AA2016" s="78"/>
      <c r="AG2016"/>
      <c r="AH2016"/>
    </row>
    <row r="2017" spans="23:34" x14ac:dyDescent="0.25">
      <c r="W2017"/>
      <c r="X2017"/>
      <c r="Z2017" s="78"/>
      <c r="AA2017" s="78"/>
      <c r="AG2017"/>
      <c r="AH2017"/>
    </row>
    <row r="2018" spans="23:34" x14ac:dyDescent="0.25">
      <c r="W2018"/>
      <c r="X2018"/>
      <c r="Z2018" s="78"/>
      <c r="AA2018" s="78"/>
      <c r="AG2018"/>
      <c r="AH2018"/>
    </row>
    <row r="2019" spans="23:34" x14ac:dyDescent="0.25">
      <c r="W2019"/>
      <c r="X2019"/>
      <c r="Z2019" s="78"/>
      <c r="AA2019" s="78"/>
      <c r="AG2019"/>
      <c r="AH2019"/>
    </row>
    <row r="2020" spans="23:34" x14ac:dyDescent="0.25">
      <c r="W2020"/>
      <c r="X2020"/>
      <c r="Z2020" s="78"/>
      <c r="AA2020" s="78"/>
      <c r="AG2020"/>
      <c r="AH2020"/>
    </row>
    <row r="2021" spans="23:34" x14ac:dyDescent="0.25">
      <c r="W2021"/>
      <c r="X2021"/>
      <c r="Z2021" s="78"/>
      <c r="AA2021" s="78"/>
      <c r="AG2021"/>
      <c r="AH2021"/>
    </row>
    <row r="2022" spans="23:34" x14ac:dyDescent="0.25">
      <c r="W2022"/>
      <c r="X2022"/>
      <c r="Z2022" s="78"/>
      <c r="AA2022" s="78"/>
      <c r="AG2022"/>
      <c r="AH2022"/>
    </row>
    <row r="2023" spans="23:34" x14ac:dyDescent="0.25">
      <c r="W2023"/>
      <c r="X2023"/>
      <c r="Z2023" s="78"/>
      <c r="AA2023" s="78"/>
      <c r="AG2023"/>
      <c r="AH2023"/>
    </row>
    <row r="2024" spans="23:34" x14ac:dyDescent="0.25">
      <c r="W2024"/>
      <c r="X2024"/>
      <c r="Z2024" s="78"/>
      <c r="AA2024" s="78"/>
      <c r="AG2024"/>
      <c r="AH2024"/>
    </row>
    <row r="2025" spans="23:34" x14ac:dyDescent="0.25">
      <c r="W2025"/>
      <c r="X2025"/>
      <c r="Z2025" s="78"/>
      <c r="AA2025" s="78"/>
      <c r="AG2025"/>
      <c r="AH2025"/>
    </row>
    <row r="2026" spans="23:34" x14ac:dyDescent="0.25">
      <c r="W2026"/>
      <c r="X2026"/>
      <c r="Z2026" s="78"/>
      <c r="AA2026" s="78"/>
      <c r="AG2026"/>
      <c r="AH2026"/>
    </row>
    <row r="2027" spans="23:34" x14ac:dyDescent="0.25">
      <c r="W2027"/>
      <c r="X2027"/>
      <c r="Z2027" s="78"/>
      <c r="AA2027" s="78"/>
      <c r="AG2027"/>
      <c r="AH2027"/>
    </row>
    <row r="2028" spans="23:34" x14ac:dyDescent="0.25">
      <c r="W2028"/>
      <c r="X2028"/>
      <c r="Z2028" s="78"/>
      <c r="AA2028" s="78"/>
      <c r="AG2028"/>
      <c r="AH2028"/>
    </row>
    <row r="2029" spans="23:34" x14ac:dyDescent="0.25">
      <c r="W2029"/>
      <c r="X2029"/>
      <c r="Z2029" s="78"/>
      <c r="AA2029" s="78"/>
      <c r="AG2029"/>
      <c r="AH2029"/>
    </row>
    <row r="2030" spans="23:34" x14ac:dyDescent="0.25">
      <c r="W2030"/>
      <c r="X2030"/>
      <c r="Z2030" s="78"/>
      <c r="AA2030" s="78"/>
      <c r="AG2030"/>
      <c r="AH2030"/>
    </row>
    <row r="2031" spans="23:34" x14ac:dyDescent="0.25">
      <c r="W2031"/>
      <c r="X2031"/>
      <c r="Z2031" s="78"/>
      <c r="AA2031" s="78"/>
      <c r="AG2031"/>
      <c r="AH2031"/>
    </row>
    <row r="2032" spans="23:34" x14ac:dyDescent="0.25">
      <c r="W2032"/>
      <c r="X2032"/>
      <c r="Z2032" s="78"/>
      <c r="AA2032" s="78"/>
      <c r="AG2032"/>
      <c r="AH2032"/>
    </row>
    <row r="2033" spans="23:34" x14ac:dyDescent="0.25">
      <c r="W2033"/>
      <c r="X2033"/>
      <c r="Z2033" s="78"/>
      <c r="AA2033" s="78"/>
      <c r="AG2033"/>
      <c r="AH2033"/>
    </row>
    <row r="2034" spans="23:34" x14ac:dyDescent="0.25">
      <c r="W2034"/>
      <c r="X2034"/>
      <c r="Z2034" s="78"/>
      <c r="AA2034" s="78"/>
      <c r="AG2034"/>
      <c r="AH2034"/>
    </row>
    <row r="2035" spans="23:34" x14ac:dyDescent="0.25">
      <c r="W2035"/>
      <c r="X2035"/>
      <c r="Z2035" s="78"/>
      <c r="AA2035" s="78"/>
      <c r="AG2035"/>
      <c r="AH2035"/>
    </row>
    <row r="2036" spans="23:34" x14ac:dyDescent="0.25">
      <c r="W2036"/>
      <c r="X2036"/>
      <c r="Z2036" s="78"/>
      <c r="AA2036" s="78"/>
      <c r="AG2036"/>
      <c r="AH2036"/>
    </row>
    <row r="2037" spans="23:34" x14ac:dyDescent="0.25">
      <c r="W2037"/>
      <c r="X2037"/>
      <c r="Z2037" s="78"/>
      <c r="AA2037" s="78"/>
      <c r="AG2037"/>
      <c r="AH2037"/>
    </row>
    <row r="2038" spans="23:34" x14ac:dyDescent="0.25">
      <c r="W2038"/>
      <c r="X2038"/>
      <c r="Z2038" s="78"/>
      <c r="AA2038" s="78"/>
      <c r="AG2038"/>
      <c r="AH2038"/>
    </row>
    <row r="2039" spans="23:34" x14ac:dyDescent="0.25">
      <c r="W2039"/>
      <c r="X2039"/>
      <c r="Z2039" s="78"/>
      <c r="AA2039" s="78"/>
      <c r="AG2039"/>
      <c r="AH2039"/>
    </row>
    <row r="2040" spans="23:34" x14ac:dyDescent="0.25">
      <c r="W2040"/>
      <c r="X2040"/>
      <c r="Z2040" s="78"/>
      <c r="AA2040" s="78"/>
      <c r="AG2040"/>
      <c r="AH2040"/>
    </row>
    <row r="2041" spans="23:34" x14ac:dyDescent="0.25">
      <c r="W2041"/>
      <c r="X2041"/>
      <c r="Z2041" s="78"/>
      <c r="AA2041" s="78"/>
      <c r="AG2041"/>
      <c r="AH2041"/>
    </row>
    <row r="2042" spans="23:34" x14ac:dyDescent="0.25">
      <c r="W2042"/>
      <c r="X2042"/>
      <c r="Z2042" s="78"/>
      <c r="AA2042" s="78"/>
      <c r="AG2042"/>
      <c r="AH2042"/>
    </row>
    <row r="2043" spans="23:34" x14ac:dyDescent="0.25">
      <c r="W2043"/>
      <c r="X2043"/>
      <c r="Z2043" s="78"/>
      <c r="AA2043" s="78"/>
      <c r="AG2043"/>
      <c r="AH2043"/>
    </row>
    <row r="2044" spans="23:34" x14ac:dyDescent="0.25">
      <c r="W2044"/>
      <c r="X2044"/>
      <c r="Z2044" s="78"/>
      <c r="AA2044" s="78"/>
      <c r="AG2044"/>
      <c r="AH2044"/>
    </row>
    <row r="2045" spans="23:34" x14ac:dyDescent="0.25">
      <c r="W2045"/>
      <c r="X2045"/>
      <c r="Z2045" s="78"/>
      <c r="AA2045" s="78"/>
      <c r="AG2045"/>
      <c r="AH2045"/>
    </row>
    <row r="2046" spans="23:34" x14ac:dyDescent="0.25">
      <c r="W2046"/>
      <c r="X2046"/>
      <c r="Z2046" s="78"/>
      <c r="AA2046" s="78"/>
      <c r="AG2046"/>
      <c r="AH2046"/>
    </row>
    <row r="2047" spans="23:34" x14ac:dyDescent="0.25">
      <c r="W2047"/>
      <c r="X2047"/>
      <c r="Z2047" s="78"/>
      <c r="AA2047" s="78"/>
      <c r="AG2047"/>
      <c r="AH2047"/>
    </row>
    <row r="2048" spans="23:34" x14ac:dyDescent="0.25">
      <c r="W2048"/>
      <c r="X2048"/>
      <c r="Z2048" s="78"/>
      <c r="AA2048" s="78"/>
      <c r="AG2048"/>
      <c r="AH2048"/>
    </row>
    <row r="2049" spans="23:34" x14ac:dyDescent="0.25">
      <c r="W2049"/>
      <c r="X2049"/>
      <c r="Z2049" s="78"/>
      <c r="AA2049" s="78"/>
      <c r="AG2049"/>
      <c r="AH2049"/>
    </row>
    <row r="2050" spans="23:34" x14ac:dyDescent="0.25">
      <c r="W2050"/>
      <c r="X2050"/>
      <c r="Z2050" s="78"/>
      <c r="AA2050" s="78"/>
      <c r="AG2050"/>
      <c r="AH2050"/>
    </row>
    <row r="2051" spans="23:34" x14ac:dyDescent="0.25">
      <c r="W2051"/>
      <c r="X2051"/>
      <c r="Z2051" s="78"/>
      <c r="AA2051" s="78"/>
      <c r="AG2051"/>
      <c r="AH2051"/>
    </row>
    <row r="2052" spans="23:34" x14ac:dyDescent="0.25">
      <c r="W2052"/>
      <c r="X2052"/>
      <c r="Z2052" s="78"/>
      <c r="AA2052" s="78"/>
      <c r="AG2052"/>
      <c r="AH2052"/>
    </row>
    <row r="2053" spans="23:34" x14ac:dyDescent="0.25">
      <c r="W2053"/>
      <c r="X2053"/>
      <c r="Z2053" s="78"/>
      <c r="AA2053" s="78"/>
      <c r="AG2053"/>
      <c r="AH2053"/>
    </row>
    <row r="2054" spans="23:34" x14ac:dyDescent="0.25">
      <c r="W2054"/>
      <c r="X2054"/>
      <c r="Z2054" s="78"/>
      <c r="AA2054" s="78"/>
      <c r="AG2054"/>
      <c r="AH2054"/>
    </row>
    <row r="2055" spans="23:34" x14ac:dyDescent="0.25">
      <c r="W2055"/>
      <c r="X2055"/>
      <c r="Z2055" s="78"/>
      <c r="AA2055" s="78"/>
      <c r="AG2055"/>
      <c r="AH2055"/>
    </row>
    <row r="2056" spans="23:34" x14ac:dyDescent="0.25">
      <c r="W2056"/>
      <c r="X2056"/>
      <c r="Z2056" s="78"/>
      <c r="AA2056" s="78"/>
      <c r="AG2056"/>
      <c r="AH2056"/>
    </row>
    <row r="2057" spans="23:34" x14ac:dyDescent="0.25">
      <c r="W2057"/>
      <c r="X2057"/>
      <c r="Z2057" s="78"/>
      <c r="AA2057" s="78"/>
      <c r="AG2057"/>
      <c r="AH2057"/>
    </row>
    <row r="2058" spans="23:34" x14ac:dyDescent="0.25">
      <c r="W2058"/>
      <c r="X2058"/>
      <c r="Z2058" s="78"/>
      <c r="AA2058" s="78"/>
      <c r="AG2058"/>
      <c r="AH2058"/>
    </row>
    <row r="2059" spans="23:34" x14ac:dyDescent="0.25">
      <c r="W2059"/>
      <c r="X2059"/>
      <c r="Z2059" s="78"/>
      <c r="AA2059" s="78"/>
      <c r="AG2059"/>
      <c r="AH2059"/>
    </row>
    <row r="2060" spans="23:34" x14ac:dyDescent="0.25">
      <c r="W2060"/>
      <c r="X2060"/>
      <c r="Z2060" s="78"/>
      <c r="AA2060" s="78"/>
      <c r="AG2060"/>
      <c r="AH2060"/>
    </row>
    <row r="2061" spans="23:34" x14ac:dyDescent="0.25">
      <c r="W2061"/>
      <c r="X2061"/>
      <c r="Z2061" s="78"/>
      <c r="AA2061" s="78"/>
      <c r="AG2061"/>
      <c r="AH2061"/>
    </row>
    <row r="2062" spans="23:34" x14ac:dyDescent="0.25">
      <c r="W2062"/>
      <c r="X2062"/>
      <c r="Z2062" s="78"/>
      <c r="AA2062" s="78"/>
      <c r="AG2062"/>
      <c r="AH2062"/>
    </row>
    <row r="2063" spans="23:34" x14ac:dyDescent="0.25">
      <c r="W2063"/>
      <c r="X2063"/>
      <c r="Z2063" s="78"/>
      <c r="AA2063" s="78"/>
      <c r="AG2063"/>
      <c r="AH2063"/>
    </row>
    <row r="2064" spans="23:34" x14ac:dyDescent="0.25">
      <c r="W2064"/>
      <c r="X2064"/>
      <c r="Z2064" s="78"/>
      <c r="AA2064" s="78"/>
      <c r="AG2064"/>
      <c r="AH2064"/>
    </row>
    <row r="2065" spans="23:34" x14ac:dyDescent="0.25">
      <c r="W2065"/>
      <c r="X2065"/>
      <c r="Z2065" s="78"/>
      <c r="AA2065" s="78"/>
      <c r="AG2065"/>
      <c r="AH2065"/>
    </row>
    <row r="2066" spans="23:34" x14ac:dyDescent="0.25">
      <c r="W2066"/>
      <c r="X2066"/>
      <c r="Z2066" s="78"/>
      <c r="AA2066" s="78"/>
      <c r="AG2066"/>
      <c r="AH2066"/>
    </row>
    <row r="2067" spans="23:34" x14ac:dyDescent="0.25">
      <c r="W2067"/>
      <c r="X2067"/>
      <c r="Z2067" s="78"/>
      <c r="AA2067" s="78"/>
      <c r="AG2067"/>
      <c r="AH2067"/>
    </row>
    <row r="2068" spans="23:34" x14ac:dyDescent="0.25">
      <c r="W2068"/>
      <c r="X2068"/>
      <c r="Z2068" s="78"/>
      <c r="AA2068" s="78"/>
      <c r="AG2068"/>
      <c r="AH2068"/>
    </row>
    <row r="2069" spans="23:34" x14ac:dyDescent="0.25">
      <c r="W2069"/>
      <c r="X2069"/>
      <c r="Z2069" s="78"/>
      <c r="AA2069" s="78"/>
      <c r="AG2069"/>
      <c r="AH2069"/>
    </row>
    <row r="2070" spans="23:34" x14ac:dyDescent="0.25">
      <c r="W2070"/>
      <c r="X2070"/>
      <c r="Z2070" s="78"/>
      <c r="AA2070" s="78"/>
      <c r="AG2070"/>
      <c r="AH2070"/>
    </row>
    <row r="2071" spans="23:34" x14ac:dyDescent="0.25">
      <c r="W2071"/>
      <c r="X2071"/>
      <c r="Z2071" s="78"/>
      <c r="AA2071" s="78"/>
      <c r="AG2071"/>
      <c r="AH2071"/>
    </row>
    <row r="2072" spans="23:34" x14ac:dyDescent="0.25">
      <c r="W2072"/>
      <c r="X2072"/>
      <c r="Z2072" s="78"/>
      <c r="AA2072" s="78"/>
      <c r="AG2072"/>
      <c r="AH2072"/>
    </row>
    <row r="2073" spans="23:34" x14ac:dyDescent="0.25">
      <c r="W2073"/>
      <c r="X2073"/>
      <c r="Z2073" s="78"/>
      <c r="AA2073" s="78"/>
      <c r="AG2073"/>
      <c r="AH2073"/>
    </row>
    <row r="2074" spans="23:34" x14ac:dyDescent="0.25">
      <c r="W2074"/>
      <c r="X2074"/>
      <c r="Z2074" s="78"/>
      <c r="AA2074" s="78"/>
      <c r="AG2074"/>
      <c r="AH2074"/>
    </row>
    <row r="2075" spans="23:34" x14ac:dyDescent="0.25">
      <c r="W2075"/>
      <c r="X2075"/>
      <c r="Z2075" s="78"/>
      <c r="AA2075" s="78"/>
      <c r="AG2075"/>
      <c r="AH2075"/>
    </row>
    <row r="2076" spans="23:34" x14ac:dyDescent="0.25">
      <c r="W2076"/>
      <c r="X2076"/>
      <c r="Z2076" s="78"/>
      <c r="AA2076" s="78"/>
      <c r="AG2076"/>
      <c r="AH2076"/>
    </row>
    <row r="2077" spans="23:34" x14ac:dyDescent="0.25">
      <c r="W2077"/>
      <c r="X2077"/>
      <c r="Z2077" s="78"/>
      <c r="AA2077" s="78"/>
      <c r="AG2077"/>
      <c r="AH2077"/>
    </row>
    <row r="2078" spans="23:34" x14ac:dyDescent="0.25">
      <c r="W2078"/>
      <c r="X2078"/>
      <c r="Z2078" s="78"/>
      <c r="AA2078" s="78"/>
      <c r="AG2078"/>
      <c r="AH2078"/>
    </row>
    <row r="2079" spans="23:34" x14ac:dyDescent="0.25">
      <c r="W2079"/>
      <c r="X2079"/>
      <c r="Z2079" s="78"/>
      <c r="AA2079" s="78"/>
      <c r="AG2079"/>
      <c r="AH2079"/>
    </row>
    <row r="2080" spans="23:34" x14ac:dyDescent="0.25">
      <c r="W2080"/>
      <c r="X2080"/>
      <c r="Z2080" s="78"/>
      <c r="AA2080" s="78"/>
      <c r="AG2080"/>
      <c r="AH2080"/>
    </row>
    <row r="2081" spans="23:34" x14ac:dyDescent="0.25">
      <c r="W2081"/>
      <c r="X2081"/>
      <c r="Z2081" s="78"/>
      <c r="AA2081" s="78"/>
      <c r="AG2081"/>
      <c r="AH2081"/>
    </row>
    <row r="2082" spans="23:34" x14ac:dyDescent="0.25">
      <c r="W2082"/>
      <c r="X2082"/>
      <c r="Z2082" s="78"/>
      <c r="AA2082" s="78"/>
      <c r="AG2082"/>
      <c r="AH2082"/>
    </row>
    <row r="2083" spans="23:34" x14ac:dyDescent="0.25">
      <c r="W2083"/>
      <c r="X2083"/>
      <c r="Z2083" s="78"/>
      <c r="AA2083" s="78"/>
      <c r="AG2083"/>
      <c r="AH2083"/>
    </row>
    <row r="2084" spans="23:34" x14ac:dyDescent="0.25">
      <c r="W2084"/>
      <c r="X2084"/>
      <c r="Z2084" s="78"/>
      <c r="AA2084" s="78"/>
      <c r="AG2084"/>
      <c r="AH2084"/>
    </row>
    <row r="2085" spans="23:34" x14ac:dyDescent="0.25">
      <c r="W2085"/>
      <c r="X2085"/>
      <c r="Z2085" s="78"/>
      <c r="AA2085" s="78"/>
      <c r="AG2085"/>
      <c r="AH2085"/>
    </row>
    <row r="2086" spans="23:34" x14ac:dyDescent="0.25">
      <c r="W2086"/>
      <c r="X2086"/>
      <c r="Z2086" s="78"/>
      <c r="AA2086" s="78"/>
      <c r="AG2086"/>
      <c r="AH2086"/>
    </row>
    <row r="2087" spans="23:34" x14ac:dyDescent="0.25">
      <c r="W2087"/>
      <c r="X2087"/>
      <c r="Z2087" s="78"/>
      <c r="AA2087" s="78"/>
      <c r="AG2087"/>
      <c r="AH2087"/>
    </row>
    <row r="2088" spans="23:34" x14ac:dyDescent="0.25">
      <c r="W2088"/>
      <c r="X2088"/>
      <c r="Z2088" s="78"/>
      <c r="AA2088" s="78"/>
      <c r="AG2088"/>
      <c r="AH2088"/>
    </row>
    <row r="2089" spans="23:34" x14ac:dyDescent="0.25">
      <c r="W2089"/>
      <c r="X2089"/>
      <c r="Z2089" s="78"/>
      <c r="AA2089" s="78"/>
      <c r="AG2089"/>
      <c r="AH2089"/>
    </row>
    <row r="2090" spans="23:34" x14ac:dyDescent="0.25">
      <c r="W2090"/>
      <c r="X2090"/>
      <c r="Z2090" s="78"/>
      <c r="AA2090" s="78"/>
      <c r="AG2090"/>
      <c r="AH2090"/>
    </row>
    <row r="2091" spans="23:34" x14ac:dyDescent="0.25">
      <c r="W2091"/>
      <c r="X2091"/>
      <c r="Z2091" s="78"/>
      <c r="AA2091" s="78"/>
      <c r="AG2091"/>
      <c r="AH2091"/>
    </row>
    <row r="2092" spans="23:34" x14ac:dyDescent="0.25">
      <c r="W2092"/>
      <c r="X2092"/>
      <c r="Z2092" s="78"/>
      <c r="AA2092" s="78"/>
      <c r="AG2092"/>
      <c r="AH2092"/>
    </row>
    <row r="2093" spans="23:34" x14ac:dyDescent="0.25">
      <c r="W2093"/>
      <c r="X2093"/>
      <c r="Z2093" s="78"/>
      <c r="AA2093" s="78"/>
      <c r="AG2093"/>
      <c r="AH2093"/>
    </row>
    <row r="2094" spans="23:34" x14ac:dyDescent="0.25">
      <c r="W2094"/>
      <c r="X2094"/>
      <c r="Z2094" s="78"/>
      <c r="AA2094" s="78"/>
      <c r="AG2094"/>
      <c r="AH2094"/>
    </row>
    <row r="2095" spans="23:34" x14ac:dyDescent="0.25">
      <c r="W2095"/>
      <c r="X2095"/>
      <c r="Z2095" s="78"/>
      <c r="AA2095" s="78"/>
      <c r="AG2095"/>
      <c r="AH2095"/>
    </row>
    <row r="2096" spans="23:34" x14ac:dyDescent="0.25">
      <c r="W2096"/>
      <c r="X2096"/>
      <c r="Z2096" s="78"/>
      <c r="AA2096" s="78"/>
      <c r="AG2096"/>
      <c r="AH2096"/>
    </row>
    <row r="2097" spans="23:34" x14ac:dyDescent="0.25">
      <c r="W2097"/>
      <c r="X2097"/>
      <c r="Z2097" s="78"/>
      <c r="AA2097" s="78"/>
      <c r="AG2097"/>
      <c r="AH2097"/>
    </row>
    <row r="2098" spans="23:34" x14ac:dyDescent="0.25">
      <c r="W2098"/>
      <c r="X2098"/>
      <c r="Z2098" s="78"/>
      <c r="AA2098" s="78"/>
      <c r="AG2098"/>
      <c r="AH2098"/>
    </row>
    <row r="2099" spans="23:34" x14ac:dyDescent="0.25">
      <c r="W2099"/>
      <c r="X2099"/>
      <c r="Z2099" s="78"/>
      <c r="AA2099" s="78"/>
      <c r="AG2099"/>
      <c r="AH2099"/>
    </row>
    <row r="2100" spans="23:34" x14ac:dyDescent="0.25">
      <c r="W2100"/>
      <c r="X2100"/>
      <c r="Z2100" s="78"/>
      <c r="AA2100" s="78"/>
      <c r="AG2100"/>
      <c r="AH2100"/>
    </row>
    <row r="2101" spans="23:34" x14ac:dyDescent="0.25">
      <c r="W2101"/>
      <c r="X2101"/>
      <c r="Z2101" s="78"/>
      <c r="AA2101" s="78"/>
      <c r="AG2101"/>
      <c r="AH2101"/>
    </row>
    <row r="2102" spans="23:34" x14ac:dyDescent="0.25">
      <c r="W2102"/>
      <c r="X2102"/>
      <c r="Z2102" s="78"/>
      <c r="AA2102" s="78"/>
      <c r="AG2102"/>
      <c r="AH2102"/>
    </row>
    <row r="2103" spans="23:34" x14ac:dyDescent="0.25">
      <c r="W2103"/>
      <c r="X2103"/>
      <c r="Z2103" s="78"/>
      <c r="AA2103" s="78"/>
      <c r="AG2103"/>
      <c r="AH2103"/>
    </row>
    <row r="2104" spans="23:34" x14ac:dyDescent="0.25">
      <c r="W2104"/>
      <c r="X2104"/>
      <c r="Z2104" s="78"/>
      <c r="AA2104" s="78"/>
      <c r="AG2104"/>
      <c r="AH2104"/>
    </row>
    <row r="2105" spans="23:34" x14ac:dyDescent="0.25">
      <c r="W2105"/>
      <c r="X2105"/>
      <c r="Z2105" s="78"/>
      <c r="AA2105" s="78"/>
      <c r="AG2105"/>
      <c r="AH2105"/>
    </row>
    <row r="2106" spans="23:34" x14ac:dyDescent="0.25">
      <c r="W2106"/>
      <c r="X2106"/>
      <c r="Z2106" s="78"/>
      <c r="AA2106" s="78"/>
      <c r="AG2106"/>
      <c r="AH2106"/>
    </row>
    <row r="2107" spans="23:34" x14ac:dyDescent="0.25">
      <c r="W2107"/>
      <c r="X2107"/>
      <c r="Z2107" s="78"/>
      <c r="AA2107" s="78"/>
      <c r="AG2107"/>
      <c r="AH2107"/>
    </row>
    <row r="2108" spans="23:34" x14ac:dyDescent="0.25">
      <c r="W2108"/>
      <c r="X2108"/>
      <c r="Z2108" s="78"/>
      <c r="AA2108" s="78"/>
      <c r="AG2108"/>
      <c r="AH2108"/>
    </row>
    <row r="2109" spans="23:34" x14ac:dyDescent="0.25">
      <c r="W2109"/>
      <c r="X2109"/>
      <c r="Z2109" s="78"/>
      <c r="AA2109" s="78"/>
      <c r="AG2109"/>
      <c r="AH2109"/>
    </row>
    <row r="2110" spans="23:34" x14ac:dyDescent="0.25">
      <c r="W2110"/>
      <c r="X2110"/>
      <c r="Z2110" s="78"/>
      <c r="AA2110" s="78"/>
      <c r="AG2110"/>
      <c r="AH2110"/>
    </row>
    <row r="2111" spans="23:34" x14ac:dyDescent="0.25">
      <c r="W2111"/>
      <c r="X2111"/>
      <c r="Z2111" s="78"/>
      <c r="AA2111" s="78"/>
      <c r="AG2111"/>
      <c r="AH2111"/>
    </row>
    <row r="2112" spans="23:34" x14ac:dyDescent="0.25">
      <c r="W2112"/>
      <c r="X2112"/>
      <c r="Z2112" s="78"/>
      <c r="AA2112" s="78"/>
      <c r="AG2112"/>
      <c r="AH2112"/>
    </row>
    <row r="2113" spans="23:34" x14ac:dyDescent="0.25">
      <c r="W2113"/>
      <c r="X2113"/>
      <c r="Z2113" s="78"/>
      <c r="AA2113" s="78"/>
      <c r="AG2113"/>
      <c r="AH2113"/>
    </row>
    <row r="2114" spans="23:34" x14ac:dyDescent="0.25">
      <c r="W2114"/>
      <c r="X2114"/>
      <c r="Z2114" s="78"/>
      <c r="AA2114" s="78"/>
      <c r="AG2114"/>
      <c r="AH2114"/>
    </row>
    <row r="2115" spans="23:34" x14ac:dyDescent="0.25">
      <c r="W2115"/>
      <c r="X2115"/>
      <c r="Z2115" s="78"/>
      <c r="AA2115" s="78"/>
      <c r="AG2115"/>
      <c r="AH2115"/>
    </row>
    <row r="2116" spans="23:34" x14ac:dyDescent="0.25">
      <c r="W2116"/>
      <c r="X2116"/>
      <c r="Z2116" s="78"/>
      <c r="AA2116" s="78"/>
      <c r="AG2116"/>
      <c r="AH2116"/>
    </row>
    <row r="2117" spans="23:34" x14ac:dyDescent="0.25">
      <c r="W2117"/>
      <c r="X2117"/>
      <c r="Z2117" s="78"/>
      <c r="AA2117" s="78"/>
      <c r="AG2117"/>
      <c r="AH2117"/>
    </row>
    <row r="2118" spans="23:34" x14ac:dyDescent="0.25">
      <c r="W2118"/>
      <c r="X2118"/>
      <c r="Z2118" s="78"/>
      <c r="AA2118" s="78"/>
      <c r="AG2118"/>
      <c r="AH2118"/>
    </row>
    <row r="2119" spans="23:34" x14ac:dyDescent="0.25">
      <c r="W2119"/>
      <c r="X2119"/>
      <c r="Z2119" s="78"/>
      <c r="AA2119" s="78"/>
      <c r="AG2119"/>
      <c r="AH2119"/>
    </row>
    <row r="2120" spans="23:34" x14ac:dyDescent="0.25">
      <c r="W2120"/>
      <c r="X2120"/>
      <c r="Z2120" s="78"/>
      <c r="AA2120" s="78"/>
      <c r="AG2120"/>
      <c r="AH2120"/>
    </row>
    <row r="2121" spans="23:34" x14ac:dyDescent="0.25">
      <c r="W2121"/>
      <c r="X2121"/>
      <c r="Z2121" s="78"/>
      <c r="AA2121" s="78"/>
      <c r="AG2121"/>
      <c r="AH2121"/>
    </row>
    <row r="2122" spans="23:34" x14ac:dyDescent="0.25">
      <c r="W2122"/>
      <c r="X2122"/>
      <c r="Z2122" s="78"/>
      <c r="AA2122" s="78"/>
      <c r="AG2122"/>
      <c r="AH2122"/>
    </row>
    <row r="2123" spans="23:34" x14ac:dyDescent="0.25">
      <c r="W2123"/>
      <c r="X2123"/>
      <c r="Z2123" s="78"/>
      <c r="AA2123" s="78"/>
      <c r="AG2123"/>
      <c r="AH2123"/>
    </row>
    <row r="2124" spans="23:34" x14ac:dyDescent="0.25">
      <c r="W2124"/>
      <c r="X2124"/>
      <c r="Z2124" s="78"/>
      <c r="AA2124" s="78"/>
      <c r="AG2124"/>
      <c r="AH2124"/>
    </row>
    <row r="2125" spans="23:34" x14ac:dyDescent="0.25">
      <c r="W2125"/>
      <c r="X2125"/>
      <c r="Z2125" s="78"/>
      <c r="AA2125" s="78"/>
      <c r="AG2125"/>
      <c r="AH2125"/>
    </row>
    <row r="2126" spans="23:34" x14ac:dyDescent="0.25">
      <c r="W2126"/>
      <c r="X2126"/>
      <c r="Z2126" s="78"/>
      <c r="AA2126" s="78"/>
      <c r="AG2126"/>
      <c r="AH2126"/>
    </row>
    <row r="2127" spans="23:34" x14ac:dyDescent="0.25">
      <c r="W2127"/>
      <c r="X2127"/>
      <c r="Z2127" s="78"/>
      <c r="AA2127" s="78"/>
      <c r="AG2127"/>
      <c r="AH2127"/>
    </row>
    <row r="2128" spans="23:34" x14ac:dyDescent="0.25">
      <c r="W2128"/>
      <c r="X2128"/>
      <c r="Z2128" s="78"/>
      <c r="AA2128" s="78"/>
      <c r="AG2128"/>
      <c r="AH2128"/>
    </row>
    <row r="2129" spans="23:34" x14ac:dyDescent="0.25">
      <c r="W2129"/>
      <c r="X2129"/>
      <c r="Z2129" s="78"/>
      <c r="AA2129" s="78"/>
      <c r="AG2129"/>
      <c r="AH2129"/>
    </row>
    <row r="2130" spans="23:34" x14ac:dyDescent="0.25">
      <c r="W2130"/>
      <c r="X2130"/>
      <c r="Z2130" s="78"/>
      <c r="AA2130" s="78"/>
      <c r="AG2130"/>
      <c r="AH2130"/>
    </row>
    <row r="2131" spans="23:34" x14ac:dyDescent="0.25">
      <c r="W2131"/>
      <c r="X2131"/>
      <c r="Z2131" s="78"/>
      <c r="AA2131" s="78"/>
      <c r="AG2131"/>
      <c r="AH2131"/>
    </row>
    <row r="2132" spans="23:34" x14ac:dyDescent="0.25">
      <c r="W2132"/>
      <c r="X2132"/>
      <c r="Z2132" s="78"/>
      <c r="AA2132" s="78"/>
      <c r="AG2132"/>
      <c r="AH2132"/>
    </row>
    <row r="2133" spans="23:34" x14ac:dyDescent="0.25">
      <c r="W2133"/>
      <c r="X2133"/>
      <c r="Z2133" s="78"/>
      <c r="AA2133" s="78"/>
      <c r="AG2133"/>
      <c r="AH2133"/>
    </row>
    <row r="2134" spans="23:34" x14ac:dyDescent="0.25">
      <c r="W2134"/>
      <c r="X2134"/>
      <c r="Z2134" s="78"/>
      <c r="AA2134" s="78"/>
      <c r="AG2134"/>
      <c r="AH2134"/>
    </row>
    <row r="2135" spans="23:34" x14ac:dyDescent="0.25">
      <c r="W2135"/>
      <c r="X2135"/>
      <c r="Z2135" s="78"/>
      <c r="AA2135" s="78"/>
      <c r="AG2135"/>
      <c r="AH2135"/>
    </row>
    <row r="2136" spans="23:34" x14ac:dyDescent="0.25">
      <c r="W2136"/>
      <c r="X2136"/>
      <c r="Z2136" s="78"/>
      <c r="AA2136" s="78"/>
      <c r="AG2136"/>
      <c r="AH2136"/>
    </row>
    <row r="2137" spans="23:34" x14ac:dyDescent="0.25">
      <c r="W2137"/>
      <c r="X2137"/>
      <c r="Z2137" s="78"/>
      <c r="AA2137" s="78"/>
      <c r="AG2137"/>
      <c r="AH2137"/>
    </row>
    <row r="2138" spans="23:34" x14ac:dyDescent="0.25">
      <c r="W2138"/>
      <c r="X2138"/>
      <c r="Z2138" s="78"/>
      <c r="AA2138" s="78"/>
      <c r="AG2138"/>
      <c r="AH2138"/>
    </row>
    <row r="2139" spans="23:34" x14ac:dyDescent="0.25">
      <c r="W2139"/>
      <c r="X2139"/>
      <c r="Z2139" s="78"/>
      <c r="AA2139" s="78"/>
      <c r="AG2139"/>
      <c r="AH2139"/>
    </row>
    <row r="2140" spans="23:34" x14ac:dyDescent="0.25">
      <c r="W2140"/>
      <c r="X2140"/>
      <c r="Z2140" s="78"/>
      <c r="AA2140" s="78"/>
      <c r="AG2140"/>
      <c r="AH2140"/>
    </row>
    <row r="2141" spans="23:34" x14ac:dyDescent="0.25">
      <c r="W2141"/>
      <c r="X2141"/>
      <c r="Z2141" s="78"/>
      <c r="AA2141" s="78"/>
      <c r="AG2141"/>
      <c r="AH2141"/>
    </row>
    <row r="2142" spans="23:34" x14ac:dyDescent="0.25">
      <c r="W2142"/>
      <c r="X2142"/>
      <c r="Z2142" s="78"/>
      <c r="AA2142" s="78"/>
      <c r="AG2142"/>
      <c r="AH2142"/>
    </row>
    <row r="2143" spans="23:34" x14ac:dyDescent="0.25">
      <c r="W2143"/>
      <c r="X2143"/>
      <c r="Z2143" s="78"/>
      <c r="AA2143" s="78"/>
      <c r="AG2143"/>
      <c r="AH2143"/>
    </row>
    <row r="2144" spans="23:34" x14ac:dyDescent="0.25">
      <c r="W2144"/>
      <c r="X2144"/>
      <c r="Z2144" s="78"/>
      <c r="AA2144" s="78"/>
      <c r="AG2144"/>
      <c r="AH2144"/>
    </row>
    <row r="2145" spans="23:34" x14ac:dyDescent="0.25">
      <c r="W2145"/>
      <c r="X2145"/>
      <c r="Z2145" s="78"/>
      <c r="AA2145" s="78"/>
      <c r="AG2145"/>
      <c r="AH2145"/>
    </row>
    <row r="2146" spans="23:34" x14ac:dyDescent="0.25">
      <c r="W2146"/>
      <c r="X2146"/>
      <c r="Z2146" s="78"/>
      <c r="AA2146" s="78"/>
      <c r="AG2146"/>
      <c r="AH2146"/>
    </row>
    <row r="2147" spans="23:34" x14ac:dyDescent="0.25">
      <c r="W2147"/>
      <c r="X2147"/>
      <c r="Z2147" s="78"/>
      <c r="AA2147" s="78"/>
      <c r="AG2147"/>
      <c r="AH2147"/>
    </row>
    <row r="2148" spans="23:34" x14ac:dyDescent="0.25">
      <c r="W2148"/>
      <c r="X2148"/>
      <c r="Z2148" s="78"/>
      <c r="AA2148" s="78"/>
      <c r="AG2148"/>
      <c r="AH2148"/>
    </row>
    <row r="2149" spans="23:34" x14ac:dyDescent="0.25">
      <c r="W2149"/>
      <c r="X2149"/>
      <c r="Z2149" s="78"/>
      <c r="AA2149" s="78"/>
      <c r="AG2149"/>
      <c r="AH2149"/>
    </row>
    <row r="2150" spans="23:34" x14ac:dyDescent="0.25">
      <c r="W2150"/>
      <c r="X2150"/>
      <c r="Z2150" s="78"/>
      <c r="AA2150" s="78"/>
      <c r="AG2150"/>
      <c r="AH2150"/>
    </row>
    <row r="2151" spans="23:34" x14ac:dyDescent="0.25">
      <c r="W2151"/>
      <c r="X2151"/>
      <c r="Z2151" s="78"/>
      <c r="AA2151" s="78"/>
      <c r="AG2151"/>
      <c r="AH2151"/>
    </row>
    <row r="2152" spans="23:34" x14ac:dyDescent="0.25">
      <c r="W2152"/>
      <c r="X2152"/>
      <c r="Z2152" s="78"/>
      <c r="AA2152" s="78"/>
      <c r="AG2152"/>
      <c r="AH2152"/>
    </row>
    <row r="2153" spans="23:34" x14ac:dyDescent="0.25">
      <c r="W2153"/>
      <c r="X2153"/>
      <c r="Z2153" s="78"/>
      <c r="AA2153" s="78"/>
      <c r="AG2153"/>
      <c r="AH2153"/>
    </row>
    <row r="2154" spans="23:34" x14ac:dyDescent="0.25">
      <c r="W2154"/>
      <c r="X2154"/>
      <c r="Z2154" s="78"/>
      <c r="AA2154" s="78"/>
      <c r="AG2154"/>
      <c r="AH2154"/>
    </row>
    <row r="2155" spans="23:34" x14ac:dyDescent="0.25">
      <c r="W2155"/>
      <c r="X2155"/>
      <c r="Z2155" s="78"/>
      <c r="AA2155" s="78"/>
      <c r="AG2155"/>
      <c r="AH2155"/>
    </row>
    <row r="2156" spans="23:34" x14ac:dyDescent="0.25">
      <c r="W2156"/>
      <c r="X2156"/>
      <c r="Z2156" s="78"/>
      <c r="AA2156" s="78"/>
      <c r="AG2156"/>
      <c r="AH2156"/>
    </row>
    <row r="2157" spans="23:34" x14ac:dyDescent="0.25">
      <c r="W2157"/>
      <c r="X2157"/>
      <c r="Z2157" s="78"/>
      <c r="AA2157" s="78"/>
      <c r="AG2157"/>
      <c r="AH2157"/>
    </row>
    <row r="2158" spans="23:34" x14ac:dyDescent="0.25">
      <c r="W2158"/>
      <c r="X2158"/>
      <c r="Z2158" s="78"/>
      <c r="AA2158" s="78"/>
      <c r="AG2158"/>
      <c r="AH2158"/>
    </row>
    <row r="2159" spans="23:34" x14ac:dyDescent="0.25">
      <c r="W2159"/>
      <c r="X2159"/>
      <c r="Z2159" s="78"/>
      <c r="AA2159" s="78"/>
      <c r="AG2159"/>
      <c r="AH2159"/>
    </row>
    <row r="2160" spans="23:34" x14ac:dyDescent="0.25">
      <c r="W2160"/>
      <c r="X2160"/>
      <c r="Z2160" s="78"/>
      <c r="AA2160" s="78"/>
      <c r="AG2160"/>
      <c r="AH2160"/>
    </row>
    <row r="2161" spans="23:34" x14ac:dyDescent="0.25">
      <c r="W2161"/>
      <c r="X2161"/>
      <c r="Z2161" s="78"/>
      <c r="AA2161" s="78"/>
      <c r="AG2161"/>
      <c r="AH2161"/>
    </row>
    <row r="2162" spans="23:34" x14ac:dyDescent="0.25">
      <c r="W2162"/>
      <c r="X2162"/>
      <c r="Z2162" s="78"/>
      <c r="AA2162" s="78"/>
      <c r="AG2162"/>
      <c r="AH2162"/>
    </row>
    <row r="2163" spans="23:34" x14ac:dyDescent="0.25">
      <c r="W2163"/>
      <c r="X2163"/>
      <c r="Z2163" s="78"/>
      <c r="AA2163" s="78"/>
      <c r="AG2163"/>
      <c r="AH2163"/>
    </row>
    <row r="2164" spans="23:34" x14ac:dyDescent="0.25">
      <c r="W2164"/>
      <c r="X2164"/>
      <c r="Z2164" s="78"/>
      <c r="AA2164" s="78"/>
      <c r="AG2164"/>
      <c r="AH2164"/>
    </row>
    <row r="2165" spans="23:34" x14ac:dyDescent="0.25">
      <c r="W2165"/>
      <c r="X2165"/>
      <c r="Z2165" s="78"/>
      <c r="AA2165" s="78"/>
      <c r="AG2165"/>
      <c r="AH2165"/>
    </row>
    <row r="2166" spans="23:34" x14ac:dyDescent="0.25">
      <c r="W2166"/>
      <c r="X2166"/>
      <c r="Z2166" s="78"/>
      <c r="AA2166" s="78"/>
      <c r="AG2166"/>
      <c r="AH2166"/>
    </row>
    <row r="2167" spans="23:34" x14ac:dyDescent="0.25">
      <c r="W2167"/>
      <c r="X2167"/>
      <c r="Z2167" s="78"/>
      <c r="AA2167" s="78"/>
      <c r="AG2167"/>
      <c r="AH2167"/>
    </row>
    <row r="2168" spans="23:34" x14ac:dyDescent="0.25">
      <c r="W2168"/>
      <c r="X2168"/>
      <c r="Z2168" s="78"/>
      <c r="AA2168" s="78"/>
      <c r="AG2168"/>
      <c r="AH2168"/>
    </row>
    <row r="2169" spans="23:34" x14ac:dyDescent="0.25">
      <c r="W2169"/>
      <c r="X2169"/>
      <c r="Z2169" s="78"/>
      <c r="AA2169" s="78"/>
      <c r="AG2169"/>
      <c r="AH2169"/>
    </row>
    <row r="2170" spans="23:34" x14ac:dyDescent="0.25">
      <c r="W2170"/>
      <c r="X2170"/>
      <c r="Z2170" s="78"/>
      <c r="AA2170" s="78"/>
      <c r="AG2170"/>
      <c r="AH2170"/>
    </row>
    <row r="2171" spans="23:34" x14ac:dyDescent="0.25">
      <c r="W2171"/>
      <c r="X2171"/>
      <c r="Z2171" s="78"/>
      <c r="AA2171" s="78"/>
      <c r="AG2171"/>
      <c r="AH2171"/>
    </row>
    <row r="2172" spans="23:34" x14ac:dyDescent="0.25">
      <c r="W2172"/>
      <c r="X2172"/>
      <c r="Z2172" s="78"/>
      <c r="AA2172" s="78"/>
      <c r="AG2172"/>
      <c r="AH2172"/>
    </row>
    <row r="2173" spans="23:34" x14ac:dyDescent="0.25">
      <c r="W2173"/>
      <c r="X2173"/>
      <c r="Z2173" s="78"/>
      <c r="AA2173" s="78"/>
      <c r="AG2173"/>
      <c r="AH2173"/>
    </row>
    <row r="2174" spans="23:34" x14ac:dyDescent="0.25">
      <c r="W2174"/>
      <c r="X2174"/>
      <c r="Z2174" s="78"/>
      <c r="AA2174" s="78"/>
      <c r="AG2174"/>
      <c r="AH2174"/>
    </row>
    <row r="2175" spans="23:34" x14ac:dyDescent="0.25">
      <c r="W2175"/>
      <c r="X2175"/>
      <c r="Z2175" s="78"/>
      <c r="AA2175" s="78"/>
      <c r="AG2175"/>
      <c r="AH2175"/>
    </row>
    <row r="2176" spans="23:34" x14ac:dyDescent="0.25">
      <c r="W2176"/>
      <c r="X2176"/>
      <c r="Z2176" s="78"/>
      <c r="AA2176" s="78"/>
      <c r="AG2176"/>
      <c r="AH2176"/>
    </row>
    <row r="2177" spans="23:34" x14ac:dyDescent="0.25">
      <c r="W2177"/>
      <c r="X2177"/>
      <c r="Z2177" s="78"/>
      <c r="AA2177" s="78"/>
      <c r="AG2177"/>
      <c r="AH2177"/>
    </row>
    <row r="2178" spans="23:34" x14ac:dyDescent="0.25">
      <c r="W2178"/>
      <c r="X2178"/>
      <c r="Z2178" s="78"/>
      <c r="AA2178" s="78"/>
      <c r="AG2178"/>
      <c r="AH2178"/>
    </row>
    <row r="2179" spans="23:34" x14ac:dyDescent="0.25">
      <c r="W2179"/>
      <c r="X2179"/>
      <c r="Z2179" s="78"/>
      <c r="AA2179" s="78"/>
      <c r="AG2179"/>
      <c r="AH2179"/>
    </row>
    <row r="2180" spans="23:34" x14ac:dyDescent="0.25">
      <c r="W2180"/>
      <c r="X2180"/>
      <c r="Z2180" s="78"/>
      <c r="AA2180" s="78"/>
      <c r="AG2180"/>
      <c r="AH2180"/>
    </row>
    <row r="2181" spans="23:34" x14ac:dyDescent="0.25">
      <c r="W2181"/>
      <c r="X2181"/>
      <c r="Z2181" s="78"/>
      <c r="AA2181" s="78"/>
      <c r="AG2181"/>
      <c r="AH2181"/>
    </row>
    <row r="2182" spans="23:34" x14ac:dyDescent="0.25">
      <c r="W2182"/>
      <c r="X2182"/>
      <c r="Z2182" s="78"/>
      <c r="AA2182" s="78"/>
      <c r="AG2182"/>
      <c r="AH2182"/>
    </row>
    <row r="2183" spans="23:34" x14ac:dyDescent="0.25">
      <c r="W2183"/>
      <c r="X2183"/>
      <c r="Z2183" s="78"/>
      <c r="AA2183" s="78"/>
      <c r="AG2183"/>
      <c r="AH2183"/>
    </row>
    <row r="2184" spans="23:34" x14ac:dyDescent="0.25">
      <c r="W2184"/>
      <c r="X2184"/>
      <c r="Z2184" s="78"/>
      <c r="AA2184" s="78"/>
      <c r="AG2184"/>
      <c r="AH2184"/>
    </row>
    <row r="2185" spans="23:34" x14ac:dyDescent="0.25">
      <c r="W2185"/>
      <c r="X2185"/>
      <c r="Z2185" s="78"/>
      <c r="AA2185" s="78"/>
      <c r="AG2185"/>
      <c r="AH2185"/>
    </row>
    <row r="2186" spans="23:34" x14ac:dyDescent="0.25">
      <c r="W2186"/>
      <c r="X2186"/>
      <c r="Z2186" s="78"/>
      <c r="AA2186" s="78"/>
      <c r="AG2186"/>
      <c r="AH2186"/>
    </row>
    <row r="2187" spans="23:34" x14ac:dyDescent="0.25">
      <c r="W2187"/>
      <c r="X2187"/>
      <c r="Z2187" s="78"/>
      <c r="AA2187" s="78"/>
      <c r="AG2187"/>
      <c r="AH2187"/>
    </row>
    <row r="2188" spans="23:34" x14ac:dyDescent="0.25">
      <c r="W2188"/>
      <c r="X2188"/>
      <c r="Z2188" s="78"/>
      <c r="AA2188" s="78"/>
      <c r="AG2188"/>
      <c r="AH2188"/>
    </row>
    <row r="2189" spans="23:34" x14ac:dyDescent="0.25">
      <c r="W2189"/>
      <c r="X2189"/>
      <c r="Z2189" s="78"/>
      <c r="AA2189" s="78"/>
      <c r="AG2189"/>
      <c r="AH2189"/>
    </row>
    <row r="2190" spans="23:34" x14ac:dyDescent="0.25">
      <c r="W2190"/>
      <c r="X2190"/>
      <c r="Z2190" s="78"/>
      <c r="AA2190" s="78"/>
      <c r="AG2190"/>
      <c r="AH2190"/>
    </row>
    <row r="2191" spans="23:34" x14ac:dyDescent="0.25">
      <c r="W2191"/>
      <c r="X2191"/>
      <c r="Z2191" s="78"/>
      <c r="AA2191" s="78"/>
      <c r="AG2191"/>
      <c r="AH2191"/>
    </row>
    <row r="2192" spans="23:34" x14ac:dyDescent="0.25">
      <c r="W2192"/>
      <c r="X2192"/>
      <c r="Z2192" s="78"/>
      <c r="AA2192" s="78"/>
      <c r="AG2192"/>
      <c r="AH2192"/>
    </row>
    <row r="2193" spans="23:34" x14ac:dyDescent="0.25">
      <c r="W2193"/>
      <c r="X2193"/>
      <c r="Z2193" s="78"/>
      <c r="AA2193" s="78"/>
      <c r="AG2193"/>
      <c r="AH2193"/>
    </row>
    <row r="2194" spans="23:34" x14ac:dyDescent="0.25">
      <c r="W2194"/>
      <c r="X2194"/>
      <c r="Z2194" s="78"/>
      <c r="AA2194" s="78"/>
      <c r="AG2194"/>
      <c r="AH2194"/>
    </row>
    <row r="2195" spans="23:34" x14ac:dyDescent="0.25">
      <c r="W2195"/>
      <c r="X2195"/>
      <c r="Z2195" s="78"/>
      <c r="AA2195" s="78"/>
      <c r="AG2195"/>
      <c r="AH2195"/>
    </row>
    <row r="2196" spans="23:34" x14ac:dyDescent="0.25">
      <c r="W2196"/>
      <c r="X2196"/>
      <c r="Z2196" s="78"/>
      <c r="AA2196" s="78"/>
      <c r="AG2196"/>
      <c r="AH2196"/>
    </row>
    <row r="2197" spans="23:34" x14ac:dyDescent="0.25">
      <c r="W2197"/>
      <c r="X2197"/>
      <c r="Z2197" s="78"/>
      <c r="AA2197" s="78"/>
      <c r="AG2197"/>
      <c r="AH2197"/>
    </row>
    <row r="2198" spans="23:34" x14ac:dyDescent="0.25">
      <c r="W2198"/>
      <c r="X2198"/>
      <c r="Z2198" s="78"/>
      <c r="AA2198" s="78"/>
      <c r="AG2198"/>
      <c r="AH2198"/>
    </row>
    <row r="2199" spans="23:34" x14ac:dyDescent="0.25">
      <c r="W2199"/>
      <c r="X2199"/>
      <c r="Z2199" s="78"/>
      <c r="AA2199" s="78"/>
      <c r="AG2199"/>
      <c r="AH2199"/>
    </row>
    <row r="2200" spans="23:34" x14ac:dyDescent="0.25">
      <c r="W2200"/>
      <c r="X2200"/>
      <c r="Z2200" s="78"/>
      <c r="AA2200" s="78"/>
      <c r="AG2200"/>
      <c r="AH2200"/>
    </row>
    <row r="2201" spans="23:34" x14ac:dyDescent="0.25">
      <c r="W2201"/>
      <c r="X2201"/>
      <c r="Z2201" s="78"/>
      <c r="AA2201" s="78"/>
      <c r="AG2201"/>
      <c r="AH2201"/>
    </row>
    <row r="2202" spans="23:34" x14ac:dyDescent="0.25">
      <c r="W2202"/>
      <c r="X2202"/>
      <c r="Z2202" s="78"/>
      <c r="AA2202" s="78"/>
      <c r="AG2202"/>
      <c r="AH2202"/>
    </row>
    <row r="2203" spans="23:34" x14ac:dyDescent="0.25">
      <c r="W2203"/>
      <c r="X2203"/>
      <c r="Z2203" s="78"/>
      <c r="AA2203" s="78"/>
      <c r="AG2203"/>
      <c r="AH2203"/>
    </row>
    <row r="2204" spans="23:34" x14ac:dyDescent="0.25">
      <c r="W2204"/>
      <c r="X2204"/>
      <c r="Z2204" s="78"/>
      <c r="AA2204" s="78"/>
      <c r="AG2204"/>
      <c r="AH2204"/>
    </row>
    <row r="2205" spans="23:34" x14ac:dyDescent="0.25">
      <c r="W2205"/>
      <c r="X2205"/>
      <c r="Z2205" s="78"/>
      <c r="AA2205" s="78"/>
      <c r="AG2205"/>
      <c r="AH2205"/>
    </row>
    <row r="2206" spans="23:34" x14ac:dyDescent="0.25">
      <c r="W2206"/>
      <c r="X2206"/>
      <c r="Z2206" s="78"/>
      <c r="AA2206" s="78"/>
      <c r="AG2206"/>
      <c r="AH2206"/>
    </row>
    <row r="2207" spans="23:34" x14ac:dyDescent="0.25">
      <c r="W2207"/>
      <c r="X2207"/>
      <c r="Z2207" s="78"/>
      <c r="AA2207" s="78"/>
      <c r="AG2207"/>
      <c r="AH2207"/>
    </row>
    <row r="2208" spans="23:34" x14ac:dyDescent="0.25">
      <c r="W2208"/>
      <c r="X2208"/>
      <c r="Z2208" s="78"/>
      <c r="AA2208" s="78"/>
      <c r="AG2208"/>
      <c r="AH2208"/>
    </row>
    <row r="2209" spans="23:34" x14ac:dyDescent="0.25">
      <c r="W2209"/>
      <c r="X2209"/>
      <c r="Z2209" s="78"/>
      <c r="AA2209" s="78"/>
      <c r="AG2209"/>
      <c r="AH2209"/>
    </row>
    <row r="2210" spans="23:34" x14ac:dyDescent="0.25">
      <c r="W2210"/>
      <c r="X2210"/>
      <c r="Z2210" s="78"/>
      <c r="AA2210" s="78"/>
      <c r="AG2210"/>
      <c r="AH2210"/>
    </row>
    <row r="2211" spans="23:34" x14ac:dyDescent="0.25">
      <c r="W2211"/>
      <c r="X2211"/>
      <c r="Z2211" s="78"/>
      <c r="AA2211" s="78"/>
      <c r="AG2211"/>
      <c r="AH2211"/>
    </row>
    <row r="2212" spans="23:34" x14ac:dyDescent="0.25">
      <c r="W2212"/>
      <c r="X2212"/>
      <c r="Z2212" s="78"/>
      <c r="AA2212" s="78"/>
      <c r="AG2212"/>
      <c r="AH2212"/>
    </row>
    <row r="2213" spans="23:34" x14ac:dyDescent="0.25">
      <c r="W2213"/>
      <c r="X2213"/>
      <c r="Z2213" s="78"/>
      <c r="AA2213" s="78"/>
      <c r="AG2213"/>
      <c r="AH2213"/>
    </row>
    <row r="2214" spans="23:34" x14ac:dyDescent="0.25">
      <c r="W2214"/>
      <c r="X2214"/>
      <c r="Z2214" s="78"/>
      <c r="AA2214" s="78"/>
      <c r="AG2214"/>
      <c r="AH2214"/>
    </row>
    <row r="2215" spans="23:34" x14ac:dyDescent="0.25">
      <c r="W2215"/>
      <c r="X2215"/>
      <c r="Z2215" s="78"/>
      <c r="AA2215" s="78"/>
      <c r="AG2215"/>
      <c r="AH2215"/>
    </row>
    <row r="2216" spans="23:34" x14ac:dyDescent="0.25">
      <c r="W2216"/>
      <c r="X2216"/>
      <c r="Z2216" s="78"/>
      <c r="AA2216" s="78"/>
      <c r="AG2216"/>
      <c r="AH2216"/>
    </row>
    <row r="2217" spans="23:34" x14ac:dyDescent="0.25">
      <c r="W2217"/>
      <c r="X2217"/>
      <c r="Z2217" s="78"/>
      <c r="AA2217" s="78"/>
      <c r="AG2217"/>
      <c r="AH2217"/>
    </row>
    <row r="2218" spans="23:34" x14ac:dyDescent="0.25">
      <c r="W2218"/>
      <c r="X2218"/>
      <c r="Z2218" s="78"/>
      <c r="AA2218" s="78"/>
      <c r="AG2218"/>
      <c r="AH2218"/>
    </row>
    <row r="2219" spans="23:34" x14ac:dyDescent="0.25">
      <c r="W2219"/>
      <c r="X2219"/>
      <c r="Z2219" s="78"/>
      <c r="AA2219" s="78"/>
      <c r="AG2219"/>
      <c r="AH2219"/>
    </row>
    <row r="2220" spans="23:34" x14ac:dyDescent="0.25">
      <c r="W2220"/>
      <c r="X2220"/>
      <c r="Z2220" s="78"/>
      <c r="AA2220" s="78"/>
      <c r="AG2220"/>
      <c r="AH2220"/>
    </row>
    <row r="2221" spans="23:34" x14ac:dyDescent="0.25">
      <c r="W2221"/>
      <c r="X2221"/>
      <c r="Z2221" s="78"/>
      <c r="AA2221" s="78"/>
      <c r="AG2221"/>
      <c r="AH2221"/>
    </row>
    <row r="2222" spans="23:34" x14ac:dyDescent="0.25">
      <c r="W2222"/>
      <c r="X2222"/>
      <c r="Z2222" s="78"/>
      <c r="AA2222" s="78"/>
      <c r="AG2222"/>
      <c r="AH2222"/>
    </row>
    <row r="2223" spans="23:34" x14ac:dyDescent="0.25">
      <c r="W2223"/>
      <c r="X2223"/>
      <c r="Z2223" s="78"/>
      <c r="AA2223" s="78"/>
      <c r="AG2223"/>
      <c r="AH2223"/>
    </row>
    <row r="2224" spans="23:34" x14ac:dyDescent="0.25">
      <c r="W2224"/>
      <c r="X2224"/>
      <c r="Z2224" s="78"/>
      <c r="AA2224" s="78"/>
      <c r="AG2224"/>
      <c r="AH2224"/>
    </row>
    <row r="2225" spans="23:34" x14ac:dyDescent="0.25">
      <c r="W2225"/>
      <c r="X2225"/>
      <c r="Z2225" s="78"/>
      <c r="AA2225" s="78"/>
      <c r="AG2225"/>
      <c r="AH2225"/>
    </row>
    <row r="2226" spans="23:34" x14ac:dyDescent="0.25">
      <c r="W2226"/>
      <c r="X2226"/>
      <c r="Z2226" s="78"/>
      <c r="AA2226" s="78"/>
      <c r="AG2226"/>
      <c r="AH2226"/>
    </row>
    <row r="2227" spans="23:34" x14ac:dyDescent="0.25">
      <c r="W2227"/>
      <c r="X2227"/>
      <c r="Z2227" s="78"/>
      <c r="AA2227" s="78"/>
      <c r="AG2227"/>
      <c r="AH2227"/>
    </row>
    <row r="2228" spans="23:34" x14ac:dyDescent="0.25">
      <c r="W2228"/>
      <c r="X2228"/>
      <c r="Z2228" s="78"/>
      <c r="AA2228" s="78"/>
      <c r="AG2228"/>
      <c r="AH2228"/>
    </row>
    <row r="2229" spans="23:34" x14ac:dyDescent="0.25">
      <c r="W2229"/>
      <c r="X2229"/>
      <c r="Z2229" s="78"/>
      <c r="AA2229" s="78"/>
      <c r="AG2229"/>
      <c r="AH2229"/>
    </row>
    <row r="2230" spans="23:34" x14ac:dyDescent="0.25">
      <c r="W2230"/>
      <c r="X2230"/>
      <c r="Z2230" s="78"/>
      <c r="AA2230" s="78"/>
      <c r="AG2230"/>
      <c r="AH2230"/>
    </row>
    <row r="2231" spans="23:34" x14ac:dyDescent="0.25">
      <c r="W2231"/>
      <c r="X2231"/>
      <c r="Z2231" s="78"/>
      <c r="AA2231" s="78"/>
      <c r="AG2231"/>
      <c r="AH2231"/>
    </row>
    <row r="2232" spans="23:34" x14ac:dyDescent="0.25">
      <c r="W2232"/>
      <c r="X2232"/>
      <c r="Z2232" s="78"/>
      <c r="AA2232" s="78"/>
      <c r="AG2232"/>
      <c r="AH2232"/>
    </row>
    <row r="2233" spans="23:34" x14ac:dyDescent="0.25">
      <c r="W2233"/>
      <c r="X2233"/>
      <c r="Z2233" s="78"/>
      <c r="AA2233" s="78"/>
      <c r="AG2233"/>
      <c r="AH2233"/>
    </row>
    <row r="2234" spans="23:34" x14ac:dyDescent="0.25">
      <c r="W2234"/>
      <c r="X2234"/>
      <c r="Z2234" s="78"/>
      <c r="AA2234" s="78"/>
      <c r="AG2234"/>
      <c r="AH2234"/>
    </row>
    <row r="2235" spans="23:34" x14ac:dyDescent="0.25">
      <c r="W2235"/>
      <c r="X2235"/>
      <c r="Z2235" s="78"/>
      <c r="AA2235" s="78"/>
      <c r="AG2235"/>
      <c r="AH2235"/>
    </row>
    <row r="2236" spans="23:34" x14ac:dyDescent="0.25">
      <c r="W2236"/>
      <c r="X2236"/>
      <c r="Z2236" s="78"/>
      <c r="AA2236" s="78"/>
      <c r="AG2236"/>
      <c r="AH2236"/>
    </row>
    <row r="2237" spans="23:34" x14ac:dyDescent="0.25">
      <c r="W2237"/>
      <c r="X2237"/>
      <c r="Z2237" s="78"/>
      <c r="AA2237" s="78"/>
      <c r="AG2237"/>
      <c r="AH2237"/>
    </row>
    <row r="2238" spans="23:34" x14ac:dyDescent="0.25">
      <c r="W2238"/>
      <c r="X2238"/>
      <c r="Z2238" s="78"/>
      <c r="AA2238" s="78"/>
      <c r="AG2238"/>
      <c r="AH2238"/>
    </row>
    <row r="2239" spans="23:34" x14ac:dyDescent="0.25">
      <c r="W2239"/>
      <c r="X2239"/>
      <c r="Z2239" s="78"/>
      <c r="AA2239" s="78"/>
      <c r="AG2239"/>
      <c r="AH2239"/>
    </row>
    <row r="2240" spans="23:34" x14ac:dyDescent="0.25">
      <c r="W2240"/>
      <c r="X2240"/>
      <c r="Z2240" s="78"/>
      <c r="AA2240" s="78"/>
      <c r="AG2240"/>
      <c r="AH2240"/>
    </row>
    <row r="2241" spans="23:34" x14ac:dyDescent="0.25">
      <c r="W2241"/>
      <c r="X2241"/>
      <c r="Z2241" s="78"/>
      <c r="AA2241" s="78"/>
      <c r="AG2241"/>
      <c r="AH2241"/>
    </row>
    <row r="2242" spans="23:34" x14ac:dyDescent="0.25">
      <c r="W2242"/>
      <c r="X2242"/>
      <c r="Z2242" s="78"/>
      <c r="AA2242" s="78"/>
      <c r="AG2242"/>
      <c r="AH2242"/>
    </row>
    <row r="2243" spans="23:34" x14ac:dyDescent="0.25">
      <c r="W2243"/>
      <c r="X2243"/>
      <c r="Z2243" s="78"/>
      <c r="AA2243" s="78"/>
      <c r="AG2243"/>
      <c r="AH2243"/>
    </row>
    <row r="2244" spans="23:34" x14ac:dyDescent="0.25">
      <c r="W2244"/>
      <c r="X2244"/>
      <c r="Z2244" s="78"/>
      <c r="AA2244" s="78"/>
      <c r="AG2244"/>
      <c r="AH2244"/>
    </row>
    <row r="2245" spans="23:34" x14ac:dyDescent="0.25">
      <c r="W2245"/>
      <c r="X2245"/>
      <c r="Z2245" s="78"/>
      <c r="AA2245" s="78"/>
      <c r="AG2245"/>
      <c r="AH2245"/>
    </row>
    <row r="2246" spans="23:34" x14ac:dyDescent="0.25">
      <c r="W2246"/>
      <c r="X2246"/>
      <c r="Z2246" s="78"/>
      <c r="AA2246" s="78"/>
      <c r="AG2246"/>
      <c r="AH2246"/>
    </row>
    <row r="2247" spans="23:34" x14ac:dyDescent="0.25">
      <c r="W2247"/>
      <c r="X2247"/>
      <c r="Z2247" s="78"/>
      <c r="AA2247" s="78"/>
      <c r="AG2247"/>
      <c r="AH2247"/>
    </row>
    <row r="2248" spans="23:34" x14ac:dyDescent="0.25">
      <c r="W2248"/>
      <c r="X2248"/>
      <c r="Z2248" s="78"/>
      <c r="AA2248" s="78"/>
      <c r="AG2248"/>
      <c r="AH2248"/>
    </row>
    <row r="2249" spans="23:34" x14ac:dyDescent="0.25">
      <c r="W2249"/>
      <c r="X2249"/>
      <c r="Z2249" s="78"/>
      <c r="AA2249" s="78"/>
      <c r="AG2249"/>
      <c r="AH2249"/>
    </row>
    <row r="2250" spans="23:34" x14ac:dyDescent="0.25">
      <c r="W2250"/>
      <c r="X2250"/>
      <c r="Z2250" s="78"/>
      <c r="AA2250" s="78"/>
      <c r="AG2250"/>
      <c r="AH2250"/>
    </row>
    <row r="2251" spans="23:34" x14ac:dyDescent="0.25">
      <c r="W2251"/>
      <c r="X2251"/>
      <c r="Z2251" s="78"/>
      <c r="AA2251" s="78"/>
      <c r="AG2251"/>
      <c r="AH2251"/>
    </row>
    <row r="2252" spans="23:34" x14ac:dyDescent="0.25">
      <c r="W2252"/>
      <c r="X2252"/>
      <c r="Z2252" s="78"/>
      <c r="AA2252" s="78"/>
      <c r="AG2252"/>
      <c r="AH2252"/>
    </row>
    <row r="2253" spans="23:34" x14ac:dyDescent="0.25">
      <c r="W2253"/>
      <c r="X2253"/>
      <c r="Z2253" s="78"/>
      <c r="AA2253" s="78"/>
      <c r="AG2253"/>
      <c r="AH2253"/>
    </row>
    <row r="2254" spans="23:34" x14ac:dyDescent="0.25">
      <c r="W2254"/>
      <c r="X2254"/>
      <c r="Z2254" s="78"/>
      <c r="AA2254" s="78"/>
      <c r="AG2254"/>
      <c r="AH2254"/>
    </row>
    <row r="2255" spans="23:34" x14ac:dyDescent="0.25">
      <c r="W2255"/>
      <c r="X2255"/>
      <c r="Z2255" s="78"/>
      <c r="AA2255" s="78"/>
      <c r="AG2255"/>
      <c r="AH2255"/>
    </row>
    <row r="2256" spans="23:34" x14ac:dyDescent="0.25">
      <c r="W2256"/>
      <c r="X2256"/>
      <c r="Z2256" s="78"/>
      <c r="AA2256" s="78"/>
      <c r="AG2256"/>
      <c r="AH2256"/>
    </row>
    <row r="2257" spans="23:34" x14ac:dyDescent="0.25">
      <c r="W2257"/>
      <c r="X2257"/>
      <c r="Z2257" s="78"/>
      <c r="AA2257" s="78"/>
      <c r="AG2257"/>
      <c r="AH2257"/>
    </row>
    <row r="2258" spans="23:34" x14ac:dyDescent="0.25">
      <c r="W2258"/>
      <c r="X2258"/>
      <c r="Z2258" s="78"/>
      <c r="AA2258" s="78"/>
      <c r="AG2258"/>
      <c r="AH2258"/>
    </row>
    <row r="2259" spans="23:34" x14ac:dyDescent="0.25">
      <c r="W2259"/>
      <c r="X2259"/>
      <c r="Z2259" s="78"/>
      <c r="AA2259" s="78"/>
      <c r="AG2259"/>
      <c r="AH2259"/>
    </row>
    <row r="2260" spans="23:34" x14ac:dyDescent="0.25">
      <c r="W2260"/>
      <c r="X2260"/>
      <c r="Z2260" s="78"/>
      <c r="AA2260" s="78"/>
      <c r="AG2260"/>
      <c r="AH2260"/>
    </row>
    <row r="2261" spans="23:34" x14ac:dyDescent="0.25">
      <c r="W2261"/>
      <c r="X2261"/>
      <c r="Z2261" s="78"/>
      <c r="AA2261" s="78"/>
      <c r="AG2261"/>
      <c r="AH2261"/>
    </row>
    <row r="2262" spans="23:34" x14ac:dyDescent="0.25">
      <c r="W2262"/>
      <c r="X2262"/>
      <c r="Z2262" s="78"/>
      <c r="AA2262" s="78"/>
      <c r="AG2262"/>
      <c r="AH2262"/>
    </row>
    <row r="2263" spans="23:34" x14ac:dyDescent="0.25">
      <c r="W2263"/>
      <c r="X2263"/>
      <c r="Z2263" s="78"/>
      <c r="AA2263" s="78"/>
      <c r="AG2263"/>
      <c r="AH2263"/>
    </row>
    <row r="2264" spans="23:34" x14ac:dyDescent="0.25">
      <c r="W2264"/>
      <c r="X2264"/>
      <c r="Z2264" s="78"/>
      <c r="AA2264" s="78"/>
      <c r="AG2264"/>
      <c r="AH2264"/>
    </row>
    <row r="2265" spans="23:34" x14ac:dyDescent="0.25">
      <c r="W2265"/>
      <c r="X2265"/>
      <c r="Z2265" s="78"/>
      <c r="AA2265" s="78"/>
      <c r="AG2265"/>
      <c r="AH2265"/>
    </row>
    <row r="2266" spans="23:34" x14ac:dyDescent="0.25">
      <c r="W2266"/>
      <c r="X2266"/>
      <c r="Z2266" s="78"/>
      <c r="AA2266" s="78"/>
      <c r="AG2266"/>
      <c r="AH2266"/>
    </row>
    <row r="2267" spans="23:34" x14ac:dyDescent="0.25">
      <c r="W2267"/>
      <c r="X2267"/>
      <c r="Z2267" s="78"/>
      <c r="AA2267" s="78"/>
      <c r="AG2267"/>
      <c r="AH2267"/>
    </row>
    <row r="2268" spans="23:34" x14ac:dyDescent="0.25">
      <c r="W2268"/>
      <c r="X2268"/>
      <c r="Z2268" s="78"/>
      <c r="AA2268" s="78"/>
      <c r="AG2268"/>
      <c r="AH2268"/>
    </row>
    <row r="2269" spans="23:34" x14ac:dyDescent="0.25">
      <c r="W2269"/>
      <c r="X2269"/>
      <c r="Z2269" s="78"/>
      <c r="AA2269" s="78"/>
      <c r="AG2269"/>
      <c r="AH2269"/>
    </row>
    <row r="2270" spans="23:34" x14ac:dyDescent="0.25">
      <c r="W2270"/>
      <c r="X2270"/>
      <c r="Z2270" s="78"/>
      <c r="AA2270" s="78"/>
      <c r="AG2270"/>
      <c r="AH2270"/>
    </row>
    <row r="2271" spans="23:34" x14ac:dyDescent="0.25">
      <c r="W2271"/>
      <c r="X2271"/>
      <c r="Z2271" s="78"/>
      <c r="AA2271" s="78"/>
      <c r="AG2271"/>
      <c r="AH2271"/>
    </row>
    <row r="2272" spans="23:34" x14ac:dyDescent="0.25">
      <c r="W2272"/>
      <c r="X2272"/>
      <c r="Z2272" s="78"/>
      <c r="AA2272" s="78"/>
      <c r="AG2272"/>
      <c r="AH2272"/>
    </row>
    <row r="2273" spans="23:34" x14ac:dyDescent="0.25">
      <c r="W2273"/>
      <c r="X2273"/>
      <c r="Z2273" s="78"/>
      <c r="AA2273" s="78"/>
      <c r="AG2273"/>
      <c r="AH2273"/>
    </row>
    <row r="2274" spans="23:34" x14ac:dyDescent="0.25">
      <c r="W2274"/>
      <c r="X2274"/>
      <c r="Z2274" s="78"/>
      <c r="AA2274" s="78"/>
      <c r="AG2274"/>
      <c r="AH2274"/>
    </row>
    <row r="2275" spans="23:34" x14ac:dyDescent="0.25">
      <c r="W2275"/>
      <c r="X2275"/>
      <c r="Z2275" s="78"/>
      <c r="AA2275" s="78"/>
      <c r="AG2275"/>
      <c r="AH2275"/>
    </row>
    <row r="2276" spans="23:34" x14ac:dyDescent="0.25">
      <c r="W2276"/>
      <c r="X2276"/>
      <c r="Z2276" s="78"/>
      <c r="AA2276" s="78"/>
      <c r="AG2276"/>
      <c r="AH2276"/>
    </row>
    <row r="2277" spans="23:34" x14ac:dyDescent="0.25">
      <c r="W2277"/>
      <c r="X2277"/>
      <c r="Z2277" s="78"/>
      <c r="AA2277" s="78"/>
      <c r="AG2277"/>
      <c r="AH2277"/>
    </row>
    <row r="2278" spans="23:34" x14ac:dyDescent="0.25">
      <c r="W2278"/>
      <c r="X2278"/>
      <c r="Z2278" s="78"/>
      <c r="AA2278" s="78"/>
      <c r="AG2278"/>
      <c r="AH2278"/>
    </row>
    <row r="2279" spans="23:34" x14ac:dyDescent="0.25">
      <c r="W2279"/>
      <c r="X2279"/>
      <c r="Z2279" s="78"/>
      <c r="AA2279" s="78"/>
      <c r="AG2279"/>
      <c r="AH2279"/>
    </row>
    <row r="2280" spans="23:34" x14ac:dyDescent="0.25">
      <c r="W2280"/>
      <c r="X2280"/>
      <c r="Z2280" s="78"/>
      <c r="AA2280" s="78"/>
      <c r="AG2280"/>
      <c r="AH2280"/>
    </row>
    <row r="2281" spans="23:34" x14ac:dyDescent="0.25">
      <c r="W2281"/>
      <c r="X2281"/>
      <c r="Z2281" s="78"/>
      <c r="AA2281" s="78"/>
      <c r="AG2281"/>
      <c r="AH2281"/>
    </row>
    <row r="2282" spans="23:34" x14ac:dyDescent="0.25">
      <c r="W2282"/>
      <c r="X2282"/>
      <c r="Z2282" s="78"/>
      <c r="AA2282" s="78"/>
      <c r="AG2282"/>
      <c r="AH2282"/>
    </row>
    <row r="2283" spans="23:34" x14ac:dyDescent="0.25">
      <c r="W2283"/>
      <c r="X2283"/>
      <c r="Z2283" s="78"/>
      <c r="AA2283" s="78"/>
      <c r="AG2283"/>
      <c r="AH2283"/>
    </row>
    <row r="2284" spans="23:34" x14ac:dyDescent="0.25">
      <c r="W2284"/>
      <c r="X2284"/>
      <c r="Z2284" s="78"/>
      <c r="AA2284" s="78"/>
      <c r="AG2284"/>
      <c r="AH2284"/>
    </row>
    <row r="2285" spans="23:34" x14ac:dyDescent="0.25">
      <c r="W2285"/>
      <c r="X2285"/>
      <c r="Z2285" s="78"/>
      <c r="AA2285" s="78"/>
      <c r="AG2285"/>
      <c r="AH2285"/>
    </row>
    <row r="2286" spans="23:34" x14ac:dyDescent="0.25">
      <c r="W2286"/>
      <c r="X2286"/>
      <c r="Z2286" s="78"/>
      <c r="AA2286" s="78"/>
      <c r="AG2286"/>
      <c r="AH2286"/>
    </row>
    <row r="2287" spans="23:34" x14ac:dyDescent="0.25">
      <c r="W2287"/>
      <c r="X2287"/>
      <c r="Z2287" s="78"/>
      <c r="AA2287" s="78"/>
      <c r="AG2287"/>
      <c r="AH2287"/>
    </row>
    <row r="2288" spans="23:34" x14ac:dyDescent="0.25">
      <c r="W2288"/>
      <c r="X2288"/>
      <c r="Z2288" s="78"/>
      <c r="AA2288" s="78"/>
      <c r="AG2288"/>
      <c r="AH2288"/>
    </row>
    <row r="2289" spans="23:34" x14ac:dyDescent="0.25">
      <c r="W2289"/>
      <c r="X2289"/>
      <c r="Z2289" s="78"/>
      <c r="AA2289" s="78"/>
      <c r="AG2289"/>
      <c r="AH2289"/>
    </row>
    <row r="2290" spans="23:34" x14ac:dyDescent="0.25">
      <c r="W2290"/>
      <c r="X2290"/>
      <c r="Z2290" s="78"/>
      <c r="AA2290" s="78"/>
      <c r="AG2290"/>
      <c r="AH2290"/>
    </row>
    <row r="2291" spans="23:34" x14ac:dyDescent="0.25">
      <c r="W2291"/>
      <c r="X2291"/>
      <c r="Z2291" s="78"/>
      <c r="AA2291" s="78"/>
      <c r="AG2291"/>
      <c r="AH2291"/>
    </row>
    <row r="2292" spans="23:34" x14ac:dyDescent="0.25">
      <c r="W2292"/>
      <c r="X2292"/>
      <c r="Z2292" s="78"/>
      <c r="AA2292" s="78"/>
      <c r="AG2292"/>
      <c r="AH2292"/>
    </row>
    <row r="2293" spans="23:34" x14ac:dyDescent="0.25">
      <c r="W2293"/>
      <c r="X2293"/>
      <c r="Z2293" s="78"/>
      <c r="AA2293" s="78"/>
      <c r="AG2293"/>
      <c r="AH2293"/>
    </row>
    <row r="2294" spans="23:34" x14ac:dyDescent="0.25">
      <c r="W2294"/>
      <c r="X2294"/>
      <c r="Z2294" s="78"/>
      <c r="AA2294" s="78"/>
      <c r="AG2294"/>
      <c r="AH2294"/>
    </row>
    <row r="2295" spans="23:34" x14ac:dyDescent="0.25">
      <c r="W2295"/>
      <c r="X2295"/>
      <c r="Z2295" s="78"/>
      <c r="AA2295" s="78"/>
      <c r="AG2295"/>
      <c r="AH2295"/>
    </row>
    <row r="2296" spans="23:34" x14ac:dyDescent="0.25">
      <c r="W2296"/>
      <c r="X2296"/>
      <c r="Z2296" s="78"/>
      <c r="AA2296" s="78"/>
      <c r="AG2296"/>
      <c r="AH2296"/>
    </row>
    <row r="2297" spans="23:34" x14ac:dyDescent="0.25">
      <c r="W2297"/>
      <c r="X2297"/>
      <c r="Z2297" s="78"/>
      <c r="AA2297" s="78"/>
      <c r="AG2297"/>
      <c r="AH2297"/>
    </row>
    <row r="2298" spans="23:34" x14ac:dyDescent="0.25">
      <c r="W2298"/>
      <c r="X2298"/>
      <c r="Z2298" s="78"/>
      <c r="AA2298" s="78"/>
      <c r="AG2298"/>
      <c r="AH2298"/>
    </row>
    <row r="2299" spans="23:34" x14ac:dyDescent="0.25">
      <c r="W2299"/>
      <c r="X2299"/>
      <c r="Z2299" s="78"/>
      <c r="AA2299" s="78"/>
      <c r="AG2299"/>
      <c r="AH2299"/>
    </row>
    <row r="2300" spans="23:34" x14ac:dyDescent="0.25">
      <c r="W2300"/>
      <c r="X2300"/>
      <c r="Z2300" s="78"/>
      <c r="AA2300" s="78"/>
      <c r="AG2300"/>
      <c r="AH2300"/>
    </row>
    <row r="2301" spans="23:34" x14ac:dyDescent="0.25">
      <c r="W2301"/>
      <c r="X2301"/>
      <c r="Z2301" s="78"/>
      <c r="AA2301" s="78"/>
      <c r="AG2301"/>
      <c r="AH2301"/>
    </row>
    <row r="2302" spans="23:34" x14ac:dyDescent="0.25">
      <c r="W2302"/>
      <c r="X2302"/>
      <c r="Z2302" s="78"/>
      <c r="AA2302" s="78"/>
      <c r="AG2302"/>
      <c r="AH2302"/>
    </row>
    <row r="2303" spans="23:34" x14ac:dyDescent="0.25">
      <c r="W2303"/>
      <c r="X2303"/>
      <c r="Z2303" s="78"/>
      <c r="AA2303" s="78"/>
      <c r="AG2303"/>
      <c r="AH2303"/>
    </row>
    <row r="2304" spans="23:34" x14ac:dyDescent="0.25">
      <c r="W2304"/>
      <c r="X2304"/>
      <c r="Z2304" s="78"/>
      <c r="AA2304" s="78"/>
      <c r="AG2304"/>
      <c r="AH2304"/>
    </row>
    <row r="2305" spans="23:34" x14ac:dyDescent="0.25">
      <c r="W2305"/>
      <c r="X2305"/>
      <c r="Z2305" s="78"/>
      <c r="AA2305" s="78"/>
      <c r="AG2305"/>
      <c r="AH2305"/>
    </row>
    <row r="2306" spans="23:34" x14ac:dyDescent="0.25">
      <c r="W2306"/>
      <c r="X2306"/>
      <c r="Z2306" s="78"/>
      <c r="AA2306" s="78"/>
      <c r="AG2306"/>
      <c r="AH2306"/>
    </row>
    <row r="2307" spans="23:34" x14ac:dyDescent="0.25">
      <c r="W2307"/>
      <c r="X2307"/>
      <c r="Z2307" s="78"/>
      <c r="AA2307" s="78"/>
      <c r="AG2307"/>
      <c r="AH2307"/>
    </row>
    <row r="2308" spans="23:34" x14ac:dyDescent="0.25">
      <c r="W2308"/>
      <c r="X2308"/>
      <c r="Z2308" s="78"/>
      <c r="AA2308" s="78"/>
      <c r="AG2308"/>
      <c r="AH2308"/>
    </row>
    <row r="2309" spans="23:34" x14ac:dyDescent="0.25">
      <c r="W2309"/>
      <c r="X2309"/>
      <c r="Z2309" s="78"/>
      <c r="AA2309" s="78"/>
      <c r="AG2309"/>
      <c r="AH2309"/>
    </row>
    <row r="2310" spans="23:34" x14ac:dyDescent="0.25">
      <c r="W2310"/>
      <c r="X2310"/>
      <c r="Z2310" s="78"/>
      <c r="AA2310" s="78"/>
      <c r="AG2310"/>
      <c r="AH2310"/>
    </row>
    <row r="2311" spans="23:34" x14ac:dyDescent="0.25">
      <c r="W2311"/>
      <c r="X2311"/>
      <c r="Z2311" s="78"/>
      <c r="AA2311" s="78"/>
      <c r="AG2311"/>
      <c r="AH2311"/>
    </row>
    <row r="2312" spans="23:34" x14ac:dyDescent="0.25">
      <c r="W2312"/>
      <c r="X2312"/>
      <c r="Z2312" s="78"/>
      <c r="AA2312" s="78"/>
      <c r="AG2312"/>
      <c r="AH2312"/>
    </row>
    <row r="2313" spans="23:34" x14ac:dyDescent="0.25">
      <c r="W2313"/>
      <c r="X2313"/>
      <c r="Z2313" s="78"/>
      <c r="AA2313" s="78"/>
      <c r="AG2313"/>
      <c r="AH2313"/>
    </row>
    <row r="2314" spans="23:34" x14ac:dyDescent="0.25">
      <c r="W2314"/>
      <c r="X2314"/>
      <c r="Z2314" s="78"/>
      <c r="AA2314" s="78"/>
      <c r="AG2314"/>
      <c r="AH2314"/>
    </row>
    <row r="2315" spans="23:34" x14ac:dyDescent="0.25">
      <c r="W2315"/>
      <c r="X2315"/>
      <c r="Z2315" s="78"/>
      <c r="AA2315" s="78"/>
      <c r="AG2315"/>
      <c r="AH2315"/>
    </row>
    <row r="2316" spans="23:34" x14ac:dyDescent="0.25">
      <c r="W2316"/>
      <c r="X2316"/>
      <c r="Z2316" s="78"/>
      <c r="AA2316" s="78"/>
      <c r="AG2316"/>
      <c r="AH2316"/>
    </row>
    <row r="2317" spans="23:34" x14ac:dyDescent="0.25">
      <c r="W2317"/>
      <c r="X2317"/>
      <c r="Z2317" s="78"/>
      <c r="AA2317" s="78"/>
      <c r="AG2317"/>
      <c r="AH2317"/>
    </row>
    <row r="2318" spans="23:34" x14ac:dyDescent="0.25">
      <c r="W2318"/>
      <c r="X2318"/>
      <c r="Z2318" s="78"/>
      <c r="AA2318" s="78"/>
      <c r="AG2318"/>
      <c r="AH2318"/>
    </row>
    <row r="2319" spans="23:34" x14ac:dyDescent="0.25">
      <c r="W2319"/>
      <c r="X2319"/>
      <c r="Z2319" s="78"/>
      <c r="AA2319" s="78"/>
      <c r="AG2319"/>
      <c r="AH2319"/>
    </row>
    <row r="2320" spans="23:34" x14ac:dyDescent="0.25">
      <c r="W2320"/>
      <c r="X2320"/>
      <c r="Z2320" s="78"/>
      <c r="AA2320" s="78"/>
      <c r="AG2320"/>
      <c r="AH2320"/>
    </row>
    <row r="2321" spans="23:34" x14ac:dyDescent="0.25">
      <c r="W2321"/>
      <c r="X2321"/>
      <c r="Z2321" s="78"/>
      <c r="AA2321" s="78"/>
      <c r="AG2321"/>
      <c r="AH2321"/>
    </row>
    <row r="2322" spans="23:34" x14ac:dyDescent="0.25">
      <c r="W2322"/>
      <c r="X2322"/>
      <c r="Z2322" s="78"/>
      <c r="AA2322" s="78"/>
      <c r="AG2322"/>
      <c r="AH2322"/>
    </row>
    <row r="2323" spans="23:34" x14ac:dyDescent="0.25">
      <c r="W2323"/>
      <c r="X2323"/>
      <c r="Z2323" s="78"/>
      <c r="AA2323" s="78"/>
      <c r="AG2323"/>
      <c r="AH2323"/>
    </row>
    <row r="2324" spans="23:34" x14ac:dyDescent="0.25">
      <c r="W2324"/>
      <c r="X2324"/>
      <c r="Z2324" s="78"/>
      <c r="AA2324" s="78"/>
      <c r="AG2324"/>
      <c r="AH2324"/>
    </row>
    <row r="2325" spans="23:34" x14ac:dyDescent="0.25">
      <c r="W2325"/>
      <c r="X2325"/>
      <c r="Z2325" s="78"/>
      <c r="AA2325" s="78"/>
      <c r="AG2325"/>
      <c r="AH2325"/>
    </row>
    <row r="2326" spans="23:34" x14ac:dyDescent="0.25">
      <c r="W2326"/>
      <c r="X2326"/>
      <c r="Z2326" s="78"/>
      <c r="AA2326" s="78"/>
      <c r="AG2326"/>
      <c r="AH2326"/>
    </row>
    <row r="2327" spans="23:34" x14ac:dyDescent="0.25">
      <c r="W2327"/>
      <c r="X2327"/>
      <c r="Z2327" s="78"/>
      <c r="AA2327" s="78"/>
      <c r="AG2327"/>
      <c r="AH2327"/>
    </row>
    <row r="2328" spans="23:34" x14ac:dyDescent="0.25">
      <c r="W2328"/>
      <c r="X2328"/>
      <c r="Z2328" s="78"/>
      <c r="AA2328" s="78"/>
      <c r="AG2328"/>
      <c r="AH2328"/>
    </row>
    <row r="2329" spans="23:34" x14ac:dyDescent="0.25">
      <c r="W2329"/>
      <c r="X2329"/>
      <c r="Z2329" s="78"/>
      <c r="AA2329" s="78"/>
      <c r="AG2329"/>
      <c r="AH2329"/>
    </row>
    <row r="2330" spans="23:34" x14ac:dyDescent="0.25">
      <c r="W2330"/>
      <c r="X2330"/>
      <c r="Z2330" s="78"/>
      <c r="AA2330" s="78"/>
      <c r="AG2330"/>
      <c r="AH2330"/>
    </row>
    <row r="2331" spans="23:34" x14ac:dyDescent="0.25">
      <c r="W2331"/>
      <c r="X2331"/>
      <c r="Z2331" s="78"/>
      <c r="AA2331" s="78"/>
      <c r="AG2331"/>
      <c r="AH2331"/>
    </row>
    <row r="2332" spans="23:34" x14ac:dyDescent="0.25">
      <c r="W2332"/>
      <c r="X2332"/>
      <c r="Z2332" s="78"/>
      <c r="AA2332" s="78"/>
      <c r="AG2332"/>
      <c r="AH2332"/>
    </row>
    <row r="2333" spans="23:34" x14ac:dyDescent="0.25">
      <c r="W2333"/>
      <c r="X2333"/>
      <c r="Z2333" s="78"/>
      <c r="AA2333" s="78"/>
      <c r="AG2333"/>
      <c r="AH2333"/>
    </row>
    <row r="2334" spans="23:34" x14ac:dyDescent="0.25">
      <c r="W2334"/>
      <c r="X2334"/>
      <c r="Z2334" s="78"/>
      <c r="AA2334" s="78"/>
      <c r="AG2334"/>
      <c r="AH2334"/>
    </row>
    <row r="2335" spans="23:34" x14ac:dyDescent="0.25">
      <c r="W2335"/>
      <c r="X2335"/>
      <c r="Z2335" s="78"/>
      <c r="AA2335" s="78"/>
      <c r="AG2335"/>
      <c r="AH2335"/>
    </row>
    <row r="2336" spans="23:34" x14ac:dyDescent="0.25">
      <c r="W2336"/>
      <c r="X2336"/>
      <c r="Z2336" s="78"/>
      <c r="AA2336" s="78"/>
      <c r="AG2336"/>
      <c r="AH2336"/>
    </row>
    <row r="2337" spans="23:34" x14ac:dyDescent="0.25">
      <c r="W2337"/>
      <c r="X2337"/>
      <c r="Z2337" s="78"/>
      <c r="AA2337" s="78"/>
      <c r="AG2337"/>
      <c r="AH2337"/>
    </row>
    <row r="2338" spans="23:34" x14ac:dyDescent="0.25">
      <c r="W2338"/>
      <c r="X2338"/>
      <c r="Z2338" s="78"/>
      <c r="AA2338" s="78"/>
      <c r="AG2338"/>
      <c r="AH2338"/>
    </row>
    <row r="2339" spans="23:34" x14ac:dyDescent="0.25">
      <c r="W2339"/>
      <c r="X2339"/>
      <c r="Z2339" s="78"/>
      <c r="AA2339" s="78"/>
      <c r="AG2339"/>
      <c r="AH2339"/>
    </row>
    <row r="2340" spans="23:34" x14ac:dyDescent="0.25">
      <c r="W2340"/>
      <c r="X2340"/>
      <c r="Z2340" s="78"/>
      <c r="AA2340" s="78"/>
      <c r="AG2340"/>
      <c r="AH2340"/>
    </row>
    <row r="2341" spans="23:34" x14ac:dyDescent="0.25">
      <c r="W2341"/>
      <c r="X2341"/>
      <c r="Z2341" s="78"/>
      <c r="AA2341" s="78"/>
      <c r="AG2341"/>
      <c r="AH2341"/>
    </row>
    <row r="2342" spans="23:34" x14ac:dyDescent="0.25">
      <c r="W2342"/>
      <c r="X2342"/>
      <c r="Z2342" s="78"/>
      <c r="AA2342" s="78"/>
      <c r="AG2342"/>
      <c r="AH2342"/>
    </row>
    <row r="2343" spans="23:34" x14ac:dyDescent="0.25">
      <c r="W2343"/>
      <c r="X2343"/>
      <c r="Z2343" s="78"/>
      <c r="AA2343" s="78"/>
      <c r="AG2343"/>
      <c r="AH2343"/>
    </row>
    <row r="2344" spans="23:34" x14ac:dyDescent="0.25">
      <c r="W2344"/>
      <c r="X2344"/>
      <c r="Z2344" s="78"/>
      <c r="AA2344" s="78"/>
      <c r="AG2344"/>
      <c r="AH2344"/>
    </row>
    <row r="2345" spans="23:34" x14ac:dyDescent="0.25">
      <c r="W2345"/>
      <c r="X2345"/>
      <c r="Z2345" s="78"/>
      <c r="AA2345" s="78"/>
      <c r="AG2345"/>
      <c r="AH2345"/>
    </row>
    <row r="2346" spans="23:34" x14ac:dyDescent="0.25">
      <c r="W2346"/>
      <c r="X2346"/>
      <c r="Z2346" s="78"/>
      <c r="AA2346" s="78"/>
      <c r="AG2346"/>
      <c r="AH2346"/>
    </row>
    <row r="2347" spans="23:34" x14ac:dyDescent="0.25">
      <c r="W2347"/>
      <c r="X2347"/>
      <c r="Z2347" s="78"/>
      <c r="AA2347" s="78"/>
      <c r="AG2347"/>
      <c r="AH2347"/>
    </row>
    <row r="2348" spans="23:34" x14ac:dyDescent="0.25">
      <c r="W2348"/>
      <c r="X2348"/>
      <c r="Z2348" s="78"/>
      <c r="AA2348" s="78"/>
      <c r="AG2348"/>
      <c r="AH2348"/>
    </row>
    <row r="2349" spans="23:34" x14ac:dyDescent="0.25">
      <c r="W2349"/>
      <c r="X2349"/>
      <c r="Z2349" s="78"/>
      <c r="AA2349" s="78"/>
      <c r="AG2349"/>
      <c r="AH2349"/>
    </row>
    <row r="2350" spans="23:34" x14ac:dyDescent="0.25">
      <c r="W2350"/>
      <c r="X2350"/>
      <c r="Z2350" s="78"/>
      <c r="AA2350" s="78"/>
      <c r="AG2350"/>
      <c r="AH2350"/>
    </row>
    <row r="2351" spans="23:34" x14ac:dyDescent="0.25">
      <c r="W2351"/>
      <c r="X2351"/>
      <c r="Z2351" s="78"/>
      <c r="AA2351" s="78"/>
      <c r="AG2351"/>
      <c r="AH2351"/>
    </row>
    <row r="2352" spans="23:34" x14ac:dyDescent="0.25">
      <c r="W2352"/>
      <c r="X2352"/>
      <c r="Z2352" s="78"/>
      <c r="AA2352" s="78"/>
      <c r="AG2352"/>
      <c r="AH2352"/>
    </row>
    <row r="2353" spans="23:34" x14ac:dyDescent="0.25">
      <c r="W2353"/>
      <c r="X2353"/>
      <c r="Z2353" s="78"/>
      <c r="AA2353" s="78"/>
      <c r="AG2353"/>
      <c r="AH2353"/>
    </row>
    <row r="2354" spans="23:34" x14ac:dyDescent="0.25">
      <c r="W2354"/>
      <c r="X2354"/>
      <c r="Z2354" s="78"/>
      <c r="AA2354" s="78"/>
      <c r="AG2354"/>
      <c r="AH2354"/>
    </row>
    <row r="2355" spans="23:34" x14ac:dyDescent="0.25">
      <c r="W2355"/>
      <c r="X2355"/>
      <c r="Z2355" s="78"/>
      <c r="AA2355" s="78"/>
      <c r="AG2355"/>
      <c r="AH2355"/>
    </row>
    <row r="2356" spans="23:34" x14ac:dyDescent="0.25">
      <c r="W2356"/>
      <c r="X2356"/>
      <c r="Z2356" s="78"/>
      <c r="AA2356" s="78"/>
      <c r="AG2356"/>
      <c r="AH2356"/>
    </row>
    <row r="2357" spans="23:34" x14ac:dyDescent="0.25">
      <c r="W2357"/>
      <c r="X2357"/>
      <c r="Z2357" s="78"/>
      <c r="AA2357" s="78"/>
      <c r="AG2357"/>
      <c r="AH2357"/>
    </row>
    <row r="2358" spans="23:34" x14ac:dyDescent="0.25">
      <c r="W2358"/>
      <c r="X2358"/>
      <c r="Z2358" s="78"/>
      <c r="AA2358" s="78"/>
      <c r="AG2358"/>
      <c r="AH2358"/>
    </row>
    <row r="2359" spans="23:34" x14ac:dyDescent="0.25">
      <c r="W2359"/>
      <c r="X2359"/>
      <c r="Z2359" s="78"/>
      <c r="AA2359" s="78"/>
      <c r="AG2359"/>
      <c r="AH2359"/>
    </row>
    <row r="2360" spans="23:34" x14ac:dyDescent="0.25">
      <c r="W2360"/>
      <c r="X2360"/>
      <c r="Z2360" s="78"/>
      <c r="AA2360" s="78"/>
      <c r="AG2360"/>
      <c r="AH2360"/>
    </row>
    <row r="2361" spans="23:34" x14ac:dyDescent="0.25">
      <c r="W2361"/>
      <c r="X2361"/>
      <c r="Z2361" s="78"/>
      <c r="AA2361" s="78"/>
      <c r="AG2361"/>
      <c r="AH2361"/>
    </row>
    <row r="2362" spans="23:34" x14ac:dyDescent="0.25">
      <c r="W2362"/>
      <c r="X2362"/>
      <c r="Z2362" s="78"/>
      <c r="AA2362" s="78"/>
      <c r="AG2362"/>
      <c r="AH2362"/>
    </row>
    <row r="2363" spans="23:34" x14ac:dyDescent="0.25">
      <c r="W2363"/>
      <c r="X2363"/>
      <c r="Z2363" s="78"/>
      <c r="AA2363" s="78"/>
      <c r="AG2363"/>
      <c r="AH2363"/>
    </row>
    <row r="2364" spans="23:34" x14ac:dyDescent="0.25">
      <c r="W2364"/>
      <c r="X2364"/>
      <c r="Z2364" s="78"/>
      <c r="AA2364" s="78"/>
      <c r="AG2364"/>
      <c r="AH2364"/>
    </row>
    <row r="2365" spans="23:34" x14ac:dyDescent="0.25">
      <c r="W2365"/>
      <c r="X2365"/>
      <c r="Z2365" s="78"/>
      <c r="AA2365" s="78"/>
      <c r="AG2365"/>
      <c r="AH2365"/>
    </row>
    <row r="2366" spans="23:34" x14ac:dyDescent="0.25">
      <c r="W2366"/>
      <c r="X2366"/>
      <c r="Z2366" s="78"/>
      <c r="AA2366" s="78"/>
      <c r="AG2366"/>
      <c r="AH2366"/>
    </row>
    <row r="2367" spans="23:34" x14ac:dyDescent="0.25">
      <c r="W2367"/>
      <c r="X2367"/>
      <c r="Z2367" s="78"/>
      <c r="AA2367" s="78"/>
      <c r="AG2367"/>
      <c r="AH2367"/>
    </row>
    <row r="2368" spans="23:34" x14ac:dyDescent="0.25">
      <c r="W2368"/>
      <c r="X2368"/>
      <c r="Z2368" s="78"/>
      <c r="AA2368" s="78"/>
      <c r="AG2368"/>
      <c r="AH2368"/>
    </row>
    <row r="2369" spans="23:34" x14ac:dyDescent="0.25">
      <c r="W2369"/>
      <c r="X2369"/>
      <c r="Z2369" s="78"/>
      <c r="AA2369" s="78"/>
      <c r="AG2369"/>
      <c r="AH2369"/>
    </row>
    <row r="2370" spans="23:34" x14ac:dyDescent="0.25">
      <c r="W2370"/>
      <c r="X2370"/>
      <c r="Z2370" s="78"/>
      <c r="AA2370" s="78"/>
      <c r="AG2370"/>
      <c r="AH2370"/>
    </row>
    <row r="2371" spans="23:34" x14ac:dyDescent="0.25">
      <c r="W2371"/>
      <c r="X2371"/>
      <c r="Z2371" s="78"/>
      <c r="AA2371" s="78"/>
      <c r="AG2371"/>
      <c r="AH2371"/>
    </row>
    <row r="2372" spans="23:34" x14ac:dyDescent="0.25">
      <c r="W2372"/>
      <c r="X2372"/>
      <c r="Z2372" s="78"/>
      <c r="AA2372" s="78"/>
      <c r="AG2372"/>
      <c r="AH2372"/>
    </row>
    <row r="2373" spans="23:34" x14ac:dyDescent="0.25">
      <c r="W2373"/>
      <c r="X2373"/>
      <c r="Z2373" s="78"/>
      <c r="AA2373" s="78"/>
      <c r="AG2373"/>
      <c r="AH2373"/>
    </row>
    <row r="2374" spans="23:34" x14ac:dyDescent="0.25">
      <c r="W2374"/>
      <c r="X2374"/>
      <c r="Z2374" s="78"/>
      <c r="AA2374" s="78"/>
      <c r="AG2374"/>
      <c r="AH2374"/>
    </row>
    <row r="2375" spans="23:34" x14ac:dyDescent="0.25">
      <c r="W2375"/>
      <c r="X2375"/>
      <c r="Z2375" s="78"/>
      <c r="AA2375" s="78"/>
      <c r="AG2375"/>
      <c r="AH2375"/>
    </row>
    <row r="2376" spans="23:34" x14ac:dyDescent="0.25">
      <c r="W2376"/>
      <c r="X2376"/>
      <c r="Z2376" s="78"/>
      <c r="AA2376" s="78"/>
      <c r="AG2376"/>
      <c r="AH2376"/>
    </row>
    <row r="2377" spans="23:34" x14ac:dyDescent="0.25">
      <c r="W2377"/>
      <c r="X2377"/>
      <c r="Z2377" s="78"/>
      <c r="AA2377" s="78"/>
      <c r="AG2377"/>
      <c r="AH2377"/>
    </row>
    <row r="2378" spans="23:34" x14ac:dyDescent="0.25">
      <c r="W2378"/>
      <c r="X2378"/>
      <c r="Z2378" s="78"/>
      <c r="AA2378" s="78"/>
      <c r="AG2378"/>
      <c r="AH2378"/>
    </row>
    <row r="2379" spans="23:34" x14ac:dyDescent="0.25">
      <c r="W2379"/>
      <c r="X2379"/>
      <c r="Z2379" s="78"/>
      <c r="AA2379" s="78"/>
      <c r="AG2379"/>
      <c r="AH2379"/>
    </row>
    <row r="2380" spans="23:34" x14ac:dyDescent="0.25">
      <c r="W2380"/>
      <c r="X2380"/>
      <c r="Z2380" s="78"/>
      <c r="AA2380" s="78"/>
      <c r="AG2380"/>
      <c r="AH2380"/>
    </row>
    <row r="2381" spans="23:34" x14ac:dyDescent="0.25">
      <c r="W2381"/>
      <c r="X2381"/>
      <c r="Z2381" s="78"/>
      <c r="AA2381" s="78"/>
      <c r="AG2381"/>
      <c r="AH2381"/>
    </row>
    <row r="2382" spans="23:34" x14ac:dyDescent="0.25">
      <c r="W2382"/>
      <c r="X2382"/>
      <c r="Z2382" s="78"/>
      <c r="AA2382" s="78"/>
      <c r="AG2382"/>
      <c r="AH2382"/>
    </row>
    <row r="2383" spans="23:34" x14ac:dyDescent="0.25">
      <c r="W2383"/>
      <c r="X2383"/>
      <c r="Z2383" s="78"/>
      <c r="AA2383" s="78"/>
      <c r="AG2383"/>
      <c r="AH2383"/>
    </row>
    <row r="2384" spans="23:34" x14ac:dyDescent="0.25">
      <c r="W2384"/>
      <c r="X2384"/>
      <c r="Z2384" s="78"/>
      <c r="AA2384" s="78"/>
      <c r="AG2384"/>
      <c r="AH2384"/>
    </row>
    <row r="2385" spans="23:34" x14ac:dyDescent="0.25">
      <c r="W2385"/>
      <c r="X2385"/>
      <c r="Z2385" s="78"/>
      <c r="AA2385" s="78"/>
      <c r="AG2385"/>
      <c r="AH2385"/>
    </row>
    <row r="2386" spans="23:34" x14ac:dyDescent="0.25">
      <c r="W2386"/>
      <c r="X2386"/>
      <c r="Z2386" s="78"/>
      <c r="AA2386" s="78"/>
      <c r="AG2386"/>
      <c r="AH2386"/>
    </row>
    <row r="2387" spans="23:34" x14ac:dyDescent="0.25">
      <c r="W2387"/>
      <c r="X2387"/>
      <c r="Z2387" s="78"/>
      <c r="AA2387" s="78"/>
      <c r="AG2387"/>
      <c r="AH2387"/>
    </row>
    <row r="2388" spans="23:34" x14ac:dyDescent="0.25">
      <c r="W2388"/>
      <c r="X2388"/>
      <c r="Z2388" s="78"/>
      <c r="AA2388" s="78"/>
      <c r="AG2388"/>
      <c r="AH2388"/>
    </row>
    <row r="2389" spans="23:34" x14ac:dyDescent="0.25">
      <c r="W2389"/>
      <c r="X2389"/>
      <c r="Z2389" s="78"/>
      <c r="AA2389" s="78"/>
      <c r="AG2389"/>
      <c r="AH2389"/>
    </row>
    <row r="2390" spans="23:34" x14ac:dyDescent="0.25">
      <c r="W2390"/>
      <c r="X2390"/>
      <c r="Z2390" s="78"/>
      <c r="AA2390" s="78"/>
      <c r="AG2390"/>
      <c r="AH2390"/>
    </row>
    <row r="2391" spans="23:34" x14ac:dyDescent="0.25">
      <c r="W2391"/>
      <c r="X2391"/>
      <c r="Z2391" s="78"/>
      <c r="AA2391" s="78"/>
      <c r="AG2391"/>
      <c r="AH2391"/>
    </row>
    <row r="2392" spans="23:34" x14ac:dyDescent="0.25">
      <c r="W2392"/>
      <c r="X2392"/>
      <c r="Z2392" s="78"/>
      <c r="AA2392" s="78"/>
      <c r="AG2392"/>
      <c r="AH2392"/>
    </row>
    <row r="2393" spans="23:34" x14ac:dyDescent="0.25">
      <c r="W2393"/>
      <c r="X2393"/>
      <c r="Z2393" s="78"/>
      <c r="AA2393" s="78"/>
      <c r="AG2393"/>
      <c r="AH2393"/>
    </row>
    <row r="2394" spans="23:34" x14ac:dyDescent="0.25">
      <c r="W2394"/>
      <c r="X2394"/>
      <c r="Z2394" s="78"/>
      <c r="AA2394" s="78"/>
      <c r="AG2394"/>
      <c r="AH2394"/>
    </row>
    <row r="2395" spans="23:34" x14ac:dyDescent="0.25">
      <c r="W2395"/>
      <c r="X2395"/>
      <c r="Z2395" s="78"/>
      <c r="AA2395" s="78"/>
      <c r="AG2395"/>
      <c r="AH2395"/>
    </row>
    <row r="2396" spans="23:34" x14ac:dyDescent="0.25">
      <c r="W2396"/>
      <c r="X2396"/>
      <c r="Z2396" s="78"/>
      <c r="AA2396" s="78"/>
      <c r="AG2396"/>
      <c r="AH2396"/>
    </row>
    <row r="2397" spans="23:34" x14ac:dyDescent="0.25">
      <c r="W2397"/>
      <c r="X2397"/>
      <c r="Z2397" s="78"/>
      <c r="AA2397" s="78"/>
      <c r="AG2397"/>
      <c r="AH2397"/>
    </row>
    <row r="2398" spans="23:34" x14ac:dyDescent="0.25">
      <c r="W2398"/>
      <c r="X2398"/>
      <c r="Z2398" s="78"/>
      <c r="AA2398" s="78"/>
      <c r="AG2398"/>
      <c r="AH2398"/>
    </row>
    <row r="2399" spans="23:34" x14ac:dyDescent="0.25">
      <c r="W2399"/>
      <c r="X2399"/>
      <c r="Z2399" s="78"/>
      <c r="AA2399" s="78"/>
      <c r="AG2399"/>
      <c r="AH2399"/>
    </row>
    <row r="2400" spans="23:34" x14ac:dyDescent="0.25">
      <c r="W2400"/>
      <c r="X2400"/>
      <c r="Z2400" s="78"/>
      <c r="AA2400" s="78"/>
      <c r="AG2400"/>
      <c r="AH2400"/>
    </row>
    <row r="2401" spans="23:34" x14ac:dyDescent="0.25">
      <c r="W2401"/>
      <c r="X2401"/>
      <c r="Z2401" s="78"/>
      <c r="AA2401" s="78"/>
      <c r="AG2401"/>
      <c r="AH2401"/>
    </row>
    <row r="2402" spans="23:34" x14ac:dyDescent="0.25">
      <c r="W2402"/>
      <c r="X2402"/>
      <c r="Z2402" s="78"/>
      <c r="AA2402" s="78"/>
      <c r="AG2402"/>
      <c r="AH2402"/>
    </row>
    <row r="2403" spans="23:34" x14ac:dyDescent="0.25">
      <c r="W2403"/>
      <c r="X2403"/>
      <c r="Z2403" s="78"/>
      <c r="AA2403" s="78"/>
      <c r="AG2403"/>
      <c r="AH2403"/>
    </row>
    <row r="2404" spans="23:34" x14ac:dyDescent="0.25">
      <c r="W2404"/>
      <c r="X2404"/>
      <c r="Z2404" s="78"/>
      <c r="AA2404" s="78"/>
      <c r="AG2404"/>
      <c r="AH2404"/>
    </row>
    <row r="2405" spans="23:34" x14ac:dyDescent="0.25">
      <c r="W2405"/>
      <c r="X2405"/>
      <c r="Z2405" s="78"/>
      <c r="AA2405" s="78"/>
      <c r="AG2405"/>
      <c r="AH2405"/>
    </row>
    <row r="2406" spans="23:34" x14ac:dyDescent="0.25">
      <c r="W2406"/>
      <c r="X2406"/>
      <c r="Z2406" s="78"/>
      <c r="AA2406" s="78"/>
      <c r="AG2406"/>
      <c r="AH2406"/>
    </row>
    <row r="2407" spans="23:34" x14ac:dyDescent="0.25">
      <c r="W2407"/>
      <c r="X2407"/>
      <c r="Z2407" s="78"/>
      <c r="AA2407" s="78"/>
      <c r="AG2407"/>
      <c r="AH2407"/>
    </row>
    <row r="2408" spans="23:34" x14ac:dyDescent="0.25">
      <c r="W2408"/>
      <c r="X2408"/>
      <c r="Z2408" s="78"/>
      <c r="AA2408" s="78"/>
      <c r="AG2408"/>
      <c r="AH2408"/>
    </row>
    <row r="2409" spans="23:34" x14ac:dyDescent="0.25">
      <c r="W2409"/>
      <c r="X2409"/>
      <c r="Z2409" s="78"/>
      <c r="AA2409" s="78"/>
      <c r="AG2409"/>
      <c r="AH2409"/>
    </row>
    <row r="2410" spans="23:34" x14ac:dyDescent="0.25">
      <c r="W2410"/>
      <c r="X2410"/>
      <c r="Z2410" s="78"/>
      <c r="AA2410" s="78"/>
      <c r="AG2410"/>
      <c r="AH2410"/>
    </row>
    <row r="2411" spans="23:34" x14ac:dyDescent="0.25">
      <c r="W2411"/>
      <c r="X2411"/>
      <c r="Z2411" s="78"/>
      <c r="AA2411" s="78"/>
      <c r="AG2411"/>
      <c r="AH2411"/>
    </row>
    <row r="2412" spans="23:34" x14ac:dyDescent="0.25">
      <c r="W2412"/>
      <c r="X2412"/>
      <c r="Z2412" s="78"/>
      <c r="AA2412" s="78"/>
      <c r="AG2412"/>
      <c r="AH2412"/>
    </row>
    <row r="2413" spans="23:34" x14ac:dyDescent="0.25">
      <c r="W2413"/>
      <c r="X2413"/>
      <c r="Z2413" s="78"/>
      <c r="AA2413" s="78"/>
      <c r="AG2413"/>
      <c r="AH2413"/>
    </row>
    <row r="2414" spans="23:34" x14ac:dyDescent="0.25">
      <c r="W2414"/>
      <c r="X2414"/>
      <c r="Z2414" s="78"/>
      <c r="AA2414" s="78"/>
      <c r="AG2414"/>
      <c r="AH2414"/>
    </row>
    <row r="2415" spans="23:34" x14ac:dyDescent="0.25">
      <c r="W2415"/>
      <c r="X2415"/>
      <c r="Z2415" s="78"/>
      <c r="AA2415" s="78"/>
      <c r="AG2415"/>
      <c r="AH2415"/>
    </row>
    <row r="2416" spans="23:34" x14ac:dyDescent="0.25">
      <c r="W2416"/>
      <c r="X2416"/>
      <c r="Z2416" s="78"/>
      <c r="AA2416" s="78"/>
      <c r="AG2416"/>
      <c r="AH2416"/>
    </row>
    <row r="2417" spans="23:34" x14ac:dyDescent="0.25">
      <c r="W2417"/>
      <c r="X2417"/>
      <c r="Z2417" s="78"/>
      <c r="AA2417" s="78"/>
      <c r="AG2417"/>
      <c r="AH2417"/>
    </row>
    <row r="2418" spans="23:34" x14ac:dyDescent="0.25">
      <c r="W2418"/>
      <c r="X2418"/>
      <c r="Z2418" s="78"/>
      <c r="AA2418" s="78"/>
      <c r="AG2418"/>
      <c r="AH2418"/>
    </row>
    <row r="2419" spans="23:34" x14ac:dyDescent="0.25">
      <c r="W2419"/>
      <c r="X2419"/>
      <c r="Z2419" s="78"/>
      <c r="AA2419" s="78"/>
      <c r="AG2419"/>
      <c r="AH2419"/>
    </row>
    <row r="2420" spans="23:34" x14ac:dyDescent="0.25">
      <c r="W2420"/>
      <c r="X2420"/>
      <c r="Z2420" s="78"/>
      <c r="AA2420" s="78"/>
      <c r="AG2420"/>
      <c r="AH2420"/>
    </row>
    <row r="2421" spans="23:34" x14ac:dyDescent="0.25">
      <c r="W2421"/>
      <c r="X2421"/>
      <c r="Z2421" s="78"/>
      <c r="AA2421" s="78"/>
      <c r="AG2421"/>
      <c r="AH2421"/>
    </row>
    <row r="2422" spans="23:34" x14ac:dyDescent="0.25">
      <c r="W2422"/>
      <c r="X2422"/>
      <c r="Z2422" s="78"/>
      <c r="AA2422" s="78"/>
      <c r="AG2422"/>
      <c r="AH2422"/>
    </row>
    <row r="2423" spans="23:34" x14ac:dyDescent="0.25">
      <c r="W2423"/>
      <c r="X2423"/>
      <c r="Z2423" s="78"/>
      <c r="AA2423" s="78"/>
      <c r="AG2423"/>
      <c r="AH2423"/>
    </row>
    <row r="2424" spans="23:34" x14ac:dyDescent="0.25">
      <c r="W2424"/>
      <c r="X2424"/>
      <c r="Z2424" s="78"/>
      <c r="AA2424" s="78"/>
      <c r="AG2424"/>
      <c r="AH2424"/>
    </row>
    <row r="2425" spans="23:34" x14ac:dyDescent="0.25">
      <c r="W2425"/>
      <c r="X2425"/>
      <c r="Z2425" s="78"/>
      <c r="AA2425" s="78"/>
      <c r="AG2425"/>
      <c r="AH2425"/>
    </row>
    <row r="2426" spans="23:34" x14ac:dyDescent="0.25">
      <c r="W2426"/>
      <c r="X2426"/>
      <c r="Z2426" s="78"/>
      <c r="AA2426" s="78"/>
      <c r="AG2426"/>
      <c r="AH2426"/>
    </row>
    <row r="2427" spans="23:34" x14ac:dyDescent="0.25">
      <c r="W2427"/>
      <c r="X2427"/>
      <c r="Z2427" s="78"/>
      <c r="AA2427" s="78"/>
      <c r="AG2427"/>
      <c r="AH2427"/>
    </row>
    <row r="2428" spans="23:34" x14ac:dyDescent="0.25">
      <c r="W2428"/>
      <c r="X2428"/>
      <c r="Z2428" s="78"/>
      <c r="AA2428" s="78"/>
      <c r="AG2428"/>
      <c r="AH2428"/>
    </row>
    <row r="2429" spans="23:34" x14ac:dyDescent="0.25">
      <c r="W2429"/>
      <c r="X2429"/>
      <c r="Z2429" s="78"/>
      <c r="AA2429" s="78"/>
      <c r="AG2429"/>
      <c r="AH2429"/>
    </row>
    <row r="2430" spans="23:34" x14ac:dyDescent="0.25">
      <c r="W2430"/>
      <c r="X2430"/>
      <c r="Z2430" s="78"/>
      <c r="AA2430" s="78"/>
      <c r="AG2430"/>
      <c r="AH2430"/>
    </row>
    <row r="2431" spans="23:34" x14ac:dyDescent="0.25">
      <c r="W2431"/>
      <c r="X2431"/>
      <c r="Z2431" s="78"/>
      <c r="AA2431" s="78"/>
      <c r="AG2431"/>
      <c r="AH2431"/>
    </row>
    <row r="2432" spans="23:34" x14ac:dyDescent="0.25">
      <c r="W2432"/>
      <c r="X2432"/>
      <c r="Z2432" s="78"/>
      <c r="AA2432" s="78"/>
      <c r="AG2432"/>
      <c r="AH2432"/>
    </row>
    <row r="2433" spans="23:34" x14ac:dyDescent="0.25">
      <c r="W2433"/>
      <c r="X2433"/>
      <c r="Z2433" s="78"/>
      <c r="AA2433" s="78"/>
      <c r="AG2433"/>
      <c r="AH2433"/>
    </row>
    <row r="2434" spans="23:34" x14ac:dyDescent="0.25">
      <c r="W2434"/>
      <c r="X2434"/>
      <c r="Z2434" s="78"/>
      <c r="AA2434" s="78"/>
      <c r="AG2434"/>
      <c r="AH2434"/>
    </row>
    <row r="2435" spans="23:34" x14ac:dyDescent="0.25">
      <c r="W2435"/>
      <c r="X2435"/>
      <c r="Z2435" s="78"/>
      <c r="AA2435" s="78"/>
      <c r="AG2435"/>
      <c r="AH2435"/>
    </row>
    <row r="2436" spans="23:34" x14ac:dyDescent="0.25">
      <c r="W2436"/>
      <c r="X2436"/>
      <c r="Z2436" s="78"/>
      <c r="AA2436" s="78"/>
      <c r="AG2436"/>
      <c r="AH2436"/>
    </row>
    <row r="2437" spans="23:34" x14ac:dyDescent="0.25">
      <c r="W2437"/>
      <c r="X2437"/>
      <c r="Z2437" s="78"/>
      <c r="AA2437" s="78"/>
      <c r="AG2437"/>
      <c r="AH2437"/>
    </row>
  </sheetData>
  <phoneticPr fontId="4" type="noConversion"/>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B4FCB-42CC-41BF-BB08-A985C0CBF169}">
  <sheetPr codeName="Planilha1"/>
  <dimension ref="A1:BC424"/>
  <sheetViews>
    <sheetView workbookViewId="0">
      <selection activeCell="P9" sqref="P9"/>
    </sheetView>
  </sheetViews>
  <sheetFormatPr defaultColWidth="15" defaultRowHeight="15" x14ac:dyDescent="0.25"/>
  <cols>
    <col min="1" max="1" width="28.85546875" style="78" bestFit="1" customWidth="1"/>
    <col min="2" max="2" width="16.140625" style="78" bestFit="1" customWidth="1"/>
    <col min="3" max="3" width="30.140625" style="78" bestFit="1" customWidth="1"/>
    <col min="4" max="4" width="20.85546875" style="78" bestFit="1" customWidth="1"/>
    <col min="5" max="5" width="21.42578125" style="78" bestFit="1" customWidth="1"/>
    <col min="6" max="6" width="38" style="154" bestFit="1" customWidth="1"/>
    <col min="7" max="7" width="28.7109375" style="78" bestFit="1" customWidth="1"/>
    <col min="8" max="8" width="26.28515625" style="153" bestFit="1" customWidth="1"/>
    <col min="9" max="9" width="16.7109375" style="78" bestFit="1" customWidth="1"/>
    <col min="10" max="10" width="41.7109375" style="1" bestFit="1" customWidth="1"/>
    <col min="11" max="11" width="19.42578125" style="153" bestFit="1" customWidth="1"/>
    <col min="12" max="12" width="18.28515625" style="78" bestFit="1" customWidth="1"/>
    <col min="13" max="13" width="15" style="78"/>
    <col min="14" max="14" width="26.7109375" style="153" bestFit="1" customWidth="1"/>
    <col min="15" max="15" width="24.42578125" style="153" bestFit="1" customWidth="1"/>
    <col min="16" max="16" width="24.42578125" style="78" bestFit="1" customWidth="1"/>
    <col min="17" max="17" width="16" style="153" bestFit="1" customWidth="1"/>
    <col min="18" max="18" width="15" style="78"/>
    <col min="19" max="19" width="26.28515625" style="78" bestFit="1" customWidth="1"/>
    <col min="20" max="20" width="19.42578125" style="1" bestFit="1" customWidth="1"/>
    <col min="21" max="21" width="35" style="78" bestFit="1" customWidth="1"/>
    <col min="22" max="22" width="56.140625" style="1" bestFit="1" customWidth="1"/>
    <col min="23" max="23" width="17.85546875" style="1" bestFit="1" customWidth="1"/>
    <col min="24" max="24" width="32" style="1" bestFit="1" customWidth="1"/>
    <col min="25" max="25" width="35" style="1" bestFit="1" customWidth="1"/>
    <col min="26" max="26" width="19.7109375" style="1" bestFit="1" customWidth="1"/>
    <col min="27" max="27" width="15" style="1"/>
    <col min="28" max="29" width="15" style="78"/>
    <col min="30" max="41" width="15" style="1"/>
    <col min="42" max="43" width="15" style="78"/>
    <col min="44" max="55" width="15" style="1"/>
    <col min="56" max="16384" width="15" style="78"/>
  </cols>
  <sheetData>
    <row r="1" spans="1:43" ht="16.5" customHeight="1" x14ac:dyDescent="0.25">
      <c r="A1" s="3" t="s">
        <v>20</v>
      </c>
      <c r="B1" s="3" t="s">
        <v>9</v>
      </c>
      <c r="C1" s="3" t="s">
        <v>21</v>
      </c>
      <c r="D1" s="3" t="s">
        <v>48</v>
      </c>
      <c r="E1" s="3" t="s">
        <v>123</v>
      </c>
      <c r="F1" s="3" t="s">
        <v>22</v>
      </c>
      <c r="G1" s="3" t="s">
        <v>873</v>
      </c>
      <c r="H1" s="3" t="s">
        <v>874</v>
      </c>
      <c r="I1" s="3" t="s">
        <v>875</v>
      </c>
      <c r="J1" s="6" t="s">
        <v>876</v>
      </c>
      <c r="K1" s="3" t="s">
        <v>877</v>
      </c>
      <c r="N1" s="151" t="s">
        <v>878</v>
      </c>
      <c r="O1" s="3" t="s">
        <v>879</v>
      </c>
      <c r="P1" s="152" t="s">
        <v>880</v>
      </c>
      <c r="Q1" s="153" t="s">
        <v>881</v>
      </c>
      <c r="R1" s="78" t="s">
        <v>882</v>
      </c>
      <c r="S1" s="78" t="s">
        <v>883</v>
      </c>
      <c r="T1" s="153"/>
      <c r="U1" s="6" t="s">
        <v>884</v>
      </c>
      <c r="V1" s="6" t="s">
        <v>885</v>
      </c>
      <c r="AB1" s="1"/>
      <c r="AC1" s="1"/>
      <c r="AP1" s="1"/>
      <c r="AQ1" s="1"/>
    </row>
    <row r="2" spans="1:43" x14ac:dyDescent="0.25">
      <c r="A2" s="2" t="s">
        <v>24</v>
      </c>
      <c r="B2" s="2" t="s">
        <v>2</v>
      </c>
      <c r="C2" s="2" t="s">
        <v>8</v>
      </c>
      <c r="D2" s="2" t="str" cm="1">
        <f t="array" ref="D2:D106">_xlfn.UNIQUE(GARANTIA[[EQUIPAMENTO ]])</f>
        <v>MTI - 12.000GTS</v>
      </c>
      <c r="E2" s="153" t="s">
        <v>122</v>
      </c>
      <c r="F2" s="154" t="s">
        <v>26</v>
      </c>
      <c r="G2" s="112" t="s">
        <v>642</v>
      </c>
      <c r="H2" s="155" t="s">
        <v>100</v>
      </c>
      <c r="I2" s="156" t="s">
        <v>360</v>
      </c>
      <c r="J2" s="1" t="str" cm="1">
        <f t="array" ref="J2:J424">_xlfn.UNIQUE(GARANTIA[[CLIENTE ]])</f>
        <v>TESTE 1</v>
      </c>
      <c r="K2" s="2" t="s">
        <v>1671</v>
      </c>
      <c r="N2" s="157" t="str" cm="1">
        <f t="array" ref="N2:N8">_xlfn.UNIQUE(PEÇAS_GARANTIA[CATEGORIA])</f>
        <v>GÁS</v>
      </c>
      <c r="O2" s="153" t="str" cm="1">
        <f t="array" ref="O2:O25">_xlfn.UNIQUE(PEÇAS_GARANTIA[COMPONENTE])</f>
        <v>Gás</v>
      </c>
      <c r="P2" s="1" t="str" cm="1">
        <f t="array" ref="P2">_xlfn.UNIQUE(PEÇAS_GARANTIA[FORNECEDOR])</f>
        <v>TESTE</v>
      </c>
      <c r="Q2" s="153">
        <v>7</v>
      </c>
      <c r="R2" s="78">
        <v>1</v>
      </c>
      <c r="S2" s="78" t="str" cm="1">
        <f t="array" ref="S2:S10">_xlfn.UNIQUE(_xlfn._xlws.FILTER(GERAL[CLIENTE],(GERAL[[STATUS DO CHAMADO ]] = "EM ATENDIMENTO REMOTO")+(GERAL[[STATUS DO CHAMADO ]] = "EM ATENDIMENTO PRESENCIAL")))</f>
        <v>TESTE 185</v>
      </c>
      <c r="T2" s="153"/>
      <c r="U2" s="153" t="s">
        <v>886</v>
      </c>
      <c r="V2" s="78" t="s">
        <v>887</v>
      </c>
      <c r="W2" s="153"/>
      <c r="Y2" s="153"/>
      <c r="Z2" s="153"/>
    </row>
    <row r="3" spans="1:43" x14ac:dyDescent="0.25">
      <c r="A3" s="2" t="s">
        <v>25</v>
      </c>
      <c r="B3" s="2" t="s">
        <v>3</v>
      </c>
      <c r="C3" s="2" t="s">
        <v>164</v>
      </c>
      <c r="D3" s="2" t="str">
        <v>EMS - 1</v>
      </c>
      <c r="E3" s="153" t="s">
        <v>124</v>
      </c>
      <c r="F3" s="154" t="s">
        <v>27</v>
      </c>
      <c r="G3" s="113" t="s">
        <v>611</v>
      </c>
      <c r="H3" s="158" t="s">
        <v>638</v>
      </c>
      <c r="I3" s="159" t="s">
        <v>141</v>
      </c>
      <c r="J3" s="1" t="str">
        <v>TESTE 2</v>
      </c>
      <c r="K3" s="2" t="s">
        <v>1671</v>
      </c>
      <c r="N3" s="157" t="str">
        <v>ÓLEO</v>
      </c>
      <c r="O3" s="153" t="str">
        <v>Óleo</v>
      </c>
      <c r="P3" s="1"/>
      <c r="Q3" s="153">
        <v>10</v>
      </c>
      <c r="R3" s="78">
        <v>2</v>
      </c>
      <c r="S3" s="78" t="str">
        <v>TESTE 354</v>
      </c>
      <c r="T3" s="153"/>
      <c r="V3" s="78" t="s">
        <v>888</v>
      </c>
      <c r="W3" s="78"/>
      <c r="Y3" s="78"/>
      <c r="Z3" s="78"/>
    </row>
    <row r="4" spans="1:43" x14ac:dyDescent="0.25">
      <c r="A4" s="2" t="s">
        <v>23</v>
      </c>
      <c r="B4" s="2" t="s">
        <v>5</v>
      </c>
      <c r="C4" s="2" t="s">
        <v>7</v>
      </c>
      <c r="D4" s="2" t="str">
        <v>TR - 1</v>
      </c>
      <c r="E4" s="153"/>
      <c r="F4" s="154" t="s">
        <v>28</v>
      </c>
      <c r="G4" s="112" t="s">
        <v>643</v>
      </c>
      <c r="H4" s="155" t="s">
        <v>325</v>
      </c>
      <c r="I4" s="156" t="s">
        <v>143</v>
      </c>
      <c r="J4" s="1" t="str">
        <v>TESTE 3</v>
      </c>
      <c r="K4" s="2" t="s">
        <v>1671</v>
      </c>
      <c r="N4" s="157" t="str">
        <v>PEÇA</v>
      </c>
      <c r="O4" s="153" t="str">
        <v>Nucleo Secador</v>
      </c>
      <c r="P4" s="1"/>
      <c r="Q4" s="153">
        <v>15</v>
      </c>
      <c r="R4" s="78">
        <v>3</v>
      </c>
      <c r="S4" s="78" t="str">
        <v>TESTE 121</v>
      </c>
      <c r="T4" s="153"/>
      <c r="V4" s="78" t="s">
        <v>889</v>
      </c>
      <c r="W4" s="78"/>
      <c r="Y4" s="78"/>
      <c r="Z4" s="78"/>
    </row>
    <row r="5" spans="1:43" x14ac:dyDescent="0.25">
      <c r="A5" s="2" t="s">
        <v>11</v>
      </c>
      <c r="B5" s="2" t="s">
        <v>1</v>
      </c>
      <c r="C5" s="2" t="s">
        <v>890</v>
      </c>
      <c r="D5" s="2" t="str">
        <v>BASE</v>
      </c>
      <c r="E5" s="153"/>
      <c r="F5" s="154" t="s">
        <v>34</v>
      </c>
      <c r="G5" s="112" t="s">
        <v>644</v>
      </c>
      <c r="H5" s="160" t="s">
        <v>98</v>
      </c>
      <c r="I5" s="159" t="s">
        <v>142</v>
      </c>
      <c r="J5" s="1" t="str">
        <v>TESTE 4</v>
      </c>
      <c r="K5" s="2" t="s">
        <v>1671</v>
      </c>
      <c r="N5" s="157" t="str">
        <v>DOCUMENTAÇÃO</v>
      </c>
      <c r="O5" s="153" t="str">
        <v>Nucleo Sucção</v>
      </c>
      <c r="P5" s="1"/>
      <c r="Q5" s="153">
        <v>28</v>
      </c>
      <c r="S5" s="78" t="str">
        <v>TESTE 308</v>
      </c>
      <c r="T5" s="153"/>
      <c r="V5" s="78" t="s">
        <v>891</v>
      </c>
      <c r="W5" s="78"/>
      <c r="Y5" s="78"/>
      <c r="Z5" s="78"/>
    </row>
    <row r="6" spans="1:43" x14ac:dyDescent="0.25">
      <c r="B6" s="2" t="s">
        <v>47</v>
      </c>
      <c r="C6" s="2" t="s">
        <v>12</v>
      </c>
      <c r="D6" s="2" t="str">
        <v>MTI - 7.000GTS</v>
      </c>
      <c r="E6" s="153"/>
      <c r="F6" s="154" t="s">
        <v>29</v>
      </c>
      <c r="G6" s="114" t="s">
        <v>331</v>
      </c>
      <c r="H6" s="161" t="s">
        <v>639</v>
      </c>
      <c r="I6" s="156" t="s">
        <v>296</v>
      </c>
      <c r="J6" s="1" t="str">
        <v>TESTE 5</v>
      </c>
      <c r="K6" s="2" t="s">
        <v>1671</v>
      </c>
      <c r="N6" s="157" t="str">
        <v>FRETE</v>
      </c>
      <c r="O6" s="153" t="str">
        <v>Sensor</v>
      </c>
      <c r="P6" s="1"/>
      <c r="Q6" s="153">
        <v>30</v>
      </c>
      <c r="S6" s="78" t="str">
        <v>BANN QUIMICA</v>
      </c>
      <c r="T6" s="153"/>
      <c r="V6" s="78" t="s">
        <v>892</v>
      </c>
      <c r="W6" s="78"/>
      <c r="Y6" s="78"/>
    </row>
    <row r="7" spans="1:43" x14ac:dyDescent="0.25">
      <c r="B7" s="2" t="s">
        <v>4</v>
      </c>
      <c r="C7" s="2" t="s">
        <v>13</v>
      </c>
      <c r="D7" s="2" t="str">
        <v>MTI - 10.000GE</v>
      </c>
      <c r="E7" s="153"/>
      <c r="F7" s="154" t="s">
        <v>30</v>
      </c>
      <c r="G7" s="112" t="s">
        <v>645</v>
      </c>
      <c r="H7" s="155" t="s">
        <v>99</v>
      </c>
      <c r="I7" s="159" t="s">
        <v>640</v>
      </c>
      <c r="J7" s="1" t="str">
        <v>TESTE 6</v>
      </c>
      <c r="K7" s="2" t="s">
        <v>1671</v>
      </c>
      <c r="N7" s="157" t="str">
        <v>MATERIAL ELÉTRICO</v>
      </c>
      <c r="O7" s="153" t="str">
        <v xml:space="preserve">Separador de Óleo </v>
      </c>
      <c r="P7" s="1"/>
      <c r="Q7" s="153" t="s">
        <v>893</v>
      </c>
      <c r="S7" s="78" t="str">
        <v>TESTE 320</v>
      </c>
      <c r="T7" s="153"/>
      <c r="V7" s="78" t="s">
        <v>894</v>
      </c>
      <c r="W7" s="78"/>
      <c r="Y7" s="78"/>
    </row>
    <row r="8" spans="1:43" x14ac:dyDescent="0.25">
      <c r="D8" s="2" t="str">
        <v>ROSCA TRANSPORTADORA</v>
      </c>
      <c r="E8" s="153"/>
      <c r="F8" s="154" t="s">
        <v>31</v>
      </c>
      <c r="G8" s="112" t="s">
        <v>102</v>
      </c>
      <c r="H8" s="158" t="s">
        <v>101</v>
      </c>
      <c r="I8" s="156" t="s">
        <v>144</v>
      </c>
      <c r="J8" s="1" t="str">
        <v>TESTE 7</v>
      </c>
      <c r="K8" s="2" t="s">
        <v>1671</v>
      </c>
      <c r="N8" s="153">
        <v>0</v>
      </c>
      <c r="O8" s="153" t="str">
        <v>Ventilador</v>
      </c>
      <c r="P8" s="1"/>
      <c r="S8" s="78" t="str">
        <v>TESTE 125</v>
      </c>
      <c r="V8" s="78" t="s">
        <v>895</v>
      </c>
      <c r="W8" s="78"/>
      <c r="Y8" s="78"/>
    </row>
    <row r="9" spans="1:43" x14ac:dyDescent="0.25">
      <c r="D9" s="2" t="str">
        <v>MTI - 4.000GTS</v>
      </c>
      <c r="E9" s="153"/>
      <c r="F9" s="154" t="s">
        <v>32</v>
      </c>
      <c r="G9" s="112" t="s">
        <v>646</v>
      </c>
      <c r="H9" s="155" t="s">
        <v>102</v>
      </c>
      <c r="I9" s="159" t="s">
        <v>297</v>
      </c>
      <c r="J9" s="1" t="str">
        <v>TESTE 8</v>
      </c>
      <c r="K9" s="2" t="s">
        <v>1671</v>
      </c>
      <c r="N9" s="153" t="s">
        <v>896</v>
      </c>
      <c r="O9" s="153" t="str">
        <v>Flexivel</v>
      </c>
      <c r="P9" s="1"/>
      <c r="S9" s="78" t="str">
        <v>TESTE 384</v>
      </c>
      <c r="V9" s="78" t="s">
        <v>897</v>
      </c>
      <c r="W9" s="78"/>
      <c r="Y9" s="78"/>
    </row>
    <row r="10" spans="1:43" x14ac:dyDescent="0.25">
      <c r="D10" s="2" t="str">
        <v>MTI - 2.500GES</v>
      </c>
      <c r="E10" s="153"/>
      <c r="F10" s="154" t="s">
        <v>33</v>
      </c>
      <c r="G10" s="112" t="s">
        <v>647</v>
      </c>
      <c r="H10" s="153" t="s">
        <v>898</v>
      </c>
      <c r="I10" s="156" t="s">
        <v>641</v>
      </c>
      <c r="J10" s="1" t="str">
        <v>TESTE 9</v>
      </c>
      <c r="K10" s="2" t="s">
        <v>1671</v>
      </c>
      <c r="N10" s="153" t="s">
        <v>899</v>
      </c>
      <c r="O10" s="153" t="str">
        <v>Nitrogênio</v>
      </c>
      <c r="P10" s="1"/>
      <c r="S10" s="78" t="str">
        <v>TESTE 14</v>
      </c>
      <c r="V10" s="78" t="s">
        <v>900</v>
      </c>
      <c r="W10" s="78"/>
      <c r="Y10" s="78"/>
    </row>
    <row r="11" spans="1:43" x14ac:dyDescent="0.25">
      <c r="D11" s="2" t="str">
        <v>MTI - 2.500GTS</v>
      </c>
      <c r="E11" s="153"/>
      <c r="F11" s="154" t="s">
        <v>75</v>
      </c>
      <c r="G11" s="112" t="s">
        <v>99</v>
      </c>
      <c r="I11" s="159" t="s">
        <v>97</v>
      </c>
      <c r="J11" s="1" t="str">
        <v>TESTE 10</v>
      </c>
      <c r="K11" s="2" t="s">
        <v>1671</v>
      </c>
      <c r="O11" s="153" t="str">
        <v>Peças Compressor Aberto</v>
      </c>
      <c r="P11" s="1"/>
      <c r="V11" s="78" t="s">
        <v>901</v>
      </c>
      <c r="W11" s="78"/>
      <c r="Y11" s="78"/>
    </row>
    <row r="12" spans="1:43" x14ac:dyDescent="0.25">
      <c r="D12" s="2" t="str">
        <v>MTI - 40.000GE</v>
      </c>
      <c r="E12" s="153"/>
      <c r="F12" s="154" t="s">
        <v>37</v>
      </c>
      <c r="G12" s="112" t="s">
        <v>305</v>
      </c>
      <c r="I12" s="162" t="s">
        <v>306</v>
      </c>
      <c r="J12" s="1" t="str">
        <v>TESTE 11</v>
      </c>
      <c r="K12" s="2" t="s">
        <v>1671</v>
      </c>
      <c r="O12" s="153" t="str">
        <v xml:space="preserve">Documento Exportação </v>
      </c>
      <c r="P12" s="1"/>
      <c r="X12" s="78"/>
      <c r="Y12" s="78"/>
    </row>
    <row r="13" spans="1:43" x14ac:dyDescent="0.25">
      <c r="D13" s="2" t="str">
        <v>RL - 1000</v>
      </c>
      <c r="E13" s="153"/>
      <c r="F13" s="154" t="s">
        <v>53</v>
      </c>
      <c r="G13" s="115" t="s">
        <v>306</v>
      </c>
      <c r="I13" s="1" t="s">
        <v>898</v>
      </c>
      <c r="J13" s="1" t="str">
        <v>TESTE 12</v>
      </c>
      <c r="K13" s="2" t="s">
        <v>1671</v>
      </c>
      <c r="O13" s="153" t="str">
        <v xml:space="preserve">Bóia de Óleo </v>
      </c>
      <c r="P13" s="1"/>
      <c r="V13" s="153"/>
      <c r="X13" s="78"/>
      <c r="Y13" s="78"/>
    </row>
    <row r="14" spans="1:43" x14ac:dyDescent="0.25">
      <c r="D14" s="2" t="str">
        <v>CENTRAL DE COMANDO MTI 12.000 GT</v>
      </c>
      <c r="E14" s="153"/>
      <c r="F14" s="154" t="s">
        <v>54</v>
      </c>
      <c r="G14" s="4" t="s">
        <v>85</v>
      </c>
      <c r="I14" s="1" t="s">
        <v>1671</v>
      </c>
      <c r="J14" s="1" t="str">
        <v>TESTE 13</v>
      </c>
      <c r="K14" s="2" t="s">
        <v>1671</v>
      </c>
      <c r="O14" s="153" t="str">
        <v>Frete</v>
      </c>
      <c r="P14" s="1"/>
      <c r="V14" s="153"/>
      <c r="X14" s="78"/>
      <c r="Y14" s="78"/>
    </row>
    <row r="15" spans="1:43" x14ac:dyDescent="0.25">
      <c r="D15" s="2" t="str">
        <v xml:space="preserve">REFORMA RL </v>
      </c>
      <c r="E15" s="153"/>
      <c r="F15" s="154" t="s">
        <v>64</v>
      </c>
      <c r="G15" s="4" t="s">
        <v>296</v>
      </c>
      <c r="I15" s="1"/>
      <c r="J15" s="1" t="str">
        <v>TESTE 14</v>
      </c>
      <c r="K15" s="2" t="s">
        <v>1671</v>
      </c>
      <c r="O15" s="153" t="str">
        <v>Válvula</v>
      </c>
      <c r="P15" s="1"/>
      <c r="V15" s="153"/>
      <c r="X15" s="78"/>
    </row>
    <row r="16" spans="1:43" x14ac:dyDescent="0.25">
      <c r="D16" s="2" t="str">
        <v>CE - 250</v>
      </c>
      <c r="E16" s="153"/>
      <c r="F16" s="154" t="s">
        <v>38</v>
      </c>
      <c r="G16" s="4" t="s">
        <v>902</v>
      </c>
      <c r="I16" s="1"/>
      <c r="J16" s="1" t="str">
        <v>TESTE 15</v>
      </c>
      <c r="K16" s="2" t="s">
        <v>1671</v>
      </c>
      <c r="O16" s="153" t="str">
        <v>Motobomba Condensador</v>
      </c>
      <c r="P16" s="1"/>
      <c r="V16" s="153"/>
    </row>
    <row r="17" spans="4:55" x14ac:dyDescent="0.25">
      <c r="D17" s="2" t="str">
        <v>MTI - 22.000GT</v>
      </c>
      <c r="E17" s="153"/>
      <c r="F17" s="154" t="s">
        <v>85</v>
      </c>
      <c r="G17" s="4"/>
      <c r="I17" s="1"/>
      <c r="J17" s="1" t="str">
        <v>TESTE 16</v>
      </c>
      <c r="O17" s="153" t="str">
        <v>Peças Compressor Semi</v>
      </c>
      <c r="P17" s="1"/>
      <c r="V17" s="153"/>
    </row>
    <row r="18" spans="4:55" x14ac:dyDescent="0.25">
      <c r="D18" s="2" t="str">
        <v>MTI - 24.000GE</v>
      </c>
      <c r="E18" s="153"/>
      <c r="F18" s="154" t="s">
        <v>76</v>
      </c>
      <c r="G18" s="4"/>
      <c r="I18" s="1"/>
      <c r="J18" s="1" t="str">
        <v>TESTE 17</v>
      </c>
      <c r="O18" s="153" t="str">
        <v>Motor</v>
      </c>
      <c r="P18" s="1"/>
    </row>
    <row r="19" spans="4:55" x14ac:dyDescent="0.25">
      <c r="D19" s="2" t="str">
        <v>SOPRADOR</v>
      </c>
      <c r="E19" s="153"/>
      <c r="F19" s="154" t="s">
        <v>89</v>
      </c>
      <c r="G19" s="4"/>
      <c r="I19" s="1"/>
      <c r="J19" s="1" t="str">
        <v>TESTE 18</v>
      </c>
      <c r="O19" s="153" t="str">
        <v xml:space="preserve">Material Elétrico </v>
      </c>
      <c r="P19" s="1"/>
    </row>
    <row r="20" spans="4:55" x14ac:dyDescent="0.25">
      <c r="D20" s="2" t="str">
        <v>ECLUSA</v>
      </c>
      <c r="E20" s="153"/>
      <c r="F20" s="154" t="s">
        <v>56</v>
      </c>
      <c r="G20" s="4"/>
      <c r="I20" s="1"/>
      <c r="J20" s="1" t="str">
        <v>TESTE 19</v>
      </c>
      <c r="O20" s="153" t="str">
        <v xml:space="preserve">Filtro de Óleo </v>
      </c>
      <c r="P20" s="1"/>
    </row>
    <row r="21" spans="4:55" x14ac:dyDescent="0.25">
      <c r="D21" s="2" t="str">
        <v>ROSCA</v>
      </c>
      <c r="E21" s="153"/>
      <c r="F21" s="154" t="s">
        <v>45</v>
      </c>
      <c r="G21" s="4"/>
      <c r="J21" s="153" t="str">
        <v>TESTE 20</v>
      </c>
      <c r="O21" s="153" t="str">
        <v>Parafusos</v>
      </c>
      <c r="P21" s="1"/>
      <c r="T21" s="78"/>
      <c r="W21" s="78"/>
      <c r="X21" s="78"/>
      <c r="Y21" s="78"/>
      <c r="Z21" s="78"/>
      <c r="AA21" s="78"/>
      <c r="AD21" s="78"/>
      <c r="AE21" s="78"/>
      <c r="AF21" s="78"/>
      <c r="AG21" s="78"/>
      <c r="AH21" s="78"/>
      <c r="AI21" s="78"/>
      <c r="AJ21" s="78"/>
      <c r="AK21" s="78"/>
      <c r="AL21" s="78"/>
      <c r="AM21" s="78"/>
      <c r="AN21" s="78"/>
      <c r="AO21" s="78"/>
      <c r="AR21" s="78"/>
      <c r="AS21" s="78"/>
      <c r="AT21" s="78"/>
      <c r="AU21" s="78"/>
      <c r="AV21" s="78"/>
      <c r="AW21" s="78"/>
      <c r="AX21" s="78"/>
      <c r="AY21" s="78"/>
      <c r="AZ21" s="78"/>
      <c r="BA21" s="78"/>
      <c r="BB21" s="78"/>
      <c r="BC21" s="78"/>
    </row>
    <row r="22" spans="4:55" x14ac:dyDescent="0.25">
      <c r="D22" s="2" t="str">
        <v>QUADRO ELETRICO</v>
      </c>
      <c r="E22" s="153"/>
      <c r="F22" s="154" t="s">
        <v>62</v>
      </c>
      <c r="G22" s="4"/>
      <c r="J22" s="153" t="str">
        <v>TESTE 21</v>
      </c>
      <c r="O22" s="153" t="str">
        <v>Motobomba Gerador</v>
      </c>
      <c r="P22" s="1"/>
      <c r="T22" s="78"/>
      <c r="V22" s="153"/>
      <c r="W22" s="78"/>
      <c r="X22" s="78"/>
      <c r="Y22" s="78"/>
      <c r="Z22" s="78"/>
      <c r="AA22" s="78"/>
      <c r="AD22" s="78"/>
      <c r="AE22" s="78"/>
      <c r="AF22" s="78"/>
      <c r="AG22" s="78"/>
      <c r="AH22" s="78"/>
      <c r="AI22" s="78"/>
      <c r="AJ22" s="78"/>
      <c r="AK22" s="78"/>
      <c r="AL22" s="78"/>
      <c r="AM22" s="78"/>
      <c r="AN22" s="78"/>
      <c r="AO22" s="78"/>
      <c r="AR22" s="78"/>
      <c r="AS22" s="78"/>
      <c r="AT22" s="78"/>
      <c r="AU22" s="78"/>
      <c r="AV22" s="78"/>
      <c r="AW22" s="78"/>
      <c r="AX22" s="78"/>
      <c r="AY22" s="78"/>
      <c r="AZ22" s="78"/>
      <c r="BA22" s="78"/>
      <c r="BB22" s="78"/>
      <c r="BC22" s="78"/>
    </row>
    <row r="23" spans="4:55" x14ac:dyDescent="0.25">
      <c r="D23" s="2" t="str">
        <v>COMPRESSOR</v>
      </c>
      <c r="E23" s="153"/>
      <c r="F23" s="154" t="s">
        <v>44</v>
      </c>
      <c r="G23" s="4"/>
      <c r="J23" s="153" t="str">
        <v>TESTE 22</v>
      </c>
      <c r="O23" s="153" t="str">
        <v>Polia</v>
      </c>
      <c r="P23" s="1"/>
      <c r="T23" s="78"/>
      <c r="V23" s="153"/>
      <c r="W23" s="78"/>
      <c r="X23" s="78"/>
      <c r="Y23" s="78"/>
      <c r="Z23" s="78"/>
      <c r="AA23" s="78"/>
      <c r="AD23" s="78"/>
      <c r="AE23" s="78"/>
      <c r="AF23" s="78"/>
      <c r="AG23" s="78"/>
      <c r="AH23" s="78"/>
      <c r="AI23" s="78"/>
      <c r="AJ23" s="78"/>
      <c r="AK23" s="78"/>
      <c r="AL23" s="78"/>
      <c r="AM23" s="78"/>
      <c r="AN23" s="78"/>
      <c r="AO23" s="78"/>
      <c r="AR23" s="78"/>
      <c r="AS23" s="78"/>
      <c r="AT23" s="78"/>
      <c r="AU23" s="78"/>
      <c r="AV23" s="78"/>
      <c r="AW23" s="78"/>
      <c r="AX23" s="78"/>
      <c r="AY23" s="78"/>
      <c r="AZ23" s="78"/>
      <c r="BA23" s="78"/>
      <c r="BB23" s="78"/>
      <c r="BC23" s="78"/>
    </row>
    <row r="24" spans="4:55" x14ac:dyDescent="0.25">
      <c r="D24" s="2" t="str">
        <v>MTI - 1.000GTS</v>
      </c>
      <c r="E24" s="153"/>
      <c r="F24" s="154" t="s">
        <v>57</v>
      </c>
      <c r="G24" s="4"/>
      <c r="J24" s="153" t="str">
        <v>TESTE 23</v>
      </c>
      <c r="O24" s="153" t="str">
        <v>Pedaleira</v>
      </c>
      <c r="P24" s="1"/>
      <c r="T24" s="78"/>
      <c r="V24" s="153"/>
      <c r="W24" s="78"/>
      <c r="X24" s="78"/>
      <c r="Y24" s="78"/>
      <c r="Z24" s="78"/>
      <c r="AA24" s="78"/>
      <c r="AD24" s="78"/>
      <c r="AE24" s="78"/>
      <c r="AF24" s="78"/>
      <c r="AG24" s="78"/>
      <c r="AH24" s="78"/>
      <c r="AI24" s="78"/>
      <c r="AJ24" s="78"/>
      <c r="AK24" s="78"/>
      <c r="AL24" s="78"/>
      <c r="AM24" s="78"/>
      <c r="AN24" s="78"/>
      <c r="AO24" s="78"/>
      <c r="AR24" s="78"/>
      <c r="AS24" s="78"/>
      <c r="AT24" s="78"/>
      <c r="AU24" s="78"/>
      <c r="AV24" s="78"/>
      <c r="AW24" s="78"/>
      <c r="AX24" s="78"/>
      <c r="AY24" s="78"/>
      <c r="AZ24" s="78"/>
      <c r="BA24" s="78"/>
      <c r="BB24" s="78"/>
      <c r="BC24" s="78"/>
    </row>
    <row r="25" spans="4:55" x14ac:dyDescent="0.25">
      <c r="D25" s="2" t="str">
        <v>CE - 400</v>
      </c>
      <c r="E25" s="153"/>
      <c r="F25" s="154" t="s">
        <v>43</v>
      </c>
      <c r="G25" s="4"/>
      <c r="J25" s="153" t="str">
        <v>TESTE 24</v>
      </c>
      <c r="O25" s="153" t="str">
        <v>Tubulação</v>
      </c>
      <c r="T25" s="78"/>
      <c r="V25" s="153"/>
      <c r="W25" s="78"/>
      <c r="X25" s="78"/>
      <c r="Y25" s="78"/>
      <c r="Z25" s="78"/>
      <c r="AA25" s="78"/>
      <c r="AD25" s="78"/>
      <c r="AE25" s="78"/>
      <c r="AF25" s="78"/>
      <c r="AG25" s="78"/>
      <c r="AH25" s="78"/>
      <c r="AI25" s="78"/>
      <c r="AJ25" s="78"/>
      <c r="AK25" s="78"/>
      <c r="AL25" s="78"/>
      <c r="AM25" s="78"/>
      <c r="AN25" s="78"/>
      <c r="AO25" s="78"/>
      <c r="AR25" s="78"/>
      <c r="AS25" s="78"/>
      <c r="AT25" s="78"/>
      <c r="AU25" s="78"/>
      <c r="AV25" s="78"/>
      <c r="AW25" s="78"/>
      <c r="AX25" s="78"/>
      <c r="AY25" s="78"/>
      <c r="AZ25" s="78"/>
      <c r="BA25" s="78"/>
      <c r="BB25" s="78"/>
      <c r="BC25" s="78"/>
    </row>
    <row r="26" spans="4:55" x14ac:dyDescent="0.25">
      <c r="D26" s="2" t="str">
        <v>MTI - 4.000GES</v>
      </c>
      <c r="E26" s="153"/>
      <c r="F26" s="154" t="s">
        <v>903</v>
      </c>
      <c r="G26" s="4"/>
      <c r="J26" s="153" t="str">
        <v>TESTE 25</v>
      </c>
      <c r="T26" s="78"/>
      <c r="V26" s="153"/>
      <c r="W26" s="78"/>
      <c r="X26" s="78"/>
      <c r="Y26" s="78"/>
      <c r="Z26" s="78"/>
      <c r="AA26" s="78"/>
      <c r="AD26" s="78"/>
      <c r="AE26" s="78"/>
      <c r="AF26" s="78"/>
      <c r="AG26" s="78"/>
      <c r="AH26" s="78"/>
      <c r="AI26" s="78"/>
      <c r="AJ26" s="78"/>
      <c r="AK26" s="78"/>
      <c r="AL26" s="78"/>
      <c r="AM26" s="78"/>
      <c r="AN26" s="78"/>
      <c r="AO26" s="78"/>
      <c r="AR26" s="78"/>
      <c r="AS26" s="78"/>
      <c r="AT26" s="78"/>
      <c r="AU26" s="78"/>
      <c r="AV26" s="78"/>
      <c r="AW26" s="78"/>
      <c r="AX26" s="78"/>
      <c r="AY26" s="78"/>
      <c r="AZ26" s="78"/>
      <c r="BA26" s="78"/>
      <c r="BB26" s="78"/>
      <c r="BC26" s="78"/>
    </row>
    <row r="27" spans="4:55" x14ac:dyDescent="0.25">
      <c r="D27" s="2" t="str">
        <v>BASE MTI - 4.000GTS</v>
      </c>
      <c r="E27" s="153"/>
      <c r="F27" s="154" t="s">
        <v>39</v>
      </c>
      <c r="G27" s="4"/>
      <c r="J27" s="153" t="str">
        <v>TESTE 26</v>
      </c>
      <c r="T27" s="78"/>
      <c r="V27" s="153"/>
      <c r="W27" s="78"/>
      <c r="X27" s="78"/>
      <c r="Y27" s="78"/>
      <c r="Z27" s="78"/>
      <c r="AA27" s="78"/>
      <c r="AD27" s="78"/>
      <c r="AE27" s="78"/>
      <c r="AF27" s="78"/>
      <c r="AG27" s="78"/>
      <c r="AH27" s="78"/>
      <c r="AI27" s="78"/>
      <c r="AJ27" s="78"/>
      <c r="AK27" s="78"/>
      <c r="AL27" s="78"/>
      <c r="AM27" s="78"/>
      <c r="AN27" s="78"/>
      <c r="AO27" s="78"/>
      <c r="AR27" s="78"/>
      <c r="AS27" s="78"/>
      <c r="AT27" s="78"/>
      <c r="AU27" s="78"/>
      <c r="AV27" s="78"/>
      <c r="AW27" s="78"/>
      <c r="AX27" s="78"/>
      <c r="AY27" s="78"/>
      <c r="AZ27" s="78"/>
      <c r="BA27" s="78"/>
      <c r="BB27" s="78"/>
      <c r="BC27" s="78"/>
    </row>
    <row r="28" spans="4:55" x14ac:dyDescent="0.25">
      <c r="D28" s="2" t="str">
        <v>EMS-2</v>
      </c>
      <c r="E28" s="153"/>
      <c r="F28" s="154" t="s">
        <v>40</v>
      </c>
      <c r="G28" s="4"/>
      <c r="J28" s="153" t="str">
        <v>TESTE 27</v>
      </c>
      <c r="T28" s="78"/>
      <c r="V28" s="153"/>
      <c r="W28" s="78"/>
      <c r="X28" s="78"/>
      <c r="Y28" s="78"/>
      <c r="Z28" s="78"/>
      <c r="AA28" s="78"/>
      <c r="AD28" s="78"/>
      <c r="AE28" s="78"/>
      <c r="AF28" s="78"/>
      <c r="AG28" s="78"/>
      <c r="AH28" s="78"/>
      <c r="AI28" s="78"/>
      <c r="AJ28" s="78"/>
      <c r="AK28" s="78"/>
      <c r="AL28" s="78"/>
      <c r="AM28" s="78"/>
      <c r="AN28" s="78"/>
      <c r="AO28" s="78"/>
      <c r="AR28" s="78"/>
      <c r="AS28" s="78"/>
      <c r="AT28" s="78"/>
      <c r="AU28" s="78"/>
      <c r="AV28" s="78"/>
      <c r="AW28" s="78"/>
      <c r="AX28" s="78"/>
      <c r="AY28" s="78"/>
      <c r="AZ28" s="78"/>
      <c r="BA28" s="78"/>
      <c r="BB28" s="78"/>
      <c r="BC28" s="78"/>
    </row>
    <row r="29" spans="4:55" x14ac:dyDescent="0.25">
      <c r="D29" s="2" t="str">
        <v>RL - 750</v>
      </c>
      <c r="E29" s="153"/>
      <c r="F29" s="154" t="s">
        <v>41</v>
      </c>
      <c r="G29" s="4"/>
      <c r="J29" s="153" t="str">
        <v>TESTE 28</v>
      </c>
      <c r="T29" s="78"/>
      <c r="V29" s="153"/>
      <c r="W29" s="78"/>
      <c r="X29" s="78"/>
      <c r="Y29" s="78"/>
      <c r="Z29" s="78"/>
      <c r="AA29" s="78"/>
      <c r="AD29" s="78"/>
      <c r="AE29" s="78"/>
      <c r="AF29" s="78"/>
      <c r="AG29" s="78"/>
      <c r="AH29" s="78"/>
      <c r="AI29" s="78"/>
      <c r="AJ29" s="78"/>
      <c r="AK29" s="78"/>
      <c r="AL29" s="78"/>
      <c r="AM29" s="78"/>
      <c r="AN29" s="78"/>
      <c r="AO29" s="78"/>
      <c r="AR29" s="78"/>
      <c r="AS29" s="78"/>
      <c r="AT29" s="78"/>
      <c r="AU29" s="78"/>
      <c r="AV29" s="78"/>
      <c r="AW29" s="78"/>
      <c r="AX29" s="78"/>
      <c r="AY29" s="78"/>
      <c r="AZ29" s="78"/>
      <c r="BA29" s="78"/>
      <c r="BB29" s="78"/>
      <c r="BC29" s="78"/>
    </row>
    <row r="30" spans="4:55" x14ac:dyDescent="0.25">
      <c r="D30" s="2" t="str">
        <v>CUBA 22.000 GT</v>
      </c>
      <c r="F30" s="154" t="s">
        <v>93</v>
      </c>
      <c r="G30" s="4"/>
      <c r="J30" s="153" t="str">
        <v>TESTE 29</v>
      </c>
      <c r="T30" s="78"/>
      <c r="V30" s="153"/>
      <c r="W30" s="78"/>
      <c r="X30" s="78"/>
      <c r="Y30" s="78"/>
      <c r="Z30" s="78"/>
      <c r="AA30" s="78"/>
      <c r="AD30" s="78"/>
      <c r="AE30" s="78"/>
      <c r="AF30" s="78"/>
      <c r="AG30" s="78"/>
      <c r="AH30" s="78"/>
      <c r="AI30" s="78"/>
      <c r="AJ30" s="78"/>
      <c r="AK30" s="78"/>
      <c r="AL30" s="78"/>
      <c r="AM30" s="78"/>
      <c r="AN30" s="78"/>
      <c r="AO30" s="78"/>
      <c r="AR30" s="78"/>
      <c r="AS30" s="78"/>
      <c r="AT30" s="78"/>
      <c r="AU30" s="78"/>
      <c r="AV30" s="78"/>
      <c r="AW30" s="78"/>
      <c r="AX30" s="78"/>
      <c r="AY30" s="78"/>
      <c r="AZ30" s="78"/>
      <c r="BA30" s="78"/>
      <c r="BB30" s="78"/>
      <c r="BC30" s="78"/>
    </row>
    <row r="31" spans="4:55" x14ac:dyDescent="0.25">
      <c r="D31" s="2" t="str">
        <v>MTI - 7.000GE (GERADOR ESPECIAL)</v>
      </c>
      <c r="F31" s="154" t="s">
        <v>42</v>
      </c>
      <c r="G31" s="4"/>
      <c r="J31" s="153" t="str">
        <v>TESTE 30</v>
      </c>
      <c r="T31" s="78"/>
      <c r="V31" s="153"/>
      <c r="W31" s="78"/>
      <c r="X31" s="78"/>
      <c r="Y31" s="78"/>
      <c r="Z31" s="78"/>
      <c r="AA31" s="78"/>
      <c r="AD31" s="78"/>
      <c r="AE31" s="78"/>
      <c r="AF31" s="78"/>
      <c r="AG31" s="78"/>
      <c r="AH31" s="78"/>
      <c r="AI31" s="78"/>
      <c r="AJ31" s="78"/>
      <c r="AK31" s="78"/>
      <c r="AL31" s="78"/>
      <c r="AM31" s="78"/>
      <c r="AN31" s="78"/>
      <c r="AO31" s="78"/>
      <c r="AR31" s="78"/>
      <c r="AS31" s="78"/>
      <c r="AT31" s="78"/>
      <c r="AU31" s="78"/>
      <c r="AV31" s="78"/>
      <c r="AW31" s="78"/>
      <c r="AX31" s="78"/>
      <c r="AY31" s="78"/>
      <c r="AZ31" s="78"/>
      <c r="BA31" s="78"/>
      <c r="BB31" s="78"/>
      <c r="BC31" s="78"/>
    </row>
    <row r="32" spans="4:55" x14ac:dyDescent="0.25">
      <c r="D32" s="2" t="str">
        <v>EMS - 0</v>
      </c>
      <c r="F32" s="154" t="s">
        <v>904</v>
      </c>
      <c r="G32" s="4"/>
      <c r="J32" s="153" t="str">
        <v>TESTE 31</v>
      </c>
      <c r="T32" s="78"/>
      <c r="V32" s="153"/>
      <c r="W32" s="78"/>
      <c r="X32" s="78"/>
      <c r="Y32" s="78"/>
      <c r="Z32" s="78"/>
      <c r="AA32" s="78"/>
      <c r="AD32" s="78"/>
      <c r="AE32" s="78"/>
      <c r="AF32" s="78"/>
      <c r="AG32" s="78"/>
      <c r="AH32" s="78"/>
      <c r="AI32" s="78"/>
      <c r="AJ32" s="78"/>
      <c r="AK32" s="78"/>
      <c r="AL32" s="78"/>
      <c r="AM32" s="78"/>
      <c r="AN32" s="78"/>
      <c r="AO32" s="78"/>
      <c r="AR32" s="78"/>
      <c r="AS32" s="78"/>
      <c r="AT32" s="78"/>
      <c r="AU32" s="78"/>
      <c r="AV32" s="78"/>
      <c r="AW32" s="78"/>
      <c r="AX32" s="78"/>
      <c r="AY32" s="78"/>
      <c r="AZ32" s="78"/>
      <c r="BA32" s="78"/>
      <c r="BB32" s="78"/>
      <c r="BC32" s="78"/>
    </row>
    <row r="33" spans="4:55" x14ac:dyDescent="0.25">
      <c r="D33" s="78" t="str">
        <v>GERADOR MTI - 12.000GT</v>
      </c>
      <c r="F33" s="154" t="s">
        <v>905</v>
      </c>
      <c r="G33" s="4"/>
      <c r="J33" s="153" t="str">
        <v>TESTE 32</v>
      </c>
      <c r="T33" s="78"/>
      <c r="V33" s="153"/>
      <c r="W33" s="78"/>
      <c r="X33" s="78"/>
      <c r="Y33" s="78"/>
      <c r="Z33" s="78"/>
      <c r="AA33" s="78"/>
      <c r="AD33" s="78"/>
      <c r="AE33" s="78"/>
      <c r="AF33" s="78"/>
      <c r="AG33" s="78"/>
      <c r="AH33" s="78"/>
      <c r="AI33" s="78"/>
      <c r="AJ33" s="78"/>
      <c r="AK33" s="78"/>
      <c r="AL33" s="78"/>
      <c r="AM33" s="78"/>
      <c r="AN33" s="78"/>
      <c r="AO33" s="78"/>
      <c r="AR33" s="78"/>
      <c r="AS33" s="78"/>
      <c r="AT33" s="78"/>
      <c r="AU33" s="78"/>
      <c r="AV33" s="78"/>
      <c r="AW33" s="78"/>
      <c r="AX33" s="78"/>
      <c r="AY33" s="78"/>
      <c r="AZ33" s="78"/>
      <c r="BA33" s="78"/>
      <c r="BB33" s="78"/>
      <c r="BC33" s="78"/>
    </row>
    <row r="34" spans="4:55" x14ac:dyDescent="0.25">
      <c r="D34" s="78" t="str">
        <v>BLOCO DE CONDENSADOR 110.000</v>
      </c>
      <c r="F34" s="154" t="s">
        <v>906</v>
      </c>
      <c r="J34" s="153" t="str">
        <v>TESTE 33</v>
      </c>
      <c r="T34" s="78"/>
      <c r="V34" s="153"/>
      <c r="W34" s="78"/>
      <c r="X34" s="78"/>
      <c r="Y34" s="78"/>
      <c r="Z34" s="78"/>
      <c r="AA34" s="78"/>
      <c r="AD34" s="78"/>
      <c r="AE34" s="78"/>
      <c r="AF34" s="78"/>
      <c r="AG34" s="78"/>
      <c r="AH34" s="78"/>
      <c r="AI34" s="78"/>
      <c r="AJ34" s="78"/>
      <c r="AK34" s="78"/>
      <c r="AL34" s="78"/>
      <c r="AM34" s="78"/>
      <c r="AN34" s="78"/>
      <c r="AO34" s="78"/>
      <c r="AR34" s="78"/>
      <c r="AS34" s="78"/>
      <c r="AT34" s="78"/>
      <c r="AU34" s="78"/>
      <c r="AV34" s="78"/>
      <c r="AW34" s="78"/>
      <c r="AX34" s="78"/>
      <c r="AY34" s="78"/>
      <c r="AZ34" s="78"/>
      <c r="BA34" s="78"/>
      <c r="BB34" s="78"/>
      <c r="BC34" s="78"/>
    </row>
    <row r="35" spans="4:55" x14ac:dyDescent="0.25">
      <c r="D35" s="78" t="str">
        <v>MTI - 12.000GT</v>
      </c>
      <c r="F35" s="154" t="s">
        <v>907</v>
      </c>
      <c r="J35" s="153" t="str">
        <v>TESTE 34</v>
      </c>
      <c r="T35" s="78"/>
      <c r="V35" s="153"/>
      <c r="W35" s="78"/>
      <c r="X35" s="78"/>
      <c r="Y35" s="78"/>
      <c r="Z35" s="78"/>
      <c r="AA35" s="78"/>
      <c r="AD35" s="78"/>
      <c r="AE35" s="78"/>
      <c r="AF35" s="78"/>
      <c r="AG35" s="78"/>
      <c r="AH35" s="78"/>
      <c r="AI35" s="78"/>
      <c r="AJ35" s="78"/>
      <c r="AK35" s="78"/>
      <c r="AL35" s="78"/>
      <c r="AM35" s="78"/>
      <c r="AN35" s="78"/>
      <c r="AO35" s="78"/>
      <c r="AR35" s="78"/>
      <c r="AS35" s="78"/>
      <c r="AT35" s="78"/>
      <c r="AU35" s="78"/>
      <c r="AV35" s="78"/>
      <c r="AW35" s="78"/>
      <c r="AX35" s="78"/>
      <c r="AY35" s="78"/>
      <c r="AZ35" s="78"/>
      <c r="BA35" s="78"/>
      <c r="BB35" s="78"/>
      <c r="BC35" s="78"/>
    </row>
    <row r="36" spans="4:55" x14ac:dyDescent="0.25">
      <c r="D36" s="78" t="str">
        <v>MTI - 7.000GES</v>
      </c>
      <c r="F36" s="154" t="s">
        <v>908</v>
      </c>
      <c r="J36" s="153" t="str">
        <v>TESTE 35</v>
      </c>
      <c r="T36" s="78"/>
      <c r="V36" s="153"/>
      <c r="W36" s="78"/>
      <c r="X36" s="78"/>
      <c r="Y36" s="78"/>
      <c r="Z36" s="78"/>
      <c r="AA36" s="78"/>
      <c r="AD36" s="78"/>
      <c r="AE36" s="78"/>
      <c r="AF36" s="78"/>
      <c r="AG36" s="78"/>
      <c r="AH36" s="78"/>
      <c r="AI36" s="78"/>
      <c r="AJ36" s="78"/>
      <c r="AK36" s="78"/>
      <c r="AL36" s="78"/>
      <c r="AM36" s="78"/>
      <c r="AN36" s="78"/>
      <c r="AO36" s="78"/>
      <c r="AR36" s="78"/>
      <c r="AS36" s="78"/>
      <c r="AT36" s="78"/>
      <c r="AU36" s="78"/>
      <c r="AV36" s="78"/>
      <c r="AW36" s="78"/>
      <c r="AX36" s="78"/>
      <c r="AY36" s="78"/>
      <c r="AZ36" s="78"/>
      <c r="BA36" s="78"/>
      <c r="BB36" s="78"/>
      <c r="BC36" s="78"/>
    </row>
    <row r="37" spans="4:55" x14ac:dyDescent="0.25">
      <c r="D37" s="78" t="str">
        <v>MAQUINA USADA CALABRIA</v>
      </c>
      <c r="J37" s="153" t="str">
        <v>TESTE 36</v>
      </c>
      <c r="T37" s="78"/>
      <c r="V37" s="153"/>
      <c r="W37" s="78"/>
      <c r="X37" s="78"/>
      <c r="Y37" s="78"/>
      <c r="Z37" s="78"/>
      <c r="AA37" s="78"/>
      <c r="AD37" s="78"/>
      <c r="AE37" s="78"/>
      <c r="AF37" s="78"/>
      <c r="AG37" s="78"/>
      <c r="AH37" s="78"/>
      <c r="AI37" s="78"/>
      <c r="AJ37" s="78"/>
      <c r="AK37" s="78"/>
      <c r="AL37" s="78"/>
      <c r="AM37" s="78"/>
      <c r="AN37" s="78"/>
      <c r="AO37" s="78"/>
      <c r="AR37" s="78"/>
      <c r="AS37" s="78"/>
      <c r="AT37" s="78"/>
      <c r="AU37" s="78"/>
      <c r="AV37" s="78"/>
      <c r="AW37" s="78"/>
      <c r="AX37" s="78"/>
      <c r="AY37" s="78"/>
      <c r="AZ37" s="78"/>
      <c r="BA37" s="78"/>
      <c r="BB37" s="78"/>
      <c r="BC37" s="78"/>
    </row>
    <row r="38" spans="4:55" x14ac:dyDescent="0.25">
      <c r="D38" s="78" t="str">
        <v>RL - 200</v>
      </c>
      <c r="J38" s="153" t="str">
        <v>TESTE 37</v>
      </c>
      <c r="T38" s="78"/>
      <c r="V38" s="153"/>
      <c r="W38" s="78"/>
      <c r="X38" s="78"/>
      <c r="Y38" s="78"/>
      <c r="Z38" s="78"/>
      <c r="AA38" s="78"/>
      <c r="AD38" s="78"/>
      <c r="AE38" s="78"/>
      <c r="AF38" s="78"/>
      <c r="AG38" s="78"/>
      <c r="AH38" s="78"/>
      <c r="AI38" s="78"/>
      <c r="AJ38" s="78"/>
      <c r="AK38" s="78"/>
      <c r="AL38" s="78"/>
      <c r="AM38" s="78"/>
      <c r="AN38" s="78"/>
      <c r="AO38" s="78"/>
      <c r="AR38" s="78"/>
      <c r="AS38" s="78"/>
      <c r="AT38" s="78"/>
      <c r="AU38" s="78"/>
      <c r="AV38" s="78"/>
      <c r="AW38" s="78"/>
      <c r="AX38" s="78"/>
      <c r="AY38" s="78"/>
      <c r="AZ38" s="78"/>
      <c r="BA38" s="78"/>
      <c r="BB38" s="78"/>
      <c r="BC38" s="78"/>
    </row>
    <row r="39" spans="4:55" x14ac:dyDescent="0.25">
      <c r="D39" s="78" t="str">
        <v>E - 600</v>
      </c>
      <c r="J39" s="153" t="str">
        <v>TESTE 38</v>
      </c>
      <c r="T39" s="78"/>
      <c r="V39" s="153"/>
      <c r="W39" s="78"/>
      <c r="X39" s="78"/>
      <c r="Y39" s="78"/>
      <c r="Z39" s="78"/>
      <c r="AA39" s="78"/>
      <c r="AD39" s="78"/>
      <c r="AE39" s="78"/>
      <c r="AF39" s="78"/>
      <c r="AG39" s="78"/>
      <c r="AH39" s="78"/>
      <c r="AI39" s="78"/>
      <c r="AJ39" s="78"/>
      <c r="AK39" s="78"/>
      <c r="AL39" s="78"/>
      <c r="AM39" s="78"/>
      <c r="AN39" s="78"/>
      <c r="AO39" s="78"/>
      <c r="AR39" s="78"/>
      <c r="AS39" s="78"/>
      <c r="AT39" s="78"/>
      <c r="AU39" s="78"/>
      <c r="AV39" s="78"/>
      <c r="AW39" s="78"/>
      <c r="AX39" s="78"/>
      <c r="AY39" s="78"/>
      <c r="AZ39" s="78"/>
      <c r="BA39" s="78"/>
      <c r="BB39" s="78"/>
      <c r="BC39" s="78"/>
    </row>
    <row r="40" spans="4:55" x14ac:dyDescent="0.25">
      <c r="D40" s="78" t="str">
        <v>BASE MTI - 7.000GES</v>
      </c>
      <c r="J40" s="153" t="str">
        <v>TESTE 39</v>
      </c>
      <c r="T40" s="78"/>
      <c r="V40" s="153"/>
      <c r="W40" s="78"/>
      <c r="X40" s="78"/>
      <c r="Y40" s="78"/>
      <c r="Z40" s="78"/>
      <c r="AA40" s="78"/>
      <c r="AD40" s="78"/>
      <c r="AE40" s="78"/>
      <c r="AF40" s="78"/>
      <c r="AG40" s="78"/>
      <c r="AH40" s="78"/>
      <c r="AI40" s="78"/>
      <c r="AJ40" s="78"/>
      <c r="AK40" s="78"/>
      <c r="AL40" s="78"/>
      <c r="AM40" s="78"/>
      <c r="AN40" s="78"/>
      <c r="AO40" s="78"/>
      <c r="AR40" s="78"/>
      <c r="AS40" s="78"/>
      <c r="AT40" s="78"/>
      <c r="AU40" s="78"/>
      <c r="AV40" s="78"/>
      <c r="AW40" s="78"/>
      <c r="AX40" s="78"/>
      <c r="AY40" s="78"/>
      <c r="AZ40" s="78"/>
      <c r="BA40" s="78"/>
      <c r="BB40" s="78"/>
      <c r="BC40" s="78"/>
    </row>
    <row r="41" spans="4:55" x14ac:dyDescent="0.25">
      <c r="D41" s="78" t="str">
        <v>BASE MTI - 1.000GTS</v>
      </c>
      <c r="J41" s="153" t="str">
        <v>TESTE 40</v>
      </c>
      <c r="T41" s="78"/>
      <c r="V41" s="153"/>
      <c r="W41" s="78"/>
      <c r="X41" s="78"/>
      <c r="Y41" s="78"/>
      <c r="Z41" s="78"/>
      <c r="AA41" s="78"/>
      <c r="AD41" s="78"/>
      <c r="AE41" s="78"/>
      <c r="AF41" s="78"/>
      <c r="AG41" s="78"/>
      <c r="AH41" s="78"/>
      <c r="AI41" s="78"/>
      <c r="AJ41" s="78"/>
      <c r="AK41" s="78"/>
      <c r="AL41" s="78"/>
      <c r="AM41" s="78"/>
      <c r="AN41" s="78"/>
      <c r="AO41" s="78"/>
      <c r="AR41" s="78"/>
      <c r="AS41" s="78"/>
      <c r="AT41" s="78"/>
      <c r="AU41" s="78"/>
      <c r="AV41" s="78"/>
      <c r="AW41" s="78"/>
      <c r="AX41" s="78"/>
      <c r="AY41" s="78"/>
      <c r="AZ41" s="78"/>
      <c r="BA41" s="78"/>
      <c r="BB41" s="78"/>
      <c r="BC41" s="78"/>
    </row>
    <row r="42" spans="4:55" x14ac:dyDescent="0.25">
      <c r="D42" s="78" t="str">
        <v>CE - 150</v>
      </c>
      <c r="J42" s="153" t="str">
        <v>TESTE 41</v>
      </c>
      <c r="T42" s="78"/>
      <c r="V42" s="153"/>
      <c r="W42" s="78"/>
      <c r="X42" s="78"/>
      <c r="Y42" s="78"/>
      <c r="Z42" s="78"/>
      <c r="AA42" s="78"/>
      <c r="AD42" s="78"/>
      <c r="AE42" s="78"/>
      <c r="AF42" s="78"/>
      <c r="AG42" s="78"/>
      <c r="AH42" s="78"/>
      <c r="AI42" s="78"/>
      <c r="AJ42" s="78"/>
      <c r="AK42" s="78"/>
      <c r="AL42" s="78"/>
      <c r="AM42" s="78"/>
      <c r="AN42" s="78"/>
      <c r="AO42" s="78"/>
      <c r="AR42" s="78"/>
      <c r="AS42" s="78"/>
      <c r="AT42" s="78"/>
      <c r="AU42" s="78"/>
      <c r="AV42" s="78"/>
      <c r="AW42" s="78"/>
      <c r="AX42" s="78"/>
      <c r="AY42" s="78"/>
      <c r="AZ42" s="78"/>
      <c r="BA42" s="78"/>
      <c r="BB42" s="78"/>
      <c r="BC42" s="78"/>
    </row>
    <row r="43" spans="4:55" x14ac:dyDescent="0.25">
      <c r="D43" s="78" t="str">
        <v>170x CHUVEIROS GT</v>
      </c>
      <c r="J43" s="153" t="str">
        <v>TESTE 42</v>
      </c>
      <c r="T43" s="78"/>
      <c r="V43" s="153"/>
      <c r="W43" s="78"/>
      <c r="X43" s="78"/>
      <c r="Y43" s="78"/>
      <c r="Z43" s="78"/>
      <c r="AA43" s="78"/>
      <c r="AD43" s="78"/>
      <c r="AE43" s="78"/>
      <c r="AF43" s="78"/>
      <c r="AG43" s="78"/>
      <c r="AH43" s="78"/>
      <c r="AI43" s="78"/>
      <c r="AJ43" s="78"/>
      <c r="AK43" s="78"/>
      <c r="AL43" s="78"/>
      <c r="AM43" s="78"/>
      <c r="AN43" s="78"/>
      <c r="AO43" s="78"/>
      <c r="AR43" s="78"/>
      <c r="AS43" s="78"/>
      <c r="AT43" s="78"/>
      <c r="AU43" s="78"/>
      <c r="AV43" s="78"/>
      <c r="AW43" s="78"/>
      <c r="AX43" s="78"/>
      <c r="AY43" s="78"/>
      <c r="AZ43" s="78"/>
      <c r="BA43" s="78"/>
      <c r="BB43" s="78"/>
      <c r="BC43" s="78"/>
    </row>
    <row r="44" spans="4:55" x14ac:dyDescent="0.25">
      <c r="D44" s="78" t="str">
        <v>INTERCAMBIADOR 10 GT</v>
      </c>
      <c r="J44" s="153" t="str">
        <v>TESTE 43</v>
      </c>
      <c r="T44" s="78"/>
      <c r="V44" s="153"/>
      <c r="W44" s="78"/>
      <c r="X44" s="78"/>
      <c r="Y44" s="78"/>
      <c r="Z44" s="78"/>
      <c r="AA44" s="78"/>
      <c r="AD44" s="78"/>
      <c r="AE44" s="78"/>
      <c r="AF44" s="78"/>
      <c r="AG44" s="78"/>
      <c r="AH44" s="78"/>
      <c r="AI44" s="78"/>
      <c r="AJ44" s="78"/>
      <c r="AK44" s="78"/>
      <c r="AL44" s="78"/>
      <c r="AM44" s="78"/>
      <c r="AN44" s="78"/>
      <c r="AO44" s="78"/>
      <c r="AR44" s="78"/>
      <c r="AS44" s="78"/>
      <c r="AT44" s="78"/>
      <c r="AU44" s="78"/>
      <c r="AV44" s="78"/>
      <c r="AW44" s="78"/>
      <c r="AX44" s="78"/>
      <c r="AY44" s="78"/>
      <c r="AZ44" s="78"/>
      <c r="BA44" s="78"/>
      <c r="BB44" s="78"/>
      <c r="BC44" s="78"/>
    </row>
    <row r="45" spans="4:55" x14ac:dyDescent="0.25">
      <c r="D45" s="78" t="str">
        <v>MTI - 10.000GTS</v>
      </c>
      <c r="J45" s="153" t="str">
        <v>TESTE 44</v>
      </c>
      <c r="T45" s="78"/>
      <c r="V45" s="153"/>
      <c r="W45" s="78"/>
      <c r="X45" s="78"/>
      <c r="Y45" s="78"/>
      <c r="Z45" s="78"/>
      <c r="AA45" s="78"/>
      <c r="AD45" s="78"/>
      <c r="AE45" s="78"/>
      <c r="AF45" s="78"/>
      <c r="AG45" s="78"/>
      <c r="AH45" s="78"/>
      <c r="AI45" s="78"/>
      <c r="AJ45" s="78"/>
      <c r="AK45" s="78"/>
      <c r="AL45" s="78"/>
      <c r="AM45" s="78"/>
      <c r="AN45" s="78"/>
      <c r="AO45" s="78"/>
      <c r="AR45" s="78"/>
      <c r="AS45" s="78"/>
      <c r="AT45" s="78"/>
      <c r="AU45" s="78"/>
      <c r="AV45" s="78"/>
      <c r="AW45" s="78"/>
      <c r="AX45" s="78"/>
      <c r="AY45" s="78"/>
      <c r="AZ45" s="78"/>
      <c r="BA45" s="78"/>
      <c r="BB45" s="78"/>
      <c r="BC45" s="78"/>
    </row>
    <row r="46" spans="4:55" x14ac:dyDescent="0.25">
      <c r="D46" s="78" t="str">
        <v>BASE MTI - 10.000GTS</v>
      </c>
      <c r="J46" s="153" t="str">
        <v>TESTE 45</v>
      </c>
      <c r="T46" s="78"/>
      <c r="V46" s="153"/>
      <c r="W46" s="78"/>
      <c r="X46" s="78"/>
      <c r="Y46" s="78"/>
      <c r="Z46" s="78"/>
      <c r="AA46" s="78"/>
      <c r="AD46" s="78"/>
      <c r="AE46" s="78"/>
      <c r="AF46" s="78"/>
      <c r="AG46" s="78"/>
      <c r="AH46" s="78"/>
      <c r="AI46" s="78"/>
      <c r="AJ46" s="78"/>
      <c r="AK46" s="78"/>
      <c r="AL46" s="78"/>
      <c r="AM46" s="78"/>
      <c r="AN46" s="78"/>
      <c r="AO46" s="78"/>
      <c r="AR46" s="78"/>
      <c r="AS46" s="78"/>
      <c r="AT46" s="78"/>
      <c r="AU46" s="78"/>
      <c r="AV46" s="78"/>
      <c r="AW46" s="78"/>
      <c r="AX46" s="78"/>
      <c r="AY46" s="78"/>
      <c r="AZ46" s="78"/>
      <c r="BA46" s="78"/>
      <c r="BB46" s="78"/>
      <c r="BC46" s="78"/>
    </row>
    <row r="47" spans="4:55" x14ac:dyDescent="0.25">
      <c r="D47" s="78" t="str">
        <v>GERADOR DE GELO - MTI 2.500 GE</v>
      </c>
      <c r="J47" s="153" t="str">
        <v>TESTE 46</v>
      </c>
      <c r="T47" s="78"/>
      <c r="V47" s="153"/>
      <c r="W47" s="78"/>
      <c r="X47" s="78"/>
      <c r="Y47" s="78"/>
      <c r="Z47" s="78"/>
      <c r="AA47" s="78"/>
      <c r="AD47" s="78"/>
      <c r="AE47" s="78"/>
      <c r="AF47" s="78"/>
      <c r="AG47" s="78"/>
      <c r="AH47" s="78"/>
      <c r="AI47" s="78"/>
      <c r="AJ47" s="78"/>
      <c r="AK47" s="78"/>
      <c r="AL47" s="78"/>
      <c r="AM47" s="78"/>
      <c r="AN47" s="78"/>
      <c r="AO47" s="78"/>
      <c r="AR47" s="78"/>
      <c r="AS47" s="78"/>
      <c r="AT47" s="78"/>
      <c r="AU47" s="78"/>
      <c r="AV47" s="78"/>
      <c r="AW47" s="78"/>
      <c r="AX47" s="78"/>
      <c r="AY47" s="78"/>
      <c r="AZ47" s="78"/>
      <c r="BA47" s="78"/>
      <c r="BB47" s="78"/>
      <c r="BC47" s="78"/>
    </row>
    <row r="48" spans="4:55" x14ac:dyDescent="0.25">
      <c r="D48" s="78" t="str">
        <v>MAC 32.000 GT</v>
      </c>
      <c r="J48" s="153" t="str">
        <v>TESTE 47</v>
      </c>
      <c r="T48" s="78"/>
      <c r="V48" s="153"/>
      <c r="W48" s="78"/>
      <c r="X48" s="78"/>
      <c r="Y48" s="78"/>
      <c r="Z48" s="78"/>
      <c r="AA48" s="78"/>
      <c r="AD48" s="78"/>
      <c r="AE48" s="78"/>
      <c r="AF48" s="78"/>
      <c r="AG48" s="78"/>
      <c r="AH48" s="78"/>
      <c r="AI48" s="78"/>
      <c r="AJ48" s="78"/>
      <c r="AK48" s="78"/>
      <c r="AL48" s="78"/>
      <c r="AM48" s="78"/>
      <c r="AN48" s="78"/>
      <c r="AO48" s="78"/>
      <c r="AR48" s="78"/>
      <c r="AS48" s="78"/>
      <c r="AT48" s="78"/>
      <c r="AU48" s="78"/>
      <c r="AV48" s="78"/>
      <c r="AW48" s="78"/>
      <c r="AX48" s="78"/>
      <c r="AY48" s="78"/>
      <c r="AZ48" s="78"/>
      <c r="BA48" s="78"/>
      <c r="BB48" s="78"/>
      <c r="BC48" s="78"/>
    </row>
    <row r="49" spans="4:55" x14ac:dyDescent="0.25">
      <c r="D49" s="78" t="str">
        <v>E - 300</v>
      </c>
      <c r="J49" s="153" t="str">
        <v>TESTE 48</v>
      </c>
      <c r="T49" s="78"/>
      <c r="V49" s="153"/>
      <c r="W49" s="78"/>
      <c r="X49" s="78"/>
      <c r="Y49" s="78"/>
      <c r="Z49" s="78"/>
      <c r="AA49" s="78"/>
      <c r="AD49" s="78"/>
      <c r="AE49" s="78"/>
      <c r="AF49" s="78"/>
      <c r="AG49" s="78"/>
      <c r="AH49" s="78"/>
      <c r="AI49" s="78"/>
      <c r="AJ49" s="78"/>
      <c r="AK49" s="78"/>
      <c r="AL49" s="78"/>
      <c r="AM49" s="78"/>
      <c r="AN49" s="78"/>
      <c r="AO49" s="78"/>
      <c r="AR49" s="78"/>
      <c r="AS49" s="78"/>
      <c r="AT49" s="78"/>
      <c r="AU49" s="78"/>
      <c r="AV49" s="78"/>
      <c r="AW49" s="78"/>
      <c r="AX49" s="78"/>
      <c r="AY49" s="78"/>
      <c r="AZ49" s="78"/>
      <c r="BA49" s="78"/>
      <c r="BB49" s="78"/>
      <c r="BC49" s="78"/>
    </row>
    <row r="50" spans="4:55" x14ac:dyDescent="0.25">
      <c r="D50" s="78" t="str">
        <v>MTI - 22.000GT (GERADOR ESPECIAL)</v>
      </c>
      <c r="E50" s="163"/>
      <c r="J50" s="153" t="str">
        <v>TESTE 49</v>
      </c>
      <c r="T50" s="78"/>
      <c r="V50" s="153"/>
      <c r="W50" s="78"/>
      <c r="X50" s="78"/>
      <c r="Y50" s="78"/>
      <c r="Z50" s="78"/>
      <c r="AA50" s="78"/>
      <c r="AD50" s="78"/>
      <c r="AE50" s="78"/>
      <c r="AF50" s="78"/>
      <c r="AG50" s="78"/>
      <c r="AH50" s="78"/>
      <c r="AI50" s="78"/>
      <c r="AJ50" s="78"/>
      <c r="AK50" s="78"/>
      <c r="AL50" s="78"/>
      <c r="AM50" s="78"/>
      <c r="AN50" s="78"/>
      <c r="AO50" s="78"/>
      <c r="AR50" s="78"/>
      <c r="AS50" s="78"/>
      <c r="AT50" s="78"/>
      <c r="AU50" s="78"/>
      <c r="AV50" s="78"/>
      <c r="AW50" s="78"/>
      <c r="AX50" s="78"/>
      <c r="AY50" s="78"/>
      <c r="AZ50" s="78"/>
      <c r="BA50" s="78"/>
      <c r="BB50" s="78"/>
      <c r="BC50" s="78"/>
    </row>
    <row r="51" spans="4:55" x14ac:dyDescent="0.25">
      <c r="D51" s="78" t="str">
        <v>CE - 200</v>
      </c>
      <c r="G51" s="5"/>
      <c r="J51" s="153" t="str">
        <v>TESTE 50</v>
      </c>
      <c r="T51" s="78"/>
      <c r="V51" s="153"/>
      <c r="W51" s="78"/>
      <c r="X51" s="78"/>
      <c r="Y51" s="78"/>
      <c r="Z51" s="78"/>
      <c r="AA51" s="78"/>
      <c r="AD51" s="78"/>
      <c r="AE51" s="78"/>
      <c r="AF51" s="78"/>
      <c r="AG51" s="78"/>
      <c r="AH51" s="78"/>
      <c r="AI51" s="78"/>
      <c r="AJ51" s="78"/>
      <c r="AK51" s="78"/>
      <c r="AL51" s="78"/>
      <c r="AM51" s="78"/>
      <c r="AN51" s="78"/>
      <c r="AO51" s="78"/>
      <c r="AR51" s="78"/>
      <c r="AS51" s="78"/>
      <c r="AT51" s="78"/>
      <c r="AU51" s="78"/>
      <c r="AV51" s="78"/>
      <c r="AW51" s="78"/>
      <c r="AX51" s="78"/>
      <c r="AY51" s="78"/>
      <c r="AZ51" s="78"/>
      <c r="BA51" s="78"/>
      <c r="BB51" s="78"/>
      <c r="BC51" s="78"/>
    </row>
    <row r="52" spans="4:55" x14ac:dyDescent="0.25">
      <c r="D52" s="78" t="str">
        <v>MTI - 32.000 GT</v>
      </c>
      <c r="G52" s="5"/>
      <c r="J52" s="153" t="str">
        <v>TESTE 51</v>
      </c>
      <c r="T52" s="78"/>
      <c r="V52" s="153"/>
      <c r="W52" s="78"/>
      <c r="X52" s="78"/>
      <c r="Y52" s="78"/>
      <c r="Z52" s="78"/>
      <c r="AA52" s="78"/>
      <c r="AD52" s="78"/>
      <c r="AE52" s="78"/>
      <c r="AF52" s="78"/>
      <c r="AG52" s="78"/>
      <c r="AH52" s="78"/>
      <c r="AI52" s="78"/>
      <c r="AJ52" s="78"/>
      <c r="AK52" s="78"/>
      <c r="AL52" s="78"/>
      <c r="AM52" s="78"/>
      <c r="AN52" s="78"/>
      <c r="AO52" s="78"/>
      <c r="AR52" s="78"/>
      <c r="AS52" s="78"/>
      <c r="AT52" s="78"/>
      <c r="AU52" s="78"/>
      <c r="AV52" s="78"/>
      <c r="AW52" s="78"/>
      <c r="AX52" s="78"/>
      <c r="AY52" s="78"/>
      <c r="AZ52" s="78"/>
      <c r="BA52" s="78"/>
      <c r="BB52" s="78"/>
      <c r="BC52" s="78"/>
    </row>
    <row r="53" spans="4:55" x14ac:dyDescent="0.25">
      <c r="D53" s="78" t="str">
        <v xml:space="preserve">GERADOR DE 7.000 GT </v>
      </c>
      <c r="G53" s="5"/>
      <c r="J53" s="153" t="str">
        <v>TESTE 52</v>
      </c>
      <c r="T53" s="78"/>
      <c r="V53" s="153"/>
      <c r="W53" s="78"/>
      <c r="X53" s="78"/>
      <c r="Y53" s="78"/>
      <c r="Z53" s="78"/>
      <c r="AA53" s="78"/>
      <c r="AD53" s="78"/>
      <c r="AE53" s="78"/>
      <c r="AF53" s="78"/>
      <c r="AG53" s="78"/>
      <c r="AH53" s="78"/>
      <c r="AI53" s="78"/>
      <c r="AJ53" s="78"/>
      <c r="AK53" s="78"/>
      <c r="AL53" s="78"/>
      <c r="AM53" s="78"/>
      <c r="AN53" s="78"/>
      <c r="AO53" s="78"/>
      <c r="AR53" s="78"/>
      <c r="AS53" s="78"/>
      <c r="AT53" s="78"/>
      <c r="AU53" s="78"/>
      <c r="AV53" s="78"/>
      <c r="AW53" s="78"/>
      <c r="AX53" s="78"/>
      <c r="AY53" s="78"/>
      <c r="AZ53" s="78"/>
      <c r="BA53" s="78"/>
      <c r="BB53" s="78"/>
      <c r="BC53" s="78"/>
    </row>
    <row r="54" spans="4:55" x14ac:dyDescent="0.25">
      <c r="D54" s="78" t="str">
        <v>BLOCO DE CONDENSADOR 300.000</v>
      </c>
      <c r="G54" s="1"/>
      <c r="J54" s="153" t="str">
        <v>TESTE 53</v>
      </c>
      <c r="T54" s="78"/>
      <c r="V54" s="153"/>
      <c r="W54" s="78"/>
      <c r="X54" s="78"/>
      <c r="Y54" s="78"/>
      <c r="Z54" s="78"/>
      <c r="AA54" s="78"/>
      <c r="AD54" s="78"/>
      <c r="AE54" s="78"/>
      <c r="AF54" s="78"/>
      <c r="AG54" s="78"/>
      <c r="AH54" s="78"/>
      <c r="AI54" s="78"/>
      <c r="AJ54" s="78"/>
      <c r="AK54" s="78"/>
      <c r="AL54" s="78"/>
      <c r="AM54" s="78"/>
      <c r="AN54" s="78"/>
      <c r="AO54" s="78"/>
      <c r="AR54" s="78"/>
      <c r="AS54" s="78"/>
      <c r="AT54" s="78"/>
      <c r="AU54" s="78"/>
      <c r="AV54" s="78"/>
      <c r="AW54" s="78"/>
      <c r="AX54" s="78"/>
      <c r="AY54" s="78"/>
      <c r="AZ54" s="78"/>
      <c r="BA54" s="78"/>
      <c r="BB54" s="78"/>
      <c r="BC54" s="78"/>
    </row>
    <row r="55" spans="4:55" x14ac:dyDescent="0.25">
      <c r="D55" s="78" t="str">
        <v>TUBOS</v>
      </c>
      <c r="G55" s="1"/>
      <c r="J55" s="153" t="str">
        <v>TESTE 54</v>
      </c>
      <c r="T55" s="78"/>
      <c r="V55" s="153"/>
      <c r="W55" s="78"/>
      <c r="X55" s="78"/>
      <c r="Y55" s="78"/>
      <c r="Z55" s="78"/>
      <c r="AA55" s="78"/>
      <c r="AD55" s="78"/>
      <c r="AE55" s="78"/>
      <c r="AF55" s="78"/>
      <c r="AG55" s="78"/>
      <c r="AH55" s="78"/>
      <c r="AI55" s="78"/>
      <c r="AJ55" s="78"/>
      <c r="AK55" s="78"/>
      <c r="AL55" s="78"/>
      <c r="AM55" s="78"/>
      <c r="AN55" s="78"/>
      <c r="AO55" s="78"/>
      <c r="AR55" s="78"/>
      <c r="AS55" s="78"/>
      <c r="AT55" s="78"/>
      <c r="AU55" s="78"/>
      <c r="AV55" s="78"/>
      <c r="AW55" s="78"/>
      <c r="AX55" s="78"/>
      <c r="AY55" s="78"/>
      <c r="AZ55" s="78"/>
      <c r="BA55" s="78"/>
      <c r="BB55" s="78"/>
      <c r="BC55" s="78"/>
    </row>
    <row r="56" spans="4:55" x14ac:dyDescent="0.25">
      <c r="D56" s="78" t="str">
        <v>EMBALADORA E ESTEIRA</v>
      </c>
      <c r="G56" s="1"/>
      <c r="J56" s="153" t="str">
        <v>TESTE 55</v>
      </c>
      <c r="T56" s="78"/>
      <c r="V56" s="153"/>
      <c r="W56" s="78"/>
      <c r="X56" s="78"/>
      <c r="Y56" s="78"/>
      <c r="Z56" s="78"/>
      <c r="AA56" s="78"/>
      <c r="AD56" s="78"/>
      <c r="AE56" s="78"/>
      <c r="AF56" s="78"/>
      <c r="AG56" s="78"/>
      <c r="AH56" s="78"/>
      <c r="AI56" s="78"/>
      <c r="AJ56" s="78"/>
      <c r="AK56" s="78"/>
      <c r="AL56" s="78"/>
      <c r="AM56" s="78"/>
      <c r="AN56" s="78"/>
      <c r="AO56" s="78"/>
      <c r="AR56" s="78"/>
      <c r="AS56" s="78"/>
      <c r="AT56" s="78"/>
      <c r="AU56" s="78"/>
      <c r="AV56" s="78"/>
      <c r="AW56" s="78"/>
      <c r="AX56" s="78"/>
      <c r="AY56" s="78"/>
      <c r="AZ56" s="78"/>
      <c r="BA56" s="78"/>
      <c r="BB56" s="78"/>
      <c r="BC56" s="78"/>
    </row>
    <row r="57" spans="4:55" x14ac:dyDescent="0.25">
      <c r="D57" s="78" t="str">
        <v>MAC 7.000 GT</v>
      </c>
      <c r="G57" s="1"/>
      <c r="J57" s="153" t="str">
        <v>TESTE 56</v>
      </c>
      <c r="T57" s="78"/>
      <c r="V57" s="153"/>
      <c r="W57" s="78"/>
      <c r="X57" s="78"/>
      <c r="Y57" s="78"/>
      <c r="Z57" s="78"/>
      <c r="AA57" s="78"/>
      <c r="AD57" s="78"/>
      <c r="AE57" s="78"/>
      <c r="AF57" s="78"/>
      <c r="AG57" s="78"/>
      <c r="AH57" s="78"/>
      <c r="AI57" s="78"/>
      <c r="AJ57" s="78"/>
      <c r="AK57" s="78"/>
      <c r="AL57" s="78"/>
      <c r="AM57" s="78"/>
      <c r="AN57" s="78"/>
      <c r="AO57" s="78"/>
      <c r="AR57" s="78"/>
      <c r="AS57" s="78"/>
      <c r="AT57" s="78"/>
      <c r="AU57" s="78"/>
      <c r="AV57" s="78"/>
      <c r="AW57" s="78"/>
      <c r="AX57" s="78"/>
      <c r="AY57" s="78"/>
      <c r="AZ57" s="78"/>
      <c r="BA57" s="78"/>
      <c r="BB57" s="78"/>
      <c r="BC57" s="78"/>
    </row>
    <row r="58" spans="4:55" x14ac:dyDescent="0.25">
      <c r="D58" s="78" t="str">
        <v>GERADOR DE GELO MTI - 22.000GT</v>
      </c>
      <c r="G58" s="1"/>
      <c r="J58" s="153" t="str">
        <v>TESTE 57</v>
      </c>
      <c r="T58" s="78"/>
      <c r="V58" s="153"/>
      <c r="W58" s="78"/>
      <c r="X58" s="78"/>
      <c r="Y58" s="78"/>
      <c r="Z58" s="78"/>
      <c r="AA58" s="78"/>
      <c r="AD58" s="78"/>
      <c r="AE58" s="78"/>
      <c r="AF58" s="78"/>
      <c r="AG58" s="78"/>
      <c r="AH58" s="78"/>
      <c r="AI58" s="78"/>
      <c r="AJ58" s="78"/>
      <c r="AK58" s="78"/>
      <c r="AL58" s="78"/>
      <c r="AM58" s="78"/>
      <c r="AN58" s="78"/>
      <c r="AO58" s="78"/>
      <c r="AR58" s="78"/>
      <c r="AS58" s="78"/>
      <c r="AT58" s="78"/>
      <c r="AU58" s="78"/>
      <c r="AV58" s="78"/>
      <c r="AW58" s="78"/>
      <c r="AX58" s="78"/>
      <c r="AY58" s="78"/>
      <c r="AZ58" s="78"/>
      <c r="BA58" s="78"/>
      <c r="BB58" s="78"/>
      <c r="BC58" s="78"/>
    </row>
    <row r="59" spans="4:55" x14ac:dyDescent="0.25">
      <c r="D59" s="78" t="str">
        <v>ESTEIRA</v>
      </c>
      <c r="G59" s="1"/>
      <c r="J59" s="153" t="str">
        <v>TESTE 58</v>
      </c>
      <c r="T59" s="78"/>
      <c r="V59" s="153"/>
      <c r="W59" s="78"/>
      <c r="X59" s="78"/>
      <c r="Y59" s="78"/>
      <c r="Z59" s="78"/>
      <c r="AA59" s="78"/>
      <c r="AD59" s="78"/>
      <c r="AE59" s="78"/>
      <c r="AF59" s="78"/>
      <c r="AG59" s="78"/>
      <c r="AH59" s="78"/>
      <c r="AI59" s="78"/>
      <c r="AJ59" s="78"/>
      <c r="AK59" s="78"/>
      <c r="AL59" s="78"/>
      <c r="AM59" s="78"/>
      <c r="AN59" s="78"/>
      <c r="AO59" s="78"/>
      <c r="AR59" s="78"/>
      <c r="AS59" s="78"/>
      <c r="AT59" s="78"/>
      <c r="AU59" s="78"/>
      <c r="AV59" s="78"/>
      <c r="AW59" s="78"/>
      <c r="AX59" s="78"/>
      <c r="AY59" s="78"/>
      <c r="AZ59" s="78"/>
      <c r="BA59" s="78"/>
      <c r="BB59" s="78"/>
      <c r="BC59" s="78"/>
    </row>
    <row r="60" spans="4:55" x14ac:dyDescent="0.25">
      <c r="D60" s="78" t="str">
        <v>MAC 15.000 GE</v>
      </c>
      <c r="G60" s="1"/>
      <c r="H60" s="1"/>
      <c r="I60" s="1"/>
      <c r="J60" s="1" t="str">
        <v>TESTE 59</v>
      </c>
      <c r="V60" s="153"/>
      <c r="W60" s="78"/>
      <c r="AB60" s="1"/>
      <c r="AC60" s="1"/>
      <c r="AJ60" s="78"/>
      <c r="AK60" s="78"/>
      <c r="AP60" s="1"/>
      <c r="AQ60" s="1"/>
      <c r="AX60" s="78"/>
      <c r="AY60" s="78"/>
      <c r="AZ60" s="78"/>
      <c r="BA60" s="78"/>
      <c r="BB60" s="78"/>
      <c r="BC60" s="78"/>
    </row>
    <row r="61" spans="4:55" x14ac:dyDescent="0.25">
      <c r="D61" s="78" t="str">
        <v>MAC 2.500 GT</v>
      </c>
      <c r="G61" s="1"/>
      <c r="H61" s="1"/>
      <c r="I61" s="1"/>
      <c r="J61" s="1" t="str">
        <v>TESTE 60</v>
      </c>
      <c r="V61" s="153"/>
      <c r="W61" s="78"/>
      <c r="AB61" s="1"/>
      <c r="AC61" s="1"/>
      <c r="AJ61" s="78"/>
      <c r="AK61" s="78"/>
      <c r="AP61" s="1"/>
      <c r="AQ61" s="1"/>
      <c r="AX61" s="78"/>
      <c r="AY61" s="78"/>
      <c r="AZ61" s="78"/>
      <c r="BA61" s="78"/>
      <c r="BB61" s="78"/>
      <c r="BC61" s="78"/>
    </row>
    <row r="62" spans="4:55" x14ac:dyDescent="0.25">
      <c r="D62" s="78" t="str">
        <v>TAMPA ENSACADORA EMS1</v>
      </c>
      <c r="G62" s="1"/>
      <c r="H62" s="1"/>
      <c r="I62" s="1"/>
      <c r="J62" s="1" t="str">
        <v>TESTE 61</v>
      </c>
      <c r="V62" s="153"/>
      <c r="W62" s="78"/>
      <c r="X62" s="78"/>
      <c r="AB62" s="1"/>
      <c r="AC62" s="1"/>
      <c r="AJ62" s="78"/>
      <c r="AK62" s="78"/>
      <c r="AL62" s="78"/>
      <c r="AP62" s="1"/>
      <c r="AQ62" s="1"/>
      <c r="AX62" s="78"/>
      <c r="AY62" s="78"/>
      <c r="AZ62" s="78"/>
      <c r="BA62" s="78"/>
      <c r="BB62" s="78"/>
      <c r="BC62" s="78"/>
    </row>
    <row r="63" spans="4:55" x14ac:dyDescent="0.25">
      <c r="D63" s="78" t="str">
        <v>RECIPIENTE DE LIQUIDO 1.000 L</v>
      </c>
      <c r="G63" s="1"/>
      <c r="H63" s="1"/>
      <c r="I63" s="1"/>
      <c r="J63" s="1" t="str">
        <v>TESTE 62</v>
      </c>
      <c r="V63" s="153"/>
      <c r="W63" s="78"/>
      <c r="X63" s="78"/>
      <c r="AB63" s="1"/>
      <c r="AC63" s="1"/>
      <c r="AJ63" s="78"/>
      <c r="AK63" s="78"/>
      <c r="AL63" s="78"/>
      <c r="AP63" s="1"/>
      <c r="AQ63" s="1"/>
      <c r="AX63" s="78"/>
      <c r="AY63" s="78"/>
      <c r="AZ63" s="78"/>
      <c r="BA63" s="78"/>
      <c r="BB63" s="78"/>
      <c r="BC63" s="78"/>
    </row>
    <row r="64" spans="4:55" x14ac:dyDescent="0.25">
      <c r="D64" s="78" t="str">
        <v>BASE MTI - 7.000GTS</v>
      </c>
      <c r="G64" s="1"/>
      <c r="H64" s="1"/>
      <c r="I64" s="1"/>
      <c r="J64" s="1" t="str">
        <v>TESTE 63</v>
      </c>
      <c r="V64" s="153"/>
      <c r="W64" s="78"/>
      <c r="AB64" s="1"/>
      <c r="AC64" s="1"/>
      <c r="AJ64" s="78"/>
      <c r="AK64" s="78"/>
      <c r="AP64" s="1"/>
      <c r="AQ64" s="1"/>
      <c r="AX64" s="78"/>
      <c r="AY64" s="78"/>
      <c r="AZ64" s="78"/>
      <c r="BA64" s="78"/>
      <c r="BB64" s="78"/>
      <c r="BC64" s="78"/>
    </row>
    <row r="65" spans="4:55" x14ac:dyDescent="0.25">
      <c r="D65" s="78" t="str">
        <v>MAC 4.000 GT</v>
      </c>
      <c r="G65" s="1"/>
      <c r="H65" s="1"/>
      <c r="I65" s="1"/>
      <c r="J65" s="1" t="str">
        <v>TESTE 64</v>
      </c>
      <c r="V65" s="153"/>
      <c r="W65" s="78"/>
      <c r="AB65" s="1"/>
      <c r="AC65" s="1"/>
      <c r="AJ65" s="78"/>
      <c r="AK65" s="78"/>
      <c r="AP65" s="1"/>
      <c r="AQ65" s="1"/>
      <c r="AX65" s="78"/>
      <c r="AY65" s="78"/>
      <c r="AZ65" s="78"/>
      <c r="BA65" s="78"/>
      <c r="BB65" s="78"/>
      <c r="BC65" s="78"/>
    </row>
    <row r="66" spans="4:55" x14ac:dyDescent="0.25">
      <c r="D66" s="78" t="str">
        <v>GERADOR DE 32.000 GT</v>
      </c>
      <c r="G66" s="1"/>
      <c r="H66" s="1"/>
      <c r="I66" s="1"/>
      <c r="J66" s="1" t="str">
        <v>TESTE 65</v>
      </c>
      <c r="V66" s="153"/>
      <c r="W66" s="78"/>
      <c r="AB66" s="1"/>
      <c r="AC66" s="1"/>
      <c r="AJ66" s="78"/>
      <c r="AK66" s="78"/>
      <c r="AP66" s="1"/>
      <c r="AQ66" s="1"/>
      <c r="AX66" s="78"/>
      <c r="AY66" s="78"/>
      <c r="AZ66" s="78"/>
      <c r="BA66" s="78"/>
      <c r="BB66" s="78"/>
      <c r="BC66" s="78"/>
    </row>
    <row r="67" spans="4:55" x14ac:dyDescent="0.25">
      <c r="D67" s="78" t="str">
        <v>GERADOR MTI - 17.000GT</v>
      </c>
      <c r="G67" s="1"/>
      <c r="H67" s="1"/>
      <c r="I67" s="1"/>
      <c r="J67" s="1" t="str">
        <v>TESTE 66</v>
      </c>
      <c r="V67" s="153"/>
      <c r="W67" s="78"/>
      <c r="AB67" s="1"/>
      <c r="AC67" s="1"/>
      <c r="AJ67" s="78"/>
      <c r="AK67" s="78"/>
      <c r="AP67" s="1"/>
      <c r="AQ67" s="1"/>
      <c r="AX67" s="78"/>
      <c r="AY67" s="78"/>
      <c r="AZ67" s="78"/>
      <c r="BA67" s="78"/>
      <c r="BB67" s="78"/>
      <c r="BC67" s="78"/>
    </row>
    <row r="68" spans="4:55" x14ac:dyDescent="0.25">
      <c r="D68" s="78" t="str">
        <v>E - 80</v>
      </c>
      <c r="G68" s="1"/>
      <c r="H68" s="1"/>
      <c r="I68" s="1"/>
      <c r="J68" s="1" t="str">
        <v>TESTE 67</v>
      </c>
      <c r="V68" s="153"/>
      <c r="W68" s="78"/>
      <c r="AB68" s="1"/>
      <c r="AC68" s="1"/>
      <c r="AJ68" s="78"/>
      <c r="AK68" s="78"/>
      <c r="AP68" s="1"/>
      <c r="AQ68" s="1"/>
      <c r="AX68" s="78"/>
      <c r="AY68" s="78"/>
      <c r="AZ68" s="78"/>
      <c r="BA68" s="78"/>
      <c r="BB68" s="78"/>
      <c r="BC68" s="78"/>
    </row>
    <row r="69" spans="4:55" x14ac:dyDescent="0.25">
      <c r="D69" s="78" t="str">
        <v>ROSCA TRANSP</v>
      </c>
      <c r="G69" s="1"/>
      <c r="H69" s="1"/>
      <c r="I69" s="1"/>
      <c r="J69" s="1" t="str">
        <v>TESTE 68</v>
      </c>
      <c r="V69" s="153"/>
      <c r="W69" s="78"/>
      <c r="AB69" s="1"/>
      <c r="AC69" s="1"/>
      <c r="AJ69" s="78"/>
      <c r="AK69" s="78"/>
      <c r="AP69" s="1"/>
      <c r="AQ69" s="1"/>
      <c r="AX69" s="78"/>
      <c r="AY69" s="78"/>
      <c r="AZ69" s="78"/>
      <c r="BA69" s="78"/>
      <c r="BB69" s="78"/>
      <c r="BC69" s="78"/>
    </row>
    <row r="70" spans="4:55" x14ac:dyDescent="0.25">
      <c r="D70" s="78" t="str">
        <v>MTI - 7.000GT (GERADOR)</v>
      </c>
      <c r="G70" s="1"/>
      <c r="H70" s="1"/>
      <c r="I70" s="1"/>
      <c r="J70" s="1" t="str">
        <v>TESTE 69</v>
      </c>
      <c r="V70" s="153"/>
      <c r="W70" s="78"/>
      <c r="AB70" s="1"/>
      <c r="AC70" s="1"/>
      <c r="AJ70" s="78"/>
      <c r="AK70" s="78"/>
      <c r="AP70" s="1"/>
      <c r="AQ70" s="1"/>
      <c r="AX70" s="78"/>
      <c r="AY70" s="78"/>
      <c r="AZ70" s="78"/>
      <c r="BA70" s="78"/>
      <c r="BB70" s="78"/>
      <c r="BC70" s="78"/>
    </row>
    <row r="71" spans="4:55" x14ac:dyDescent="0.25">
      <c r="D71" s="78" t="str">
        <v>MTI - 7.000GT</v>
      </c>
      <c r="G71" s="1"/>
      <c r="H71" s="1"/>
      <c r="I71" s="1"/>
      <c r="J71" s="1" t="str">
        <v>TESTE 70</v>
      </c>
      <c r="V71" s="153"/>
      <c r="W71" s="78"/>
      <c r="AB71" s="1"/>
      <c r="AC71" s="1"/>
      <c r="AJ71" s="78"/>
      <c r="AK71" s="78"/>
      <c r="AP71" s="1"/>
      <c r="AQ71" s="1"/>
      <c r="AX71" s="78"/>
      <c r="AY71" s="78"/>
      <c r="AZ71" s="78"/>
      <c r="BA71" s="78"/>
      <c r="BB71" s="78"/>
      <c r="BC71" s="78"/>
    </row>
    <row r="72" spans="4:55" x14ac:dyDescent="0.25">
      <c r="D72" s="78" t="str">
        <v>MTI - 17.000GT</v>
      </c>
      <c r="G72" s="1"/>
      <c r="H72" s="1"/>
      <c r="I72" s="1"/>
      <c r="J72" s="1" t="str">
        <v>TESTE 71</v>
      </c>
      <c r="V72" s="153"/>
      <c r="W72" s="78"/>
      <c r="AB72" s="1"/>
      <c r="AC72" s="1"/>
      <c r="AJ72" s="78"/>
      <c r="AK72" s="78"/>
      <c r="AP72" s="1"/>
      <c r="AQ72" s="1"/>
      <c r="AX72" s="78"/>
      <c r="AY72" s="78"/>
      <c r="AZ72" s="78"/>
      <c r="BA72" s="78"/>
      <c r="BB72" s="78"/>
      <c r="BC72" s="78"/>
    </row>
    <row r="73" spans="4:55" x14ac:dyDescent="0.25">
      <c r="D73" s="78" t="str">
        <v>MTI - 20.000GE</v>
      </c>
      <c r="G73" s="1"/>
      <c r="H73" s="1"/>
      <c r="I73" s="1"/>
      <c r="J73" s="1" t="str">
        <v>TESTE 72</v>
      </c>
      <c r="V73" s="153"/>
      <c r="W73" s="78"/>
      <c r="AB73" s="1"/>
      <c r="AC73" s="1"/>
      <c r="AJ73" s="78"/>
      <c r="AK73" s="78"/>
      <c r="AP73" s="1"/>
      <c r="AQ73" s="1"/>
      <c r="AX73" s="78"/>
      <c r="AY73" s="78"/>
      <c r="AZ73" s="78"/>
      <c r="BA73" s="78"/>
      <c r="BB73" s="78"/>
      <c r="BC73" s="78"/>
    </row>
    <row r="74" spans="4:55" x14ac:dyDescent="0.25">
      <c r="D74" s="78" t="str">
        <v>MTI - 60.000GE</v>
      </c>
      <c r="G74" s="1"/>
      <c r="H74" s="1"/>
      <c r="I74" s="1"/>
      <c r="J74" s="1" t="str">
        <v>TESTE 73</v>
      </c>
      <c r="V74" s="153"/>
      <c r="W74" s="78"/>
      <c r="AB74" s="1"/>
      <c r="AC74" s="1"/>
      <c r="AJ74" s="78"/>
      <c r="AK74" s="78"/>
      <c r="AP74" s="1"/>
      <c r="AQ74" s="1"/>
      <c r="AX74" s="78"/>
      <c r="AY74" s="78"/>
      <c r="AZ74" s="78"/>
      <c r="BA74" s="78"/>
      <c r="BB74" s="78"/>
      <c r="BC74" s="78"/>
    </row>
    <row r="75" spans="4:55" x14ac:dyDescent="0.25">
      <c r="D75" s="78" t="str">
        <v>EMS-3</v>
      </c>
      <c r="G75" s="1"/>
      <c r="H75" s="1"/>
      <c r="I75" s="1"/>
      <c r="J75" s="1" t="str">
        <v>TESTE 74</v>
      </c>
      <c r="V75" s="153"/>
      <c r="W75" s="78"/>
      <c r="AB75" s="1"/>
      <c r="AC75" s="1"/>
      <c r="AJ75" s="78"/>
      <c r="AK75" s="78"/>
      <c r="AP75" s="1"/>
      <c r="AQ75" s="1"/>
      <c r="AX75" s="78"/>
      <c r="AY75" s="78"/>
      <c r="AZ75" s="78"/>
      <c r="BA75" s="78"/>
      <c r="BB75" s="78"/>
      <c r="BC75" s="78"/>
    </row>
    <row r="76" spans="4:55" x14ac:dyDescent="0.25">
      <c r="D76" s="78" t="str">
        <v>BLOCO DE CONDENSADOR 200.000</v>
      </c>
      <c r="I76" s="1"/>
      <c r="J76" s="1" t="str">
        <v>TESTE 75</v>
      </c>
      <c r="V76" s="153"/>
    </row>
    <row r="77" spans="4:55" x14ac:dyDescent="0.25">
      <c r="D77" s="78" t="str">
        <v>CE - 750</v>
      </c>
      <c r="I77" s="1"/>
      <c r="J77" s="1" t="str">
        <v>TESTE 76</v>
      </c>
      <c r="V77" s="153"/>
    </row>
    <row r="78" spans="4:55" x14ac:dyDescent="0.25">
      <c r="D78" s="78" t="str">
        <v>RL - 2000</v>
      </c>
      <c r="I78" s="1"/>
      <c r="J78" s="1" t="str">
        <v>TESTE 77</v>
      </c>
      <c r="V78" s="153"/>
    </row>
    <row r="79" spans="4:55" x14ac:dyDescent="0.25">
      <c r="D79" s="78" t="str">
        <v>COMPRESSOR MYCOM 6WB</v>
      </c>
      <c r="I79" s="1"/>
      <c r="J79" s="1" t="str">
        <v>TESTE 78</v>
      </c>
      <c r="V79" s="153"/>
    </row>
    <row r="80" spans="4:55" x14ac:dyDescent="0.25">
      <c r="D80" s="78" t="str">
        <v>QUADRO ELÉTRICO 40GE</v>
      </c>
      <c r="I80" s="1"/>
      <c r="J80" s="1" t="str">
        <v>TESTE 79</v>
      </c>
      <c r="V80" s="153"/>
    </row>
    <row r="81" spans="4:43" x14ac:dyDescent="0.25">
      <c r="D81" s="78" t="str">
        <v>CE - 800</v>
      </c>
      <c r="I81" s="1"/>
      <c r="J81" s="1" t="str">
        <v>TESTE 80</v>
      </c>
      <c r="V81" s="153"/>
    </row>
    <row r="82" spans="4:43" x14ac:dyDescent="0.25">
      <c r="D82" s="78" t="str">
        <v>CF RESFRIAMENTO</v>
      </c>
      <c r="I82" s="1"/>
      <c r="J82" s="1" t="str">
        <v>TESTE 81</v>
      </c>
      <c r="V82" s="153"/>
    </row>
    <row r="83" spans="4:43" x14ac:dyDescent="0.25">
      <c r="D83" s="78" t="str">
        <v>CE - 600</v>
      </c>
      <c r="I83" s="1"/>
      <c r="J83" s="1" t="str">
        <v>TESTE 82</v>
      </c>
      <c r="V83" s="153"/>
    </row>
    <row r="84" spans="4:43" x14ac:dyDescent="0.25">
      <c r="D84" s="78" t="str">
        <v>2x FECHAMENTO CONDENSADOR</v>
      </c>
      <c r="I84" s="1"/>
      <c r="J84" s="1" t="str">
        <v>TESTE 83</v>
      </c>
      <c r="V84" s="153"/>
    </row>
    <row r="85" spans="4:43" x14ac:dyDescent="0.25">
      <c r="D85" s="78" t="str">
        <v>MTI - 30.000GE</v>
      </c>
      <c r="I85" s="1"/>
      <c r="J85" s="1" t="str">
        <v>TESTE 84</v>
      </c>
      <c r="V85" s="153"/>
    </row>
    <row r="86" spans="4:43" x14ac:dyDescent="0.25">
      <c r="D86" s="78" t="str">
        <v>MTI - 40.000GT</v>
      </c>
      <c r="I86" s="1"/>
      <c r="J86" s="1" t="str">
        <v>TESTE 85</v>
      </c>
      <c r="V86" s="153"/>
    </row>
    <row r="87" spans="4:43" x14ac:dyDescent="0.25">
      <c r="D87" s="78" t="str">
        <v>CONDENSADOR 1.200.000</v>
      </c>
      <c r="I87" s="1"/>
      <c r="J87" s="1" t="str">
        <v>TESTE 86</v>
      </c>
      <c r="V87" s="153"/>
    </row>
    <row r="88" spans="4:43" x14ac:dyDescent="0.25">
      <c r="D88" s="78" t="str">
        <v>BASE MTI - 12.000GTS</v>
      </c>
      <c r="I88" s="1"/>
      <c r="J88" s="1" t="str">
        <v>TESTE 87</v>
      </c>
      <c r="V88" s="153"/>
    </row>
    <row r="89" spans="4:43" x14ac:dyDescent="0.25">
      <c r="D89" s="78" t="str">
        <v>MTI - 3.200GES</v>
      </c>
      <c r="I89" s="1"/>
      <c r="J89" s="1" t="str">
        <v>TESTE 88</v>
      </c>
      <c r="V89" s="153"/>
    </row>
    <row r="90" spans="4:43" x14ac:dyDescent="0.25">
      <c r="D90" s="78" t="str">
        <v>BASE MTI - 3.200GES</v>
      </c>
      <c r="I90" s="1"/>
      <c r="J90" s="1" t="str">
        <v>TESTE 89</v>
      </c>
      <c r="V90" s="153"/>
    </row>
    <row r="91" spans="4:43" x14ac:dyDescent="0.25">
      <c r="D91" s="78" t="str">
        <v>E - 1000</v>
      </c>
      <c r="I91" s="1"/>
      <c r="J91" s="1" t="str">
        <v>TESTE 90</v>
      </c>
      <c r="V91" s="153"/>
    </row>
    <row r="92" spans="4:43" x14ac:dyDescent="0.25">
      <c r="D92" s="78" t="str">
        <v>PGM 40.000 GTS</v>
      </c>
      <c r="I92" s="1"/>
      <c r="J92" s="1" t="str">
        <v>TESTE 91</v>
      </c>
      <c r="V92" s="153"/>
    </row>
    <row r="93" spans="4:43" x14ac:dyDescent="0.25">
      <c r="D93" s="78" t="str">
        <v>MTI  - 1.000GTS</v>
      </c>
      <c r="I93" s="1"/>
      <c r="J93" s="1" t="str">
        <v>TESTE 92</v>
      </c>
      <c r="V93" s="153"/>
    </row>
    <row r="94" spans="4:43" x14ac:dyDescent="0.25">
      <c r="D94" s="78" t="str">
        <v>MTI  - 10.000GES</v>
      </c>
      <c r="I94" s="1"/>
      <c r="J94" s="1" t="str">
        <v>TESTE 93</v>
      </c>
      <c r="V94" s="153"/>
    </row>
    <row r="95" spans="4:43" x14ac:dyDescent="0.25">
      <c r="D95" s="78" t="str">
        <v>MTI -15.000GES</v>
      </c>
      <c r="H95" s="1"/>
      <c r="I95" s="1"/>
      <c r="J95" s="1" t="str">
        <v>TESTE 94</v>
      </c>
      <c r="V95" s="153"/>
      <c r="AC95" s="1"/>
      <c r="AQ95" s="1"/>
    </row>
    <row r="96" spans="4:43" x14ac:dyDescent="0.25">
      <c r="D96" s="78" t="str">
        <v>BASE MTI - 2.500GTS</v>
      </c>
      <c r="H96" s="1"/>
      <c r="I96" s="1"/>
      <c r="J96" s="1" t="str">
        <v>TESTE 95</v>
      </c>
      <c r="V96" s="153"/>
      <c r="AC96" s="1"/>
      <c r="AQ96" s="1"/>
    </row>
    <row r="97" spans="4:55" x14ac:dyDescent="0.25">
      <c r="D97" s="78" t="str">
        <v>EMS-1</v>
      </c>
      <c r="I97" s="1"/>
      <c r="J97" s="1" t="str">
        <v>TESTE 96</v>
      </c>
      <c r="V97" s="153"/>
    </row>
    <row r="98" spans="4:55" x14ac:dyDescent="0.25">
      <c r="D98" s="78" t="str">
        <v>EMBALADORA EICE</v>
      </c>
      <c r="I98" s="1"/>
      <c r="J98" s="1" t="str">
        <v>TESTE 97</v>
      </c>
      <c r="V98" s="153"/>
      <c r="AA98" s="78"/>
      <c r="AO98" s="78"/>
      <c r="BC98" s="78"/>
    </row>
    <row r="99" spans="4:55" x14ac:dyDescent="0.25">
      <c r="D99" s="78" t="str">
        <v>MTI - 5.000GES</v>
      </c>
      <c r="I99" s="1"/>
      <c r="J99" s="1" t="str">
        <v>TESTE 98</v>
      </c>
      <c r="V99" s="153"/>
      <c r="AA99" s="78"/>
      <c r="AO99" s="78"/>
      <c r="BC99" s="78"/>
    </row>
    <row r="100" spans="4:55" x14ac:dyDescent="0.25">
      <c r="D100" s="78" t="str">
        <v>E-1000</v>
      </c>
      <c r="I100" s="1"/>
      <c r="J100" s="1" t="str">
        <v>TESTE 99</v>
      </c>
      <c r="V100" s="153"/>
    </row>
    <row r="101" spans="4:55" x14ac:dyDescent="0.25">
      <c r="D101" s="78" t="str">
        <v>MTI-2.500GTS</v>
      </c>
      <c r="I101" s="1"/>
      <c r="J101" s="1" t="str">
        <v>TESTE 100</v>
      </c>
      <c r="V101" s="153"/>
    </row>
    <row r="102" spans="4:55" x14ac:dyDescent="0.25">
      <c r="D102" s="78" t="str">
        <v>MTI-1.000GTS</v>
      </c>
      <c r="I102" s="1"/>
      <c r="J102" s="1" t="str">
        <v>TESTE 101</v>
      </c>
      <c r="V102" s="153"/>
    </row>
    <row r="103" spans="4:55" x14ac:dyDescent="0.25">
      <c r="D103" s="78" t="str">
        <v>MTI- 7.000 GES</v>
      </c>
      <c r="I103" s="1"/>
      <c r="J103" s="1" t="str">
        <v>TESTE 102</v>
      </c>
      <c r="V103" s="153"/>
    </row>
    <row r="104" spans="4:55" x14ac:dyDescent="0.25">
      <c r="D104" s="78" t="str">
        <v>MTI - 20.000GT</v>
      </c>
      <c r="I104" s="1"/>
      <c r="J104" s="1" t="str">
        <v>TESTE 103</v>
      </c>
      <c r="V104" s="153"/>
    </row>
    <row r="105" spans="4:55" x14ac:dyDescent="0.25">
      <c r="D105" s="78" t="str">
        <v>MTI- 4.000GTS</v>
      </c>
      <c r="I105" s="1"/>
      <c r="J105" s="1" t="str">
        <v>TESTE 104</v>
      </c>
      <c r="V105" s="153"/>
    </row>
    <row r="106" spans="4:55" x14ac:dyDescent="0.25">
      <c r="D106" s="78" t="str">
        <v>MTI - 30.000GT</v>
      </c>
      <c r="I106" s="1"/>
      <c r="J106" s="1" t="str">
        <v>TESTE 105</v>
      </c>
      <c r="V106" s="153"/>
    </row>
    <row r="107" spans="4:55" x14ac:dyDescent="0.25">
      <c r="I107" s="1"/>
      <c r="J107" s="1" t="str">
        <v>TESTE 106</v>
      </c>
      <c r="V107" s="153"/>
    </row>
    <row r="108" spans="4:55" x14ac:dyDescent="0.25">
      <c r="I108" s="1"/>
      <c r="J108" s="1" t="str">
        <v>TESTE 107</v>
      </c>
      <c r="V108" s="153"/>
    </row>
    <row r="109" spans="4:55" x14ac:dyDescent="0.25">
      <c r="I109" s="1"/>
      <c r="J109" s="1" t="str">
        <v>TESTE 108</v>
      </c>
      <c r="V109" s="153"/>
    </row>
    <row r="110" spans="4:55" x14ac:dyDescent="0.25">
      <c r="I110" s="1"/>
      <c r="J110" s="1" t="str">
        <v>TESTE 109</v>
      </c>
      <c r="V110" s="153"/>
    </row>
    <row r="111" spans="4:55" x14ac:dyDescent="0.25">
      <c r="I111" s="1"/>
      <c r="J111" s="1" t="str">
        <v>TESTE 110</v>
      </c>
      <c r="V111" s="153"/>
    </row>
    <row r="112" spans="4:55" x14ac:dyDescent="0.25">
      <c r="I112" s="1"/>
      <c r="J112" s="1" t="str">
        <v>TESTE 111</v>
      </c>
      <c r="V112" s="153"/>
    </row>
    <row r="113" spans="9:22" x14ac:dyDescent="0.25">
      <c r="I113" s="1"/>
      <c r="J113" s="1" t="str">
        <v>TESTE 112</v>
      </c>
      <c r="V113" s="153"/>
    </row>
    <row r="114" spans="9:22" x14ac:dyDescent="0.25">
      <c r="I114" s="1"/>
      <c r="J114" s="1" t="str">
        <v>TESTE 113</v>
      </c>
      <c r="V114" s="153"/>
    </row>
    <row r="115" spans="9:22" x14ac:dyDescent="0.25">
      <c r="I115" s="1"/>
      <c r="J115" s="1" t="str">
        <v>TESTE 114</v>
      </c>
      <c r="V115" s="153"/>
    </row>
    <row r="116" spans="9:22" x14ac:dyDescent="0.25">
      <c r="I116" s="1"/>
      <c r="J116" s="1" t="str">
        <v>TESTE 115</v>
      </c>
      <c r="V116" s="153"/>
    </row>
    <row r="117" spans="9:22" x14ac:dyDescent="0.25">
      <c r="I117" s="1"/>
      <c r="J117" s="1" t="str">
        <v>TESTE 116</v>
      </c>
      <c r="V117" s="153"/>
    </row>
    <row r="118" spans="9:22" x14ac:dyDescent="0.25">
      <c r="I118" s="1"/>
      <c r="J118" s="1" t="str">
        <v>TESTE 117</v>
      </c>
      <c r="V118" s="153"/>
    </row>
    <row r="119" spans="9:22" x14ac:dyDescent="0.25">
      <c r="I119" s="1"/>
      <c r="J119" s="1" t="str">
        <v>TESTE 118</v>
      </c>
      <c r="V119" s="153"/>
    </row>
    <row r="120" spans="9:22" x14ac:dyDescent="0.25">
      <c r="I120" s="1"/>
      <c r="J120" s="1" t="str">
        <v>TESTE 119</v>
      </c>
      <c r="V120" s="153"/>
    </row>
    <row r="121" spans="9:22" x14ac:dyDescent="0.25">
      <c r="I121" s="1"/>
      <c r="J121" s="1" t="str">
        <v>TESTE 120</v>
      </c>
      <c r="V121" s="153"/>
    </row>
    <row r="122" spans="9:22" x14ac:dyDescent="0.25">
      <c r="I122" s="1"/>
      <c r="J122" s="1" t="str">
        <v>TESTE 121</v>
      </c>
      <c r="V122" s="153"/>
    </row>
    <row r="123" spans="9:22" x14ac:dyDescent="0.25">
      <c r="I123" s="1"/>
      <c r="J123" s="1" t="str">
        <v>TESTE 122</v>
      </c>
      <c r="V123" s="153"/>
    </row>
    <row r="124" spans="9:22" x14ac:dyDescent="0.25">
      <c r="I124" s="1"/>
      <c r="J124" s="1" t="str">
        <v>TESTE 123</v>
      </c>
      <c r="V124" s="153"/>
    </row>
    <row r="125" spans="9:22" x14ac:dyDescent="0.25">
      <c r="I125" s="1"/>
      <c r="J125" s="1" t="str">
        <v>TESTE 124</v>
      </c>
      <c r="V125" s="153"/>
    </row>
    <row r="126" spans="9:22" x14ac:dyDescent="0.25">
      <c r="I126" s="1"/>
      <c r="J126" s="1" t="str">
        <v>TESTE 125</v>
      </c>
      <c r="V126" s="153"/>
    </row>
    <row r="127" spans="9:22" x14ac:dyDescent="0.25">
      <c r="I127" s="1"/>
      <c r="J127" s="1" t="str">
        <v>TESTE 126</v>
      </c>
      <c r="V127" s="153"/>
    </row>
    <row r="128" spans="9:22" x14ac:dyDescent="0.25">
      <c r="I128" s="1"/>
      <c r="J128" s="1" t="str">
        <v>TESTE 127</v>
      </c>
      <c r="V128" s="153"/>
    </row>
    <row r="129" spans="9:22" x14ac:dyDescent="0.25">
      <c r="I129" s="1"/>
      <c r="J129" s="1" t="str">
        <v>TESTE 128</v>
      </c>
      <c r="V129" s="153"/>
    </row>
    <row r="130" spans="9:22" x14ac:dyDescent="0.25">
      <c r="I130" s="1"/>
      <c r="J130" s="1" t="str">
        <v>TESTE 129</v>
      </c>
      <c r="V130" s="153"/>
    </row>
    <row r="131" spans="9:22" x14ac:dyDescent="0.25">
      <c r="I131" s="1"/>
      <c r="J131" s="1" t="str">
        <v>TESTE 130</v>
      </c>
      <c r="V131" s="153"/>
    </row>
    <row r="132" spans="9:22" x14ac:dyDescent="0.25">
      <c r="I132" s="1"/>
      <c r="J132" s="1" t="str">
        <v>TESTE 131</v>
      </c>
      <c r="V132" s="153"/>
    </row>
    <row r="133" spans="9:22" x14ac:dyDescent="0.25">
      <c r="I133" s="1"/>
      <c r="J133" s="1" t="str">
        <v>TESTE 132</v>
      </c>
      <c r="V133" s="153"/>
    </row>
    <row r="134" spans="9:22" x14ac:dyDescent="0.25">
      <c r="I134" s="1"/>
      <c r="J134" s="1" t="str">
        <v>TESTE 133</v>
      </c>
      <c r="V134" s="153"/>
    </row>
    <row r="135" spans="9:22" x14ac:dyDescent="0.25">
      <c r="I135" s="1"/>
      <c r="J135" s="1" t="str">
        <v>TESTE 134</v>
      </c>
      <c r="V135" s="153"/>
    </row>
    <row r="136" spans="9:22" x14ac:dyDescent="0.25">
      <c r="I136" s="1"/>
      <c r="J136" s="1" t="str">
        <v>TESTE 135</v>
      </c>
      <c r="V136" s="153"/>
    </row>
    <row r="137" spans="9:22" x14ac:dyDescent="0.25">
      <c r="I137" s="1"/>
      <c r="J137" s="1" t="str">
        <v>TESTE 136</v>
      </c>
      <c r="V137" s="153"/>
    </row>
    <row r="138" spans="9:22" x14ac:dyDescent="0.25">
      <c r="I138" s="1"/>
      <c r="J138" s="1" t="str">
        <v>TESTE 137</v>
      </c>
      <c r="V138" s="153"/>
    </row>
    <row r="139" spans="9:22" x14ac:dyDescent="0.25">
      <c r="I139" s="1"/>
      <c r="J139" s="1" t="str">
        <v>TESTE 138</v>
      </c>
      <c r="V139" s="153"/>
    </row>
    <row r="140" spans="9:22" x14ac:dyDescent="0.25">
      <c r="I140" s="1"/>
      <c r="J140" s="1" t="str">
        <v>TESTE 139</v>
      </c>
      <c r="V140" s="153"/>
    </row>
    <row r="141" spans="9:22" x14ac:dyDescent="0.25">
      <c r="I141" s="1"/>
      <c r="J141" s="1" t="str">
        <v>TESTE 140</v>
      </c>
      <c r="V141" s="153"/>
    </row>
    <row r="142" spans="9:22" x14ac:dyDescent="0.25">
      <c r="I142" s="1"/>
      <c r="J142" s="1" t="str">
        <v>TESTE 141</v>
      </c>
      <c r="V142" s="153"/>
    </row>
    <row r="143" spans="9:22" x14ac:dyDescent="0.25">
      <c r="I143" s="1"/>
      <c r="J143" s="1" t="str">
        <v>TESTE 142</v>
      </c>
      <c r="V143" s="153"/>
    </row>
    <row r="144" spans="9:22" x14ac:dyDescent="0.25">
      <c r="I144" s="1"/>
      <c r="J144" s="1" t="str">
        <v>TESTE 143</v>
      </c>
      <c r="V144" s="153"/>
    </row>
    <row r="145" spans="9:22" x14ac:dyDescent="0.25">
      <c r="I145" s="1"/>
      <c r="J145" s="1" t="str">
        <v>TESTE 144</v>
      </c>
      <c r="V145" s="153"/>
    </row>
    <row r="146" spans="9:22" x14ac:dyDescent="0.25">
      <c r="I146" s="1"/>
      <c r="J146" s="1" t="str">
        <v>TESTE 145</v>
      </c>
      <c r="V146" s="153"/>
    </row>
    <row r="147" spans="9:22" x14ac:dyDescent="0.25">
      <c r="I147" s="1"/>
      <c r="J147" s="1" t="str">
        <v>TESTE 146</v>
      </c>
      <c r="V147" s="153"/>
    </row>
    <row r="148" spans="9:22" x14ac:dyDescent="0.25">
      <c r="I148" s="1"/>
      <c r="J148" s="1" t="str">
        <v>TESTE 147</v>
      </c>
      <c r="V148" s="153"/>
    </row>
    <row r="149" spans="9:22" x14ac:dyDescent="0.25">
      <c r="I149" s="1"/>
      <c r="J149" s="1" t="str">
        <v>TESTE 148</v>
      </c>
      <c r="V149" s="153"/>
    </row>
    <row r="150" spans="9:22" x14ac:dyDescent="0.25">
      <c r="I150" s="1"/>
      <c r="J150" s="1" t="str">
        <v>TESTE 149</v>
      </c>
      <c r="V150" s="153"/>
    </row>
    <row r="151" spans="9:22" x14ac:dyDescent="0.25">
      <c r="I151" s="1"/>
      <c r="J151" s="1" t="str">
        <v>TESTE 150</v>
      </c>
      <c r="V151" s="153"/>
    </row>
    <row r="152" spans="9:22" x14ac:dyDescent="0.25">
      <c r="I152" s="1"/>
      <c r="J152" s="1" t="str">
        <v>TESTE 151</v>
      </c>
      <c r="V152" s="153"/>
    </row>
    <row r="153" spans="9:22" x14ac:dyDescent="0.25">
      <c r="I153" s="1"/>
      <c r="J153" s="1" t="str">
        <v>TESTE 152</v>
      </c>
      <c r="V153" s="153"/>
    </row>
    <row r="154" spans="9:22" x14ac:dyDescent="0.25">
      <c r="I154" s="1"/>
      <c r="J154" s="1" t="str">
        <v>TESTE 153</v>
      </c>
      <c r="V154" s="153"/>
    </row>
    <row r="155" spans="9:22" x14ac:dyDescent="0.25">
      <c r="I155" s="1"/>
      <c r="J155" s="1" t="str">
        <v>TESTE 154</v>
      </c>
      <c r="V155" s="153"/>
    </row>
    <row r="156" spans="9:22" x14ac:dyDescent="0.25">
      <c r="I156" s="1"/>
      <c r="J156" s="1" t="str">
        <v>TESTE 155</v>
      </c>
      <c r="V156" s="153"/>
    </row>
    <row r="157" spans="9:22" x14ac:dyDescent="0.25">
      <c r="I157" s="1"/>
      <c r="J157" s="1" t="str">
        <v>TESTE 156</v>
      </c>
      <c r="V157" s="153"/>
    </row>
    <row r="158" spans="9:22" x14ac:dyDescent="0.25">
      <c r="I158" s="1"/>
      <c r="J158" s="1" t="str">
        <v>TESTE 157</v>
      </c>
      <c r="V158" s="153"/>
    </row>
    <row r="159" spans="9:22" x14ac:dyDescent="0.25">
      <c r="I159" s="1"/>
      <c r="J159" s="1" t="str">
        <v>TESTE 158</v>
      </c>
      <c r="V159" s="153"/>
    </row>
    <row r="160" spans="9:22" x14ac:dyDescent="0.25">
      <c r="I160" s="1"/>
      <c r="J160" s="1" t="str">
        <v>TESTE 159</v>
      </c>
      <c r="V160" s="153"/>
    </row>
    <row r="161" spans="9:22" x14ac:dyDescent="0.25">
      <c r="I161" s="1"/>
      <c r="J161" s="1" t="str">
        <v>TESTE 160</v>
      </c>
      <c r="V161" s="153"/>
    </row>
    <row r="162" spans="9:22" x14ac:dyDescent="0.25">
      <c r="I162" s="1"/>
      <c r="J162" s="1" t="str">
        <v>TESTE 161</v>
      </c>
      <c r="V162" s="153"/>
    </row>
    <row r="163" spans="9:22" x14ac:dyDescent="0.25">
      <c r="I163" s="1"/>
      <c r="J163" s="1" t="str">
        <v>TESTE 162</v>
      </c>
      <c r="V163" s="153"/>
    </row>
    <row r="164" spans="9:22" x14ac:dyDescent="0.25">
      <c r="I164" s="1"/>
      <c r="J164" s="1" t="str">
        <v>TESTE 163</v>
      </c>
      <c r="V164" s="153"/>
    </row>
    <row r="165" spans="9:22" x14ac:dyDescent="0.25">
      <c r="I165" s="1"/>
      <c r="J165" s="1" t="str">
        <v>TESTE 164</v>
      </c>
      <c r="V165" s="153"/>
    </row>
    <row r="166" spans="9:22" x14ac:dyDescent="0.25">
      <c r="I166" s="1"/>
      <c r="J166" s="1" t="str">
        <v>TESTE 165</v>
      </c>
      <c r="V166" s="153"/>
    </row>
    <row r="167" spans="9:22" x14ac:dyDescent="0.25">
      <c r="I167" s="1"/>
      <c r="J167" s="1" t="str">
        <v>TESTE 166</v>
      </c>
      <c r="V167" s="153"/>
    </row>
    <row r="168" spans="9:22" x14ac:dyDescent="0.25">
      <c r="I168" s="1"/>
      <c r="J168" s="1" t="str">
        <v>TESTE 167</v>
      </c>
      <c r="V168" s="153"/>
    </row>
    <row r="169" spans="9:22" x14ac:dyDescent="0.25">
      <c r="I169" s="1"/>
      <c r="J169" s="1" t="str">
        <v>TESTE 168</v>
      </c>
      <c r="V169" s="153"/>
    </row>
    <row r="170" spans="9:22" x14ac:dyDescent="0.25">
      <c r="I170" s="1"/>
      <c r="J170" s="1" t="str">
        <v>TESTE 169</v>
      </c>
      <c r="V170" s="153"/>
    </row>
    <row r="171" spans="9:22" x14ac:dyDescent="0.25">
      <c r="I171" s="1"/>
      <c r="J171" s="1" t="str">
        <v>TESTE 170</v>
      </c>
      <c r="V171" s="153"/>
    </row>
    <row r="172" spans="9:22" x14ac:dyDescent="0.25">
      <c r="I172" s="1"/>
      <c r="J172" s="1" t="str">
        <v>TESTE 171</v>
      </c>
      <c r="V172" s="153"/>
    </row>
    <row r="173" spans="9:22" x14ac:dyDescent="0.25">
      <c r="I173" s="1"/>
      <c r="J173" s="1" t="str">
        <v>TESTE 172</v>
      </c>
      <c r="V173" s="153"/>
    </row>
    <row r="174" spans="9:22" x14ac:dyDescent="0.25">
      <c r="I174" s="1"/>
      <c r="J174" s="1" t="str">
        <v>TESTE 173</v>
      </c>
      <c r="V174" s="153"/>
    </row>
    <row r="175" spans="9:22" x14ac:dyDescent="0.25">
      <c r="I175" s="1"/>
      <c r="J175" s="1" t="str">
        <v>TESTE 174</v>
      </c>
      <c r="V175" s="153"/>
    </row>
    <row r="176" spans="9:22" x14ac:dyDescent="0.25">
      <c r="I176" s="1"/>
      <c r="J176" s="1" t="str">
        <v>TESTE 175</v>
      </c>
      <c r="V176" s="153"/>
    </row>
    <row r="177" spans="9:22" x14ac:dyDescent="0.25">
      <c r="I177" s="1"/>
      <c r="J177" s="1" t="str">
        <v>TESTE 176</v>
      </c>
      <c r="V177" s="153"/>
    </row>
    <row r="178" spans="9:22" x14ac:dyDescent="0.25">
      <c r="I178" s="1"/>
      <c r="J178" s="1" t="str">
        <v>TESTE 177</v>
      </c>
      <c r="V178" s="153"/>
    </row>
    <row r="179" spans="9:22" x14ac:dyDescent="0.25">
      <c r="J179" s="1" t="str">
        <v>TESTE 178</v>
      </c>
    </row>
    <row r="180" spans="9:22" x14ac:dyDescent="0.25">
      <c r="J180" s="1" t="str">
        <v>TESTE 179</v>
      </c>
    </row>
    <row r="181" spans="9:22" x14ac:dyDescent="0.25">
      <c r="J181" s="1" t="str">
        <v>TESTE 180</v>
      </c>
    </row>
    <row r="182" spans="9:22" x14ac:dyDescent="0.25">
      <c r="J182" s="1" t="str">
        <v>TESTE 181</v>
      </c>
    </row>
    <row r="183" spans="9:22" x14ac:dyDescent="0.25">
      <c r="J183" s="1" t="str">
        <v>TESTE 182</v>
      </c>
    </row>
    <row r="184" spans="9:22" x14ac:dyDescent="0.25">
      <c r="J184" s="1" t="str">
        <v>TESTE 183</v>
      </c>
    </row>
    <row r="185" spans="9:22" x14ac:dyDescent="0.25">
      <c r="J185" s="1" t="str">
        <v>TESTE 184</v>
      </c>
    </row>
    <row r="186" spans="9:22" x14ac:dyDescent="0.25">
      <c r="J186" s="1" t="str">
        <v>TESTE 185</v>
      </c>
    </row>
    <row r="187" spans="9:22" x14ac:dyDescent="0.25">
      <c r="J187" s="1" t="str">
        <v>TESTE 186</v>
      </c>
    </row>
    <row r="188" spans="9:22" x14ac:dyDescent="0.25">
      <c r="J188" s="1" t="str">
        <v>TESTE 187</v>
      </c>
    </row>
    <row r="189" spans="9:22" x14ac:dyDescent="0.25">
      <c r="J189" s="1" t="str">
        <v>TESTE 188</v>
      </c>
    </row>
    <row r="190" spans="9:22" x14ac:dyDescent="0.25">
      <c r="J190" s="1" t="str">
        <v>TESTE 189</v>
      </c>
    </row>
    <row r="191" spans="9:22" x14ac:dyDescent="0.25">
      <c r="J191" s="1" t="str">
        <v>TESTE 190</v>
      </c>
    </row>
    <row r="192" spans="9:22" x14ac:dyDescent="0.25">
      <c r="J192" s="1" t="str">
        <v>TESTE 191</v>
      </c>
    </row>
    <row r="193" spans="10:10" x14ac:dyDescent="0.25">
      <c r="J193" s="1" t="str">
        <v>TESTE 192</v>
      </c>
    </row>
    <row r="194" spans="10:10" x14ac:dyDescent="0.25">
      <c r="J194" s="1" t="str">
        <v>TESTE 193</v>
      </c>
    </row>
    <row r="195" spans="10:10" x14ac:dyDescent="0.25">
      <c r="J195" s="1" t="str">
        <v>TESTE 194</v>
      </c>
    </row>
    <row r="196" spans="10:10" x14ac:dyDescent="0.25">
      <c r="J196" s="1" t="str">
        <v>TESTE 195</v>
      </c>
    </row>
    <row r="197" spans="10:10" x14ac:dyDescent="0.25">
      <c r="J197" s="1" t="str">
        <v>TESTE 196</v>
      </c>
    </row>
    <row r="198" spans="10:10" x14ac:dyDescent="0.25">
      <c r="J198" s="1" t="str">
        <v>TESTE 197</v>
      </c>
    </row>
    <row r="199" spans="10:10" x14ac:dyDescent="0.25">
      <c r="J199" s="1" t="str">
        <v>TESTE 198</v>
      </c>
    </row>
    <row r="200" spans="10:10" x14ac:dyDescent="0.25">
      <c r="J200" s="1" t="str">
        <v>TESTE 199</v>
      </c>
    </row>
    <row r="201" spans="10:10" x14ac:dyDescent="0.25">
      <c r="J201" s="1" t="str">
        <v>TESTE 200</v>
      </c>
    </row>
    <row r="202" spans="10:10" x14ac:dyDescent="0.25">
      <c r="J202" s="1" t="str">
        <v>TESTE 201</v>
      </c>
    </row>
    <row r="203" spans="10:10" x14ac:dyDescent="0.25">
      <c r="J203" s="1" t="str">
        <v>TESTE 202</v>
      </c>
    </row>
    <row r="204" spans="10:10" x14ac:dyDescent="0.25">
      <c r="J204" s="1" t="str">
        <v>TESTE 203</v>
      </c>
    </row>
    <row r="205" spans="10:10" x14ac:dyDescent="0.25">
      <c r="J205" s="1" t="str">
        <v>TESTE 204</v>
      </c>
    </row>
    <row r="206" spans="10:10" x14ac:dyDescent="0.25">
      <c r="J206" s="1" t="str">
        <v>TESTE 205</v>
      </c>
    </row>
    <row r="207" spans="10:10" x14ac:dyDescent="0.25">
      <c r="J207" s="1" t="str">
        <v>TESTE 206</v>
      </c>
    </row>
    <row r="208" spans="10:10" x14ac:dyDescent="0.25">
      <c r="J208" s="1" t="str">
        <v>TESTE 207</v>
      </c>
    </row>
    <row r="209" spans="10:10" x14ac:dyDescent="0.25">
      <c r="J209" s="1" t="str">
        <v>TESTE 208</v>
      </c>
    </row>
    <row r="210" spans="10:10" x14ac:dyDescent="0.25">
      <c r="J210" s="1" t="str">
        <v>TESTE 209</v>
      </c>
    </row>
    <row r="211" spans="10:10" x14ac:dyDescent="0.25">
      <c r="J211" s="1" t="str">
        <v>TESTE 210</v>
      </c>
    </row>
    <row r="212" spans="10:10" x14ac:dyDescent="0.25">
      <c r="J212" s="1" t="str">
        <v>TESTE 211</v>
      </c>
    </row>
    <row r="213" spans="10:10" x14ac:dyDescent="0.25">
      <c r="J213" s="1" t="str">
        <v>TESTE 212</v>
      </c>
    </row>
    <row r="214" spans="10:10" x14ac:dyDescent="0.25">
      <c r="J214" s="1" t="str">
        <v>TESTE 213</v>
      </c>
    </row>
    <row r="215" spans="10:10" x14ac:dyDescent="0.25">
      <c r="J215" s="1" t="str">
        <v>TESTE 214</v>
      </c>
    </row>
    <row r="216" spans="10:10" x14ac:dyDescent="0.25">
      <c r="J216" s="1" t="str">
        <v>TESTE 215</v>
      </c>
    </row>
    <row r="217" spans="10:10" x14ac:dyDescent="0.25">
      <c r="J217" s="1" t="str">
        <v>TESTE 216</v>
      </c>
    </row>
    <row r="218" spans="10:10" x14ac:dyDescent="0.25">
      <c r="J218" s="1" t="str">
        <v>TESTE 217</v>
      </c>
    </row>
    <row r="219" spans="10:10" x14ac:dyDescent="0.25">
      <c r="J219" s="1" t="str">
        <v>TESTE 218</v>
      </c>
    </row>
    <row r="220" spans="10:10" x14ac:dyDescent="0.25">
      <c r="J220" s="1" t="str">
        <v>TESTE 219</v>
      </c>
    </row>
    <row r="221" spans="10:10" x14ac:dyDescent="0.25">
      <c r="J221" s="1" t="str">
        <v>TESTE 220</v>
      </c>
    </row>
    <row r="222" spans="10:10" x14ac:dyDescent="0.25">
      <c r="J222" s="1" t="str">
        <v>TESTE 221</v>
      </c>
    </row>
    <row r="223" spans="10:10" x14ac:dyDescent="0.25">
      <c r="J223" s="1" t="str">
        <v>TESTE 222</v>
      </c>
    </row>
    <row r="224" spans="10:10" x14ac:dyDescent="0.25">
      <c r="J224" s="1" t="str">
        <v>TESTE 223</v>
      </c>
    </row>
    <row r="225" spans="10:10" x14ac:dyDescent="0.25">
      <c r="J225" s="1" t="str">
        <v>TESTE 224</v>
      </c>
    </row>
    <row r="226" spans="10:10" x14ac:dyDescent="0.25">
      <c r="J226" s="1" t="str">
        <v>TESTE 225</v>
      </c>
    </row>
    <row r="227" spans="10:10" x14ac:dyDescent="0.25">
      <c r="J227" s="1" t="str">
        <v>TESTE 226</v>
      </c>
    </row>
    <row r="228" spans="10:10" x14ac:dyDescent="0.25">
      <c r="J228" s="1" t="str">
        <v>TESTE 227</v>
      </c>
    </row>
    <row r="229" spans="10:10" x14ac:dyDescent="0.25">
      <c r="J229" s="1" t="str">
        <v>TESTE 228</v>
      </c>
    </row>
    <row r="230" spans="10:10" x14ac:dyDescent="0.25">
      <c r="J230" s="1" t="str">
        <v>TESTE 229</v>
      </c>
    </row>
    <row r="231" spans="10:10" x14ac:dyDescent="0.25">
      <c r="J231" s="1" t="str">
        <v>TESTE 230</v>
      </c>
    </row>
    <row r="232" spans="10:10" x14ac:dyDescent="0.25">
      <c r="J232" s="1" t="str">
        <v>TESTE 231</v>
      </c>
    </row>
    <row r="233" spans="10:10" x14ac:dyDescent="0.25">
      <c r="J233" s="1" t="str">
        <v>TESTE 232</v>
      </c>
    </row>
    <row r="234" spans="10:10" x14ac:dyDescent="0.25">
      <c r="J234" s="1" t="str">
        <v>TESTE 233</v>
      </c>
    </row>
    <row r="235" spans="10:10" x14ac:dyDescent="0.25">
      <c r="J235" s="1" t="str">
        <v>TESTE 234</v>
      </c>
    </row>
    <row r="236" spans="10:10" x14ac:dyDescent="0.25">
      <c r="J236" s="1" t="str">
        <v>TESTE 235</v>
      </c>
    </row>
    <row r="237" spans="10:10" x14ac:dyDescent="0.25">
      <c r="J237" s="1" t="str">
        <v>TESTE 236</v>
      </c>
    </row>
    <row r="238" spans="10:10" x14ac:dyDescent="0.25">
      <c r="J238" s="1" t="str">
        <v>TESTE 237</v>
      </c>
    </row>
    <row r="239" spans="10:10" x14ac:dyDescent="0.25">
      <c r="J239" s="1" t="str">
        <v>TESTE 238</v>
      </c>
    </row>
    <row r="240" spans="10:10" x14ac:dyDescent="0.25">
      <c r="J240" s="1" t="str">
        <v>TESTE 239</v>
      </c>
    </row>
    <row r="241" spans="10:10" x14ac:dyDescent="0.25">
      <c r="J241" s="1" t="str">
        <v>TESTE 240</v>
      </c>
    </row>
    <row r="242" spans="10:10" x14ac:dyDescent="0.25">
      <c r="J242" s="1" t="str">
        <v>TESTE 241</v>
      </c>
    </row>
    <row r="243" spans="10:10" x14ac:dyDescent="0.25">
      <c r="J243" s="1" t="str">
        <v>TESTE 242</v>
      </c>
    </row>
    <row r="244" spans="10:10" x14ac:dyDescent="0.25">
      <c r="J244" s="1" t="str">
        <v>TESTE 243</v>
      </c>
    </row>
    <row r="245" spans="10:10" x14ac:dyDescent="0.25">
      <c r="J245" s="1" t="str">
        <v>TESTE 244</v>
      </c>
    </row>
    <row r="246" spans="10:10" x14ac:dyDescent="0.25">
      <c r="J246" s="1" t="str">
        <v>TESTE 245</v>
      </c>
    </row>
    <row r="247" spans="10:10" x14ac:dyDescent="0.25">
      <c r="J247" s="1" t="str">
        <v>TESTE 246</v>
      </c>
    </row>
    <row r="248" spans="10:10" x14ac:dyDescent="0.25">
      <c r="J248" s="1" t="str">
        <v>TESTE 247</v>
      </c>
    </row>
    <row r="249" spans="10:10" x14ac:dyDescent="0.25">
      <c r="J249" s="1" t="str">
        <v>TESTE 248</v>
      </c>
    </row>
    <row r="250" spans="10:10" x14ac:dyDescent="0.25">
      <c r="J250" s="1" t="str">
        <v>TESTE 249</v>
      </c>
    </row>
    <row r="251" spans="10:10" x14ac:dyDescent="0.25">
      <c r="J251" s="1" t="str">
        <v>TESTE 250</v>
      </c>
    </row>
    <row r="252" spans="10:10" x14ac:dyDescent="0.25">
      <c r="J252" s="1" t="str">
        <v>TESTE 251</v>
      </c>
    </row>
    <row r="253" spans="10:10" x14ac:dyDescent="0.25">
      <c r="J253" s="1" t="str">
        <v>TESTE 252</v>
      </c>
    </row>
    <row r="254" spans="10:10" x14ac:dyDescent="0.25">
      <c r="J254" s="1" t="str">
        <v>TESTE 253</v>
      </c>
    </row>
    <row r="255" spans="10:10" x14ac:dyDescent="0.25">
      <c r="J255" s="1" t="str">
        <v>TESTE 254</v>
      </c>
    </row>
    <row r="256" spans="10:10" x14ac:dyDescent="0.25">
      <c r="J256" s="1" t="str">
        <v>TESTE 255</v>
      </c>
    </row>
    <row r="257" spans="10:10" x14ac:dyDescent="0.25">
      <c r="J257" s="1" t="str">
        <v>TESTE 256</v>
      </c>
    </row>
    <row r="258" spans="10:10" x14ac:dyDescent="0.25">
      <c r="J258" s="1" t="str">
        <v>TESTE 257</v>
      </c>
    </row>
    <row r="259" spans="10:10" x14ac:dyDescent="0.25">
      <c r="J259" s="1" t="str">
        <v>TESTE 258</v>
      </c>
    </row>
    <row r="260" spans="10:10" x14ac:dyDescent="0.25">
      <c r="J260" s="1" t="str">
        <v>TESTE 259</v>
      </c>
    </row>
    <row r="261" spans="10:10" x14ac:dyDescent="0.25">
      <c r="J261" s="1" t="str">
        <v>TESTE 260</v>
      </c>
    </row>
    <row r="262" spans="10:10" x14ac:dyDescent="0.25">
      <c r="J262" s="1" t="str">
        <v>TESTE 261</v>
      </c>
    </row>
    <row r="263" spans="10:10" x14ac:dyDescent="0.25">
      <c r="J263" s="1" t="str">
        <v>TESTE 262</v>
      </c>
    </row>
    <row r="264" spans="10:10" x14ac:dyDescent="0.25">
      <c r="J264" s="1" t="str">
        <v>TESTE 263</v>
      </c>
    </row>
    <row r="265" spans="10:10" x14ac:dyDescent="0.25">
      <c r="J265" s="1" t="str">
        <v>TESTE 264</v>
      </c>
    </row>
    <row r="266" spans="10:10" x14ac:dyDescent="0.25">
      <c r="J266" s="1" t="str">
        <v>TESTE 265</v>
      </c>
    </row>
    <row r="267" spans="10:10" x14ac:dyDescent="0.25">
      <c r="J267" s="1" t="str">
        <v>TESTE 266</v>
      </c>
    </row>
    <row r="268" spans="10:10" x14ac:dyDescent="0.25">
      <c r="J268" s="1" t="str">
        <v>TESTE 267</v>
      </c>
    </row>
    <row r="269" spans="10:10" x14ac:dyDescent="0.25">
      <c r="J269" s="1" t="str">
        <v>TESTE 268</v>
      </c>
    </row>
    <row r="270" spans="10:10" x14ac:dyDescent="0.25">
      <c r="J270" s="1" t="str">
        <v>TESTE 269</v>
      </c>
    </row>
    <row r="271" spans="10:10" x14ac:dyDescent="0.25">
      <c r="J271" s="1" t="str">
        <v>TESTE 270</v>
      </c>
    </row>
    <row r="272" spans="10:10" x14ac:dyDescent="0.25">
      <c r="J272" s="1" t="str">
        <v>TESTE 271</v>
      </c>
    </row>
    <row r="273" spans="10:10" x14ac:dyDescent="0.25">
      <c r="J273" s="1" t="str">
        <v>TESTE 272</v>
      </c>
    </row>
    <row r="274" spans="10:10" x14ac:dyDescent="0.25">
      <c r="J274" s="1" t="str">
        <v>TESTE 273</v>
      </c>
    </row>
    <row r="275" spans="10:10" x14ac:dyDescent="0.25">
      <c r="J275" s="1" t="str">
        <v>TESTE 274</v>
      </c>
    </row>
    <row r="276" spans="10:10" x14ac:dyDescent="0.25">
      <c r="J276" s="1" t="str">
        <v>TESTE 275</v>
      </c>
    </row>
    <row r="277" spans="10:10" x14ac:dyDescent="0.25">
      <c r="J277" s="1" t="str">
        <v>TESTE 276</v>
      </c>
    </row>
    <row r="278" spans="10:10" x14ac:dyDescent="0.25">
      <c r="J278" s="1" t="str">
        <v>TESTE 277</v>
      </c>
    </row>
    <row r="279" spans="10:10" x14ac:dyDescent="0.25">
      <c r="J279" s="1" t="str">
        <v>TESTE 278</v>
      </c>
    </row>
    <row r="280" spans="10:10" x14ac:dyDescent="0.25">
      <c r="J280" s="1" t="str">
        <v>TESTE 279</v>
      </c>
    </row>
    <row r="281" spans="10:10" x14ac:dyDescent="0.25">
      <c r="J281" s="1" t="str">
        <v>TESTE 280</v>
      </c>
    </row>
    <row r="282" spans="10:10" x14ac:dyDescent="0.25">
      <c r="J282" s="1" t="str">
        <v>TESTE 281</v>
      </c>
    </row>
    <row r="283" spans="10:10" x14ac:dyDescent="0.25">
      <c r="J283" s="1" t="str">
        <v>TESTE 282</v>
      </c>
    </row>
    <row r="284" spans="10:10" x14ac:dyDescent="0.25">
      <c r="J284" s="1" t="str">
        <v>TESTE 283</v>
      </c>
    </row>
    <row r="285" spans="10:10" x14ac:dyDescent="0.25">
      <c r="J285" s="1" t="str">
        <v>TESTE 284</v>
      </c>
    </row>
    <row r="286" spans="10:10" x14ac:dyDescent="0.25">
      <c r="J286" s="1" t="str">
        <v>TESTE 285</v>
      </c>
    </row>
    <row r="287" spans="10:10" x14ac:dyDescent="0.25">
      <c r="J287" s="1" t="str">
        <v>TESTE 286</v>
      </c>
    </row>
    <row r="288" spans="10:10" x14ac:dyDescent="0.25">
      <c r="J288" s="1" t="str">
        <v>TESTE 287</v>
      </c>
    </row>
    <row r="289" spans="10:10" x14ac:dyDescent="0.25">
      <c r="J289" s="1" t="str">
        <v>TESTE 288</v>
      </c>
    </row>
    <row r="290" spans="10:10" x14ac:dyDescent="0.25">
      <c r="J290" s="1" t="str">
        <v>TESTE 289</v>
      </c>
    </row>
    <row r="291" spans="10:10" x14ac:dyDescent="0.25">
      <c r="J291" s="1" t="str">
        <v>TESTE 290</v>
      </c>
    </row>
    <row r="292" spans="10:10" x14ac:dyDescent="0.25">
      <c r="J292" s="1" t="str">
        <v>TESTE 291</v>
      </c>
    </row>
    <row r="293" spans="10:10" x14ac:dyDescent="0.25">
      <c r="J293" s="1" t="str">
        <v>TESTE 292</v>
      </c>
    </row>
    <row r="294" spans="10:10" x14ac:dyDescent="0.25">
      <c r="J294" s="1" t="str">
        <v>TESTE 293</v>
      </c>
    </row>
    <row r="295" spans="10:10" x14ac:dyDescent="0.25">
      <c r="J295" s="1" t="str">
        <v>TESTE 294</v>
      </c>
    </row>
    <row r="296" spans="10:10" x14ac:dyDescent="0.25">
      <c r="J296" s="1" t="str">
        <v>TESTE 295</v>
      </c>
    </row>
    <row r="297" spans="10:10" x14ac:dyDescent="0.25">
      <c r="J297" s="1" t="str">
        <v>TESTE 296</v>
      </c>
    </row>
    <row r="298" spans="10:10" x14ac:dyDescent="0.25">
      <c r="J298" s="1" t="str">
        <v>TESTE 297</v>
      </c>
    </row>
    <row r="299" spans="10:10" x14ac:dyDescent="0.25">
      <c r="J299" s="1" t="str">
        <v>TESTE 298</v>
      </c>
    </row>
    <row r="300" spans="10:10" x14ac:dyDescent="0.25">
      <c r="J300" s="1" t="str">
        <v>TESTE 299</v>
      </c>
    </row>
    <row r="301" spans="10:10" x14ac:dyDescent="0.25">
      <c r="J301" s="1" t="str">
        <v>TESTE 300</v>
      </c>
    </row>
    <row r="302" spans="10:10" x14ac:dyDescent="0.25">
      <c r="J302" s="1" t="str">
        <v>TESTE 301</v>
      </c>
    </row>
    <row r="303" spans="10:10" x14ac:dyDescent="0.25">
      <c r="J303" s="1" t="str">
        <v>TESTE 302</v>
      </c>
    </row>
    <row r="304" spans="10:10" x14ac:dyDescent="0.25">
      <c r="J304" s="1" t="str">
        <v>TESTE 303</v>
      </c>
    </row>
    <row r="305" spans="10:10" x14ac:dyDescent="0.25">
      <c r="J305" s="1" t="str">
        <v>TESTE 304</v>
      </c>
    </row>
    <row r="306" spans="10:10" x14ac:dyDescent="0.25">
      <c r="J306" s="1" t="str">
        <v>TESTE 305</v>
      </c>
    </row>
    <row r="307" spans="10:10" x14ac:dyDescent="0.25">
      <c r="J307" s="1" t="str">
        <v>TESTE 306</v>
      </c>
    </row>
    <row r="308" spans="10:10" x14ac:dyDescent="0.25">
      <c r="J308" s="1" t="str">
        <v>TESTE 307</v>
      </c>
    </row>
    <row r="309" spans="10:10" x14ac:dyDescent="0.25">
      <c r="J309" s="1" t="str">
        <v>TESTE 308</v>
      </c>
    </row>
    <row r="310" spans="10:10" x14ac:dyDescent="0.25">
      <c r="J310" s="1" t="str">
        <v>TESTE 309</v>
      </c>
    </row>
    <row r="311" spans="10:10" x14ac:dyDescent="0.25">
      <c r="J311" s="1" t="str">
        <v>TESTE 310</v>
      </c>
    </row>
    <row r="312" spans="10:10" x14ac:dyDescent="0.25">
      <c r="J312" s="1" t="str">
        <v>TESTE 311</v>
      </c>
    </row>
    <row r="313" spans="10:10" x14ac:dyDescent="0.25">
      <c r="J313" s="1" t="str">
        <v>TESTE 312</v>
      </c>
    </row>
    <row r="314" spans="10:10" x14ac:dyDescent="0.25">
      <c r="J314" s="1" t="str">
        <v>TESTE 313</v>
      </c>
    </row>
    <row r="315" spans="10:10" x14ac:dyDescent="0.25">
      <c r="J315" s="1" t="str">
        <v>TESTE 314</v>
      </c>
    </row>
    <row r="316" spans="10:10" x14ac:dyDescent="0.25">
      <c r="J316" s="1" t="str">
        <v>TESTE 315</v>
      </c>
    </row>
    <row r="317" spans="10:10" x14ac:dyDescent="0.25">
      <c r="J317" s="1" t="str">
        <v>TESTE 316</v>
      </c>
    </row>
    <row r="318" spans="10:10" x14ac:dyDescent="0.25">
      <c r="J318" s="1" t="str">
        <v>TESTE 317</v>
      </c>
    </row>
    <row r="319" spans="10:10" x14ac:dyDescent="0.25">
      <c r="J319" s="1" t="str">
        <v>TESTE 318</v>
      </c>
    </row>
    <row r="320" spans="10:10" x14ac:dyDescent="0.25">
      <c r="J320" s="1" t="str">
        <v>TESTE 319</v>
      </c>
    </row>
    <row r="321" spans="10:10" x14ac:dyDescent="0.25">
      <c r="J321" s="1" t="str">
        <v>TESTE 320</v>
      </c>
    </row>
    <row r="322" spans="10:10" x14ac:dyDescent="0.25">
      <c r="J322" s="1" t="str">
        <v>TESTE 321</v>
      </c>
    </row>
    <row r="323" spans="10:10" x14ac:dyDescent="0.25">
      <c r="J323" s="1" t="str">
        <v>TESTE 322</v>
      </c>
    </row>
    <row r="324" spans="10:10" x14ac:dyDescent="0.25">
      <c r="J324" s="1" t="str">
        <v>TESTE 323</v>
      </c>
    </row>
    <row r="325" spans="10:10" x14ac:dyDescent="0.25">
      <c r="J325" s="1" t="str">
        <v>TESTE 324</v>
      </c>
    </row>
    <row r="326" spans="10:10" x14ac:dyDescent="0.25">
      <c r="J326" s="1" t="str">
        <v>TESTE 325</v>
      </c>
    </row>
    <row r="327" spans="10:10" x14ac:dyDescent="0.25">
      <c r="J327" s="1" t="str">
        <v>TESTE 326</v>
      </c>
    </row>
    <row r="328" spans="10:10" x14ac:dyDescent="0.25">
      <c r="J328" s="1" t="str">
        <v>TESTE 327</v>
      </c>
    </row>
    <row r="329" spans="10:10" x14ac:dyDescent="0.25">
      <c r="J329" s="1" t="str">
        <v>TESTE 328</v>
      </c>
    </row>
    <row r="330" spans="10:10" x14ac:dyDescent="0.25">
      <c r="J330" s="1" t="str">
        <v>TESTE 329</v>
      </c>
    </row>
    <row r="331" spans="10:10" x14ac:dyDescent="0.25">
      <c r="J331" s="1" t="str">
        <v>TESTE 330</v>
      </c>
    </row>
    <row r="332" spans="10:10" x14ac:dyDescent="0.25">
      <c r="J332" s="1" t="str">
        <v>TESTE 331</v>
      </c>
    </row>
    <row r="333" spans="10:10" x14ac:dyDescent="0.25">
      <c r="J333" s="1" t="str">
        <v>TESTE 332</v>
      </c>
    </row>
    <row r="334" spans="10:10" x14ac:dyDescent="0.25">
      <c r="J334" s="1" t="str">
        <v>TESTE 333</v>
      </c>
    </row>
    <row r="335" spans="10:10" x14ac:dyDescent="0.25">
      <c r="J335" s="1" t="str">
        <v>TESTE 334</v>
      </c>
    </row>
    <row r="336" spans="10:10" x14ac:dyDescent="0.25">
      <c r="J336" s="1" t="str">
        <v>TESTE 335</v>
      </c>
    </row>
    <row r="337" spans="10:10" x14ac:dyDescent="0.25">
      <c r="J337" s="1" t="str">
        <v>TESTE 336</v>
      </c>
    </row>
    <row r="338" spans="10:10" x14ac:dyDescent="0.25">
      <c r="J338" s="1" t="str">
        <v>TESTE 337</v>
      </c>
    </row>
    <row r="339" spans="10:10" x14ac:dyDescent="0.25">
      <c r="J339" s="1" t="str">
        <v>TESTE 338</v>
      </c>
    </row>
    <row r="340" spans="10:10" x14ac:dyDescent="0.25">
      <c r="J340" s="1" t="str">
        <v>TESTE 339</v>
      </c>
    </row>
    <row r="341" spans="10:10" x14ac:dyDescent="0.25">
      <c r="J341" s="1" t="str">
        <v>TESTE 340</v>
      </c>
    </row>
    <row r="342" spans="10:10" x14ac:dyDescent="0.25">
      <c r="J342" s="1" t="str">
        <v>TESTE 341</v>
      </c>
    </row>
    <row r="343" spans="10:10" x14ac:dyDescent="0.25">
      <c r="J343" s="1" t="str">
        <v>TESTE 342</v>
      </c>
    </row>
    <row r="344" spans="10:10" x14ac:dyDescent="0.25">
      <c r="J344" s="1" t="str">
        <v>TESTE 343</v>
      </c>
    </row>
    <row r="345" spans="10:10" x14ac:dyDescent="0.25">
      <c r="J345" s="1" t="str">
        <v>TESTE 344</v>
      </c>
    </row>
    <row r="346" spans="10:10" x14ac:dyDescent="0.25">
      <c r="J346" s="1" t="str">
        <v>TESTE 345</v>
      </c>
    </row>
    <row r="347" spans="10:10" x14ac:dyDescent="0.25">
      <c r="J347" s="1" t="str">
        <v>TESTE 346</v>
      </c>
    </row>
    <row r="348" spans="10:10" x14ac:dyDescent="0.25">
      <c r="J348" s="1" t="str">
        <v>TESTE 347</v>
      </c>
    </row>
    <row r="349" spans="10:10" x14ac:dyDescent="0.25">
      <c r="J349" s="1" t="str">
        <v>TESTE 348</v>
      </c>
    </row>
    <row r="350" spans="10:10" x14ac:dyDescent="0.25">
      <c r="J350" s="1" t="str">
        <v>TESTE 349</v>
      </c>
    </row>
    <row r="351" spans="10:10" x14ac:dyDescent="0.25">
      <c r="J351" s="1" t="str">
        <v>TESTE 350</v>
      </c>
    </row>
    <row r="352" spans="10:10" x14ac:dyDescent="0.25">
      <c r="J352" s="1" t="str">
        <v>TESTE 351</v>
      </c>
    </row>
    <row r="353" spans="10:10" x14ac:dyDescent="0.25">
      <c r="J353" s="1" t="str">
        <v>TESTE 352</v>
      </c>
    </row>
    <row r="354" spans="10:10" x14ac:dyDescent="0.25">
      <c r="J354" s="1" t="str">
        <v>TESTE 353</v>
      </c>
    </row>
    <row r="355" spans="10:10" x14ac:dyDescent="0.25">
      <c r="J355" s="1" t="str">
        <v>TESTE 354</v>
      </c>
    </row>
    <row r="356" spans="10:10" x14ac:dyDescent="0.25">
      <c r="J356" s="1" t="str">
        <v>TESTE 355</v>
      </c>
    </row>
    <row r="357" spans="10:10" x14ac:dyDescent="0.25">
      <c r="J357" s="1" t="str">
        <v>TESTE 356</v>
      </c>
    </row>
    <row r="358" spans="10:10" x14ac:dyDescent="0.25">
      <c r="J358" s="1" t="str">
        <v>TESTE 357</v>
      </c>
    </row>
    <row r="359" spans="10:10" x14ac:dyDescent="0.25">
      <c r="J359" s="1" t="str">
        <v>TESTE 358</v>
      </c>
    </row>
    <row r="360" spans="10:10" x14ac:dyDescent="0.25">
      <c r="J360" s="1" t="str">
        <v>TESTE 359</v>
      </c>
    </row>
    <row r="361" spans="10:10" x14ac:dyDescent="0.25">
      <c r="J361" s="1" t="str">
        <v>TESTE 360</v>
      </c>
    </row>
    <row r="362" spans="10:10" x14ac:dyDescent="0.25">
      <c r="J362" s="1" t="str">
        <v>TESTE 361</v>
      </c>
    </row>
    <row r="363" spans="10:10" x14ac:dyDescent="0.25">
      <c r="J363" s="1" t="str">
        <v>TESTE 362</v>
      </c>
    </row>
    <row r="364" spans="10:10" x14ac:dyDescent="0.25">
      <c r="J364" s="1" t="str">
        <v>TESTE 363</v>
      </c>
    </row>
    <row r="365" spans="10:10" x14ac:dyDescent="0.25">
      <c r="J365" s="1" t="str">
        <v>TESTE 364</v>
      </c>
    </row>
    <row r="366" spans="10:10" x14ac:dyDescent="0.25">
      <c r="J366" s="1" t="str">
        <v>TESTE 365</v>
      </c>
    </row>
    <row r="367" spans="10:10" x14ac:dyDescent="0.25">
      <c r="J367" s="1" t="str">
        <v>TESTE 366</v>
      </c>
    </row>
    <row r="368" spans="10:10" x14ac:dyDescent="0.25">
      <c r="J368" s="1" t="str">
        <v>TESTE 367</v>
      </c>
    </row>
    <row r="369" spans="10:10" x14ac:dyDescent="0.25">
      <c r="J369" s="1" t="str">
        <v>TESTE 368</v>
      </c>
    </row>
    <row r="370" spans="10:10" x14ac:dyDescent="0.25">
      <c r="J370" s="1" t="str">
        <v>TESTE 369</v>
      </c>
    </row>
    <row r="371" spans="10:10" x14ac:dyDescent="0.25">
      <c r="J371" s="1" t="str">
        <v>TESTE 370</v>
      </c>
    </row>
    <row r="372" spans="10:10" x14ac:dyDescent="0.25">
      <c r="J372" s="1" t="str">
        <v>TESTE 371</v>
      </c>
    </row>
    <row r="373" spans="10:10" x14ac:dyDescent="0.25">
      <c r="J373" s="1" t="str">
        <v>TESTE 372</v>
      </c>
    </row>
    <row r="374" spans="10:10" x14ac:dyDescent="0.25">
      <c r="J374" s="1" t="str">
        <v>TESTE 373</v>
      </c>
    </row>
    <row r="375" spans="10:10" x14ac:dyDescent="0.25">
      <c r="J375" s="1" t="str">
        <v>TESTE 374</v>
      </c>
    </row>
    <row r="376" spans="10:10" x14ac:dyDescent="0.25">
      <c r="J376" s="1" t="str">
        <v>TESTE 375</v>
      </c>
    </row>
    <row r="377" spans="10:10" x14ac:dyDescent="0.25">
      <c r="J377" s="1" t="str">
        <v>TESTE 376</v>
      </c>
    </row>
    <row r="378" spans="10:10" x14ac:dyDescent="0.25">
      <c r="J378" s="1" t="str">
        <v>TESTE 377</v>
      </c>
    </row>
    <row r="379" spans="10:10" x14ac:dyDescent="0.25">
      <c r="J379" s="1" t="str">
        <v>TESTE 378</v>
      </c>
    </row>
    <row r="380" spans="10:10" x14ac:dyDescent="0.25">
      <c r="J380" s="1" t="str">
        <v>TESTE 379</v>
      </c>
    </row>
    <row r="381" spans="10:10" x14ac:dyDescent="0.25">
      <c r="J381" s="1" t="str">
        <v>TESTE 380</v>
      </c>
    </row>
    <row r="382" spans="10:10" x14ac:dyDescent="0.25">
      <c r="J382" s="1" t="str">
        <v>TESTE 381</v>
      </c>
    </row>
    <row r="383" spans="10:10" x14ac:dyDescent="0.25">
      <c r="J383" s="1" t="str">
        <v>TESTE 382</v>
      </c>
    </row>
    <row r="384" spans="10:10" x14ac:dyDescent="0.25">
      <c r="J384" s="1" t="str">
        <v>TESTE 383</v>
      </c>
    </row>
    <row r="385" spans="10:10" x14ac:dyDescent="0.25">
      <c r="J385" s="1" t="str">
        <v>TESTE 384</v>
      </c>
    </row>
    <row r="386" spans="10:10" x14ac:dyDescent="0.25">
      <c r="J386" s="1" t="str">
        <v>TESTE 385</v>
      </c>
    </row>
    <row r="387" spans="10:10" x14ac:dyDescent="0.25">
      <c r="J387" s="1" t="str">
        <v>TESTE 386</v>
      </c>
    </row>
    <row r="388" spans="10:10" x14ac:dyDescent="0.25">
      <c r="J388" s="1" t="str">
        <v>TESTE 387</v>
      </c>
    </row>
    <row r="389" spans="10:10" x14ac:dyDescent="0.25">
      <c r="J389" s="1" t="str">
        <v>TESTE 388</v>
      </c>
    </row>
    <row r="390" spans="10:10" x14ac:dyDescent="0.25">
      <c r="J390" s="1" t="str">
        <v>TESTE 389</v>
      </c>
    </row>
    <row r="391" spans="10:10" x14ac:dyDescent="0.25">
      <c r="J391" s="1" t="str">
        <v>TESTE 390</v>
      </c>
    </row>
    <row r="392" spans="10:10" x14ac:dyDescent="0.25">
      <c r="J392" s="1" t="str">
        <v>TESTE 391</v>
      </c>
    </row>
    <row r="393" spans="10:10" x14ac:dyDescent="0.25">
      <c r="J393" s="1" t="str">
        <v>TESTE 392</v>
      </c>
    </row>
    <row r="394" spans="10:10" x14ac:dyDescent="0.25">
      <c r="J394" s="1" t="str">
        <v>TESTE 393</v>
      </c>
    </row>
    <row r="395" spans="10:10" x14ac:dyDescent="0.25">
      <c r="J395" s="1" t="str">
        <v>TESTE 394</v>
      </c>
    </row>
    <row r="396" spans="10:10" x14ac:dyDescent="0.25">
      <c r="J396" s="1" t="str">
        <v>TESTE 395</v>
      </c>
    </row>
    <row r="397" spans="10:10" x14ac:dyDescent="0.25">
      <c r="J397" s="1" t="str">
        <v>TESTE 396</v>
      </c>
    </row>
    <row r="398" spans="10:10" x14ac:dyDescent="0.25">
      <c r="J398" s="1" t="str">
        <v>TESTE 397</v>
      </c>
    </row>
    <row r="399" spans="10:10" x14ac:dyDescent="0.25">
      <c r="J399" s="1" t="str">
        <v>TESTE 398</v>
      </c>
    </row>
    <row r="400" spans="10:10" x14ac:dyDescent="0.25">
      <c r="J400" s="1" t="str">
        <v>TESTE 399</v>
      </c>
    </row>
    <row r="401" spans="10:10" x14ac:dyDescent="0.25">
      <c r="J401" s="1" t="str">
        <v>TESTE 400</v>
      </c>
    </row>
    <row r="402" spans="10:10" x14ac:dyDescent="0.25">
      <c r="J402" s="1" t="str">
        <v>TESTE 401</v>
      </c>
    </row>
    <row r="403" spans="10:10" x14ac:dyDescent="0.25">
      <c r="J403" s="1" t="str">
        <v>TESTE 402</v>
      </c>
    </row>
    <row r="404" spans="10:10" x14ac:dyDescent="0.25">
      <c r="J404" s="1" t="str">
        <v>TESTE 403</v>
      </c>
    </row>
    <row r="405" spans="10:10" x14ac:dyDescent="0.25">
      <c r="J405" s="1" t="str">
        <v>TESTE 404</v>
      </c>
    </row>
    <row r="406" spans="10:10" x14ac:dyDescent="0.25">
      <c r="J406" s="1" t="str">
        <v>TESTE 405</v>
      </c>
    </row>
    <row r="407" spans="10:10" x14ac:dyDescent="0.25">
      <c r="J407" s="1" t="str">
        <v>TESTE 406</v>
      </c>
    </row>
    <row r="408" spans="10:10" x14ac:dyDescent="0.25">
      <c r="J408" s="1" t="str">
        <v>TESTE 407</v>
      </c>
    </row>
    <row r="409" spans="10:10" x14ac:dyDescent="0.25">
      <c r="J409" s="1" t="str">
        <v>TESTE 408</v>
      </c>
    </row>
    <row r="410" spans="10:10" x14ac:dyDescent="0.25">
      <c r="J410" s="1" t="str">
        <v>TESTE 409</v>
      </c>
    </row>
    <row r="411" spans="10:10" x14ac:dyDescent="0.25">
      <c r="J411" s="1" t="str">
        <v>TESTE 410</v>
      </c>
    </row>
    <row r="412" spans="10:10" x14ac:dyDescent="0.25">
      <c r="J412" s="1" t="str">
        <v>TESTE 411</v>
      </c>
    </row>
    <row r="413" spans="10:10" x14ac:dyDescent="0.25">
      <c r="J413" s="1" t="str">
        <v>TESTE 412</v>
      </c>
    </row>
    <row r="414" spans="10:10" x14ac:dyDescent="0.25">
      <c r="J414" s="1" t="str">
        <v>TESTE 413</v>
      </c>
    </row>
    <row r="415" spans="10:10" x14ac:dyDescent="0.25">
      <c r="J415" s="1" t="str">
        <v>TESTE 414</v>
      </c>
    </row>
    <row r="416" spans="10:10" x14ac:dyDescent="0.25">
      <c r="J416" s="1" t="str">
        <v>TESTE 415</v>
      </c>
    </row>
    <row r="417" spans="10:10" x14ac:dyDescent="0.25">
      <c r="J417" s="1" t="str">
        <v>TESTE 416</v>
      </c>
    </row>
    <row r="418" spans="10:10" x14ac:dyDescent="0.25">
      <c r="J418" s="1" t="str">
        <v>TESTE 417</v>
      </c>
    </row>
    <row r="419" spans="10:10" x14ac:dyDescent="0.25">
      <c r="J419" s="1" t="str">
        <v>TESTE 418</v>
      </c>
    </row>
    <row r="420" spans="10:10" x14ac:dyDescent="0.25">
      <c r="J420" s="1" t="str">
        <v>TESTE 419</v>
      </c>
    </row>
    <row r="421" spans="10:10" x14ac:dyDescent="0.25">
      <c r="J421" s="1" t="str">
        <v>TESTE 420</v>
      </c>
    </row>
    <row r="422" spans="10:10" x14ac:dyDescent="0.25">
      <c r="J422" s="1" t="str">
        <v>TESTE 421</v>
      </c>
    </row>
    <row r="423" spans="10:10" x14ac:dyDescent="0.25">
      <c r="J423" s="1" t="str">
        <v>TESTE 422</v>
      </c>
    </row>
    <row r="424" spans="10:10" x14ac:dyDescent="0.25">
      <c r="J424" s="1" t="str">
        <v>TESTE 423</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4A5800-7E22-4141-B2F4-BDD4EE2438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vt:i4>
      </vt:variant>
    </vt:vector>
  </HeadingPairs>
  <TitlesOfParts>
    <vt:vector size="5" baseType="lpstr">
      <vt:lpstr>INTERFACE</vt:lpstr>
      <vt:lpstr>GERAL</vt:lpstr>
      <vt:lpstr>GARANTIA</vt:lpstr>
      <vt:lpstr>PEÇAS GARANTIA</vt:lpstr>
      <vt:lpstr>VALIDAÇÃO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Samuel Barbosa</dc:creator>
  <cp:lastModifiedBy>Samuel Barbosa</cp:lastModifiedBy>
  <dcterms:created xsi:type="dcterms:W3CDTF">2020-07-01T18:32:16Z</dcterms:created>
  <dcterms:modified xsi:type="dcterms:W3CDTF">2022-02-06T10:47:33Z</dcterms:modified>
</cp:coreProperties>
</file>